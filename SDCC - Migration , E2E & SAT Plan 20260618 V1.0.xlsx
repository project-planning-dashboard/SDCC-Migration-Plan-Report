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updateLinks="always" codeName="ThisWorkbook"/>
  <mc:AlternateContent xmlns:mc="http://schemas.openxmlformats.org/markup-compatibility/2006">
    <mc:Choice Requires="x15">
      <x15ac:absPath xmlns:x15ac="http://schemas.microsoft.com/office/spreadsheetml/2010/11/ac" url="C:\Users\Ahmed.Abdelzaher\OneDrive - alfanar\"/>
    </mc:Choice>
  </mc:AlternateContent>
  <xr:revisionPtr revIDLastSave="0" documentId="13_ncr:1_{B8C8D374-25C2-42FF-9446-49894BE5467A}" xr6:coauthVersionLast="47" xr6:coauthVersionMax="47" xr10:uidLastSave="{00000000-0000-0000-0000-000000000000}"/>
  <bookViews>
    <workbookView xWindow="-120" yWindow="-120" windowWidth="29040" windowHeight="15720" tabRatio="744" firstSheet="1" activeTab="7" xr2:uid="{00000000-000D-0000-FFFF-FFFF00000000}"/>
  </bookViews>
  <sheets>
    <sheet name="MADINAH Migration Plan" sheetId="30" state="hidden" r:id="rId1"/>
    <sheet name="Progress Summary" sheetId="43" r:id="rId2"/>
    <sheet name="Summary Dates Option 01 &amp;02" sheetId="44" r:id="rId3"/>
    <sheet name="ABHA Migration Plan" sheetId="31" r:id="rId4"/>
    <sheet name="MADINAH Migration Plan-" sheetId="41" r:id="rId5"/>
    <sheet name="Jizan Migration Plan" sheetId="40" r:id="rId6"/>
    <sheet name="Jeddah Migration Plan" sheetId="38" r:id="rId7"/>
    <sheet name="Makkah Migration Plan" sheetId="37" r:id="rId8"/>
    <sheet name="Summary Dates Option 01 &amp;02 (2)" sheetId="45" state="hidden" r:id="rId9"/>
  </sheets>
  <externalReferences>
    <externalReference r:id="rId10"/>
  </externalReferences>
  <definedNames>
    <definedName name="_xlcn.WorksheetConnection_MasterSheetC1016C8915" hidden="1">'[1]Master Sheet'!$C$1016:$C$8915</definedName>
    <definedName name="_xlcn.WorksheetConnection_PE286SDCCProgressTrackingSheetEVAnalysisMasterSheet.xlsxTable1" localSheetId="2" hidden="1">Table1</definedName>
    <definedName name="_xlcn.WorksheetConnection_PE286SDCCProgressTrackingSheetEVAnalysisMasterSheet.xlsxTable1" localSheetId="8" hidden="1">Table1</definedName>
    <definedName name="_xlcn.WorksheetConnection_PE286SDCCProgressTrackingSheetEVAnalysisMasterSheet.xlsxTable1" hidden="1">Table1</definedName>
    <definedName name="_xlnm.Print_Area" localSheetId="1">'Progress Summary'!$A$1:$AA$28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4" i="41" l="1"/>
  <c r="L72" i="41"/>
  <c r="L71" i="41"/>
  <c r="L62" i="31"/>
  <c r="L60" i="31"/>
  <c r="L59" i="31"/>
  <c r="H86" i="37"/>
  <c r="H76" i="37"/>
  <c r="H74" i="37"/>
  <c r="G75" i="37" s="1"/>
  <c r="H75" i="37" s="1"/>
  <c r="H73" i="37"/>
  <c r="G7" i="37"/>
  <c r="H7" i="37" s="1"/>
  <c r="H5" i="37"/>
  <c r="H14" i="37" s="1"/>
  <c r="G20" i="37" s="1"/>
  <c r="H20" i="37" s="1"/>
  <c r="G26" i="37" s="1"/>
  <c r="H26" i="37" s="1"/>
  <c r="G32" i="37" s="1"/>
  <c r="H32" i="37" s="1"/>
  <c r="G38" i="37" s="1"/>
  <c r="H38" i="37" s="1"/>
  <c r="G44" i="37" s="1"/>
  <c r="H44" i="37" s="1"/>
  <c r="G50" i="37" s="1"/>
  <c r="H50" i="37" s="1"/>
  <c r="G56" i="37" s="1"/>
  <c r="H56" i="37" s="1"/>
  <c r="G62" i="37" s="1"/>
  <c r="H62" i="37" s="1"/>
  <c r="G5" i="37"/>
  <c r="H86" i="38"/>
  <c r="H76" i="38"/>
  <c r="H74" i="38"/>
  <c r="G75" i="38" s="1"/>
  <c r="H75" i="38" s="1"/>
  <c r="H73" i="38"/>
  <c r="G7" i="38"/>
  <c r="H7" i="38" s="1"/>
  <c r="H5" i="38"/>
  <c r="G8" i="38" s="1"/>
  <c r="H8" i="38" s="1"/>
  <c r="G5" i="38"/>
  <c r="H76" i="40"/>
  <c r="H75" i="40"/>
  <c r="H72" i="40"/>
  <c r="H62" i="40"/>
  <c r="H60" i="40"/>
  <c r="G61" i="40" s="1"/>
  <c r="H61" i="40" s="1"/>
  <c r="H59" i="40"/>
  <c r="H13" i="40"/>
  <c r="G19" i="40" s="1"/>
  <c r="H19" i="40" s="1"/>
  <c r="G25" i="40" s="1"/>
  <c r="H25" i="40" s="1"/>
  <c r="G31" i="40" s="1"/>
  <c r="H31" i="40" s="1"/>
  <c r="G37" i="40" s="1"/>
  <c r="H37" i="40" s="1"/>
  <c r="G43" i="40" s="1"/>
  <c r="H43" i="40" s="1"/>
  <c r="G49" i="40" s="1"/>
  <c r="H49" i="40" s="1"/>
  <c r="G12" i="40"/>
  <c r="H12" i="40" s="1"/>
  <c r="G18" i="40" s="1"/>
  <c r="H18" i="40" s="1"/>
  <c r="G24" i="40" s="1"/>
  <c r="H24" i="40" s="1"/>
  <c r="G30" i="40" s="1"/>
  <c r="H30" i="40" s="1"/>
  <c r="G36" i="40" s="1"/>
  <c r="H36" i="40" s="1"/>
  <c r="G42" i="40" s="1"/>
  <c r="H42" i="40" s="1"/>
  <c r="G48" i="40" s="1"/>
  <c r="H48" i="40" s="1"/>
  <c r="G8" i="40"/>
  <c r="H8" i="40" s="1"/>
  <c r="H6" i="40"/>
  <c r="G54" i="40" s="1"/>
  <c r="H76" i="31"/>
  <c r="H75" i="31"/>
  <c r="H72" i="31"/>
  <c r="H62" i="31"/>
  <c r="H60" i="31"/>
  <c r="G61" i="31" s="1"/>
  <c r="H61" i="31" s="1"/>
  <c r="H59" i="31"/>
  <c r="G54" i="31"/>
  <c r="G55" i="31" s="1"/>
  <c r="H55" i="31" s="1"/>
  <c r="G24" i="31"/>
  <c r="H24" i="31" s="1"/>
  <c r="G30" i="31" s="1"/>
  <c r="H30" i="31" s="1"/>
  <c r="G36" i="31" s="1"/>
  <c r="H36" i="31" s="1"/>
  <c r="G42" i="31" s="1"/>
  <c r="H42" i="31" s="1"/>
  <c r="G48" i="31" s="1"/>
  <c r="H48" i="31" s="1"/>
  <c r="G18" i="31"/>
  <c r="H13" i="31"/>
  <c r="G19" i="31" s="1"/>
  <c r="H19" i="31" s="1"/>
  <c r="G25" i="31" s="1"/>
  <c r="H25" i="31" s="1"/>
  <c r="G31" i="31" s="1"/>
  <c r="H31" i="31" s="1"/>
  <c r="G37" i="31" s="1"/>
  <c r="H37" i="31" s="1"/>
  <c r="G43" i="31" s="1"/>
  <c r="H43" i="31" s="1"/>
  <c r="G49" i="31" s="1"/>
  <c r="H49" i="31" s="1"/>
  <c r="G8" i="31"/>
  <c r="H8" i="31" s="1"/>
  <c r="G5" i="31"/>
  <c r="H5" i="31" s="1"/>
  <c r="H87" i="41"/>
  <c r="H84" i="41"/>
  <c r="H74" i="41"/>
  <c r="H72" i="41"/>
  <c r="G73" i="41" s="1"/>
  <c r="H73" i="41" s="1"/>
  <c r="H71" i="41"/>
  <c r="G18" i="41"/>
  <c r="H18" i="41" s="1"/>
  <c r="G24" i="41" s="1"/>
  <c r="H24" i="41" s="1"/>
  <c r="G30" i="41" s="1"/>
  <c r="H30" i="41" s="1"/>
  <c r="G36" i="41" s="1"/>
  <c r="H36" i="41" s="1"/>
  <c r="G42" i="41" s="1"/>
  <c r="H42" i="41" s="1"/>
  <c r="G48" i="41" s="1"/>
  <c r="H48" i="41" s="1"/>
  <c r="G54" i="41" s="1"/>
  <c r="H54" i="41" s="1"/>
  <c r="G60" i="41" s="1"/>
  <c r="H60" i="41" s="1"/>
  <c r="G8" i="41"/>
  <c r="H8" i="41" s="1"/>
  <c r="G6" i="41"/>
  <c r="H6" i="41" s="1"/>
  <c r="G5" i="41"/>
  <c r="H5" i="41" s="1"/>
  <c r="F86" i="37"/>
  <c r="D86" i="37" s="1"/>
  <c r="F76" i="37"/>
  <c r="D76" i="37" s="1"/>
  <c r="F74" i="37"/>
  <c r="E75" i="37" s="1"/>
  <c r="F73" i="37"/>
  <c r="D73" i="37" s="1"/>
  <c r="F5" i="37"/>
  <c r="E8" i="37" s="1"/>
  <c r="F8" i="37" s="1"/>
  <c r="E7" i="37"/>
  <c r="F7" i="37" s="1"/>
  <c r="F86" i="38"/>
  <c r="D86" i="38" s="1"/>
  <c r="F74" i="38"/>
  <c r="E75" i="38" s="1"/>
  <c r="F76" i="38"/>
  <c r="D76" i="38" s="1"/>
  <c r="F73" i="38"/>
  <c r="D73" i="38" s="1"/>
  <c r="F5" i="38"/>
  <c r="E8" i="38" s="1"/>
  <c r="F8" i="38" s="1"/>
  <c r="E7" i="38"/>
  <c r="F7" i="38" s="1"/>
  <c r="F72" i="40"/>
  <c r="F62" i="40"/>
  <c r="D62" i="40" s="1"/>
  <c r="F60" i="40"/>
  <c r="D60" i="40" s="1"/>
  <c r="F59" i="40"/>
  <c r="D59" i="40" s="1"/>
  <c r="F13" i="40"/>
  <c r="E19" i="40" s="1"/>
  <c r="F19" i="40" s="1"/>
  <c r="E25" i="40" s="1"/>
  <c r="F25" i="40" s="1"/>
  <c r="E31" i="40" s="1"/>
  <c r="F31" i="40" s="1"/>
  <c r="E37" i="40" s="1"/>
  <c r="F37" i="40" s="1"/>
  <c r="E43" i="40" s="1"/>
  <c r="F43" i="40" s="1"/>
  <c r="E49" i="40" s="1"/>
  <c r="F49" i="40" s="1"/>
  <c r="F6" i="40"/>
  <c r="E54" i="40" s="1"/>
  <c r="E55" i="40" s="1"/>
  <c r="F72" i="31"/>
  <c r="E54" i="31"/>
  <c r="E56" i="31" s="1"/>
  <c r="F56" i="31" s="1"/>
  <c r="D56" i="31" s="1"/>
  <c r="F60" i="31"/>
  <c r="D60" i="31" s="1"/>
  <c r="F62" i="31"/>
  <c r="D62" i="31" s="1"/>
  <c r="F59" i="31"/>
  <c r="D59" i="31" s="1"/>
  <c r="F13" i="31"/>
  <c r="E19" i="31" s="1"/>
  <c r="F19" i="31" s="1"/>
  <c r="E25" i="31" s="1"/>
  <c r="F25" i="31" s="1"/>
  <c r="E31" i="31" s="1"/>
  <c r="F31" i="31" s="1"/>
  <c r="E37" i="31" s="1"/>
  <c r="F37" i="31" s="1"/>
  <c r="E43" i="31" s="1"/>
  <c r="F43" i="31" s="1"/>
  <c r="E49" i="31" s="1"/>
  <c r="F75" i="40"/>
  <c r="E12" i="40"/>
  <c r="F12" i="40" s="1"/>
  <c r="E18" i="40" s="1"/>
  <c r="F18" i="40" s="1"/>
  <c r="E8" i="40"/>
  <c r="F8" i="40" s="1"/>
  <c r="E5" i="37"/>
  <c r="E5" i="38"/>
  <c r="F76" i="31"/>
  <c r="F75" i="31"/>
  <c r="E18" i="31"/>
  <c r="E24" i="31" s="1"/>
  <c r="F24" i="31" s="1"/>
  <c r="E30" i="31" s="1"/>
  <c r="F30" i="31" s="1"/>
  <c r="E36" i="31" s="1"/>
  <c r="F36" i="31" s="1"/>
  <c r="E42" i="31" s="1"/>
  <c r="F42" i="31" s="1"/>
  <c r="E48" i="31" s="1"/>
  <c r="F48" i="31" s="1"/>
  <c r="E8" i="31"/>
  <c r="F8" i="31" s="1"/>
  <c r="E5" i="31"/>
  <c r="F5" i="31" s="1"/>
  <c r="F84" i="41"/>
  <c r="F72" i="41"/>
  <c r="F71" i="41"/>
  <c r="D71" i="41" s="1"/>
  <c r="G14" i="38" l="1"/>
  <c r="H14" i="38" s="1"/>
  <c r="G20" i="38" s="1"/>
  <c r="H20" i="38" s="1"/>
  <c r="G26" i="38" s="1"/>
  <c r="H26" i="38" s="1"/>
  <c r="G32" i="38" s="1"/>
  <c r="H32" i="38" s="1"/>
  <c r="G38" i="38" s="1"/>
  <c r="H38" i="38" s="1"/>
  <c r="G44" i="38" s="1"/>
  <c r="H44" i="38" s="1"/>
  <c r="G50" i="38" s="1"/>
  <c r="H50" i="38" s="1"/>
  <c r="G56" i="38" s="1"/>
  <c r="H56" i="38" s="1"/>
  <c r="G62" i="38" s="1"/>
  <c r="H62" i="38" s="1"/>
  <c r="G8" i="37"/>
  <c r="H8" i="37" s="1"/>
  <c r="G10" i="37" s="1"/>
  <c r="H10" i="37" s="1"/>
  <c r="E10" i="37"/>
  <c r="G68" i="38"/>
  <c r="G15" i="38"/>
  <c r="H15" i="38" s="1"/>
  <c r="G21" i="38" s="1"/>
  <c r="H21" i="38" s="1"/>
  <c r="G27" i="38" s="1"/>
  <c r="H27" i="38" s="1"/>
  <c r="G33" i="38" s="1"/>
  <c r="H33" i="38" s="1"/>
  <c r="G39" i="38" s="1"/>
  <c r="H39" i="38" s="1"/>
  <c r="G45" i="38" s="1"/>
  <c r="H45" i="38" s="1"/>
  <c r="G51" i="38" s="1"/>
  <c r="H51" i="38" s="1"/>
  <c r="G57" i="38" s="1"/>
  <c r="H57" i="38" s="1"/>
  <c r="G63" i="38" s="1"/>
  <c r="H63" i="38" s="1"/>
  <c r="G70" i="38"/>
  <c r="H70" i="38" s="1"/>
  <c r="G69" i="38"/>
  <c r="H69" i="38" s="1"/>
  <c r="G10" i="38"/>
  <c r="H10" i="38" s="1"/>
  <c r="G55" i="40"/>
  <c r="H55" i="40" s="1"/>
  <c r="H54" i="40"/>
  <c r="G56" i="40"/>
  <c r="H56" i="40" s="1"/>
  <c r="G14" i="40"/>
  <c r="H14" i="40" s="1"/>
  <c r="G9" i="40"/>
  <c r="H9" i="40" s="1"/>
  <c r="G10" i="40" s="1"/>
  <c r="H10" i="40" s="1"/>
  <c r="X12" i="45" s="1"/>
  <c r="G9" i="31"/>
  <c r="H9" i="31" s="1"/>
  <c r="G10" i="31" s="1"/>
  <c r="H10" i="31" s="1"/>
  <c r="S12" i="45" s="1"/>
  <c r="G14" i="31"/>
  <c r="H14" i="31" s="1"/>
  <c r="G56" i="31"/>
  <c r="H56" i="31" s="1"/>
  <c r="H54" i="31"/>
  <c r="G68" i="41"/>
  <c r="H68" i="41" s="1"/>
  <c r="G67" i="41"/>
  <c r="H67" i="41" s="1"/>
  <c r="G66" i="41"/>
  <c r="H66" i="41" s="1"/>
  <c r="G13" i="41"/>
  <c r="H13" i="41" s="1"/>
  <c r="G19" i="41" s="1"/>
  <c r="H19" i="41" s="1"/>
  <c r="G25" i="41" s="1"/>
  <c r="H25" i="41" s="1"/>
  <c r="G31" i="41" s="1"/>
  <c r="H31" i="41" s="1"/>
  <c r="G37" i="41" s="1"/>
  <c r="H37" i="41" s="1"/>
  <c r="G43" i="41" s="1"/>
  <c r="H43" i="41" s="1"/>
  <c r="G49" i="41" s="1"/>
  <c r="H49" i="41" s="1"/>
  <c r="G55" i="41" s="1"/>
  <c r="H55" i="41" s="1"/>
  <c r="G61" i="41" s="1"/>
  <c r="H61" i="41" s="1"/>
  <c r="G14" i="41"/>
  <c r="H14" i="41" s="1"/>
  <c r="G9" i="41"/>
  <c r="H9" i="41" s="1"/>
  <c r="G10" i="41" s="1"/>
  <c r="H10" i="41" s="1"/>
  <c r="D12" i="45" s="1"/>
  <c r="F14" i="37"/>
  <c r="E20" i="37" s="1"/>
  <c r="D74" i="37"/>
  <c r="E10" i="38"/>
  <c r="F20" i="37"/>
  <c r="E26" i="37" s="1"/>
  <c r="F26" i="37" s="1"/>
  <c r="E32" i="37" s="1"/>
  <c r="F32" i="37" s="1"/>
  <c r="E38" i="37" s="1"/>
  <c r="F38" i="37" s="1"/>
  <c r="E44" i="37" s="1"/>
  <c r="F44" i="37" s="1"/>
  <c r="E50" i="37" s="1"/>
  <c r="F50" i="37" s="1"/>
  <c r="E56" i="37" s="1"/>
  <c r="F56" i="37" s="1"/>
  <c r="E62" i="37" s="1"/>
  <c r="F62" i="37" s="1"/>
  <c r="E15" i="37"/>
  <c r="E69" i="37"/>
  <c r="F69" i="37" s="1"/>
  <c r="D69" i="37" s="1"/>
  <c r="E70" i="37"/>
  <c r="F70" i="37" s="1"/>
  <c r="D70" i="37" s="1"/>
  <c r="E68" i="37"/>
  <c r="F68" i="37" s="1"/>
  <c r="D68" i="37" s="1"/>
  <c r="F75" i="37"/>
  <c r="D75" i="37" s="1"/>
  <c r="F89" i="37"/>
  <c r="F10" i="37"/>
  <c r="E16" i="37" s="1"/>
  <c r="F16" i="37" s="1"/>
  <c r="E15" i="38"/>
  <c r="F15" i="38" s="1"/>
  <c r="E21" i="38" s="1"/>
  <c r="F21" i="38" s="1"/>
  <c r="E27" i="38" s="1"/>
  <c r="F27" i="38" s="1"/>
  <c r="E33" i="38" s="1"/>
  <c r="F33" i="38" s="1"/>
  <c r="E70" i="38"/>
  <c r="F70" i="38" s="1"/>
  <c r="D70" i="38" s="1"/>
  <c r="E69" i="38"/>
  <c r="F69" i="38" s="1"/>
  <c r="D69" i="38" s="1"/>
  <c r="E68" i="38"/>
  <c r="D74" i="38"/>
  <c r="F75" i="38"/>
  <c r="D75" i="38" s="1"/>
  <c r="E14" i="38"/>
  <c r="F10" i="38"/>
  <c r="E16" i="38" s="1"/>
  <c r="F16" i="38" s="1"/>
  <c r="E61" i="40"/>
  <c r="F55" i="40"/>
  <c r="D55" i="40" s="1"/>
  <c r="E56" i="40"/>
  <c r="F54" i="40"/>
  <c r="D54" i="40" s="1"/>
  <c r="E24" i="40"/>
  <c r="F24" i="40" s="1"/>
  <c r="E30" i="40" s="1"/>
  <c r="F30" i="40" s="1"/>
  <c r="E36" i="40" s="1"/>
  <c r="F36" i="40" s="1"/>
  <c r="E42" i="40" s="1"/>
  <c r="F42" i="40" s="1"/>
  <c r="E48" i="40" s="1"/>
  <c r="F48" i="40" s="1"/>
  <c r="F54" i="31"/>
  <c r="D54" i="31" s="1"/>
  <c r="E61" i="31"/>
  <c r="L61" i="31" s="1"/>
  <c r="E55" i="31"/>
  <c r="F49" i="31"/>
  <c r="E14" i="40"/>
  <c r="F14" i="40" s="1"/>
  <c r="E9" i="40"/>
  <c r="F9" i="40" s="1"/>
  <c r="E10" i="40" s="1"/>
  <c r="F10" i="40" s="1"/>
  <c r="E14" i="31"/>
  <c r="F14" i="31" s="1"/>
  <c r="E9" i="31"/>
  <c r="F9" i="31" s="1"/>
  <c r="E10" i="31" s="1"/>
  <c r="F10" i="31" s="1"/>
  <c r="E73" i="41"/>
  <c r="G15" i="37" l="1"/>
  <c r="H15" i="37" s="1"/>
  <c r="G21" i="37" s="1"/>
  <c r="H21" i="37" s="1"/>
  <c r="G27" i="37" s="1"/>
  <c r="H27" i="37" s="1"/>
  <c r="G33" i="37" s="1"/>
  <c r="H33" i="37" s="1"/>
  <c r="G39" i="37" s="1"/>
  <c r="H39" i="37" s="1"/>
  <c r="G45" i="37" s="1"/>
  <c r="H45" i="37" s="1"/>
  <c r="G51" i="37" s="1"/>
  <c r="H51" i="37" s="1"/>
  <c r="G57" i="37" s="1"/>
  <c r="H57" i="37" s="1"/>
  <c r="G63" i="37" s="1"/>
  <c r="H63" i="37" s="1"/>
  <c r="O11" i="44"/>
  <c r="W12" i="45"/>
  <c r="L11" i="44"/>
  <c r="R12" i="45"/>
  <c r="F73" i="41"/>
  <c r="L73" i="41"/>
  <c r="G16" i="37"/>
  <c r="H16" i="37" s="1"/>
  <c r="G11" i="37"/>
  <c r="H11" i="37" s="1"/>
  <c r="G12" i="37" s="1"/>
  <c r="H12" i="37" s="1"/>
  <c r="N12" i="45" s="1"/>
  <c r="G68" i="37"/>
  <c r="G69" i="37"/>
  <c r="H69" i="37" s="1"/>
  <c r="G70" i="37"/>
  <c r="H70" i="37" s="1"/>
  <c r="E11" i="37"/>
  <c r="F11" i="37" s="1"/>
  <c r="E12" i="37" s="1"/>
  <c r="F12" i="37" s="1"/>
  <c r="G89" i="37"/>
  <c r="H89" i="37" s="1"/>
  <c r="G90" i="37" s="1"/>
  <c r="H90" i="37" s="1"/>
  <c r="H68" i="37"/>
  <c r="G22" i="37"/>
  <c r="H22" i="37" s="1"/>
  <c r="G17" i="37"/>
  <c r="H17" i="37" s="1"/>
  <c r="G18" i="37" s="1"/>
  <c r="H18" i="37" s="1"/>
  <c r="N13" i="45" s="1"/>
  <c r="G89" i="38"/>
  <c r="H89" i="38" s="1"/>
  <c r="G90" i="38" s="1"/>
  <c r="H90" i="38" s="1"/>
  <c r="H68" i="38"/>
  <c r="G16" i="38"/>
  <c r="H16" i="38" s="1"/>
  <c r="G11" i="38"/>
  <c r="H11" i="38" s="1"/>
  <c r="G12" i="38" s="1"/>
  <c r="H12" i="38" s="1"/>
  <c r="I12" i="45" s="1"/>
  <c r="G15" i="40"/>
  <c r="H15" i="40" s="1"/>
  <c r="G16" i="40" s="1"/>
  <c r="H16" i="40" s="1"/>
  <c r="X13" i="45" s="1"/>
  <c r="G20" i="40"/>
  <c r="H20" i="40" s="1"/>
  <c r="G15" i="31"/>
  <c r="H15" i="31" s="1"/>
  <c r="G16" i="31" s="1"/>
  <c r="H16" i="31" s="1"/>
  <c r="S13" i="45" s="1"/>
  <c r="G20" i="31"/>
  <c r="H20" i="31" s="1"/>
  <c r="G15" i="41"/>
  <c r="H15" i="41" s="1"/>
  <c r="G16" i="41" s="1"/>
  <c r="H16" i="41" s="1"/>
  <c r="D13" i="45" s="1"/>
  <c r="G20" i="41"/>
  <c r="H20" i="41" s="1"/>
  <c r="F15" i="37"/>
  <c r="E21" i="37" s="1"/>
  <c r="F21" i="37" s="1"/>
  <c r="E27" i="37" s="1"/>
  <c r="F27" i="37" s="1"/>
  <c r="E33" i="37" s="1"/>
  <c r="F33" i="37" s="1"/>
  <c r="E39" i="37" s="1"/>
  <c r="F39" i="37" s="1"/>
  <c r="E45" i="37" s="1"/>
  <c r="F45" i="37" s="1"/>
  <c r="E51" i="37" s="1"/>
  <c r="F51" i="37" s="1"/>
  <c r="E57" i="37" s="1"/>
  <c r="F57" i="37" s="1"/>
  <c r="E63" i="37" s="1"/>
  <c r="F63" i="37" s="1"/>
  <c r="F14" i="38"/>
  <c r="E20" i="38" s="1"/>
  <c r="F68" i="38"/>
  <c r="D68" i="38" s="1"/>
  <c r="F89" i="38"/>
  <c r="E39" i="38"/>
  <c r="F39" i="38" s="1"/>
  <c r="E45" i="38" s="1"/>
  <c r="F45" i="38" s="1"/>
  <c r="E11" i="38"/>
  <c r="F11" i="38" s="1"/>
  <c r="E12" i="38" s="1"/>
  <c r="F12" i="38" s="1"/>
  <c r="F61" i="40"/>
  <c r="D61" i="40" s="1"/>
  <c r="F56" i="40"/>
  <c r="D56" i="40" s="1"/>
  <c r="F55" i="31"/>
  <c r="F61" i="31"/>
  <c r="D61" i="31" s="1"/>
  <c r="E20" i="40"/>
  <c r="F20" i="40" s="1"/>
  <c r="E15" i="40"/>
  <c r="F15" i="40" s="1"/>
  <c r="E16" i="40" s="1"/>
  <c r="F16" i="40" s="1"/>
  <c r="E22" i="37"/>
  <c r="F22" i="37" s="1"/>
  <c r="E17" i="37"/>
  <c r="F17" i="37" s="1"/>
  <c r="E18" i="37" s="1"/>
  <c r="F18" i="37" s="1"/>
  <c r="E22" i="38"/>
  <c r="F22" i="38" s="1"/>
  <c r="E17" i="38"/>
  <c r="F17" i="38" s="1"/>
  <c r="E18" i="38" s="1"/>
  <c r="F18" i="38" s="1"/>
  <c r="E20" i="31"/>
  <c r="F20" i="31" s="1"/>
  <c r="E15" i="31"/>
  <c r="F15" i="31" s="1"/>
  <c r="E16" i="31" s="1"/>
  <c r="F16" i="31" s="1"/>
  <c r="D72" i="41"/>
  <c r="I11" i="44" l="1"/>
  <c r="M12" i="45"/>
  <c r="I12" i="44"/>
  <c r="M13" i="45"/>
  <c r="F12" i="44"/>
  <c r="H13" i="45"/>
  <c r="H12" i="45"/>
  <c r="F11" i="44"/>
  <c r="O12" i="44"/>
  <c r="W13" i="45"/>
  <c r="L12" i="44"/>
  <c r="R13" i="45"/>
  <c r="G28" i="37"/>
  <c r="H28" i="37" s="1"/>
  <c r="G23" i="37"/>
  <c r="H23" i="37" s="1"/>
  <c r="G24" i="37" s="1"/>
  <c r="H24" i="37" s="1"/>
  <c r="N14" i="45" s="1"/>
  <c r="G17" i="38"/>
  <c r="H17" i="38" s="1"/>
  <c r="G18" i="38" s="1"/>
  <c r="H18" i="38" s="1"/>
  <c r="I13" i="45" s="1"/>
  <c r="G22" i="38"/>
  <c r="H22" i="38" s="1"/>
  <c r="G26" i="40"/>
  <c r="H26" i="40" s="1"/>
  <c r="G21" i="40"/>
  <c r="H21" i="40" s="1"/>
  <c r="G22" i="40" s="1"/>
  <c r="H22" i="40" s="1"/>
  <c r="X14" i="45" s="1"/>
  <c r="G21" i="31"/>
  <c r="H21" i="31" s="1"/>
  <c r="G22" i="31" s="1"/>
  <c r="H22" i="31" s="1"/>
  <c r="S14" i="45" s="1"/>
  <c r="G26" i="31"/>
  <c r="H26" i="31" s="1"/>
  <c r="G26" i="41"/>
  <c r="H26" i="41" s="1"/>
  <c r="G21" i="41"/>
  <c r="H21" i="41" s="1"/>
  <c r="G22" i="41" s="1"/>
  <c r="H22" i="41" s="1"/>
  <c r="D14" i="45" s="1"/>
  <c r="E51" i="38"/>
  <c r="F51" i="38" s="1"/>
  <c r="E57" i="38" s="1"/>
  <c r="F57" i="38" s="1"/>
  <c r="E63" i="38" s="1"/>
  <c r="F63" i="38" s="1"/>
  <c r="F20" i="38"/>
  <c r="E26" i="38" s="1"/>
  <c r="F26" i="38" s="1"/>
  <c r="E32" i="38" s="1"/>
  <c r="F32" i="38" s="1"/>
  <c r="E38" i="38" s="1"/>
  <c r="F38" i="38" s="1"/>
  <c r="E44" i="38" s="1"/>
  <c r="F44" i="38" s="1"/>
  <c r="E50" i="38" s="1"/>
  <c r="F50" i="38" s="1"/>
  <c r="E56" i="38" s="1"/>
  <c r="F56" i="38" s="1"/>
  <c r="E62" i="38" s="1"/>
  <c r="F62" i="38" s="1"/>
  <c r="D55" i="31"/>
  <c r="E26" i="40"/>
  <c r="F26" i="40" s="1"/>
  <c r="E21" i="40"/>
  <c r="F21" i="40" s="1"/>
  <c r="E22" i="40" s="1"/>
  <c r="F22" i="40" s="1"/>
  <c r="E28" i="37"/>
  <c r="F28" i="37" s="1"/>
  <c r="E23" i="37"/>
  <c r="F23" i="37" s="1"/>
  <c r="E24" i="37" s="1"/>
  <c r="F24" i="37" s="1"/>
  <c r="E28" i="38"/>
  <c r="F28" i="38" s="1"/>
  <c r="E23" i="38"/>
  <c r="F23" i="38" s="1"/>
  <c r="E24" i="38" s="1"/>
  <c r="F24" i="38" s="1"/>
  <c r="E26" i="31"/>
  <c r="F26" i="31" s="1"/>
  <c r="E21" i="31"/>
  <c r="F21" i="31" s="1"/>
  <c r="E22" i="31" s="1"/>
  <c r="F22" i="31" s="1"/>
  <c r="D73" i="41"/>
  <c r="F74" i="41"/>
  <c r="D74" i="41" s="1"/>
  <c r="I13" i="44" l="1"/>
  <c r="M14" i="45"/>
  <c r="F13" i="44"/>
  <c r="H14" i="45"/>
  <c r="O13" i="44"/>
  <c r="W14" i="45"/>
  <c r="L13" i="44"/>
  <c r="R14" i="45"/>
  <c r="G34" i="37"/>
  <c r="H34" i="37" s="1"/>
  <c r="G29" i="37"/>
  <c r="H29" i="37" s="1"/>
  <c r="G30" i="37" s="1"/>
  <c r="H30" i="37" s="1"/>
  <c r="N15" i="45" s="1"/>
  <c r="G28" i="38"/>
  <c r="H28" i="38" s="1"/>
  <c r="G23" i="38"/>
  <c r="H23" i="38" s="1"/>
  <c r="G24" i="38" s="1"/>
  <c r="H24" i="38" s="1"/>
  <c r="I14" i="45" s="1"/>
  <c r="G32" i="40"/>
  <c r="H32" i="40" s="1"/>
  <c r="G27" i="40"/>
  <c r="H27" i="40" s="1"/>
  <c r="G28" i="40" s="1"/>
  <c r="H28" i="40" s="1"/>
  <c r="X15" i="45" s="1"/>
  <c r="G32" i="31"/>
  <c r="H32" i="31" s="1"/>
  <c r="G27" i="31"/>
  <c r="H27" i="31" s="1"/>
  <c r="G28" i="31" s="1"/>
  <c r="H28" i="31" s="1"/>
  <c r="S15" i="45" s="1"/>
  <c r="G32" i="41"/>
  <c r="H32" i="41" s="1"/>
  <c r="G27" i="41"/>
  <c r="H27" i="41" s="1"/>
  <c r="G28" i="41" s="1"/>
  <c r="H28" i="41" s="1"/>
  <c r="D15" i="45" s="1"/>
  <c r="E27" i="40"/>
  <c r="F27" i="40" s="1"/>
  <c r="E28" i="40" s="1"/>
  <c r="F28" i="40" s="1"/>
  <c r="E32" i="40"/>
  <c r="F32" i="40" s="1"/>
  <c r="E29" i="37"/>
  <c r="F29" i="37" s="1"/>
  <c r="E30" i="37" s="1"/>
  <c r="F30" i="37" s="1"/>
  <c r="E34" i="37"/>
  <c r="F34" i="37" s="1"/>
  <c r="E29" i="38"/>
  <c r="F29" i="38" s="1"/>
  <c r="E30" i="38" s="1"/>
  <c r="F30" i="38" s="1"/>
  <c r="E34" i="38"/>
  <c r="F34" i="38" s="1"/>
  <c r="E32" i="31"/>
  <c r="F32" i="31" s="1"/>
  <c r="E27" i="31"/>
  <c r="F27" i="31" s="1"/>
  <c r="E28" i="31" s="1"/>
  <c r="F28" i="31" s="1"/>
  <c r="E5" i="41"/>
  <c r="F5" i="41" s="1"/>
  <c r="E6" i="41"/>
  <c r="F6" i="41" s="1"/>
  <c r="F87" i="41"/>
  <c r="D87" i="41" s="1"/>
  <c r="D84" i="41"/>
  <c r="E18" i="41"/>
  <c r="F18" i="41" s="1"/>
  <c r="E8" i="41"/>
  <c r="L8" i="41" s="1"/>
  <c r="L75" i="40"/>
  <c r="D75" i="40"/>
  <c r="L72" i="40"/>
  <c r="D72" i="40"/>
  <c r="L56" i="40"/>
  <c r="L55" i="40"/>
  <c r="L54" i="40"/>
  <c r="L49" i="40"/>
  <c r="D49" i="40"/>
  <c r="L48" i="40"/>
  <c r="D48" i="40"/>
  <c r="L43" i="40"/>
  <c r="D43" i="40"/>
  <c r="L42" i="40"/>
  <c r="D42" i="40"/>
  <c r="L37" i="40"/>
  <c r="D37" i="40"/>
  <c r="L36" i="40"/>
  <c r="D36" i="40"/>
  <c r="L31" i="40"/>
  <c r="D31" i="40"/>
  <c r="L30" i="40"/>
  <c r="D30" i="40"/>
  <c r="L28" i="40"/>
  <c r="D28" i="40"/>
  <c r="L27" i="40"/>
  <c r="D27" i="40"/>
  <c r="L26" i="40"/>
  <c r="D26" i="40"/>
  <c r="L25" i="40"/>
  <c r="D25" i="40"/>
  <c r="L24" i="40"/>
  <c r="D24" i="40"/>
  <c r="L22" i="40"/>
  <c r="D22" i="40"/>
  <c r="L21" i="40"/>
  <c r="D21" i="40"/>
  <c r="L20" i="40"/>
  <c r="D20" i="40"/>
  <c r="L19" i="40"/>
  <c r="D19" i="40"/>
  <c r="L18" i="40"/>
  <c r="D18" i="40"/>
  <c r="L16" i="40"/>
  <c r="D16" i="40"/>
  <c r="L15" i="40"/>
  <c r="D15" i="40"/>
  <c r="L14" i="40"/>
  <c r="D14" i="40"/>
  <c r="L13" i="40"/>
  <c r="D13" i="40"/>
  <c r="L12" i="40"/>
  <c r="D12" i="40"/>
  <c r="L10" i="40"/>
  <c r="D10" i="40"/>
  <c r="L9" i="40"/>
  <c r="D9" i="40"/>
  <c r="L8" i="40"/>
  <c r="D8" i="40"/>
  <c r="L7" i="40"/>
  <c r="L6" i="40"/>
  <c r="D6" i="40"/>
  <c r="L5" i="40"/>
  <c r="D5" i="40"/>
  <c r="L3" i="40"/>
  <c r="L89" i="38"/>
  <c r="D89" i="38"/>
  <c r="L86" i="38"/>
  <c r="L70" i="38"/>
  <c r="L69" i="38"/>
  <c r="L68" i="38"/>
  <c r="L63" i="38"/>
  <c r="D63" i="38"/>
  <c r="L62" i="38"/>
  <c r="D62" i="38"/>
  <c r="L57" i="38"/>
  <c r="D57" i="38"/>
  <c r="L56" i="38"/>
  <c r="D56" i="38"/>
  <c r="L51" i="38"/>
  <c r="D51" i="38"/>
  <c r="L50" i="38"/>
  <c r="D50" i="38"/>
  <c r="L45" i="38"/>
  <c r="D45" i="38"/>
  <c r="L44" i="38"/>
  <c r="D44" i="38"/>
  <c r="L39" i="38"/>
  <c r="D39" i="38"/>
  <c r="L38" i="38"/>
  <c r="D38" i="38"/>
  <c r="L34" i="38"/>
  <c r="D34" i="38"/>
  <c r="L33" i="38"/>
  <c r="D33" i="38"/>
  <c r="L32" i="38"/>
  <c r="D32" i="38"/>
  <c r="L28" i="38"/>
  <c r="D28" i="38"/>
  <c r="L27" i="38"/>
  <c r="D27" i="38"/>
  <c r="L26" i="38"/>
  <c r="D26" i="38"/>
  <c r="L24" i="38"/>
  <c r="D24" i="38"/>
  <c r="L23" i="38"/>
  <c r="D23" i="38"/>
  <c r="L22" i="38"/>
  <c r="D22" i="38"/>
  <c r="L21" i="38"/>
  <c r="D21" i="38"/>
  <c r="L20" i="38"/>
  <c r="D20" i="38"/>
  <c r="L18" i="38"/>
  <c r="D18" i="38"/>
  <c r="L17" i="38"/>
  <c r="D17" i="38"/>
  <c r="L16" i="38"/>
  <c r="D16" i="38"/>
  <c r="L15" i="38"/>
  <c r="D15" i="38"/>
  <c r="L14" i="38"/>
  <c r="D14" i="38"/>
  <c r="L12" i="38"/>
  <c r="D12" i="38"/>
  <c r="L11" i="38"/>
  <c r="D11" i="38"/>
  <c r="L10" i="38"/>
  <c r="D10" i="38"/>
  <c r="L9" i="38"/>
  <c r="L8" i="38"/>
  <c r="D8" i="38"/>
  <c r="L7" i="38"/>
  <c r="D7" i="38"/>
  <c r="L6" i="38"/>
  <c r="D6" i="38"/>
  <c r="L5" i="38"/>
  <c r="D5" i="38"/>
  <c r="L3" i="38"/>
  <c r="L76" i="31"/>
  <c r="D76" i="31"/>
  <c r="L75" i="31"/>
  <c r="D75" i="31"/>
  <c r="L72" i="31"/>
  <c r="D72" i="31"/>
  <c r="L56" i="31"/>
  <c r="L55" i="31"/>
  <c r="L54" i="31"/>
  <c r="L49" i="31"/>
  <c r="D49" i="31"/>
  <c r="L48" i="31"/>
  <c r="D48" i="31"/>
  <c r="L43" i="31"/>
  <c r="D43" i="31"/>
  <c r="L42" i="31"/>
  <c r="D42" i="31"/>
  <c r="L37" i="31"/>
  <c r="D37" i="31"/>
  <c r="L36" i="31"/>
  <c r="D36" i="31"/>
  <c r="L31" i="31"/>
  <c r="D31" i="31"/>
  <c r="L30" i="31"/>
  <c r="D30" i="31"/>
  <c r="L26" i="31"/>
  <c r="D26" i="31"/>
  <c r="L25" i="31"/>
  <c r="D25" i="31"/>
  <c r="L24" i="31"/>
  <c r="D24" i="31"/>
  <c r="L22" i="31"/>
  <c r="D22" i="31"/>
  <c r="L21" i="31"/>
  <c r="D21" i="31"/>
  <c r="L20" i="31"/>
  <c r="D20" i="31"/>
  <c r="L19" i="31"/>
  <c r="D19" i="31"/>
  <c r="L18" i="31"/>
  <c r="D18" i="31"/>
  <c r="L16" i="31"/>
  <c r="D16" i="31"/>
  <c r="L15" i="31"/>
  <c r="D15" i="31"/>
  <c r="L14" i="31"/>
  <c r="D14" i="31"/>
  <c r="L13" i="31"/>
  <c r="D13" i="31"/>
  <c r="L12" i="31"/>
  <c r="D12" i="31"/>
  <c r="L10" i="31"/>
  <c r="D10" i="31"/>
  <c r="L9" i="31"/>
  <c r="D9" i="31"/>
  <c r="L8" i="31"/>
  <c r="D8" i="31"/>
  <c r="L7" i="31"/>
  <c r="L6" i="31"/>
  <c r="D6" i="31"/>
  <c r="L5" i="31"/>
  <c r="D5" i="31"/>
  <c r="L3" i="31"/>
  <c r="L87" i="41"/>
  <c r="L84" i="41"/>
  <c r="L12" i="41"/>
  <c r="D12" i="41"/>
  <c r="L7" i="41"/>
  <c r="L5" i="41"/>
  <c r="L3" i="41"/>
  <c r="Z27" i="43" a="1"/>
  <c r="Z27" i="43" s="1"/>
  <c r="Y27" i="43" a="1"/>
  <c r="Y27" i="43" s="1"/>
  <c r="X27" i="43" a="1"/>
  <c r="X27" i="43" s="1"/>
  <c r="W27" i="43" a="1"/>
  <c r="W27" i="43" s="1"/>
  <c r="V27" i="43" a="1"/>
  <c r="V27" i="43" s="1"/>
  <c r="H27" i="43" a="1"/>
  <c r="H27" i="43" s="1"/>
  <c r="G27" i="43" a="1"/>
  <c r="G27" i="43" s="1"/>
  <c r="F27" i="43" a="1"/>
  <c r="F27" i="43" s="1"/>
  <c r="E27" i="43" a="1"/>
  <c r="E27" i="43" s="1"/>
  <c r="D27" i="43" a="1"/>
  <c r="D27" i="43" s="1"/>
  <c r="Z26" i="43" a="1"/>
  <c r="Z26" i="43" s="1"/>
  <c r="Y26" i="43" a="1"/>
  <c r="Y26" i="43" s="1"/>
  <c r="X26" i="43" a="1"/>
  <c r="X26" i="43" s="1"/>
  <c r="W26" i="43" a="1"/>
  <c r="W26" i="43" s="1"/>
  <c r="V26" i="43" a="1"/>
  <c r="V26" i="43" s="1"/>
  <c r="H26" i="43" a="1"/>
  <c r="H26" i="43" s="1"/>
  <c r="G26" i="43" a="1"/>
  <c r="G26" i="43" s="1"/>
  <c r="F26" i="43" a="1"/>
  <c r="F26" i="43" s="1"/>
  <c r="E26" i="43" a="1"/>
  <c r="E26" i="43" s="1"/>
  <c r="D26" i="43" a="1"/>
  <c r="D26" i="43" s="1"/>
  <c r="Z25" i="43" a="1"/>
  <c r="Z25" i="43" s="1"/>
  <c r="Y25" i="43" a="1"/>
  <c r="Y25" i="43" s="1"/>
  <c r="X25" i="43" a="1"/>
  <c r="X25" i="43" s="1"/>
  <c r="W25" i="43" a="1"/>
  <c r="W25" i="43" s="1"/>
  <c r="V25" i="43" a="1"/>
  <c r="V25" i="43" s="1"/>
  <c r="H25" i="43" a="1"/>
  <c r="H25" i="43" s="1"/>
  <c r="G25" i="43" a="1"/>
  <c r="G25" i="43" s="1"/>
  <c r="F25" i="43" a="1"/>
  <c r="F25" i="43" s="1"/>
  <c r="E25" i="43" a="1"/>
  <c r="E25" i="43" s="1"/>
  <c r="D25" i="43" a="1"/>
  <c r="D25" i="43" s="1"/>
  <c r="Z24" i="43" a="1"/>
  <c r="Z24" i="43" s="1"/>
  <c r="Y24" i="43" a="1"/>
  <c r="Y24" i="43" s="1"/>
  <c r="X24" i="43" a="1"/>
  <c r="X24" i="43" s="1"/>
  <c r="W24" i="43" a="1"/>
  <c r="W24" i="43" s="1"/>
  <c r="V24" i="43" a="1"/>
  <c r="V24" i="43" s="1"/>
  <c r="H24" i="43" a="1"/>
  <c r="H24" i="43" s="1"/>
  <c r="G24" i="43" a="1"/>
  <c r="G24" i="43" s="1"/>
  <c r="F24" i="43" a="1"/>
  <c r="F24" i="43" s="1"/>
  <c r="E24" i="43" a="1"/>
  <c r="E24" i="43" s="1"/>
  <c r="D24" i="43" a="1"/>
  <c r="D24" i="43" s="1"/>
  <c r="Z23" i="43" a="1"/>
  <c r="Z23" i="43" s="1"/>
  <c r="Y23" i="43" a="1"/>
  <c r="Y23" i="43" s="1"/>
  <c r="X23" i="43" a="1"/>
  <c r="X23" i="43" s="1"/>
  <c r="W23" i="43" a="1"/>
  <c r="W23" i="43" s="1"/>
  <c r="V23" i="43" a="1"/>
  <c r="V23" i="43" s="1"/>
  <c r="H23" i="43" a="1"/>
  <c r="H23" i="43" s="1"/>
  <c r="G23" i="43" a="1"/>
  <c r="G23" i="43" s="1"/>
  <c r="F23" i="43" a="1"/>
  <c r="F23" i="43" s="1"/>
  <c r="E23" i="43" a="1"/>
  <c r="E23" i="43" s="1"/>
  <c r="D23" i="43" a="1"/>
  <c r="D23" i="43" s="1"/>
  <c r="Z22" i="43" a="1"/>
  <c r="Z22" i="43" s="1"/>
  <c r="Y22" i="43" a="1"/>
  <c r="Y22" i="43" s="1"/>
  <c r="X22" i="43" a="1"/>
  <c r="X22" i="43" s="1"/>
  <c r="W22" i="43" a="1"/>
  <c r="W22" i="43" s="1"/>
  <c r="V22" i="43" a="1"/>
  <c r="V22" i="43" s="1"/>
  <c r="H22" i="43" a="1"/>
  <c r="H22" i="43" s="1"/>
  <c r="G22" i="43" a="1"/>
  <c r="G22" i="43" s="1"/>
  <c r="F22" i="43" a="1"/>
  <c r="F22" i="43" s="1"/>
  <c r="E22" i="43" a="1"/>
  <c r="E22" i="43" s="1"/>
  <c r="D22" i="43" a="1"/>
  <c r="D22" i="43" s="1"/>
  <c r="Z21" i="43" a="1"/>
  <c r="Z21" i="43" s="1"/>
  <c r="Y21" i="43" a="1"/>
  <c r="Y21" i="43" s="1"/>
  <c r="X21" i="43" a="1"/>
  <c r="X21" i="43" s="1"/>
  <c r="W21" i="43" a="1"/>
  <c r="W21" i="43" s="1"/>
  <c r="V21" i="43" a="1"/>
  <c r="V21" i="43" s="1"/>
  <c r="H21" i="43" a="1"/>
  <c r="H21" i="43" s="1"/>
  <c r="G21" i="43" a="1"/>
  <c r="G21" i="43" s="1"/>
  <c r="F21" i="43" a="1"/>
  <c r="F21" i="43" s="1"/>
  <c r="E21" i="43" a="1"/>
  <c r="E21" i="43" s="1"/>
  <c r="D21" i="43" a="1"/>
  <c r="D21" i="43" s="1"/>
  <c r="Z20" i="43" a="1"/>
  <c r="Z20" i="43" s="1"/>
  <c r="Y20" i="43" a="1"/>
  <c r="Y20" i="43" s="1"/>
  <c r="X20" i="43" a="1"/>
  <c r="X20" i="43" s="1"/>
  <c r="W20" i="43" a="1"/>
  <c r="W20" i="43" s="1"/>
  <c r="V20" i="43" a="1"/>
  <c r="V20" i="43" s="1"/>
  <c r="H20" i="43" a="1"/>
  <c r="H20" i="43" s="1"/>
  <c r="G20" i="43" a="1"/>
  <c r="G20" i="43" s="1"/>
  <c r="F20" i="43" a="1"/>
  <c r="F20" i="43" s="1"/>
  <c r="E20" i="43" a="1"/>
  <c r="E20" i="43" s="1"/>
  <c r="D20" i="43" a="1"/>
  <c r="D20" i="43" s="1"/>
  <c r="Z16" i="43" a="1"/>
  <c r="Z16" i="43" s="1"/>
  <c r="Y16" i="43" a="1"/>
  <c r="Y16" i="43" s="1"/>
  <c r="X16" i="43" a="1"/>
  <c r="X16" i="43" s="1"/>
  <c r="W16" i="43" a="1"/>
  <c r="W16" i="43" s="1"/>
  <c r="V16" i="43" a="1"/>
  <c r="V16" i="43" s="1"/>
  <c r="Q16" i="43" a="1"/>
  <c r="Q16" i="43" s="1"/>
  <c r="P16" i="43" a="1"/>
  <c r="P16" i="43" s="1"/>
  <c r="O16" i="43" a="1"/>
  <c r="O16" i="43" s="1"/>
  <c r="N16" i="43" a="1"/>
  <c r="N16" i="43" s="1"/>
  <c r="M16" i="43" a="1"/>
  <c r="M16" i="43" s="1"/>
  <c r="L16" i="43" s="1"/>
  <c r="H16" i="43" a="1"/>
  <c r="H16" i="43" s="1"/>
  <c r="G16" i="43" a="1"/>
  <c r="G16" i="43" s="1"/>
  <c r="F16" i="43" a="1"/>
  <c r="F16" i="43" s="1"/>
  <c r="E16" i="43" a="1"/>
  <c r="E16" i="43" s="1"/>
  <c r="D16" i="43" a="1"/>
  <c r="D16" i="43" s="1"/>
  <c r="Z15" i="43" a="1"/>
  <c r="Z15" i="43" s="1"/>
  <c r="Y15" i="43" a="1"/>
  <c r="Y15" i="43" s="1"/>
  <c r="X15" i="43" a="1"/>
  <c r="X15" i="43" s="1"/>
  <c r="W15" i="43" a="1"/>
  <c r="W15" i="43" s="1"/>
  <c r="V15" i="43" a="1"/>
  <c r="V15" i="43" s="1"/>
  <c r="Q15" i="43" a="1"/>
  <c r="Q15" i="43" s="1"/>
  <c r="P15" i="43" a="1"/>
  <c r="P15" i="43" s="1"/>
  <c r="O15" i="43" a="1"/>
  <c r="O15" i="43" s="1"/>
  <c r="N15" i="43" a="1"/>
  <c r="N15" i="43" s="1"/>
  <c r="M15" i="43" a="1"/>
  <c r="M15" i="43" s="1"/>
  <c r="H15" i="43" a="1"/>
  <c r="H15" i="43" s="1"/>
  <c r="G15" i="43" a="1"/>
  <c r="G15" i="43" s="1"/>
  <c r="F15" i="43" a="1"/>
  <c r="F15" i="43" s="1"/>
  <c r="E15" i="43" a="1"/>
  <c r="E15" i="43" s="1"/>
  <c r="D15" i="43" a="1"/>
  <c r="D15" i="43" s="1"/>
  <c r="Z14" i="43" a="1"/>
  <c r="Z14" i="43" s="1"/>
  <c r="Y14" i="43" a="1"/>
  <c r="Y14" i="43" s="1"/>
  <c r="X14" i="43" a="1"/>
  <c r="X14" i="43" s="1"/>
  <c r="W14" i="43" a="1"/>
  <c r="W14" i="43" s="1"/>
  <c r="V14" i="43" a="1"/>
  <c r="V14" i="43" s="1"/>
  <c r="Q14" i="43" a="1"/>
  <c r="Q14" i="43" s="1"/>
  <c r="P14" i="43" a="1"/>
  <c r="P14" i="43" s="1"/>
  <c r="O14" i="43" a="1"/>
  <c r="O14" i="43" s="1"/>
  <c r="N14" i="43" a="1"/>
  <c r="N14" i="43" s="1"/>
  <c r="M14" i="43" a="1"/>
  <c r="M14" i="43" s="1"/>
  <c r="H14" i="43" a="1"/>
  <c r="H14" i="43" s="1"/>
  <c r="G14" i="43" a="1"/>
  <c r="G14" i="43" s="1"/>
  <c r="F14" i="43" a="1"/>
  <c r="F14" i="43" s="1"/>
  <c r="E14" i="43" a="1"/>
  <c r="E14" i="43" s="1"/>
  <c r="D14" i="43" a="1"/>
  <c r="D14" i="43" s="1"/>
  <c r="Z13" i="43" a="1"/>
  <c r="Z13" i="43" s="1"/>
  <c r="Y13" i="43" a="1"/>
  <c r="Y13" i="43" s="1"/>
  <c r="X13" i="43" a="1"/>
  <c r="X13" i="43" s="1"/>
  <c r="W13" i="43" a="1"/>
  <c r="W13" i="43" s="1"/>
  <c r="V13" i="43" a="1"/>
  <c r="V13" i="43" s="1"/>
  <c r="Q13" i="43" a="1"/>
  <c r="Q13" i="43" s="1"/>
  <c r="P13" i="43" a="1"/>
  <c r="P13" i="43" s="1"/>
  <c r="O13" i="43" a="1"/>
  <c r="O13" i="43" s="1"/>
  <c r="N13" i="43" a="1"/>
  <c r="N13" i="43" s="1"/>
  <c r="M13" i="43" a="1"/>
  <c r="M13" i="43" s="1"/>
  <c r="H13" i="43" a="1"/>
  <c r="H13" i="43" s="1"/>
  <c r="G13" i="43" a="1"/>
  <c r="G13" i="43" s="1"/>
  <c r="F13" i="43" a="1"/>
  <c r="F13" i="43" s="1"/>
  <c r="E13" i="43" a="1"/>
  <c r="E13" i="43" s="1"/>
  <c r="D13" i="43" a="1"/>
  <c r="D13" i="43" s="1"/>
  <c r="Z12" i="43" a="1"/>
  <c r="Z12" i="43" s="1"/>
  <c r="Y12" i="43" a="1"/>
  <c r="Y12" i="43" s="1"/>
  <c r="X12" i="43" a="1"/>
  <c r="X12" i="43" s="1"/>
  <c r="W12" i="43" a="1"/>
  <c r="W12" i="43" s="1"/>
  <c r="V12" i="43" a="1"/>
  <c r="V12" i="43" s="1"/>
  <c r="Q12" i="43" a="1"/>
  <c r="Q12" i="43" s="1"/>
  <c r="P12" i="43" a="1"/>
  <c r="P12" i="43" s="1"/>
  <c r="O12" i="43" a="1"/>
  <c r="O12" i="43" s="1"/>
  <c r="N12" i="43" a="1"/>
  <c r="N12" i="43" s="1"/>
  <c r="M12" i="43" a="1"/>
  <c r="M12" i="43" s="1"/>
  <c r="H12" i="43" a="1"/>
  <c r="H12" i="43" s="1"/>
  <c r="G12" i="43" a="1"/>
  <c r="G12" i="43" s="1"/>
  <c r="F12" i="43" a="1"/>
  <c r="F12" i="43" s="1"/>
  <c r="E12" i="43" a="1"/>
  <c r="E12" i="43" s="1"/>
  <c r="D12" i="43" a="1"/>
  <c r="D12" i="43" s="1"/>
  <c r="Z11" i="43" a="1"/>
  <c r="Z11" i="43" s="1"/>
  <c r="Y11" i="43" a="1"/>
  <c r="Y11" i="43" s="1"/>
  <c r="X11" i="43" a="1"/>
  <c r="X11" i="43" s="1"/>
  <c r="W11" i="43" a="1"/>
  <c r="W11" i="43" s="1"/>
  <c r="V11" i="43" a="1"/>
  <c r="V11" i="43" s="1"/>
  <c r="Q11" i="43" a="1"/>
  <c r="Q11" i="43" s="1"/>
  <c r="P11" i="43" a="1"/>
  <c r="P11" i="43" s="1"/>
  <c r="O11" i="43" a="1"/>
  <c r="O11" i="43" s="1"/>
  <c r="N11" i="43" a="1"/>
  <c r="N11" i="43" s="1"/>
  <c r="M11" i="43" a="1"/>
  <c r="M11" i="43" s="1"/>
  <c r="H11" i="43" a="1"/>
  <c r="H11" i="43" s="1"/>
  <c r="G11" i="43" a="1"/>
  <c r="G11" i="43" s="1"/>
  <c r="F11" i="43" a="1"/>
  <c r="F11" i="43" s="1"/>
  <c r="E11" i="43" a="1"/>
  <c r="E11" i="43" s="1"/>
  <c r="D11" i="43" a="1"/>
  <c r="D11" i="43" s="1"/>
  <c r="Z10" i="43" a="1"/>
  <c r="Z10" i="43" s="1"/>
  <c r="Y10" i="43" a="1"/>
  <c r="Y10" i="43" s="1"/>
  <c r="X10" i="43" a="1"/>
  <c r="X10" i="43" s="1"/>
  <c r="W10" i="43" a="1"/>
  <c r="W10" i="43" s="1"/>
  <c r="V10" i="43" a="1"/>
  <c r="V10" i="43" s="1"/>
  <c r="Q10" i="43" a="1"/>
  <c r="Q10" i="43" s="1"/>
  <c r="P10" i="43" a="1"/>
  <c r="P10" i="43" s="1"/>
  <c r="O10" i="43" a="1"/>
  <c r="O10" i="43" s="1"/>
  <c r="N10" i="43" a="1"/>
  <c r="N10" i="43" s="1"/>
  <c r="M10" i="43" a="1"/>
  <c r="M10" i="43" s="1"/>
  <c r="H10" i="43" a="1"/>
  <c r="H10" i="43" s="1"/>
  <c r="G10" i="43" a="1"/>
  <c r="G10" i="43" s="1"/>
  <c r="F10" i="43" a="1"/>
  <c r="F10" i="43" s="1"/>
  <c r="E10" i="43" a="1"/>
  <c r="E10" i="43" s="1"/>
  <c r="D10" i="43" a="1"/>
  <c r="D10" i="43" s="1"/>
  <c r="Z9" i="43" a="1"/>
  <c r="Z9" i="43" s="1"/>
  <c r="Y9" i="43" a="1"/>
  <c r="Y9" i="43" s="1"/>
  <c r="X9" i="43" a="1"/>
  <c r="X9" i="43" s="1"/>
  <c r="W9" i="43" a="1"/>
  <c r="W9" i="43" s="1"/>
  <c r="V9" i="43" a="1"/>
  <c r="V9" i="43" s="1"/>
  <c r="Q9" i="43" a="1"/>
  <c r="Q9" i="43" s="1"/>
  <c r="P9" i="43" a="1"/>
  <c r="P9" i="43" s="1"/>
  <c r="O9" i="43" a="1"/>
  <c r="O9" i="43" s="1"/>
  <c r="N9" i="43" a="1"/>
  <c r="N9" i="43" s="1"/>
  <c r="M9" i="43" a="1"/>
  <c r="M9" i="43" s="1"/>
  <c r="H9" i="43" a="1"/>
  <c r="H9" i="43" s="1"/>
  <c r="G9" i="43" a="1"/>
  <c r="G9" i="43" s="1"/>
  <c r="F9" i="43" a="1"/>
  <c r="F9" i="43" s="1"/>
  <c r="E9" i="43" a="1"/>
  <c r="E9" i="43" s="1"/>
  <c r="D9" i="43" a="1"/>
  <c r="D9" i="43" s="1"/>
  <c r="Z8" i="43" a="1"/>
  <c r="Z8" i="43" s="1"/>
  <c r="Y8" i="43" a="1"/>
  <c r="Y8" i="43" s="1"/>
  <c r="X8" i="43" a="1"/>
  <c r="X8" i="43" s="1"/>
  <c r="W8" i="43" a="1"/>
  <c r="W8" i="43" s="1"/>
  <c r="V8" i="43" a="1"/>
  <c r="V8" i="43" s="1"/>
  <c r="Q8" i="43" a="1"/>
  <c r="Q8" i="43" s="1"/>
  <c r="P8" i="43" a="1"/>
  <c r="P8" i="43" s="1"/>
  <c r="O8" i="43" a="1"/>
  <c r="O8" i="43" s="1"/>
  <c r="N8" i="43" a="1"/>
  <c r="N8" i="43" s="1"/>
  <c r="M8" i="43" a="1"/>
  <c r="M8" i="43" s="1"/>
  <c r="H8" i="43" a="1"/>
  <c r="H8" i="43" s="1"/>
  <c r="G8" i="43" a="1"/>
  <c r="G8" i="43" s="1"/>
  <c r="F8" i="43" a="1"/>
  <c r="F8" i="43" s="1"/>
  <c r="E8" i="43" a="1"/>
  <c r="E8" i="43" s="1"/>
  <c r="D8" i="43" a="1"/>
  <c r="D8" i="43" s="1"/>
  <c r="Z7" i="43" a="1"/>
  <c r="Z7" i="43" s="1"/>
  <c r="Y7" i="43" a="1"/>
  <c r="Y7" i="43" s="1"/>
  <c r="X7" i="43" a="1"/>
  <c r="X7" i="43" s="1"/>
  <c r="W7" i="43" a="1"/>
  <c r="W7" i="43" s="1"/>
  <c r="V7" i="43" a="1"/>
  <c r="V7" i="43" s="1"/>
  <c r="Q7" i="43" a="1"/>
  <c r="Q7" i="43" s="1"/>
  <c r="P7" i="43" a="1"/>
  <c r="P7" i="43" s="1"/>
  <c r="O7" i="43" a="1"/>
  <c r="O7" i="43" s="1"/>
  <c r="N7" i="43" a="1"/>
  <c r="N7" i="43" s="1"/>
  <c r="M7" i="43" a="1"/>
  <c r="M7" i="43" s="1"/>
  <c r="H7" i="43" a="1"/>
  <c r="H7" i="43" s="1"/>
  <c r="G7" i="43" a="1"/>
  <c r="G7" i="43" s="1"/>
  <c r="F7" i="43" a="1"/>
  <c r="F7" i="43" s="1"/>
  <c r="E7" i="43" a="1"/>
  <c r="E7" i="43" s="1"/>
  <c r="D7" i="43" a="1"/>
  <c r="D7" i="43" s="1"/>
  <c r="L89" i="37"/>
  <c r="D89" i="37"/>
  <c r="L86" i="37"/>
  <c r="L70" i="37"/>
  <c r="L69" i="37"/>
  <c r="L68" i="37"/>
  <c r="L63" i="37"/>
  <c r="D63" i="37"/>
  <c r="L62" i="37"/>
  <c r="D62" i="37"/>
  <c r="L57" i="37"/>
  <c r="D57" i="37"/>
  <c r="L56" i="37"/>
  <c r="D56" i="37"/>
  <c r="L51" i="37"/>
  <c r="D51" i="37"/>
  <c r="L50" i="37"/>
  <c r="D50" i="37"/>
  <c r="L45" i="37"/>
  <c r="D45" i="37"/>
  <c r="L44" i="37"/>
  <c r="D44" i="37"/>
  <c r="L39" i="37"/>
  <c r="D39" i="37"/>
  <c r="L38" i="37"/>
  <c r="D38" i="37"/>
  <c r="L33" i="37"/>
  <c r="D33" i="37"/>
  <c r="L32" i="37"/>
  <c r="D32" i="37"/>
  <c r="L28" i="37"/>
  <c r="D28" i="37"/>
  <c r="L27" i="37"/>
  <c r="D27" i="37"/>
  <c r="L26" i="37"/>
  <c r="D26" i="37"/>
  <c r="L24" i="37"/>
  <c r="D24" i="37"/>
  <c r="L23" i="37"/>
  <c r="D23" i="37"/>
  <c r="L22" i="37"/>
  <c r="D22" i="37"/>
  <c r="L21" i="37"/>
  <c r="D21" i="37"/>
  <c r="L20" i="37"/>
  <c r="D20" i="37"/>
  <c r="L18" i="37"/>
  <c r="D18" i="37"/>
  <c r="L17" i="37"/>
  <c r="D17" i="37"/>
  <c r="L16" i="37"/>
  <c r="D16" i="37"/>
  <c r="L15" i="37"/>
  <c r="D15" i="37"/>
  <c r="L14" i="37"/>
  <c r="D14" i="37"/>
  <c r="L12" i="37"/>
  <c r="D12" i="37"/>
  <c r="L11" i="37"/>
  <c r="D11" i="37"/>
  <c r="L10" i="37"/>
  <c r="D10" i="37"/>
  <c r="L9" i="37"/>
  <c r="L8" i="37"/>
  <c r="D8" i="37"/>
  <c r="L7" i="37"/>
  <c r="D7" i="37"/>
  <c r="L6" i="37"/>
  <c r="D6" i="37"/>
  <c r="L5" i="37"/>
  <c r="D5" i="37"/>
  <c r="L3" i="37"/>
  <c r="G3" i="37"/>
  <c r="H3" i="37" s="1"/>
  <c r="E3" i="37"/>
  <c r="F3" i="37" s="1"/>
  <c r="I14" i="44" l="1"/>
  <c r="M15" i="45"/>
  <c r="U12" i="43"/>
  <c r="F14" i="44"/>
  <c r="H15" i="45"/>
  <c r="O14" i="44"/>
  <c r="W15" i="45"/>
  <c r="L14" i="44"/>
  <c r="R15" i="45"/>
  <c r="U9" i="43"/>
  <c r="U8" i="43"/>
  <c r="U11" i="43"/>
  <c r="U7" i="43"/>
  <c r="U10" i="43"/>
  <c r="U13" i="43"/>
  <c r="L8" i="43"/>
  <c r="L7" i="43"/>
  <c r="D32" i="40"/>
  <c r="D27" i="31"/>
  <c r="L27" i="31"/>
  <c r="D28" i="31"/>
  <c r="G40" i="37"/>
  <c r="H40" i="37" s="1"/>
  <c r="G35" i="37"/>
  <c r="H35" i="37" s="1"/>
  <c r="G36" i="37" s="1"/>
  <c r="H36" i="37" s="1"/>
  <c r="N16" i="45" s="1"/>
  <c r="G34" i="38"/>
  <c r="H34" i="38" s="1"/>
  <c r="G29" i="38"/>
  <c r="H29" i="38" s="1"/>
  <c r="G30" i="38" s="1"/>
  <c r="H30" i="38" s="1"/>
  <c r="I15" i="45" s="1"/>
  <c r="G38" i="40"/>
  <c r="H38" i="40" s="1"/>
  <c r="G33" i="40"/>
  <c r="H33" i="40" s="1"/>
  <c r="G34" i="40" s="1"/>
  <c r="H34" i="40" s="1"/>
  <c r="X16" i="45" s="1"/>
  <c r="G38" i="31"/>
  <c r="H38" i="31" s="1"/>
  <c r="G33" i="31"/>
  <c r="H33" i="31" s="1"/>
  <c r="G34" i="31" s="1"/>
  <c r="H34" i="31" s="1"/>
  <c r="S16" i="45" s="1"/>
  <c r="G38" i="41"/>
  <c r="H38" i="41" s="1"/>
  <c r="G33" i="41"/>
  <c r="H33" i="41" s="1"/>
  <c r="G34" i="41" s="1"/>
  <c r="H34" i="41" s="1"/>
  <c r="D16" i="45" s="1"/>
  <c r="L32" i="40"/>
  <c r="U16" i="43"/>
  <c r="U15" i="43"/>
  <c r="U14" i="43"/>
  <c r="L14" i="43"/>
  <c r="L15" i="43"/>
  <c r="L28" i="31"/>
  <c r="L32" i="31"/>
  <c r="D29" i="37"/>
  <c r="D30" i="37"/>
  <c r="L30" i="37"/>
  <c r="L29" i="37"/>
  <c r="D34" i="37"/>
  <c r="L34" i="37"/>
  <c r="D30" i="38"/>
  <c r="L30" i="38"/>
  <c r="D29" i="38"/>
  <c r="L29" i="38"/>
  <c r="L11" i="43"/>
  <c r="L10" i="43"/>
  <c r="L9" i="43"/>
  <c r="L12" i="43"/>
  <c r="L13" i="43"/>
  <c r="U24" i="43"/>
  <c r="U25" i="43"/>
  <c r="U26" i="43"/>
  <c r="U22" i="43"/>
  <c r="U27" i="43"/>
  <c r="U23" i="43"/>
  <c r="U21" i="43"/>
  <c r="U20" i="43"/>
  <c r="D32" i="31"/>
  <c r="C21" i="43"/>
  <c r="C27" i="43"/>
  <c r="C23" i="43"/>
  <c r="C24" i="43"/>
  <c r="C26" i="43"/>
  <c r="C22" i="43"/>
  <c r="C25" i="43"/>
  <c r="C20" i="43"/>
  <c r="E38" i="40"/>
  <c r="E33" i="40"/>
  <c r="E40" i="37"/>
  <c r="E35" i="37"/>
  <c r="E40" i="38"/>
  <c r="E35" i="38"/>
  <c r="E38" i="31"/>
  <c r="E33" i="31"/>
  <c r="C9" i="43"/>
  <c r="E68" i="41"/>
  <c r="F68" i="41" s="1"/>
  <c r="E67" i="41"/>
  <c r="E66" i="41"/>
  <c r="C15" i="43"/>
  <c r="C13" i="43"/>
  <c r="C11" i="43"/>
  <c r="C16" i="43"/>
  <c r="C10" i="43"/>
  <c r="C12" i="43"/>
  <c r="C14" i="43"/>
  <c r="C8" i="43"/>
  <c r="C7" i="43"/>
  <c r="D5" i="41"/>
  <c r="D18" i="41"/>
  <c r="F8" i="41"/>
  <c r="D8" i="41" s="1"/>
  <c r="G46" i="37" l="1"/>
  <c r="H46" i="37" s="1"/>
  <c r="G41" i="37"/>
  <c r="H41" i="37" s="1"/>
  <c r="G42" i="37" s="1"/>
  <c r="H42" i="37" s="1"/>
  <c r="N17" i="45" s="1"/>
  <c r="G40" i="38"/>
  <c r="H40" i="38" s="1"/>
  <c r="G35" i="38"/>
  <c r="H35" i="38" s="1"/>
  <c r="G36" i="38" s="1"/>
  <c r="H36" i="38" s="1"/>
  <c r="I16" i="45" s="1"/>
  <c r="G44" i="40"/>
  <c r="H44" i="40" s="1"/>
  <c r="G39" i="40"/>
  <c r="H39" i="40" s="1"/>
  <c r="G40" i="40" s="1"/>
  <c r="H40" i="40" s="1"/>
  <c r="X17" i="45" s="1"/>
  <c r="G39" i="31"/>
  <c r="H39" i="31" s="1"/>
  <c r="G44" i="31"/>
  <c r="H44" i="31" s="1"/>
  <c r="G44" i="41"/>
  <c r="H44" i="41" s="1"/>
  <c r="G39" i="41"/>
  <c r="H39" i="41" s="1"/>
  <c r="G40" i="41" s="1"/>
  <c r="H40" i="41" s="1"/>
  <c r="D17" i="45" s="1"/>
  <c r="L68" i="41"/>
  <c r="F33" i="40"/>
  <c r="E34" i="40" s="1"/>
  <c r="L33" i="40"/>
  <c r="F38" i="40"/>
  <c r="L38" i="40"/>
  <c r="F35" i="37"/>
  <c r="E36" i="37" s="1"/>
  <c r="L35" i="37"/>
  <c r="F40" i="37"/>
  <c r="D40" i="37" s="1"/>
  <c r="L40" i="37"/>
  <c r="F35" i="38"/>
  <c r="E36" i="38" s="1"/>
  <c r="L35" i="38"/>
  <c r="F40" i="38"/>
  <c r="D40" i="38" s="1"/>
  <c r="L40" i="38"/>
  <c r="F33" i="31"/>
  <c r="E34" i="31" s="1"/>
  <c r="L33" i="31"/>
  <c r="F38" i="31"/>
  <c r="L38" i="31"/>
  <c r="D68" i="41"/>
  <c r="F67" i="41"/>
  <c r="D67" i="41" s="1"/>
  <c r="L67" i="41"/>
  <c r="F66" i="41"/>
  <c r="D66" i="41" s="1"/>
  <c r="L66" i="41"/>
  <c r="E13" i="41"/>
  <c r="F13" i="41" s="1"/>
  <c r="L6" i="41"/>
  <c r="E14" i="41"/>
  <c r="E9" i="41"/>
  <c r="E24" i="41"/>
  <c r="L18" i="41"/>
  <c r="G66" i="40" l="1"/>
  <c r="H66" i="40" s="1"/>
  <c r="G67" i="40" s="1"/>
  <c r="H67" i="40" s="1"/>
  <c r="G68" i="40" s="1"/>
  <c r="H68" i="40" s="1"/>
  <c r="G69" i="40" s="1"/>
  <c r="H69" i="40" s="1"/>
  <c r="G70" i="40" s="1"/>
  <c r="H70" i="40" s="1"/>
  <c r="G47" i="37"/>
  <c r="H47" i="37" s="1"/>
  <c r="G48" i="37" s="1"/>
  <c r="H48" i="37" s="1"/>
  <c r="N18" i="45" s="1"/>
  <c r="G52" i="37"/>
  <c r="H52" i="37" s="1"/>
  <c r="G46" i="38"/>
  <c r="H46" i="38" s="1"/>
  <c r="G41" i="38"/>
  <c r="H41" i="38" s="1"/>
  <c r="G42" i="38" s="1"/>
  <c r="H42" i="38" s="1"/>
  <c r="I17" i="45" s="1"/>
  <c r="G45" i="40"/>
  <c r="H45" i="40" s="1"/>
  <c r="G46" i="40" s="1"/>
  <c r="H46" i="40" s="1"/>
  <c r="X18" i="45" s="1"/>
  <c r="G50" i="40"/>
  <c r="H50" i="40" s="1"/>
  <c r="G51" i="40" s="1"/>
  <c r="H51" i="40" s="1"/>
  <c r="G45" i="31"/>
  <c r="H45" i="31" s="1"/>
  <c r="G46" i="31" s="1"/>
  <c r="H46" i="31" s="1"/>
  <c r="S18" i="45" s="1"/>
  <c r="G50" i="31"/>
  <c r="H50" i="31" s="1"/>
  <c r="G51" i="31" s="1"/>
  <c r="H51" i="31" s="1"/>
  <c r="G40" i="31"/>
  <c r="H40" i="31" s="1"/>
  <c r="S17" i="45" s="1"/>
  <c r="G66" i="31"/>
  <c r="H66" i="31" s="1"/>
  <c r="G67" i="31" s="1"/>
  <c r="H67" i="31" s="1"/>
  <c r="G45" i="41"/>
  <c r="H45" i="41" s="1"/>
  <c r="G46" i="41" s="1"/>
  <c r="H46" i="41" s="1"/>
  <c r="D18" i="45" s="1"/>
  <c r="G50" i="41"/>
  <c r="H50" i="41" s="1"/>
  <c r="D33" i="40"/>
  <c r="D33" i="31"/>
  <c r="E39" i="40"/>
  <c r="E44" i="40"/>
  <c r="D38" i="40"/>
  <c r="F34" i="40"/>
  <c r="W16" i="45" s="1"/>
  <c r="L34" i="40"/>
  <c r="E41" i="37"/>
  <c r="E46" i="37"/>
  <c r="D35" i="37"/>
  <c r="F36" i="37"/>
  <c r="M16" i="45" s="1"/>
  <c r="L36" i="37"/>
  <c r="F36" i="38"/>
  <c r="H16" i="45" s="1"/>
  <c r="L36" i="38"/>
  <c r="E41" i="38"/>
  <c r="E46" i="38"/>
  <c r="D35" i="38"/>
  <c r="E39" i="31"/>
  <c r="E44" i="31"/>
  <c r="D38" i="31"/>
  <c r="F34" i="31"/>
  <c r="R16" i="45" s="1"/>
  <c r="L34" i="31"/>
  <c r="D6" i="41"/>
  <c r="L24" i="41"/>
  <c r="F24" i="41"/>
  <c r="E30" i="41" s="1"/>
  <c r="F9" i="41"/>
  <c r="E10" i="41" s="1"/>
  <c r="L9" i="41"/>
  <c r="F14" i="41"/>
  <c r="L14" i="41"/>
  <c r="L13" i="41"/>
  <c r="E19" i="41"/>
  <c r="F19" i="41" s="1"/>
  <c r="E25" i="41" s="1"/>
  <c r="F25" i="41" s="1"/>
  <c r="E31" i="41" s="1"/>
  <c r="P14" i="45" l="1"/>
  <c r="K14" i="45"/>
  <c r="D36" i="37"/>
  <c r="I15" i="44"/>
  <c r="D36" i="38"/>
  <c r="F15" i="44"/>
  <c r="D34" i="40"/>
  <c r="O15" i="44"/>
  <c r="D34" i="31"/>
  <c r="L15" i="44"/>
  <c r="G58" i="37"/>
  <c r="H58" i="37" s="1"/>
  <c r="G53" i="37"/>
  <c r="H53" i="37" s="1"/>
  <c r="G54" i="37" s="1"/>
  <c r="H54" i="37" s="1"/>
  <c r="N19" i="45" s="1"/>
  <c r="G47" i="38"/>
  <c r="H47" i="38" s="1"/>
  <c r="G48" i="38" s="1"/>
  <c r="H48" i="38" s="1"/>
  <c r="I18" i="45" s="1"/>
  <c r="G52" i="38"/>
  <c r="H52" i="38" s="1"/>
  <c r="G58" i="40"/>
  <c r="H58" i="40" s="1"/>
  <c r="G52" i="40"/>
  <c r="H52" i="40" s="1"/>
  <c r="X19" i="45" s="1"/>
  <c r="G64" i="40"/>
  <c r="H64" i="40" s="1"/>
  <c r="G73" i="40" s="1"/>
  <c r="H73" i="40" s="1"/>
  <c r="G68" i="31"/>
  <c r="H68" i="31" s="1"/>
  <c r="G69" i="31" s="1"/>
  <c r="H69" i="31" s="1"/>
  <c r="G70" i="31" s="1"/>
  <c r="H70" i="31" s="1"/>
  <c r="G52" i="31"/>
  <c r="H52" i="31" s="1"/>
  <c r="S19" i="45" s="1"/>
  <c r="G58" i="31"/>
  <c r="H58" i="31" s="1"/>
  <c r="G51" i="41"/>
  <c r="H51" i="41" s="1"/>
  <c r="G56" i="41"/>
  <c r="H56" i="41" s="1"/>
  <c r="F44" i="40"/>
  <c r="D44" i="40" s="1"/>
  <c r="L44" i="40"/>
  <c r="F39" i="40"/>
  <c r="E40" i="40" s="1"/>
  <c r="L39" i="40"/>
  <c r="F46" i="37"/>
  <c r="D46" i="37" s="1"/>
  <c r="L46" i="37"/>
  <c r="F41" i="37"/>
  <c r="E42" i="37" s="1"/>
  <c r="L41" i="37"/>
  <c r="F46" i="38"/>
  <c r="L46" i="38"/>
  <c r="D46" i="38"/>
  <c r="F41" i="38"/>
  <c r="E42" i="38" s="1"/>
  <c r="L41" i="38"/>
  <c r="F44" i="31"/>
  <c r="D44" i="31" s="1"/>
  <c r="L44" i="31"/>
  <c r="F39" i="31"/>
  <c r="L39" i="31"/>
  <c r="D9" i="41"/>
  <c r="D24" i="41"/>
  <c r="E15" i="41"/>
  <c r="E20" i="41"/>
  <c r="D14" i="41"/>
  <c r="F10" i="41"/>
  <c r="C12" i="45" s="1"/>
  <c r="L10" i="41"/>
  <c r="L19" i="41"/>
  <c r="D13" i="41"/>
  <c r="F30" i="41"/>
  <c r="E36" i="41" s="1"/>
  <c r="L30" i="41"/>
  <c r="G64" i="31" l="1"/>
  <c r="H64" i="31" s="1"/>
  <c r="G73" i="31" s="1"/>
  <c r="H73" i="31" s="1"/>
  <c r="P13" i="45"/>
  <c r="K13" i="45"/>
  <c r="G80" i="37"/>
  <c r="H80" i="37" s="1"/>
  <c r="G81" i="37" s="1"/>
  <c r="H81" i="37" s="1"/>
  <c r="G82" i="37" s="1"/>
  <c r="H82" i="37" s="1"/>
  <c r="G83" i="37" s="1"/>
  <c r="H83" i="37" s="1"/>
  <c r="G84" i="37" s="1"/>
  <c r="H84" i="37" s="1"/>
  <c r="D39" i="40"/>
  <c r="D10" i="41"/>
  <c r="C11" i="44"/>
  <c r="G59" i="37"/>
  <c r="H59" i="37" s="1"/>
  <c r="G60" i="37" s="1"/>
  <c r="H60" i="37" s="1"/>
  <c r="N20" i="45" s="1"/>
  <c r="G64" i="37"/>
  <c r="H64" i="37" s="1"/>
  <c r="G65" i="37" s="1"/>
  <c r="H65" i="37" s="1"/>
  <c r="G58" i="38"/>
  <c r="H58" i="38" s="1"/>
  <c r="G53" i="38"/>
  <c r="H53" i="38" s="1"/>
  <c r="G54" i="38" s="1"/>
  <c r="H54" i="38" s="1"/>
  <c r="I19" i="45" s="1"/>
  <c r="G78" i="40"/>
  <c r="G78" i="31"/>
  <c r="G57" i="41"/>
  <c r="H57" i="41" s="1"/>
  <c r="G58" i="41" s="1"/>
  <c r="H58" i="41" s="1"/>
  <c r="D20" i="45" s="1"/>
  <c r="G62" i="41"/>
  <c r="H62" i="41" s="1"/>
  <c r="G63" i="41" s="1"/>
  <c r="H63" i="41" s="1"/>
  <c r="G52" i="41"/>
  <c r="H52" i="41" s="1"/>
  <c r="D19" i="45" s="1"/>
  <c r="G78" i="41"/>
  <c r="H78" i="41" s="1"/>
  <c r="G79" i="41" s="1"/>
  <c r="H79" i="41" s="1"/>
  <c r="D41" i="37"/>
  <c r="E40" i="31"/>
  <c r="F40" i="31" s="1"/>
  <c r="R17" i="45" s="1"/>
  <c r="E66" i="31"/>
  <c r="F40" i="40"/>
  <c r="W17" i="45" s="1"/>
  <c r="L40" i="40"/>
  <c r="E50" i="40"/>
  <c r="E45" i="40"/>
  <c r="F42" i="37"/>
  <c r="M17" i="45" s="1"/>
  <c r="L42" i="37"/>
  <c r="E47" i="37"/>
  <c r="E52" i="37"/>
  <c r="D41" i="38"/>
  <c r="F42" i="38"/>
  <c r="L42" i="38"/>
  <c r="D42" i="38"/>
  <c r="E52" i="38"/>
  <c r="E47" i="38"/>
  <c r="D39" i="31"/>
  <c r="E50" i="31"/>
  <c r="E45" i="31"/>
  <c r="L20" i="41"/>
  <c r="F20" i="41"/>
  <c r="D30" i="41"/>
  <c r="F36" i="41"/>
  <c r="E42" i="41" s="1"/>
  <c r="L36" i="41"/>
  <c r="F31" i="41"/>
  <c r="E37" i="41" s="1"/>
  <c r="L25" i="41"/>
  <c r="D19" i="41"/>
  <c r="F15" i="41"/>
  <c r="E16" i="41" s="1"/>
  <c r="L15" i="41"/>
  <c r="P16" i="45" l="1"/>
  <c r="K16" i="45"/>
  <c r="F16" i="44"/>
  <c r="H17" i="45"/>
  <c r="Z12" i="45"/>
  <c r="U12" i="45"/>
  <c r="D42" i="37"/>
  <c r="I16" i="44"/>
  <c r="G80" i="38"/>
  <c r="H80" i="38" s="1"/>
  <c r="G81" i="38" s="1"/>
  <c r="H81" i="38" s="1"/>
  <c r="E66" i="40"/>
  <c r="F66" i="40" s="1"/>
  <c r="E67" i="40" s="1"/>
  <c r="O16" i="44"/>
  <c r="D40" i="31"/>
  <c r="L16" i="44"/>
  <c r="G66" i="37"/>
  <c r="H66" i="37" s="1"/>
  <c r="N21" i="45" s="1"/>
  <c r="G78" i="37"/>
  <c r="H78" i="37" s="1"/>
  <c r="P12" i="45" s="1"/>
  <c r="G59" i="38"/>
  <c r="H59" i="38" s="1"/>
  <c r="G60" i="38" s="1"/>
  <c r="H60" i="38" s="1"/>
  <c r="I20" i="45" s="1"/>
  <c r="G64" i="38"/>
  <c r="H64" i="38" s="1"/>
  <c r="G65" i="38" s="1"/>
  <c r="H65" i="38" s="1"/>
  <c r="H78" i="40"/>
  <c r="H79" i="40" s="1"/>
  <c r="G79" i="40"/>
  <c r="G83" i="40" s="1"/>
  <c r="H83" i="40" s="1"/>
  <c r="G84" i="40" s="1"/>
  <c r="H84" i="40" s="1"/>
  <c r="G85" i="40" s="1"/>
  <c r="H85" i="40" s="1"/>
  <c r="G86" i="40" s="1"/>
  <c r="H86" i="40" s="1"/>
  <c r="G87" i="40" s="1"/>
  <c r="H87" i="40" s="1"/>
  <c r="G88" i="40" s="1"/>
  <c r="H88" i="40" s="1"/>
  <c r="H78" i="31"/>
  <c r="H79" i="31" s="1"/>
  <c r="G79" i="31"/>
  <c r="G80" i="41"/>
  <c r="H80" i="41" s="1"/>
  <c r="G81" i="41" s="1"/>
  <c r="H81" i="41" s="1"/>
  <c r="G82" i="41" s="1"/>
  <c r="H82" i="41" s="1"/>
  <c r="G76" i="41" s="1"/>
  <c r="H76" i="41" s="1"/>
  <c r="F12" i="45" s="1"/>
  <c r="G64" i="41"/>
  <c r="H64" i="41" s="1"/>
  <c r="D21" i="45" s="1"/>
  <c r="G90" i="41"/>
  <c r="D40" i="40"/>
  <c r="L40" i="31"/>
  <c r="F45" i="40"/>
  <c r="E46" i="40" s="1"/>
  <c r="L45" i="40"/>
  <c r="F50" i="40"/>
  <c r="E51" i="40" s="1"/>
  <c r="L50" i="40"/>
  <c r="F52" i="37"/>
  <c r="D52" i="37" s="1"/>
  <c r="L52" i="37"/>
  <c r="F47" i="37"/>
  <c r="E48" i="37" s="1"/>
  <c r="L47" i="37"/>
  <c r="F47" i="38"/>
  <c r="E48" i="38" s="1"/>
  <c r="L47" i="38"/>
  <c r="F52" i="38"/>
  <c r="D52" i="38" s="1"/>
  <c r="L52" i="38"/>
  <c r="F45" i="31"/>
  <c r="E46" i="31" s="1"/>
  <c r="L45" i="31"/>
  <c r="F50" i="31"/>
  <c r="E51" i="31" s="1"/>
  <c r="L50" i="31"/>
  <c r="F66" i="31"/>
  <c r="E67" i="31" s="1"/>
  <c r="L66" i="31"/>
  <c r="D15" i="41"/>
  <c r="L31" i="41"/>
  <c r="F37" i="41"/>
  <c r="E43" i="41" s="1"/>
  <c r="D25" i="41"/>
  <c r="L42" i="41"/>
  <c r="F42" i="41"/>
  <c r="E48" i="41" s="1"/>
  <c r="D36" i="41"/>
  <c r="L16" i="41"/>
  <c r="F16" i="41"/>
  <c r="C13" i="45" s="1"/>
  <c r="E26" i="41"/>
  <c r="E21" i="41"/>
  <c r="D20" i="41"/>
  <c r="G87" i="37" l="1"/>
  <c r="H87" i="37" s="1"/>
  <c r="G82" i="38"/>
  <c r="H82" i="38" s="1"/>
  <c r="G83" i="38" s="1"/>
  <c r="H83" i="38" s="1"/>
  <c r="G84" i="38" s="1"/>
  <c r="H84" i="38" s="1"/>
  <c r="L66" i="40"/>
  <c r="D16" i="41"/>
  <c r="C12" i="44"/>
  <c r="G85" i="41"/>
  <c r="H85" i="41" s="1"/>
  <c r="G72" i="37"/>
  <c r="H72" i="37" s="1"/>
  <c r="G92" i="37"/>
  <c r="G66" i="38"/>
  <c r="H66" i="38" s="1"/>
  <c r="I21" i="45" s="1"/>
  <c r="G80" i="40"/>
  <c r="H80" i="40" s="1"/>
  <c r="G83" i="31"/>
  <c r="H83" i="31" s="1"/>
  <c r="G84" i="31" s="1"/>
  <c r="H84" i="31" s="1"/>
  <c r="G85" i="31" s="1"/>
  <c r="H85" i="31" s="1"/>
  <c r="G86" i="31" s="1"/>
  <c r="H86" i="31" s="1"/>
  <c r="G87" i="31" s="1"/>
  <c r="H87" i="31" s="1"/>
  <c r="G80" i="31"/>
  <c r="H80" i="31" s="1"/>
  <c r="G91" i="41"/>
  <c r="H90" i="41"/>
  <c r="H91" i="41" s="1"/>
  <c r="G70" i="41"/>
  <c r="H70" i="41" s="1"/>
  <c r="D45" i="40"/>
  <c r="D50" i="40"/>
  <c r="D50" i="31"/>
  <c r="D66" i="40"/>
  <c r="F67" i="40"/>
  <c r="L67" i="40"/>
  <c r="F51" i="40"/>
  <c r="L51" i="40"/>
  <c r="F46" i="40"/>
  <c r="W18" i="45" s="1"/>
  <c r="L46" i="40"/>
  <c r="F48" i="37"/>
  <c r="M18" i="45" s="1"/>
  <c r="L48" i="37"/>
  <c r="D47" i="37"/>
  <c r="E53" i="37"/>
  <c r="E58" i="37"/>
  <c r="E58" i="38"/>
  <c r="E53" i="38"/>
  <c r="D47" i="38"/>
  <c r="F48" i="38"/>
  <c r="H18" i="45" s="1"/>
  <c r="L48" i="38"/>
  <c r="F67" i="31"/>
  <c r="L67" i="31"/>
  <c r="D66" i="31"/>
  <c r="F51" i="31"/>
  <c r="D51" i="31" s="1"/>
  <c r="L51" i="31"/>
  <c r="D45" i="31"/>
  <c r="F46" i="31"/>
  <c r="R18" i="45" s="1"/>
  <c r="L46" i="31"/>
  <c r="L26" i="41"/>
  <c r="F26" i="41"/>
  <c r="D26" i="41" s="1"/>
  <c r="F48" i="41"/>
  <c r="E54" i="41" s="1"/>
  <c r="L48" i="41"/>
  <c r="D42" i="41"/>
  <c r="F21" i="41"/>
  <c r="E22" i="41" s="1"/>
  <c r="L21" i="41"/>
  <c r="F43" i="41"/>
  <c r="L37" i="41"/>
  <c r="D31" i="41"/>
  <c r="K15" i="45" l="1"/>
  <c r="P15" i="45"/>
  <c r="D48" i="37"/>
  <c r="I17" i="44"/>
  <c r="G78" i="38"/>
  <c r="H78" i="38" s="1"/>
  <c r="K12" i="45" s="1"/>
  <c r="D48" i="38"/>
  <c r="F17" i="44"/>
  <c r="D46" i="40"/>
  <c r="O17" i="44"/>
  <c r="D46" i="31"/>
  <c r="L17" i="44"/>
  <c r="G93" i="37"/>
  <c r="H92" i="37"/>
  <c r="H93" i="37" s="1"/>
  <c r="G72" i="38"/>
  <c r="H72" i="38" s="1"/>
  <c r="G92" i="38"/>
  <c r="G81" i="31"/>
  <c r="H81" i="31" s="1"/>
  <c r="G88" i="31" s="1"/>
  <c r="H88" i="31" s="1"/>
  <c r="G95" i="41"/>
  <c r="G92" i="41"/>
  <c r="H92" i="41" s="1"/>
  <c r="E68" i="40"/>
  <c r="E68" i="31"/>
  <c r="E52" i="40"/>
  <c r="F52" i="40" s="1"/>
  <c r="W19" i="45" s="1"/>
  <c r="E58" i="40"/>
  <c r="F58" i="40" s="1"/>
  <c r="D58" i="40" s="1"/>
  <c r="D67" i="40"/>
  <c r="E52" i="31"/>
  <c r="F52" i="31" s="1"/>
  <c r="R19" i="45" s="1"/>
  <c r="E58" i="31"/>
  <c r="D67" i="31"/>
  <c r="D51" i="40"/>
  <c r="F58" i="37"/>
  <c r="L58" i="37"/>
  <c r="F53" i="37"/>
  <c r="E54" i="37" s="1"/>
  <c r="L53" i="37"/>
  <c r="F53" i="38"/>
  <c r="E54" i="38" s="1"/>
  <c r="L53" i="38"/>
  <c r="F58" i="38"/>
  <c r="D58" i="38" s="1"/>
  <c r="L58" i="38"/>
  <c r="D21" i="41"/>
  <c r="D48" i="41"/>
  <c r="E49" i="41"/>
  <c r="F49" i="41" s="1"/>
  <c r="E55" i="41" s="1"/>
  <c r="D37" i="41"/>
  <c r="L43" i="41"/>
  <c r="L54" i="41"/>
  <c r="F54" i="41"/>
  <c r="E60" i="41" s="1"/>
  <c r="F22" i="41"/>
  <c r="C14" i="45" s="1"/>
  <c r="L22" i="41"/>
  <c r="E27" i="41"/>
  <c r="E32" i="41"/>
  <c r="G87" i="38" l="1"/>
  <c r="H87" i="38" s="1"/>
  <c r="L52" i="40"/>
  <c r="D52" i="40"/>
  <c r="O18" i="44"/>
  <c r="D22" i="41"/>
  <c r="C13" i="44"/>
  <c r="F58" i="31"/>
  <c r="D58" i="31" s="1"/>
  <c r="L58" i="31"/>
  <c r="D52" i="31"/>
  <c r="L18" i="44"/>
  <c r="L52" i="31"/>
  <c r="G97" i="37"/>
  <c r="H97" i="37" s="1"/>
  <c r="G98" i="37" s="1"/>
  <c r="H98" i="37" s="1"/>
  <c r="G99" i="37" s="1"/>
  <c r="H99" i="37" s="1"/>
  <c r="G100" i="37" s="1"/>
  <c r="H100" i="37" s="1"/>
  <c r="G101" i="37" s="1"/>
  <c r="H101" i="37" s="1"/>
  <c r="G95" i="37" s="1"/>
  <c r="H95" i="37" s="1"/>
  <c r="G102" i="37" s="1"/>
  <c r="H102" i="37" s="1"/>
  <c r="G94" i="37"/>
  <c r="H94" i="37" s="1"/>
  <c r="G93" i="38"/>
  <c r="H92" i="38"/>
  <c r="H93" i="38" s="1"/>
  <c r="H95" i="41"/>
  <c r="G96" i="41" s="1"/>
  <c r="H96" i="41" s="1"/>
  <c r="G97" i="41" s="1"/>
  <c r="H97" i="41" s="1"/>
  <c r="G98" i="41" s="1"/>
  <c r="H98" i="41" s="1"/>
  <c r="G99" i="41" s="1"/>
  <c r="H99" i="41" s="1"/>
  <c r="G93" i="41" s="1"/>
  <c r="H93" i="41" s="1"/>
  <c r="G100" i="41" s="1"/>
  <c r="H100" i="41" s="1"/>
  <c r="G88" i="41"/>
  <c r="H88" i="41" s="1"/>
  <c r="D53" i="37"/>
  <c r="D53" i="38"/>
  <c r="G97" i="38" l="1"/>
  <c r="H97" i="38" s="1"/>
  <c r="G98" i="38" s="1"/>
  <c r="H98" i="38" s="1"/>
  <c r="G99" i="38" s="1"/>
  <c r="H99" i="38" s="1"/>
  <c r="G100" i="38" s="1"/>
  <c r="H100" i="38" s="1"/>
  <c r="G101" i="38" s="1"/>
  <c r="H101" i="38" s="1"/>
  <c r="G95" i="38" s="1"/>
  <c r="H95" i="38" s="1"/>
  <c r="G102" i="38" s="1"/>
  <c r="H102" i="38" s="1"/>
  <c r="G94" i="38"/>
  <c r="H94" i="38" s="1"/>
  <c r="E78" i="40"/>
  <c r="E59" i="37"/>
  <c r="E64" i="37"/>
  <c r="F54" i="37"/>
  <c r="M19" i="45" s="1"/>
  <c r="L54" i="37"/>
  <c r="D58" i="37"/>
  <c r="E59" i="38"/>
  <c r="E64" i="38"/>
  <c r="F54" i="38"/>
  <c r="H19" i="45" s="1"/>
  <c r="L54" i="38"/>
  <c r="E78" i="31"/>
  <c r="F78" i="31" s="1"/>
  <c r="D43" i="41"/>
  <c r="L49" i="41"/>
  <c r="L27" i="41"/>
  <c r="F27" i="41"/>
  <c r="E28" i="41" s="1"/>
  <c r="L32" i="41"/>
  <c r="F32" i="41"/>
  <c r="D32" i="41" s="1"/>
  <c r="L60" i="41"/>
  <c r="F60" i="41"/>
  <c r="D60" i="41" s="1"/>
  <c r="D54" i="41"/>
  <c r="E80" i="37" l="1"/>
  <c r="F80" i="37" s="1"/>
  <c r="E81" i="37" s="1"/>
  <c r="I18" i="44"/>
  <c r="E80" i="38"/>
  <c r="F80" i="38" s="1"/>
  <c r="E81" i="38" s="1"/>
  <c r="F18" i="44"/>
  <c r="F78" i="40"/>
  <c r="F79" i="40" s="1"/>
  <c r="D54" i="37"/>
  <c r="E79" i="40"/>
  <c r="E83" i="40" s="1"/>
  <c r="L78" i="40"/>
  <c r="F68" i="40"/>
  <c r="D68" i="40" s="1"/>
  <c r="L68" i="40"/>
  <c r="F64" i="37"/>
  <c r="E65" i="37" s="1"/>
  <c r="L64" i="37"/>
  <c r="F59" i="37"/>
  <c r="D59" i="37" s="1"/>
  <c r="L59" i="37"/>
  <c r="F64" i="38"/>
  <c r="E65" i="38" s="1"/>
  <c r="L64" i="38"/>
  <c r="D54" i="38"/>
  <c r="F59" i="38"/>
  <c r="E60" i="38" s="1"/>
  <c r="L59" i="38"/>
  <c r="E79" i="31"/>
  <c r="E83" i="31" s="1"/>
  <c r="F79" i="31"/>
  <c r="L78" i="31"/>
  <c r="D49" i="41"/>
  <c r="L28" i="41"/>
  <c r="F28" i="41"/>
  <c r="C15" i="45" s="1"/>
  <c r="D27" i="41"/>
  <c r="E38" i="41"/>
  <c r="E33" i="41"/>
  <c r="L55" i="41"/>
  <c r="F55" i="41"/>
  <c r="E61" i="41" s="1"/>
  <c r="D64" i="38" l="1"/>
  <c r="F83" i="40"/>
  <c r="E84" i="40" s="1"/>
  <c r="E76" i="40"/>
  <c r="D83" i="40"/>
  <c r="L80" i="37"/>
  <c r="L80" i="38"/>
  <c r="L83" i="40"/>
  <c r="D78" i="40"/>
  <c r="D28" i="41"/>
  <c r="C14" i="44"/>
  <c r="D80" i="38"/>
  <c r="D59" i="38"/>
  <c r="E69" i="40"/>
  <c r="E80" i="40"/>
  <c r="F80" i="40" s="1"/>
  <c r="D79" i="40"/>
  <c r="L79" i="40"/>
  <c r="F81" i="37"/>
  <c r="D81" i="37" s="1"/>
  <c r="L81" i="37"/>
  <c r="E60" i="37"/>
  <c r="D64" i="37"/>
  <c r="F65" i="37"/>
  <c r="L65" i="37"/>
  <c r="D80" i="37"/>
  <c r="F60" i="38"/>
  <c r="H20" i="45" s="1"/>
  <c r="L60" i="38"/>
  <c r="F65" i="38"/>
  <c r="D65" i="38" s="1"/>
  <c r="L65" i="38"/>
  <c r="F81" i="38"/>
  <c r="L81" i="38"/>
  <c r="F68" i="31"/>
  <c r="D68" i="31" s="1"/>
  <c r="L68" i="31"/>
  <c r="D78" i="31"/>
  <c r="E80" i="31"/>
  <c r="F80" i="31" s="1"/>
  <c r="L79" i="31"/>
  <c r="D79" i="31"/>
  <c r="D55" i="41"/>
  <c r="F61" i="41"/>
  <c r="L61" i="41"/>
  <c r="F33" i="41"/>
  <c r="L33" i="41"/>
  <c r="F38" i="41"/>
  <c r="L38" i="41"/>
  <c r="F76" i="40" l="1"/>
  <c r="D76" i="40"/>
  <c r="L76" i="40"/>
  <c r="F84" i="40"/>
  <c r="E85" i="40" s="1"/>
  <c r="D60" i="38"/>
  <c r="F19" i="44"/>
  <c r="L84" i="40"/>
  <c r="E66" i="37"/>
  <c r="E82" i="37"/>
  <c r="E66" i="38"/>
  <c r="F66" i="38" s="1"/>
  <c r="H21" i="45" s="1"/>
  <c r="E82" i="38"/>
  <c r="D61" i="41"/>
  <c r="L80" i="40"/>
  <c r="F69" i="40"/>
  <c r="L69" i="40"/>
  <c r="D65" i="37"/>
  <c r="F60" i="37"/>
  <c r="M20" i="45" s="1"/>
  <c r="L60" i="37"/>
  <c r="F66" i="37"/>
  <c r="M21" i="45" s="1"/>
  <c r="L66" i="37"/>
  <c r="D81" i="38"/>
  <c r="E69" i="31"/>
  <c r="D80" i="31"/>
  <c r="L80" i="31"/>
  <c r="F83" i="31"/>
  <c r="E84" i="31" s="1"/>
  <c r="L83" i="31"/>
  <c r="E39" i="41"/>
  <c r="E44" i="41"/>
  <c r="D38" i="41"/>
  <c r="E34" i="41"/>
  <c r="D33" i="41"/>
  <c r="D84" i="40" l="1"/>
  <c r="F85" i="40"/>
  <c r="E86" i="40" s="1"/>
  <c r="D85" i="40"/>
  <c r="D60" i="37"/>
  <c r="I19" i="44"/>
  <c r="E72" i="37"/>
  <c r="F72" i="37" s="1"/>
  <c r="D72" i="37" s="1"/>
  <c r="I20" i="44"/>
  <c r="E72" i="38"/>
  <c r="F72" i="38" s="1"/>
  <c r="D72" i="38" s="1"/>
  <c r="F20" i="44"/>
  <c r="L85" i="40"/>
  <c r="D83" i="31"/>
  <c r="D80" i="40"/>
  <c r="L66" i="38"/>
  <c r="L84" i="31"/>
  <c r="F84" i="31"/>
  <c r="E85" i="31" s="1"/>
  <c r="E92" i="37"/>
  <c r="F92" i="37" s="1"/>
  <c r="F82" i="37"/>
  <c r="E83" i="37" s="1"/>
  <c r="L82" i="37"/>
  <c r="D66" i="37"/>
  <c r="D66" i="38"/>
  <c r="E92" i="38"/>
  <c r="F92" i="38" s="1"/>
  <c r="F82" i="38"/>
  <c r="L82" i="38"/>
  <c r="D69" i="40"/>
  <c r="E70" i="40"/>
  <c r="F69" i="31"/>
  <c r="L69" i="31"/>
  <c r="F34" i="41"/>
  <c r="C16" i="45" s="1"/>
  <c r="L34" i="41"/>
  <c r="L44" i="41"/>
  <c r="F44" i="41"/>
  <c r="D44" i="41" s="1"/>
  <c r="L39" i="41"/>
  <c r="F39" i="41"/>
  <c r="E40" i="41" s="1"/>
  <c r="F86" i="40" l="1"/>
  <c r="E87" i="40" s="1"/>
  <c r="D86" i="40"/>
  <c r="L86" i="40"/>
  <c r="D34" i="41"/>
  <c r="C15" i="44"/>
  <c r="D84" i="31"/>
  <c r="F85" i="31"/>
  <c r="E86" i="31" s="1"/>
  <c r="L85" i="31"/>
  <c r="D39" i="41"/>
  <c r="D82" i="37"/>
  <c r="L83" i="37"/>
  <c r="F83" i="37"/>
  <c r="E84" i="37" s="1"/>
  <c r="F93" i="37"/>
  <c r="E93" i="37"/>
  <c r="L92" i="37"/>
  <c r="E93" i="38"/>
  <c r="F93" i="38"/>
  <c r="L92" i="38"/>
  <c r="D82" i="38"/>
  <c r="E83" i="38"/>
  <c r="L70" i="40"/>
  <c r="F70" i="40"/>
  <c r="D69" i="31"/>
  <c r="E70" i="31"/>
  <c r="F40" i="41"/>
  <c r="C17" i="45" s="1"/>
  <c r="L40" i="41"/>
  <c r="E50" i="41"/>
  <c r="E45" i="41"/>
  <c r="F87" i="40" l="1"/>
  <c r="E81" i="40" s="1"/>
  <c r="D87" i="40"/>
  <c r="J14" i="45"/>
  <c r="O14" i="45"/>
  <c r="L87" i="40"/>
  <c r="D70" i="40"/>
  <c r="G13" i="44"/>
  <c r="J13" i="44"/>
  <c r="D40" i="41"/>
  <c r="C16" i="44"/>
  <c r="D85" i="31"/>
  <c r="D92" i="38"/>
  <c r="F86" i="31"/>
  <c r="E87" i="31" s="1"/>
  <c r="L86" i="31"/>
  <c r="E94" i="37"/>
  <c r="D93" i="37"/>
  <c r="E97" i="37"/>
  <c r="E90" i="37" s="1"/>
  <c r="L93" i="37"/>
  <c r="D92" i="37"/>
  <c r="D83" i="37"/>
  <c r="F84" i="37"/>
  <c r="L84" i="37"/>
  <c r="E94" i="38"/>
  <c r="D93" i="38"/>
  <c r="L93" i="38"/>
  <c r="E97" i="38"/>
  <c r="E90" i="38" s="1"/>
  <c r="F83" i="38"/>
  <c r="E84" i="38" s="1"/>
  <c r="L83" i="38"/>
  <c r="E64" i="40"/>
  <c r="F70" i="31"/>
  <c r="L70" i="31"/>
  <c r="L45" i="41"/>
  <c r="F45" i="41"/>
  <c r="L50" i="41"/>
  <c r="F50" i="41"/>
  <c r="O16" i="45" l="1"/>
  <c r="J16" i="45"/>
  <c r="F90" i="38"/>
  <c r="L90" i="38"/>
  <c r="D90" i="38"/>
  <c r="O13" i="45"/>
  <c r="J13" i="45"/>
  <c r="F90" i="37"/>
  <c r="L90" i="37"/>
  <c r="D90" i="37"/>
  <c r="J15" i="44"/>
  <c r="G15" i="44"/>
  <c r="D70" i="31"/>
  <c r="G12" i="44"/>
  <c r="J12" i="44"/>
  <c r="L87" i="31"/>
  <c r="F87" i="31"/>
  <c r="D86" i="31"/>
  <c r="E78" i="37"/>
  <c r="D84" i="37"/>
  <c r="F97" i="37"/>
  <c r="E98" i="37" s="1"/>
  <c r="L97" i="37"/>
  <c r="F94" i="37"/>
  <c r="D94" i="37" s="1"/>
  <c r="L94" i="37"/>
  <c r="D83" i="38"/>
  <c r="F97" i="38"/>
  <c r="E98" i="38" s="1"/>
  <c r="L97" i="38"/>
  <c r="F94" i="38"/>
  <c r="D94" i="38" s="1"/>
  <c r="L94" i="38"/>
  <c r="F84" i="38"/>
  <c r="L84" i="38"/>
  <c r="F64" i="40"/>
  <c r="Y12" i="45" s="1"/>
  <c r="L64" i="40"/>
  <c r="D64" i="40"/>
  <c r="E64" i="31"/>
  <c r="D50" i="41"/>
  <c r="E56" i="41"/>
  <c r="E51" i="41"/>
  <c r="D45" i="41"/>
  <c r="E46" i="41"/>
  <c r="O15" i="45" l="1"/>
  <c r="J15" i="45"/>
  <c r="E78" i="38"/>
  <c r="F78" i="38" s="1"/>
  <c r="J12" i="45" s="1"/>
  <c r="J14" i="44"/>
  <c r="G14" i="44"/>
  <c r="E73" i="40"/>
  <c r="F73" i="40" s="1"/>
  <c r="P11" i="44"/>
  <c r="D87" i="31"/>
  <c r="E81" i="31"/>
  <c r="F78" i="37"/>
  <c r="O12" i="45" s="1"/>
  <c r="L78" i="37"/>
  <c r="D97" i="37"/>
  <c r="F98" i="37"/>
  <c r="E99" i="37" s="1"/>
  <c r="L98" i="37"/>
  <c r="D84" i="38"/>
  <c r="D97" i="38"/>
  <c r="F98" i="38"/>
  <c r="E99" i="38" s="1"/>
  <c r="L98" i="38"/>
  <c r="F64" i="31"/>
  <c r="T12" i="45" s="1"/>
  <c r="L64" i="31"/>
  <c r="L46" i="41"/>
  <c r="F46" i="41"/>
  <c r="C18" i="45" s="1"/>
  <c r="L51" i="41"/>
  <c r="F51" i="41"/>
  <c r="D51" i="41" s="1"/>
  <c r="L56" i="41"/>
  <c r="F56" i="41"/>
  <c r="D98" i="37" l="1"/>
  <c r="E87" i="37"/>
  <c r="J11" i="44"/>
  <c r="E87" i="38"/>
  <c r="F87" i="38" s="1"/>
  <c r="D87" i="38" s="1"/>
  <c r="G11" i="44"/>
  <c r="D78" i="38"/>
  <c r="L73" i="40"/>
  <c r="D46" i="41"/>
  <c r="C17" i="44"/>
  <c r="E73" i="31"/>
  <c r="F73" i="31" s="1"/>
  <c r="M11" i="44"/>
  <c r="D78" i="37"/>
  <c r="L81" i="31"/>
  <c r="F81" i="31"/>
  <c r="D81" i="31" s="1"/>
  <c r="F87" i="37"/>
  <c r="D87" i="37" s="1"/>
  <c r="L87" i="37"/>
  <c r="F99" i="37"/>
  <c r="E100" i="37" s="1"/>
  <c r="L99" i="37"/>
  <c r="L78" i="38"/>
  <c r="F99" i="38"/>
  <c r="E100" i="38" s="1"/>
  <c r="L99" i="38"/>
  <c r="D98" i="38"/>
  <c r="D73" i="40"/>
  <c r="D64" i="31"/>
  <c r="E52" i="41"/>
  <c r="E78" i="41"/>
  <c r="D56" i="41"/>
  <c r="E57" i="41"/>
  <c r="E62" i="41"/>
  <c r="L87" i="38" l="1"/>
  <c r="L73" i="31"/>
  <c r="D99" i="38"/>
  <c r="E88" i="31"/>
  <c r="D99" i="37"/>
  <c r="F100" i="37"/>
  <c r="E101" i="37" s="1"/>
  <c r="L100" i="37"/>
  <c r="F100" i="38"/>
  <c r="L100" i="38"/>
  <c r="D73" i="31"/>
  <c r="F62" i="41"/>
  <c r="E63" i="41" s="1"/>
  <c r="L62" i="41"/>
  <c r="F57" i="41"/>
  <c r="E58" i="41" s="1"/>
  <c r="L57" i="41"/>
  <c r="L78" i="41"/>
  <c r="F78" i="41"/>
  <c r="L52" i="41"/>
  <c r="F52" i="41"/>
  <c r="C19" i="45" s="1"/>
  <c r="D52" i="41" l="1"/>
  <c r="C18" i="44"/>
  <c r="D57" i="41"/>
  <c r="L88" i="31"/>
  <c r="F88" i="31"/>
  <c r="D88" i="31" s="1"/>
  <c r="D100" i="37"/>
  <c r="F101" i="37"/>
  <c r="L101" i="37"/>
  <c r="D100" i="38"/>
  <c r="E101" i="38"/>
  <c r="F58" i="41"/>
  <c r="L58" i="41"/>
  <c r="D62" i="41"/>
  <c r="D78" i="41"/>
  <c r="E79" i="41"/>
  <c r="F63" i="41"/>
  <c r="D63" i="41" s="1"/>
  <c r="L63" i="41"/>
  <c r="C19" i="44" l="1"/>
  <c r="C20" i="45"/>
  <c r="D101" i="37"/>
  <c r="E95" i="37"/>
  <c r="B21" i="43" a="1"/>
  <c r="B21" i="43" s="1"/>
  <c r="B25" i="43" a="1"/>
  <c r="B25" i="43" s="1"/>
  <c r="B26" i="43" a="1"/>
  <c r="B26" i="43" s="1"/>
  <c r="B24" i="43" a="1"/>
  <c r="B24" i="43" s="1"/>
  <c r="B23" i="43" a="1"/>
  <c r="B23" i="43" s="1"/>
  <c r="B22" i="43" a="1"/>
  <c r="B22" i="43" s="1"/>
  <c r="B20" i="43" a="1"/>
  <c r="B20" i="43" s="1"/>
  <c r="B27" i="43" a="1"/>
  <c r="B27" i="43" s="1"/>
  <c r="F101" i="38"/>
  <c r="E95" i="38" s="1"/>
  <c r="L101" i="38"/>
  <c r="L79" i="41"/>
  <c r="F79" i="41"/>
  <c r="E90" i="41"/>
  <c r="F90" i="41" s="1"/>
  <c r="E64" i="41"/>
  <c r="D58" i="41"/>
  <c r="F95" i="37" l="1"/>
  <c r="L95" i="37"/>
  <c r="E80" i="41"/>
  <c r="F95" i="38"/>
  <c r="L95" i="38"/>
  <c r="D101" i="38"/>
  <c r="F64" i="41"/>
  <c r="C21" i="45" s="1"/>
  <c r="L64" i="41"/>
  <c r="F91" i="41"/>
  <c r="E91" i="41"/>
  <c r="L90" i="41"/>
  <c r="D79" i="41"/>
  <c r="D64" i="41" l="1"/>
  <c r="C20" i="44"/>
  <c r="D90" i="41"/>
  <c r="E102" i="37"/>
  <c r="D95" i="37"/>
  <c r="D95" i="38"/>
  <c r="E102" i="38"/>
  <c r="E92" i="41"/>
  <c r="D91" i="41"/>
  <c r="L91" i="41"/>
  <c r="E95" i="41"/>
  <c r="E70" i="41"/>
  <c r="L70" i="41" s="1"/>
  <c r="L102" i="37" l="1"/>
  <c r="F102" i="37"/>
  <c r="D102" i="37" s="1"/>
  <c r="T11" i="43" a="1"/>
  <c r="T11" i="43" s="1"/>
  <c r="L102" i="38"/>
  <c r="F102" i="38"/>
  <c r="K15" i="43" a="1"/>
  <c r="K15" i="43" s="1"/>
  <c r="K7" i="43" a="1"/>
  <c r="K7" i="43" s="1"/>
  <c r="K13" i="43" a="1"/>
  <c r="K13" i="43" s="1"/>
  <c r="K12" i="43" a="1"/>
  <c r="K12" i="43" s="1"/>
  <c r="K9" i="43" a="1"/>
  <c r="K9" i="43" s="1"/>
  <c r="K16" i="43" a="1"/>
  <c r="K16" i="43" s="1"/>
  <c r="K10" i="43" a="1"/>
  <c r="K10" i="43" s="1"/>
  <c r="K8" i="43" a="1"/>
  <c r="K8" i="43" s="1"/>
  <c r="K11" i="43" a="1"/>
  <c r="K11" i="43" s="1"/>
  <c r="F70" i="41"/>
  <c r="L95" i="41"/>
  <c r="E88" i="41"/>
  <c r="F95" i="41"/>
  <c r="D95" i="41" s="1"/>
  <c r="L92" i="41"/>
  <c r="F92" i="41"/>
  <c r="D92" i="41" s="1"/>
  <c r="T8" i="43" l="1" a="1"/>
  <c r="T8" i="43" s="1"/>
  <c r="T14" i="43" a="1"/>
  <c r="T14" i="43" s="1"/>
  <c r="T12" i="43" a="1"/>
  <c r="T12" i="43" s="1"/>
  <c r="T13" i="43" a="1"/>
  <c r="T13" i="43" s="1"/>
  <c r="T16" i="43" a="1"/>
  <c r="T16" i="43" s="1"/>
  <c r="T10" i="43" a="1"/>
  <c r="T10" i="43" s="1"/>
  <c r="T7" i="43" a="1"/>
  <c r="T7" i="43" s="1"/>
  <c r="T15" i="43" a="1"/>
  <c r="T15" i="43" s="1"/>
  <c r="T9" i="43" a="1"/>
  <c r="T9" i="43" s="1"/>
  <c r="E96" i="41"/>
  <c r="K14" i="43" a="1"/>
  <c r="K14" i="43" s="1"/>
  <c r="D102" i="38"/>
  <c r="F88" i="41"/>
  <c r="D88" i="41" s="1"/>
  <c r="L88" i="41"/>
  <c r="L80" i="41"/>
  <c r="F80" i="41"/>
  <c r="D70" i="41"/>
  <c r="F96" i="41" l="1"/>
  <c r="E97" i="41" s="1"/>
  <c r="L96" i="41"/>
  <c r="D80" i="41"/>
  <c r="E81" i="41"/>
  <c r="D96" i="41" l="1"/>
  <c r="L97" i="41"/>
  <c r="F97" i="41"/>
  <c r="E98" i="41" s="1"/>
  <c r="L81" i="41"/>
  <c r="F81" i="41"/>
  <c r="E82" i="41" s="1"/>
  <c r="D81" i="41" l="1"/>
  <c r="D97" i="41"/>
  <c r="L98" i="41"/>
  <c r="F98" i="41"/>
  <c r="E99" i="41" s="1"/>
  <c r="L82" i="41"/>
  <c r="F82" i="41"/>
  <c r="D82" i="41" s="1"/>
  <c r="L99" i="41" l="1"/>
  <c r="F99" i="41"/>
  <c r="D98" i="41"/>
  <c r="E76" i="41"/>
  <c r="E93" i="41" l="1"/>
  <c r="D99" i="41"/>
  <c r="F76" i="41"/>
  <c r="E12" i="45" s="1"/>
  <c r="L76" i="41"/>
  <c r="E85" i="41" l="1"/>
  <c r="L85" i="41" s="1"/>
  <c r="D11" i="44"/>
  <c r="D76" i="41"/>
  <c r="F93" i="41"/>
  <c r="D93" i="41" s="1"/>
  <c r="L93" i="41"/>
  <c r="F85" i="41"/>
  <c r="E100" i="41" l="1"/>
  <c r="D85" i="41"/>
  <c r="F100" i="41" l="1"/>
  <c r="D100" i="41" s="1"/>
  <c r="L100" i="41"/>
  <c r="B13" i="43" l="1" a="1"/>
  <c r="B13" i="43" s="1"/>
  <c r="B9" i="43" a="1"/>
  <c r="B9" i="43" s="1"/>
  <c r="B10" i="43" a="1"/>
  <c r="B10" i="43" s="1"/>
  <c r="B16" i="43" a="1"/>
  <c r="B16" i="43" s="1"/>
  <c r="B7" i="43" a="1"/>
  <c r="B7" i="43" s="1"/>
  <c r="B11" i="43" a="1"/>
  <c r="B11" i="43" s="1"/>
  <c r="B12" i="43" a="1"/>
  <c r="B12" i="43" s="1"/>
  <c r="B15" i="43" a="1"/>
  <c r="B15" i="43" s="1"/>
  <c r="B8" i="43" a="1"/>
  <c r="B8" i="43" s="1"/>
  <c r="B14" i="43" a="1"/>
  <c r="B14" i="43" s="1"/>
  <c r="G81" i="40"/>
  <c r="H81" i="40" s="1"/>
  <c r="L81" i="40" l="1"/>
  <c r="F81" i="40"/>
  <c r="E88" i="40" s="1"/>
  <c r="D81" i="40" l="1"/>
  <c r="L88" i="40"/>
  <c r="T27" i="43" a="1"/>
  <c r="T27" i="43" s="1"/>
  <c r="T24" i="43" a="1"/>
  <c r="T24" i="43" s="1"/>
  <c r="T20" i="43" a="1"/>
  <c r="T20" i="43" s="1"/>
  <c r="T23" i="43" a="1"/>
  <c r="T23" i="43" s="1"/>
  <c r="F88" i="40"/>
  <c r="T26" i="43" s="1" a="1"/>
  <c r="T26" i="43" s="1"/>
  <c r="T22" i="43" a="1"/>
  <c r="T22" i="43" s="1"/>
  <c r="T21" i="43" a="1"/>
  <c r="T21" i="43" s="1"/>
  <c r="T25" i="43" l="1" a="1"/>
  <c r="T25" i="43" s="1"/>
  <c r="D88"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WorksheetConnection_Master Sheet!$C$1016:$C$8915" type="5" refreshedVersion="2" saveData="1">
    <dbPr connection="" command=""/>
  </connection>
  <connection id="2" xr16:uid="{00000000-0015-0000-FFFF-FFFF01000000}" name="WorksheetConnection_PE-286 SDCC Progress Tracking Sheet - EV Analysis (Master Sheet).xlsx!Table1" type="5" refreshedVersion="2" saveData="1">
    <dbPr connection="" comman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<sst xmlns="http://schemas.openxmlformats.org/spreadsheetml/2006/main" count="1469" uniqueCount="221">
  <si>
    <t>MADINAH Migration Flow</t>
  </si>
  <si>
    <t>Activity</t>
  </si>
  <si>
    <t>Remark</t>
  </si>
  <si>
    <r>
      <rPr>
        <b/>
        <sz val="11"/>
        <color theme="1"/>
        <rFont val="Aptos Narrow"/>
        <family val="2"/>
        <scheme val="minor"/>
      </rPr>
      <t xml:space="preserve">Database Migration (1st Round)
</t>
    </r>
    <r>
      <rPr>
        <b/>
        <sz val="8"/>
        <color rgb="FF00B0F0"/>
        <rFont val="Aptos Narrow"/>
        <family val="2"/>
        <scheme val="minor"/>
      </rPr>
      <t>(20-May-26)</t>
    </r>
  </si>
  <si>
    <t>Madinah Database Migration (1st Round) completed</t>
  </si>
  <si>
    <t>SLD 1st patch (10 SS)</t>
  </si>
  <si>
    <r>
      <rPr>
        <sz val="9"/>
        <color theme="1"/>
        <rFont val="Aptos Narrow"/>
        <family val="2"/>
        <scheme val="minor"/>
      </rPr>
      <t>SLD 1st patch in Madinah:</t>
    </r>
    <r>
      <rPr>
        <b/>
        <sz val="9"/>
        <color rgb="FFFF0000"/>
        <rFont val="Aptos Narrow"/>
        <family val="2"/>
        <scheme val="minor"/>
      </rPr>
      <t xml:space="preserve"> (to be confirmed by CET)</t>
    </r>
  </si>
  <si>
    <t>Validation by SE</t>
  </si>
  <si>
    <t>3 days FF with SLD 1st patch</t>
  </si>
  <si>
    <t>E2E for 1st patch (10 SS - 20 points)</t>
  </si>
  <si>
    <t>Start 18-Jun
Finish: 21-Jun
Depend on Telecom Readiness</t>
  </si>
  <si>
    <t>SLD 2nd patch</t>
  </si>
  <si>
    <t>Start: 23-May
Finish: 30-May</t>
  </si>
  <si>
    <t>SLD 3rd patch</t>
  </si>
  <si>
    <t>Start: 01-Jun
Finish: 08-Jun</t>
  </si>
  <si>
    <t>SLD 4th patch</t>
  </si>
  <si>
    <t>SLD 5th patch</t>
  </si>
  <si>
    <t>SLD 6th patch</t>
  </si>
  <si>
    <t>Start: 09-Jun
Finish: 16-Jun</t>
  </si>
  <si>
    <t>SLD 7th patch</t>
  </si>
  <si>
    <t>SLD 8th patch</t>
  </si>
  <si>
    <t>SLD 9th patch</t>
  </si>
  <si>
    <t>Start: 17-Jun
Finish: 24-Jun</t>
  </si>
  <si>
    <t>SLD 10th patch</t>
  </si>
  <si>
    <t>Start: 24-Jul
Finish: 30-Jul</t>
  </si>
  <si>
    <t>Final Validation by SE</t>
  </si>
  <si>
    <t>Start: 01-Aug
Finish: 07-Aug
E2E test shall be Finish to Finish +3 days with SLD</t>
  </si>
  <si>
    <t>Completion of E2E test</t>
  </si>
  <si>
    <t>shall be by mid of Aug-2026 (for Madinah)</t>
  </si>
  <si>
    <r>
      <rPr>
        <b/>
        <sz val="11"/>
        <color theme="1"/>
        <rFont val="Aptos Narrow"/>
        <family val="2"/>
        <scheme val="minor"/>
      </rPr>
      <t xml:space="preserve">Alarm &amp; Reporting Migration
</t>
    </r>
    <r>
      <rPr>
        <b/>
        <sz val="8"/>
        <color rgb="FF00B0F0"/>
        <rFont val="Aptos Narrow"/>
        <family val="2"/>
        <scheme val="minor"/>
      </rPr>
      <t>(14-Jun-26)</t>
    </r>
  </si>
  <si>
    <t>Depend on :
*1st Round of Database Migration
*Workstation Availability</t>
  </si>
  <si>
    <r>
      <rPr>
        <b/>
        <sz val="11"/>
        <color theme="1"/>
        <rFont val="Aptos Narrow"/>
        <family val="2"/>
        <scheme val="minor"/>
      </rPr>
      <t xml:space="preserve">UI &amp; Display Configuration
</t>
    </r>
    <r>
      <rPr>
        <b/>
        <sz val="8"/>
        <color rgb="FF00B0F0"/>
        <rFont val="Aptos Narrow"/>
        <family val="2"/>
        <scheme val="minor"/>
      </rPr>
      <t>(14-Jun-26)</t>
    </r>
  </si>
  <si>
    <r>
      <rPr>
        <b/>
        <sz val="11"/>
        <color theme="1"/>
        <rFont val="Aptos Narrow"/>
        <family val="2"/>
        <scheme val="minor"/>
      </rPr>
      <t xml:space="preserve">Historian Migration
</t>
    </r>
    <r>
      <rPr>
        <b/>
        <sz val="8"/>
        <color rgb="FF00B0F0"/>
        <rFont val="Aptos Narrow"/>
        <family val="2"/>
        <scheme val="minor"/>
      </rPr>
      <t>(15-Aug-26)</t>
    </r>
  </si>
  <si>
    <r>
      <rPr>
        <sz val="9"/>
        <color theme="1"/>
        <rFont val="Aptos Narrow"/>
        <family val="2"/>
        <scheme val="minor"/>
      </rPr>
      <t xml:space="preserve">Depend on :
*1st Round of Database Migration
</t>
    </r>
    <r>
      <rPr>
        <b/>
        <sz val="9"/>
        <color theme="1"/>
        <rFont val="Aptos Narrow"/>
        <family val="2"/>
        <scheme val="minor"/>
      </rPr>
      <t>*Data Structure &amp; Analysis from SE</t>
    </r>
  </si>
  <si>
    <t>ADMS SAT</t>
  </si>
  <si>
    <r>
      <rPr>
        <sz val="9"/>
        <color theme="1"/>
        <rFont val="Aptos Narrow"/>
        <family val="2"/>
        <scheme val="minor"/>
      </rPr>
      <t xml:space="preserve">Depend on :
</t>
    </r>
    <r>
      <rPr>
        <b/>
        <sz val="9"/>
        <color theme="1"/>
        <rFont val="Aptos Narrow"/>
        <family val="2"/>
        <scheme val="minor"/>
      </rPr>
      <t>*Migration completion
*80% of E2E testing</t>
    </r>
  </si>
  <si>
    <t>Hardware cybersecurity test</t>
  </si>
  <si>
    <t>3 days</t>
  </si>
  <si>
    <t>Functional test</t>
  </si>
  <si>
    <t>5 days</t>
  </si>
  <si>
    <t>Performance test</t>
  </si>
  <si>
    <t>Integration test</t>
  </si>
  <si>
    <t>2 days</t>
  </si>
  <si>
    <t>Redundancy test</t>
  </si>
  <si>
    <t>Stability &amp; unstructure test</t>
  </si>
  <si>
    <t>1 day</t>
  </si>
  <si>
    <t>Regression test</t>
  </si>
  <si>
    <t>Training inside KSA</t>
  </si>
  <si>
    <t>Training in China</t>
  </si>
  <si>
    <r>
      <rPr>
        <b/>
        <sz val="11"/>
        <color theme="1"/>
        <rFont val="Aptos Narrow"/>
        <family val="2"/>
        <scheme val="minor"/>
      </rPr>
      <t xml:space="preserve">DERMS Software Installation
</t>
    </r>
    <r>
      <rPr>
        <b/>
        <sz val="8"/>
        <color rgb="FF00B0F0"/>
        <rFont val="Aptos Narrow"/>
        <family val="2"/>
        <scheme val="minor"/>
      </rPr>
      <t>shall start by 19-May-26 (Madinah)</t>
    </r>
  </si>
  <si>
    <t>OT switches shall be mobilized by 16-May</t>
  </si>
  <si>
    <t>DERMS SAT</t>
  </si>
  <si>
    <t>Not Strated</t>
  </si>
  <si>
    <t>SDCC - Overall Upstream Progress</t>
  </si>
  <si>
    <t>In Progress</t>
  </si>
  <si>
    <t>Completed</t>
  </si>
  <si>
    <t>MADINAH Upstream Progress</t>
  </si>
  <si>
    <t>JEDDAH Upstream Progress</t>
  </si>
  <si>
    <t>MAKKAH Upstream Progress</t>
  </si>
  <si>
    <t>Batch No.</t>
  </si>
  <si>
    <t>Planned %</t>
  </si>
  <si>
    <t>Completed %</t>
  </si>
  <si>
    <t>SLD Submission</t>
  </si>
  <si>
    <t>SLD Validation</t>
  </si>
  <si>
    <t>E2E for Grid SS</t>
  </si>
  <si>
    <t>E2E Rectification</t>
  </si>
  <si>
    <t>Cutover</t>
  </si>
  <si>
    <t>-</t>
  </si>
  <si>
    <t>Batch 01</t>
  </si>
  <si>
    <t>Batch 02</t>
  </si>
  <si>
    <t>Batch 03</t>
  </si>
  <si>
    <t>Batch 04</t>
  </si>
  <si>
    <t>Batch 05</t>
  </si>
  <si>
    <t>Batch 06</t>
  </si>
  <si>
    <t>Batch 07</t>
  </si>
  <si>
    <t>Batch 08</t>
  </si>
  <si>
    <t>Batch 09</t>
  </si>
  <si>
    <t>Batch 10</t>
  </si>
  <si>
    <t>ABHA Upstream Progress</t>
  </si>
  <si>
    <t>JIZAN Upstream Progress</t>
  </si>
  <si>
    <t>Western Region - Upstream</t>
  </si>
  <si>
    <t>Southern Region -Upstream</t>
  </si>
  <si>
    <t>MADINAH</t>
  </si>
  <si>
    <t>JEDDAH</t>
  </si>
  <si>
    <t>MAKKAH</t>
  </si>
  <si>
    <t>ABHA</t>
  </si>
  <si>
    <t>JIZAN</t>
  </si>
  <si>
    <t>E2E &amp; Cutover (Grid SS) 
(Option 01)</t>
  </si>
  <si>
    <t>Cutover Option 02 
(Live on)</t>
  </si>
  <si>
    <t>Planned Finish Dates</t>
  </si>
  <si>
    <t>Working Days</t>
  </si>
  <si>
    <t>Planned Start</t>
  </si>
  <si>
    <t>Planned Finish</t>
  </si>
  <si>
    <t>Expected Start</t>
  </si>
  <si>
    <t>Expected Finish</t>
  </si>
  <si>
    <t>Actual Start / Expected Start</t>
  </si>
  <si>
    <t>Actual Finish / Expected Finish</t>
  </si>
  <si>
    <t>% Progress</t>
  </si>
  <si>
    <t>Status</t>
  </si>
  <si>
    <t>Database Migration (1st Round)</t>
  </si>
  <si>
    <t>Abha Database Migration (1st Round) completed</t>
  </si>
  <si>
    <t>1st Batch (6 SS)</t>
  </si>
  <si>
    <t>SLD and DB - Upstream</t>
  </si>
  <si>
    <t>6 Days Calendar</t>
  </si>
  <si>
    <t>Validation by SE - Upstream</t>
  </si>
  <si>
    <t>Telecom Rediness - Upstream</t>
  </si>
  <si>
    <t>Started</t>
  </si>
  <si>
    <t>E2E - Upstream</t>
  </si>
  <si>
    <t>Depend on Telecom Readiness 
Cutover Depend on Succesful Completion of E2E</t>
  </si>
  <si>
    <t>5 Days Calendar</t>
  </si>
  <si>
    <t>E2E Comments Rectification - Upstream</t>
  </si>
  <si>
    <t>Handle grid models, graphics, data accuracy issues, not including field equipment and communication etc</t>
  </si>
  <si>
    <t>Cuttover  - Upstream</t>
  </si>
  <si>
    <t>2nd Batch (10 SS)</t>
  </si>
  <si>
    <t>3rd Batch (14 SS)</t>
  </si>
  <si>
    <t>4th Batch (16 SS)</t>
  </si>
  <si>
    <t>Patch will be Submitted partially to work in parallel</t>
  </si>
  <si>
    <t>5th Batch (16 SS)</t>
  </si>
  <si>
    <t>6th Batch (14 SS)</t>
  </si>
  <si>
    <t>7th Batch (15 SS)</t>
  </si>
  <si>
    <t>8th Batch (15 SS)</t>
  </si>
  <si>
    <t>Migration</t>
  </si>
  <si>
    <t xml:space="preserve">Alarm &amp; Reporting Migration
</t>
  </si>
  <si>
    <t xml:space="preserve">UI &amp; Display Configuration
</t>
  </si>
  <si>
    <t xml:space="preserve">Historian Migration
</t>
  </si>
  <si>
    <t>Integration</t>
  </si>
  <si>
    <t>DNMC Integration</t>
  </si>
  <si>
    <t>1.Depend on  DNMC is Completed
2.DNMC datapoint Scope 
3.DNMC &lt;-----&gt; DCC telecom completed
4.ICCP Configuration
5.Testing（SDCC  &amp;  DNMC ICCP Channel Testing）
6.Batch 10 Cut Over Estimate add 5 days to do DNMC ICCP Intergration
7.Estimate all step Completed on 8th Sep</t>
  </si>
  <si>
    <t>Local ESB Installation</t>
  </si>
  <si>
    <t>Central ESB Integration（Third Partly System Phase 1）</t>
  </si>
  <si>
    <t xml:space="preserve">Details need be confirmed by SE and C-ESB side,under discussion. The relevant timeline can only be estimated as the following dependencies remain unconfirmed.                                                                                                              1.DEV timeline not be confirmed                                                                                   2.Business flow not be confirmed between ADMS and TPS.     3.Interface not confimed because of the business flow.                                 4. Telecom condition timeline not be confirmed.                                                    5.Detailed planned dates can not be clarified before the confirmation of the Change Order.                                                                                                     6.C-ESB hardware condition not be confirmed </t>
  </si>
  <si>
    <t>Central ESB Integration（Third Partly System Phase 2）</t>
  </si>
  <si>
    <t>DC-DR SYNC</t>
  </si>
  <si>
    <t>Depend on DC&lt;----&gt;DR Telecom Completed</t>
  </si>
  <si>
    <t>Cut Over - Upstream (Live-On)</t>
  </si>
  <si>
    <t>Cut Over（Batch 1:8）
(2nd Option)</t>
  </si>
  <si>
    <t>1.Completed Cut Over(Upstream Batch1-10)
2.Completed SAT
3.Completed System Available Testing</t>
  </si>
  <si>
    <t>Training</t>
  </si>
  <si>
    <t>on Job training to be conducted on each SDCC
Training room to be ready by 8-Jun-26</t>
  </si>
  <si>
    <t>Training in Factory</t>
  </si>
  <si>
    <t>DERMS</t>
  </si>
  <si>
    <t>DERMS Software Installation</t>
  </si>
  <si>
    <t>The firewall configuration and required access rules shall be fully implemented and verified.
Network access between the relevant systems and sites shall be available and confirmed.
Connectivity between DC/DR shall be completed to support DC/DR communication and failover testing.
All required ports, routing rules, and security policies shall be provided before testing.</t>
  </si>
  <si>
    <t>Data for DER is required from SE</t>
  </si>
  <si>
    <t>Dowstream</t>
  </si>
  <si>
    <t>SLD and DB ( Total 1,400)</t>
  </si>
  <si>
    <t xml:space="preserve">E2E for SFD  (10% - 1100) </t>
  </si>
  <si>
    <t>Depend on Telecom Readiness</t>
  </si>
  <si>
    <t>Cuttover</t>
  </si>
  <si>
    <t>Dowstream SAT</t>
  </si>
  <si>
    <t>Functional test - ADMS</t>
  </si>
  <si>
    <t xml:space="preserve">Integration test </t>
  </si>
  <si>
    <t xml:space="preserve">Redundancy test </t>
  </si>
  <si>
    <t xml:space="preserve">Stability &amp; unstructure test </t>
  </si>
  <si>
    <t xml:space="preserve">Performance test </t>
  </si>
  <si>
    <t>7 Days Claendar</t>
  </si>
  <si>
    <t>Downstream Database Migration (1st Round)</t>
  </si>
  <si>
    <t>SLD and DB Submission - Upstream</t>
  </si>
  <si>
    <t>Cuttover  - Upstream (Option 1)</t>
  </si>
  <si>
    <t>2nd Batch (9 SS)</t>
  </si>
  <si>
    <t>3rd Batch (10 SS)</t>
  </si>
  <si>
    <t>4th Batch (11 SS)</t>
  </si>
  <si>
    <t>5th Batch (10 SS)</t>
  </si>
  <si>
    <t>6th Batch (10 SS)</t>
  </si>
  <si>
    <t>7th Batch (10 SS)</t>
  </si>
  <si>
    <t>8th Batch (10 SS)</t>
  </si>
  <si>
    <t>9th Batch (11 SS)</t>
  </si>
  <si>
    <t>10th Batch (11 SS)</t>
  </si>
  <si>
    <t xml:space="preserve">Depend on DC&lt;----&gt;DR Telecom Completed
Depend on Lan/Wan Delivery &amp; Installation &amp; TnC </t>
  </si>
  <si>
    <t>Cut Over（Batch 1:10）
(2nd Option)</t>
  </si>
  <si>
    <t>ADMS SAT - Upstream</t>
  </si>
  <si>
    <t xml:space="preserve">Hardware cybersecurity test </t>
  </si>
  <si>
    <t>Functional test - SCADA</t>
  </si>
  <si>
    <t>Depend on Training Room Rediness</t>
  </si>
  <si>
    <t>SLD and DB ( Total 2,300)</t>
  </si>
  <si>
    <t>Jizan Database Migration (1st Round) completed</t>
  </si>
  <si>
    <t>1st Batch (7 SS)</t>
  </si>
  <si>
    <r>
      <rPr>
        <sz val="9"/>
        <color rgb="FFFF0000"/>
        <rFont val="Aptos Narrow"/>
        <family val="2"/>
        <scheme val="minor"/>
      </rPr>
      <t xml:space="preserve">Grid Substation
</t>
    </r>
    <r>
      <rPr>
        <sz val="9"/>
        <color rgb="FF000000"/>
        <rFont val="Aptos Narrow"/>
        <family val="2"/>
        <scheme val="minor"/>
      </rPr>
      <t>Depend on Telecom Readiness (24-Jun-26)
Cutover Depend on Succesful Completion of E2E</t>
    </r>
  </si>
  <si>
    <t xml:space="preserve"> - Upstream</t>
  </si>
  <si>
    <t>2nd Batch (6 SS)</t>
  </si>
  <si>
    <t>5th Batch (11 SS)</t>
  </si>
  <si>
    <t>6th Batch (11 SS)</t>
  </si>
  <si>
    <t>7th Batch (12 SS)</t>
  </si>
  <si>
    <t>8th Batch (13 SS)</t>
  </si>
  <si>
    <t>`</t>
  </si>
  <si>
    <t>Cut Over（Batch1-8）</t>
  </si>
  <si>
    <t>SLD and DB ( Total 1,100)</t>
  </si>
  <si>
    <t>Database Migration for Upstream (1st Round)</t>
  </si>
  <si>
    <t>Makkah Database Migration (1st Round) in progress</t>
  </si>
  <si>
    <t>Software Installation</t>
  </si>
  <si>
    <t>Configuration of Network &amp; Cyber Security</t>
  </si>
  <si>
    <t>2nd Batch (15 SS)</t>
  </si>
  <si>
    <t>3rd Batch (19 SS)</t>
  </si>
  <si>
    <t>4th Batch (20 SS)</t>
  </si>
  <si>
    <t>5th Batch (19 SS)</t>
  </si>
  <si>
    <t>6th Batch (22 SS)</t>
  </si>
  <si>
    <t>7th Batch (17 SS)</t>
  </si>
  <si>
    <t>8th Batch (20 SS)</t>
  </si>
  <si>
    <t>9th Batch (19 SS)</t>
  </si>
  <si>
    <t>10th Batch (22 SS)</t>
  </si>
  <si>
    <t>Depend on :
*1st Round of Database Migration
*Workstation Availability
*Software Completion</t>
  </si>
  <si>
    <r>
      <t xml:space="preserve">Depend on :
*1st Round of Database Migration
</t>
    </r>
    <r>
      <rPr>
        <b/>
        <sz val="9"/>
        <color theme="1"/>
        <rFont val="Aptos Narrow"/>
        <family val="2"/>
        <scheme val="minor"/>
      </rPr>
      <t>*Data Structure &amp; Analysis from SE</t>
    </r>
  </si>
  <si>
    <t>Cut Over（Batch1-10）</t>
  </si>
  <si>
    <t xml:space="preserve">depend on Training Room Rediness </t>
  </si>
  <si>
    <t>no resource avaialble , depend on finalizeatoion Cutover</t>
  </si>
  <si>
    <t>SLD and DB ( Total 4,000)</t>
  </si>
  <si>
    <t xml:space="preserve">E2E for SFD  (10% - 1800) </t>
  </si>
  <si>
    <t>3rd Batch (15 SS)</t>
  </si>
  <si>
    <t>4th Batch (15 SS)</t>
  </si>
  <si>
    <t>5th Batch (15 SS)</t>
  </si>
  <si>
    <t>6th Batch (15 SS)</t>
  </si>
  <si>
    <t>9th Batch (15 SS)</t>
  </si>
  <si>
    <t>10th Batch (15 SS)</t>
  </si>
  <si>
    <t>1.Data for DER is required from SE</t>
  </si>
  <si>
    <t>SLD and DB ( Total 3,500)</t>
  </si>
  <si>
    <t xml:space="preserve">E2E for SFD  (10% - 1400) </t>
  </si>
  <si>
    <t>Western Rejion - Upstream</t>
  </si>
  <si>
    <t>Southern Rejion -Upstream</t>
  </si>
  <si>
    <t>Upstream Milstones</t>
  </si>
  <si>
    <t>Planned Dates</t>
  </si>
  <si>
    <t>Expected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</si>
</sst>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d\-mmm\-yy;@"/>
    <numFmt numFmtId="165" formatCode="[$-409]d\-mmm\-yy;@"/>
  </numFmts>
  <fonts count="43" x14ac:knownFonts="1">
    <font>
      <sz val="11"/>
      <color theme="1"/>
      <name val="Aptos Narrow"/>
      <charset val="134"/>
      <scheme val="minor"/>
    </font>
    <font>
      <sz val="11"/>
      <color theme="1"/>
      <name val="Aptos Narrow"/>
      <family val="2"/>
      <scheme val="minor"/>
    </font>
    <font>
      <b/>
      <sz val="11"/>
      <color theme="1"/>
      <name val="Aptos Narrow"/>
      <family val="2"/>
      <scheme val="minor"/>
    </font>
    <font>
      <sz val="9"/>
      <color theme="1"/>
      <name val="Aptos Narrow"/>
      <family val="2"/>
      <scheme val="minor"/>
    </font>
    <font>
      <sz val="9"/>
      <color rgb="FFFF0000"/>
      <name val="Aptos Narrow"/>
      <family val="2"/>
      <scheme val="minor"/>
    </font>
    <font>
      <strike/>
      <sz val="11"/>
      <color theme="1"/>
      <name val="Aptos Narrow"/>
      <family val="2"/>
      <scheme val="minor"/>
    </font>
    <font>
      <b/>
      <strike/>
      <sz val="11"/>
      <color theme="1"/>
      <name val="Aptos Narrow"/>
      <family val="2"/>
      <scheme val="minor"/>
    </font>
    <font>
      <strike/>
      <sz val="9"/>
      <color theme="1"/>
      <name val="Aptos Narrow"/>
      <family val="2"/>
      <scheme val="minor"/>
    </font>
    <font>
      <sz val="9"/>
      <color rgb="FF000000"/>
      <name val="Aptos Narrow"/>
      <family val="2"/>
      <scheme val="minor"/>
    </font>
    <font>
      <b/>
      <sz val="16"/>
      <name val="Aptos Narrow"/>
      <family val="2"/>
      <scheme val="minor"/>
    </font>
    <font>
      <b/>
      <sz val="10"/>
      <color theme="1"/>
      <name val="Aptos Narrow"/>
      <family val="2"/>
      <scheme val="minor"/>
    </font>
    <font>
      <b/>
      <sz val="26"/>
      <color theme="8" tint="-0.249977111117893"/>
      <name val="Aptos Narrow"/>
      <family val="2"/>
      <scheme val="minor"/>
    </font>
    <font>
      <b/>
      <sz val="22"/>
      <color theme="1"/>
      <name val="Aptos Narrow"/>
      <family val="2"/>
      <scheme val="minor"/>
    </font>
    <font>
      <b/>
      <sz val="10"/>
      <color theme="0"/>
      <name val="Aptos Narrow"/>
      <family val="2"/>
      <scheme val="minor"/>
    </font>
    <font>
      <b/>
      <sz val="12"/>
      <color theme="8" tint="-0.249977111117893"/>
      <name val="Aptos Narrow"/>
      <family val="2"/>
      <scheme val="minor"/>
    </font>
    <font>
      <b/>
      <sz val="9"/>
      <color rgb="FF00B0F0"/>
      <name val="Aptos Narrow"/>
      <family val="2"/>
      <scheme val="minor"/>
    </font>
    <font>
      <b/>
      <sz val="11"/>
      <color rgb="FFFF0000"/>
      <name val="Aptos Narrow"/>
      <family val="2"/>
      <scheme val="minor"/>
    </font>
    <font>
      <b/>
      <sz val="9"/>
      <color theme="1"/>
      <name val="Aptos Narrow"/>
      <family val="2"/>
      <scheme val="minor"/>
    </font>
    <font>
      <b/>
      <sz val="9"/>
      <color rgb="FFFF0000"/>
      <name val="Aptos Narrow"/>
      <family val="2"/>
      <scheme val="minor"/>
    </font>
    <font>
      <b/>
      <sz val="8"/>
      <color rgb="FF00B0F0"/>
      <name val="Aptos Narrow"/>
      <family val="2"/>
      <scheme val="minor"/>
    </font>
    <font>
      <sz val="11"/>
      <color theme="1"/>
      <name val="Aptos Narrow"/>
      <family val="2"/>
      <scheme val="minor"/>
    </font>
    <font>
      <b/>
      <sz val="11"/>
      <color theme="1"/>
      <name val="Aptos Narrow"/>
      <family val="2"/>
      <scheme val="minor"/>
    </font>
    <font>
      <sz val="9"/>
      <color theme="1"/>
      <name val="Aptos Narrow"/>
      <family val="2"/>
      <scheme val="minor"/>
    </font>
    <font>
      <sz val="8"/>
      <name val="Aptos Narrow"/>
      <family val="2"/>
      <scheme val="minor"/>
    </font>
    <font>
      <b/>
      <sz val="12"/>
      <color theme="1"/>
      <name val="Aptos Narrow"/>
      <family val="2"/>
      <scheme val="minor"/>
    </font>
    <font>
      <sz val="12"/>
      <color theme="1"/>
      <name val="Aptos Narrow"/>
      <family val="2"/>
      <scheme val="minor"/>
    </font>
    <font>
      <sz val="14"/>
      <color theme="1"/>
      <name val="Aptos Narrow"/>
      <family val="2"/>
      <scheme val="minor"/>
    </font>
    <font>
      <b/>
      <sz val="20"/>
      <color theme="1"/>
      <name val="Aptos Narrow"/>
      <family val="2"/>
      <scheme val="minor"/>
    </font>
    <font>
      <b/>
      <sz val="14"/>
      <name val="Aptos Narrow"/>
      <family val="2"/>
      <scheme val="minor"/>
    </font>
    <font>
      <b/>
      <sz val="14"/>
      <color theme="1"/>
      <name val="Aptos Narrow"/>
      <family val="2"/>
      <scheme val="minor"/>
    </font>
    <font>
      <b/>
      <sz val="18"/>
      <color theme="1"/>
      <name val="Aptos Narrow"/>
      <family val="2"/>
      <scheme val="minor"/>
    </font>
    <font>
      <b/>
      <sz val="12"/>
      <color rgb="FFFF0000"/>
      <name val="Aptos Narrow"/>
      <family val="2"/>
      <scheme val="minor"/>
    </font>
    <font>
      <b/>
      <sz val="12"/>
      <color rgb="FF000000"/>
      <name val="Aptos Narrow"/>
      <family val="2"/>
      <scheme val="minor"/>
    </font>
    <font>
      <b/>
      <sz val="10"/>
      <color theme="1"/>
      <name val="Aptos Narrow"/>
      <family val="2"/>
      <scheme val="minor"/>
    </font>
    <font>
      <b/>
      <sz val="12"/>
      <color theme="0"/>
      <name val="Aptos Narrow"/>
      <family val="2"/>
      <scheme val="minor"/>
    </font>
    <font>
      <b/>
      <sz val="20"/>
      <color theme="8" tint="-0.249977111117893"/>
      <name val="Aptos Narrow"/>
      <family val="2"/>
      <scheme val="minor"/>
    </font>
    <font>
      <b/>
      <sz val="26"/>
      <color theme="8" tint="-0.249977111117893"/>
      <name val="Aptos Narrow"/>
      <family val="2"/>
      <scheme val="minor"/>
    </font>
    <font>
      <b/>
      <sz val="20"/>
      <color theme="1"/>
      <name val="Aptos Narrow"/>
      <family val="2"/>
      <charset val="134"/>
      <scheme val="minor"/>
    </font>
    <font>
      <sz val="11"/>
      <color theme="1"/>
      <name val="Aptos Narrow"/>
      <family val="2"/>
      <charset val="134"/>
      <scheme val="minor"/>
    </font>
    <font>
      <b/>
      <sz val="20"/>
      <name val="Aptos Narrow"/>
      <family val="2"/>
      <scheme val="minor"/>
    </font>
    <font>
      <b/>
      <sz val="12"/>
      <color rgb="FFFF0000"/>
      <name val="Aptos Narrow"/>
      <family val="2"/>
      <charset val="134"/>
      <scheme val="minor"/>
    </font>
    <font>
      <b/>
      <sz val="18"/>
      <name val="Aptos Narrow"/>
      <family val="2"/>
      <scheme val="minor"/>
    </font>
    <font>
      <sz val="18"/>
      <color theme="1"/>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theme="9" tint="0.79995117038483843"/>
        <bgColor indexed="64"/>
      </patternFill>
    </fill>
    <fill>
      <patternFill patternType="solid">
        <fgColor theme="4" tint="0.79995117038483843"/>
        <bgColor indexed="64"/>
      </patternFill>
    </fill>
    <fill>
      <patternFill patternType="solid">
        <fgColor rgb="FFFFFF00"/>
        <bgColor indexed="64"/>
      </patternFill>
    </fill>
    <fill>
      <patternFill patternType="solid">
        <fgColor theme="2"/>
        <bgColor indexed="64"/>
      </patternFill>
    </fill>
    <fill>
      <patternFill patternType="solid">
        <fgColor theme="3" tint="0.89996032593768116"/>
        <bgColor indexed="64"/>
      </patternFill>
    </fill>
    <fill>
      <patternFill patternType="solid">
        <fgColor theme="7" tint="0.79995117038483843"/>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00B050"/>
        <bgColor indexed="64"/>
      </patternFill>
    </fill>
    <fill>
      <patternFill patternType="solid">
        <fgColor theme="3" tint="0.89999084444715716"/>
        <bgColor indexed="64"/>
      </patternFill>
    </fill>
    <fill>
      <patternFill patternType="solid">
        <fgColor theme="5" tint="0.79998168889431442"/>
        <bgColor indexed="64"/>
      </patternFill>
    </fill>
  </fills>
  <borders count="97">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style="thin">
        <color rgb="FF00B0F0"/>
      </left>
      <right/>
      <top style="thin">
        <color rgb="FF00B0F0"/>
      </top>
      <bottom/>
      <diagonal/>
    </border>
    <border>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top/>
      <bottom style="thin">
        <color rgb="FF00B0F0"/>
      </bottom>
      <diagonal/>
    </border>
    <border>
      <left/>
      <right/>
      <top style="thin">
        <color rgb="FF00B0F0"/>
      </top>
      <bottom style="thin">
        <color rgb="FF00B0F0"/>
      </bottom>
      <diagonal/>
    </border>
    <border>
      <left/>
      <right style="thin">
        <color rgb="FF00B0F0"/>
      </right>
      <top/>
      <bottom style="thin">
        <color rgb="FF00B0F0"/>
      </bottom>
      <diagonal/>
    </border>
    <border>
      <left style="thin">
        <color rgb="FF00B0F0"/>
      </left>
      <right style="thin">
        <color rgb="FF00B0F0"/>
      </right>
      <top style="thin">
        <color rgb="FF00B0F0"/>
      </top>
      <bottom/>
      <diagonal/>
    </border>
    <border>
      <left style="thin">
        <color rgb="FF00B0F0"/>
      </left>
      <right style="thin">
        <color rgb="FF00B0F0"/>
      </right>
      <top/>
      <bottom/>
      <diagonal/>
    </border>
    <border>
      <left style="thin">
        <color rgb="FF00B0F0"/>
      </left>
      <right style="thin">
        <color rgb="FF00B0F0"/>
      </right>
      <top/>
      <bottom style="thin">
        <color rgb="FF00B0F0"/>
      </bottom>
      <diagonal/>
    </border>
    <border>
      <left/>
      <right style="thin">
        <color rgb="FF00B0F0"/>
      </right>
      <top style="thin">
        <color rgb="FF00B0F0"/>
      </top>
      <bottom style="thin">
        <color rgb="FF00B0F0"/>
      </bottom>
      <diagonal/>
    </border>
    <border>
      <left/>
      <right style="dashed">
        <color auto="1"/>
      </right>
      <top style="dashed">
        <color auto="1"/>
      </top>
      <bottom style="dashed">
        <color auto="1"/>
      </bottom>
      <diagonal/>
    </border>
    <border>
      <left style="medium">
        <color auto="1"/>
      </left>
      <right/>
      <top style="medium">
        <color auto="1"/>
      </top>
      <bottom style="dashed">
        <color auto="1"/>
      </bottom>
      <diagonal/>
    </border>
    <border>
      <left style="medium">
        <color auto="1"/>
      </left>
      <right/>
      <top style="dashed">
        <color auto="1"/>
      </top>
      <bottom style="dashed">
        <color auto="1"/>
      </bottom>
      <diagonal/>
    </border>
    <border>
      <left style="medium">
        <color auto="1"/>
      </left>
      <right/>
      <top style="dashed">
        <color auto="1"/>
      </top>
      <bottom style="medium">
        <color auto="1"/>
      </bottom>
      <diagonal/>
    </border>
    <border diagonalUp="1" diagonalDown="1">
      <left style="dashed">
        <color auto="1"/>
      </left>
      <right style="dashed">
        <color auto="1"/>
      </right>
      <top style="dashed">
        <color auto="1"/>
      </top>
      <bottom style="dashed">
        <color auto="1"/>
      </bottom>
      <diagonal style="dashed">
        <color auto="1"/>
      </diagonal>
    </border>
    <border diagonalUp="1" diagonalDown="1">
      <left style="dashed">
        <color auto="1"/>
      </left>
      <right style="dashed">
        <color auto="1"/>
      </right>
      <top style="dashed">
        <color auto="1"/>
      </top>
      <bottom style="medium">
        <color auto="1"/>
      </bottom>
      <diagonal style="dashed">
        <color auto="1"/>
      </diagonal>
    </border>
    <border diagonalUp="1" diagonalDown="1">
      <left style="medium">
        <color auto="1"/>
      </left>
      <right style="dashed">
        <color auto="1"/>
      </right>
      <top style="dashed">
        <color auto="1"/>
      </top>
      <bottom style="dashed">
        <color auto="1"/>
      </bottom>
      <diagonal style="dashed">
        <color auto="1"/>
      </diagonal>
    </border>
    <border diagonalUp="1" diagonalDown="1">
      <left style="dashed">
        <color auto="1"/>
      </left>
      <right style="medium">
        <color auto="1"/>
      </right>
      <top style="dashed">
        <color auto="1"/>
      </top>
      <bottom style="dashed">
        <color auto="1"/>
      </bottom>
      <diagonal style="dashed">
        <color auto="1"/>
      </diagonal>
    </border>
    <border diagonalUp="1" diagonalDown="1">
      <left style="medium">
        <color auto="1"/>
      </left>
      <right style="dashed">
        <color auto="1"/>
      </right>
      <top style="dashed">
        <color auto="1"/>
      </top>
      <bottom style="medium">
        <color auto="1"/>
      </bottom>
      <diagonal style="dashed">
        <color auto="1"/>
      </diagonal>
    </border>
    <border diagonalUp="1" diagonalDown="1">
      <left style="dashed">
        <color auto="1"/>
      </left>
      <right style="medium">
        <color auto="1"/>
      </right>
      <top style="dashed">
        <color auto="1"/>
      </top>
      <bottom style="medium">
        <color auto="1"/>
      </bottom>
      <diagonal style="dashed">
        <color auto="1"/>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diagonal/>
    </border>
    <border>
      <left style="thin">
        <color rgb="FF000000"/>
      </left>
      <right style="medium">
        <color auto="1"/>
      </right>
      <top style="thin">
        <color rgb="FF000000"/>
      </top>
      <bottom style="thin">
        <color rgb="FF000000"/>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rgb="FF000000"/>
      </bottom>
      <diagonal/>
    </border>
    <border>
      <left/>
      <right style="thin">
        <color rgb="FF000000"/>
      </right>
      <top style="medium">
        <color auto="1"/>
      </top>
      <bottom style="thin">
        <color auto="1"/>
      </bottom>
      <diagonal/>
    </border>
    <border>
      <left/>
      <right style="thin">
        <color rgb="FF000000"/>
      </right>
      <top style="thin">
        <color auto="1"/>
      </top>
      <bottom style="thin">
        <color auto="1"/>
      </bottom>
      <diagonal/>
    </border>
    <border>
      <left/>
      <right style="thin">
        <color rgb="FF000000"/>
      </right>
      <top style="thin">
        <color auto="1"/>
      </top>
      <bottom style="medium">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s>
  <cellStyleXfs count="2">
    <xf numFmtId="0" fontId="0" fillId="0" borderId="0"/>
    <xf numFmtId="9" fontId="20" fillId="0" borderId="0" applyFont="0" applyFill="0" applyBorder="0" applyAlignment="0" applyProtection="0"/>
  </cellStyleXfs>
  <cellXfs count="485">
    <xf numFmtId="0" fontId="0" fillId="0" borderId="0" xfId="0"/>
    <xf numFmtId="0" fontId="0" fillId="2" borderId="0" xfId="0" applyFill="1"/>
    <xf numFmtId="0" fontId="0" fillId="0" borderId="0" xfId="0" applyAlignment="1">
      <alignment horizontal="center" vertical="center"/>
    </xf>
    <xf numFmtId="0" fontId="0" fillId="0" borderId="0" xfId="0" applyAlignment="1">
      <alignment horizontal="center"/>
    </xf>
    <xf numFmtId="9" fontId="0" fillId="0" borderId="0" xfId="1" applyFont="1" applyAlignment="1">
      <alignment horizontal="center"/>
    </xf>
    <xf numFmtId="49" fontId="0" fillId="0" borderId="0" xfId="0" applyNumberFormat="1" applyAlignment="1">
      <alignment horizontal="left" wrapText="1"/>
    </xf>
    <xf numFmtId="164" fontId="0" fillId="0" borderId="0" xfId="0" applyNumberFormat="1"/>
    <xf numFmtId="0" fontId="0" fillId="0" borderId="1" xfId="0" applyBorder="1" applyAlignment="1">
      <alignment horizontal="center"/>
    </xf>
    <xf numFmtId="9" fontId="0" fillId="0" borderId="1" xfId="1" applyFont="1" applyBorder="1" applyAlignment="1">
      <alignment horizontal="center"/>
    </xf>
    <xf numFmtId="0" fontId="0" fillId="0" borderId="1" xfId="0" applyBorder="1"/>
    <xf numFmtId="0" fontId="2" fillId="3" borderId="2" xfId="0" applyFont="1" applyFill="1" applyBorder="1" applyAlignment="1">
      <alignment horizontal="center" vertical="center" textRotation="90"/>
    </xf>
    <xf numFmtId="0" fontId="2" fillId="4" borderId="4" xfId="0" applyFont="1" applyFill="1" applyBorder="1" applyAlignment="1">
      <alignment horizontal="center" vertical="center"/>
    </xf>
    <xf numFmtId="0" fontId="0" fillId="0" borderId="5" xfId="0" applyBorder="1"/>
    <xf numFmtId="17" fontId="2" fillId="4" borderId="4" xfId="0" applyNumberFormat="1" applyFont="1" applyFill="1" applyBorder="1" applyAlignment="1">
      <alignment horizontal="center" vertical="center"/>
    </xf>
    <xf numFmtId="49" fontId="2" fillId="3" borderId="4" xfId="0" applyNumberFormat="1" applyFont="1" applyFill="1" applyBorder="1" applyAlignment="1">
      <alignment horizontal="center" vertical="center" wrapText="1"/>
    </xf>
    <xf numFmtId="0" fontId="2" fillId="3" borderId="7" xfId="0" applyFont="1" applyFill="1" applyBorder="1" applyAlignment="1">
      <alignment horizontal="center" vertical="center" textRotation="90"/>
    </xf>
    <xf numFmtId="0" fontId="2" fillId="0" borderId="3" xfId="0" applyFont="1" applyBorder="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9" fontId="2" fillId="0" borderId="4" xfId="1" applyFont="1" applyBorder="1" applyAlignment="1">
      <alignment horizontal="center" vertical="center" wrapText="1"/>
    </xf>
    <xf numFmtId="0" fontId="2" fillId="0" borderId="6" xfId="0" applyFont="1" applyBorder="1" applyAlignment="1">
      <alignment vertical="center"/>
    </xf>
    <xf numFmtId="0" fontId="2" fillId="0" borderId="4" xfId="0" applyFont="1" applyBorder="1" applyAlignment="1">
      <alignment vertical="center"/>
    </xf>
    <xf numFmtId="49" fontId="3" fillId="0" borderId="4" xfId="0" applyNumberFormat="1" applyFont="1" applyBorder="1" applyAlignment="1">
      <alignment horizontal="left" vertical="center" wrapText="1"/>
    </xf>
    <xf numFmtId="0" fontId="2" fillId="2" borderId="8" xfId="0" applyFont="1" applyFill="1" applyBorder="1" applyAlignment="1">
      <alignment vertical="center" textRotation="90"/>
    </xf>
    <xf numFmtId="0" fontId="2" fillId="2" borderId="8" xfId="0" applyFont="1" applyFill="1" applyBorder="1" applyAlignment="1">
      <alignment horizontal="center" vertical="center" textRotation="90"/>
    </xf>
    <xf numFmtId="9" fontId="2" fillId="2" borderId="8" xfId="1" applyFont="1" applyFill="1" applyBorder="1" applyAlignment="1">
      <alignment vertical="center" textRotation="90"/>
    </xf>
    <xf numFmtId="0" fontId="2" fillId="2" borderId="9" xfId="0" applyFont="1" applyFill="1" applyBorder="1" applyAlignment="1">
      <alignment vertical="center" textRotation="90"/>
    </xf>
    <xf numFmtId="164" fontId="0" fillId="2" borderId="0" xfId="0" applyNumberFormat="1" applyFill="1"/>
    <xf numFmtId="15" fontId="2" fillId="6" borderId="4" xfId="0" applyNumberFormat="1" applyFont="1" applyFill="1" applyBorder="1" applyAlignment="1">
      <alignment horizontal="center" vertical="center" wrapText="1"/>
    </xf>
    <xf numFmtId="0" fontId="0" fillId="6" borderId="5" xfId="0" applyFill="1" applyBorder="1"/>
    <xf numFmtId="0" fontId="2" fillId="6" borderId="10" xfId="0" applyFont="1" applyFill="1" applyBorder="1" applyAlignment="1">
      <alignment vertical="center" wrapText="1"/>
    </xf>
    <xf numFmtId="0" fontId="2" fillId="6" borderId="6" xfId="0" applyFont="1" applyFill="1" applyBorder="1" applyAlignment="1">
      <alignment vertical="center" wrapText="1"/>
    </xf>
    <xf numFmtId="49" fontId="3" fillId="6" borderId="4" xfId="0" applyNumberFormat="1" applyFont="1" applyFill="1" applyBorder="1" applyAlignment="1">
      <alignment horizontal="left" vertical="center" wrapText="1"/>
    </xf>
    <xf numFmtId="15" fontId="0" fillId="0" borderId="0" xfId="0" applyNumberFormat="1"/>
    <xf numFmtId="0" fontId="2" fillId="6" borderId="10" xfId="0" applyFont="1" applyFill="1" applyBorder="1" applyAlignment="1">
      <alignment horizontal="left" vertical="center" wrapText="1"/>
    </xf>
    <xf numFmtId="0" fontId="2" fillId="6" borderId="6" xfId="0" applyFont="1" applyFill="1" applyBorder="1" applyAlignment="1">
      <alignment horizontal="left" vertical="center" wrapText="1"/>
    </xf>
    <xf numFmtId="0" fontId="0" fillId="7" borderId="5" xfId="0" applyFill="1" applyBorder="1"/>
    <xf numFmtId="0" fontId="2" fillId="7" borderId="15" xfId="0" applyFont="1" applyFill="1" applyBorder="1" applyAlignment="1">
      <alignment vertical="center" wrapText="1"/>
    </xf>
    <xf numFmtId="0" fontId="2" fillId="7" borderId="16" xfId="0" applyFont="1" applyFill="1" applyBorder="1" applyAlignment="1">
      <alignment vertical="center" wrapText="1"/>
    </xf>
    <xf numFmtId="49" fontId="3" fillId="7" borderId="14" xfId="0" applyNumberFormat="1" applyFont="1" applyFill="1" applyBorder="1" applyAlignment="1">
      <alignment horizontal="left" vertical="center" wrapText="1"/>
    </xf>
    <xf numFmtId="0" fontId="2" fillId="7" borderId="10" xfId="0" applyFont="1" applyFill="1" applyBorder="1" applyAlignment="1">
      <alignment vertical="center" wrapText="1"/>
    </xf>
    <xf numFmtId="0" fontId="2" fillId="7" borderId="6" xfId="0" applyFont="1" applyFill="1" applyBorder="1" applyAlignment="1">
      <alignment vertical="center" wrapText="1"/>
    </xf>
    <xf numFmtId="49" fontId="3" fillId="7" borderId="4" xfId="0" applyNumberFormat="1" applyFont="1" applyFill="1" applyBorder="1" applyAlignment="1">
      <alignment horizontal="left" vertical="center" wrapText="1"/>
    </xf>
    <xf numFmtId="0" fontId="2" fillId="7" borderId="10" xfId="0" applyFont="1" applyFill="1" applyBorder="1" applyAlignment="1">
      <alignment horizontal="left" vertical="center" wrapText="1"/>
    </xf>
    <xf numFmtId="0" fontId="2" fillId="7" borderId="6" xfId="0" applyFont="1" applyFill="1" applyBorder="1" applyAlignment="1">
      <alignment horizontal="left" vertical="center" wrapText="1"/>
    </xf>
    <xf numFmtId="0" fontId="2" fillId="6" borderId="4" xfId="0" applyFont="1" applyFill="1" applyBorder="1" applyAlignment="1">
      <alignment vertical="center" wrapText="1"/>
    </xf>
    <xf numFmtId="0" fontId="2" fillId="2" borderId="18" xfId="0" applyFont="1" applyFill="1" applyBorder="1" applyAlignment="1">
      <alignment vertical="center" textRotation="90"/>
    </xf>
    <xf numFmtId="0" fontId="2" fillId="2" borderId="18" xfId="0" applyFont="1" applyFill="1" applyBorder="1" applyAlignment="1">
      <alignment horizontal="center" vertical="center" textRotation="90"/>
    </xf>
    <xf numFmtId="9" fontId="2" fillId="2" borderId="18" xfId="1" applyFont="1" applyFill="1" applyBorder="1" applyAlignment="1">
      <alignment vertical="center" textRotation="90"/>
    </xf>
    <xf numFmtId="0" fontId="2" fillId="2" borderId="19" xfId="0" applyFont="1" applyFill="1" applyBorder="1" applyAlignment="1">
      <alignment vertical="center" textRotation="90"/>
    </xf>
    <xf numFmtId="0" fontId="0" fillId="6" borderId="17" xfId="0" applyFill="1" applyBorder="1"/>
    <xf numFmtId="0" fontId="2" fillId="6" borderId="23" xfId="0" applyFont="1" applyFill="1" applyBorder="1" applyAlignment="1">
      <alignment horizontal="left" vertical="center" wrapText="1"/>
    </xf>
    <xf numFmtId="0" fontId="2" fillId="6" borderId="24" xfId="0" applyFont="1" applyFill="1" applyBorder="1" applyAlignment="1">
      <alignment horizontal="left" vertical="center" wrapText="1"/>
    </xf>
    <xf numFmtId="49" fontId="3" fillId="6" borderId="25" xfId="0" applyNumberFormat="1" applyFont="1" applyFill="1" applyBorder="1" applyAlignment="1">
      <alignment horizontal="left" vertical="center" wrapText="1"/>
    </xf>
    <xf numFmtId="0" fontId="0" fillId="6" borderId="32" xfId="0" applyFill="1" applyBorder="1"/>
    <xf numFmtId="0" fontId="2" fillId="6" borderId="33" xfId="0" applyFont="1" applyFill="1" applyBorder="1" applyAlignment="1">
      <alignment horizontal="left" vertical="center" wrapText="1"/>
    </xf>
    <xf numFmtId="0" fontId="2" fillId="6" borderId="34" xfId="0" applyFont="1" applyFill="1" applyBorder="1" applyAlignment="1">
      <alignment horizontal="left" vertical="center" wrapText="1"/>
    </xf>
    <xf numFmtId="49" fontId="3" fillId="6" borderId="36" xfId="0" applyNumberFormat="1" applyFont="1" applyFill="1" applyBorder="1" applyAlignment="1">
      <alignment horizontal="left" vertical="center" wrapText="1"/>
    </xf>
    <xf numFmtId="0" fontId="0" fillId="6" borderId="22" xfId="0" applyFill="1" applyBorder="1"/>
    <xf numFmtId="0" fontId="2" fillId="6" borderId="22" xfId="0" applyFont="1" applyFill="1" applyBorder="1" applyAlignment="1">
      <alignment horizontal="left" vertical="center" wrapText="1"/>
    </xf>
    <xf numFmtId="0" fontId="0" fillId="6" borderId="31" xfId="0" applyFill="1" applyBorder="1"/>
    <xf numFmtId="0" fontId="2" fillId="6" borderId="31" xfId="0" applyFont="1" applyFill="1" applyBorder="1" applyAlignment="1">
      <alignment horizontal="left" vertical="center" wrapText="1"/>
    </xf>
    <xf numFmtId="0" fontId="5" fillId="0" borderId="0" xfId="0" applyFont="1"/>
    <xf numFmtId="0" fontId="6" fillId="6" borderId="11" xfId="0" applyFont="1" applyFill="1" applyBorder="1" applyAlignment="1">
      <alignment horizontal="left" vertical="center" wrapText="1"/>
    </xf>
    <xf numFmtId="0" fontId="6" fillId="6" borderId="12" xfId="0" applyFont="1" applyFill="1" applyBorder="1" applyAlignment="1">
      <alignment horizontal="left" vertical="center" wrapText="1"/>
    </xf>
    <xf numFmtId="49" fontId="7" fillId="6" borderId="1" xfId="0" applyNumberFormat="1" applyFont="1" applyFill="1" applyBorder="1" applyAlignment="1">
      <alignment horizontal="left" vertical="center" wrapText="1"/>
    </xf>
    <xf numFmtId="15" fontId="6" fillId="6" borderId="4" xfId="0" applyNumberFormat="1" applyFont="1" applyFill="1" applyBorder="1" applyAlignment="1">
      <alignment horizontal="center" vertical="center" wrapText="1"/>
    </xf>
    <xf numFmtId="164" fontId="5" fillId="0" borderId="0" xfId="0" applyNumberFormat="1" applyFont="1"/>
    <xf numFmtId="15" fontId="5" fillId="0" borderId="0" xfId="0" applyNumberFormat="1" applyFont="1"/>
    <xf numFmtId="0" fontId="6" fillId="7" borderId="10" xfId="0" applyFont="1" applyFill="1" applyBorder="1" applyAlignment="1">
      <alignment horizontal="left" vertical="center" wrapText="1"/>
    </xf>
    <xf numFmtId="0" fontId="6" fillId="7" borderId="6" xfId="0" applyFont="1" applyFill="1" applyBorder="1" applyAlignment="1">
      <alignment horizontal="left" vertical="center" wrapText="1"/>
    </xf>
    <xf numFmtId="49" fontId="7" fillId="7" borderId="4" xfId="0" applyNumberFormat="1" applyFont="1" applyFill="1" applyBorder="1" applyAlignment="1">
      <alignment horizontal="left" vertical="center" wrapText="1"/>
    </xf>
    <xf numFmtId="0" fontId="5" fillId="6" borderId="5" xfId="0" applyFont="1" applyFill="1" applyBorder="1"/>
    <xf numFmtId="0" fontId="5" fillId="7" borderId="5" xfId="0" applyFont="1" applyFill="1" applyBorder="1"/>
    <xf numFmtId="9" fontId="0" fillId="0" borderId="0" xfId="1" applyFont="1" applyBorder="1" applyAlignment="1">
      <alignment horizontal="center"/>
    </xf>
    <xf numFmtId="165" fontId="0" fillId="2" borderId="0" xfId="0" applyNumberFormat="1" applyFill="1"/>
    <xf numFmtId="9" fontId="10" fillId="0" borderId="52" xfId="0" applyNumberFormat="1" applyFont="1" applyBorder="1" applyAlignment="1">
      <alignment horizontal="left" vertical="center"/>
    </xf>
    <xf numFmtId="0" fontId="12" fillId="0" borderId="59" xfId="0" applyFont="1" applyBorder="1" applyAlignment="1">
      <alignment vertical="center"/>
    </xf>
    <xf numFmtId="0" fontId="12" fillId="0" borderId="60" xfId="0" applyFont="1" applyBorder="1" applyAlignment="1">
      <alignment vertical="center"/>
    </xf>
    <xf numFmtId="0" fontId="11" fillId="0" borderId="61" xfId="0" applyFont="1" applyBorder="1" applyAlignment="1">
      <alignment vertical="center"/>
    </xf>
    <xf numFmtId="9" fontId="10" fillId="0" borderId="52" xfId="1" applyFont="1" applyBorder="1" applyAlignment="1">
      <alignment horizontal="right" vertical="center"/>
    </xf>
    <xf numFmtId="9" fontId="3" fillId="0" borderId="52" xfId="0" applyNumberFormat="1" applyFont="1" applyBorder="1" applyAlignment="1">
      <alignment horizontal="center" vertical="center"/>
    </xf>
    <xf numFmtId="9" fontId="13" fillId="0" borderId="52" xfId="1" applyFont="1" applyBorder="1" applyAlignment="1">
      <alignment horizontal="right" vertical="center"/>
    </xf>
    <xf numFmtId="0" fontId="2" fillId="0" borderId="3" xfId="0" applyFont="1" applyBorder="1" applyAlignment="1">
      <alignment horizontal="left" vertical="center" wrapText="1"/>
    </xf>
    <xf numFmtId="0" fontId="2" fillId="0" borderId="10" xfId="0" applyFont="1" applyBorder="1" applyAlignment="1">
      <alignment horizontal="left" vertical="center" wrapText="1"/>
    </xf>
    <xf numFmtId="0" fontId="2" fillId="0" borderId="6" xfId="0" applyFont="1" applyBorder="1" applyAlignment="1">
      <alignment horizontal="left" vertical="center" wrapText="1"/>
    </xf>
    <xf numFmtId="49" fontId="15" fillId="0" borderId="4" xfId="0" applyNumberFormat="1" applyFont="1" applyBorder="1" applyAlignment="1">
      <alignment horizontal="left" vertical="center" wrapText="1"/>
    </xf>
    <xf numFmtId="0" fontId="16" fillId="0" borderId="3" xfId="0" applyFont="1" applyBorder="1" applyAlignment="1">
      <alignment horizontal="left" vertical="center" wrapText="1"/>
    </xf>
    <xf numFmtId="49" fontId="0" fillId="0" borderId="0" xfId="0" applyNumberFormat="1" applyAlignment="1">
      <alignment horizontal="left" vertical="center" wrapText="1"/>
    </xf>
    <xf numFmtId="0" fontId="9" fillId="0" borderId="38" xfId="0" applyFont="1" applyBorder="1" applyAlignment="1">
      <alignment horizontal="center" vertical="center"/>
    </xf>
    <xf numFmtId="0" fontId="28" fillId="0" borderId="47" xfId="0" applyFont="1" applyBorder="1" applyAlignment="1">
      <alignment horizontal="center" vertical="center"/>
    </xf>
    <xf numFmtId="15" fontId="29" fillId="0" borderId="47" xfId="0" applyNumberFormat="1" applyFont="1" applyBorder="1" applyAlignment="1">
      <alignment horizontal="center" vertical="center"/>
    </xf>
    <xf numFmtId="15" fontId="29" fillId="0" borderId="50" xfId="0" applyNumberFormat="1" applyFont="1" applyBorder="1" applyAlignment="1">
      <alignment horizontal="center" vertical="center"/>
    </xf>
    <xf numFmtId="0" fontId="26" fillId="0" borderId="0" xfId="0" applyFont="1"/>
    <xf numFmtId="0" fontId="28" fillId="0" borderId="46" xfId="0" applyFont="1" applyBorder="1" applyAlignment="1">
      <alignment horizontal="center" vertical="center"/>
    </xf>
    <xf numFmtId="15" fontId="29" fillId="0" borderId="46" xfId="0" applyNumberFormat="1" applyFont="1" applyBorder="1" applyAlignment="1">
      <alignment horizontal="center" vertical="center"/>
    </xf>
    <xf numFmtId="15" fontId="29" fillId="0" borderId="73" xfId="0" applyNumberFormat="1" applyFont="1" applyBorder="1" applyAlignment="1">
      <alignment horizontal="center" vertical="center"/>
    </xf>
    <xf numFmtId="15" fontId="29" fillId="0" borderId="71" xfId="0" applyNumberFormat="1" applyFont="1" applyBorder="1" applyAlignment="1">
      <alignment horizontal="center" vertical="center"/>
    </xf>
    <xf numFmtId="15" fontId="29" fillId="0" borderId="71" xfId="0" applyNumberFormat="1" applyFont="1" applyBorder="1" applyAlignment="1">
      <alignment vertical="center"/>
    </xf>
    <xf numFmtId="15" fontId="29" fillId="8" borderId="74" xfId="0" applyNumberFormat="1" applyFont="1" applyFill="1" applyBorder="1" applyAlignment="1">
      <alignment vertical="center"/>
    </xf>
    <xf numFmtId="15" fontId="29" fillId="0" borderId="49" xfId="0" applyNumberFormat="1" applyFont="1" applyBorder="1" applyAlignment="1">
      <alignment horizontal="center" vertical="center"/>
    </xf>
    <xf numFmtId="15" fontId="29" fillId="0" borderId="75" xfId="0" applyNumberFormat="1" applyFont="1" applyBorder="1" applyAlignment="1">
      <alignment horizontal="center" vertical="center"/>
    </xf>
    <xf numFmtId="15" fontId="29" fillId="0" borderId="72" xfId="0" applyNumberFormat="1" applyFont="1" applyBorder="1" applyAlignment="1">
      <alignment horizontal="center" vertical="center"/>
    </xf>
    <xf numFmtId="15" fontId="29" fillId="0" borderId="72" xfId="0" applyNumberFormat="1" applyFont="1" applyBorder="1" applyAlignment="1">
      <alignment vertical="center"/>
    </xf>
    <xf numFmtId="15" fontId="29" fillId="8" borderId="76" xfId="0" applyNumberFormat="1" applyFont="1" applyFill="1" applyBorder="1" applyAlignment="1">
      <alignment vertical="center"/>
    </xf>
    <xf numFmtId="0" fontId="28" fillId="0" borderId="48" xfId="0" applyFont="1" applyBorder="1" applyAlignment="1">
      <alignment horizontal="center" vertical="center"/>
    </xf>
    <xf numFmtId="0" fontId="24" fillId="6" borderId="3" xfId="0" applyFont="1" applyFill="1" applyBorder="1" applyAlignment="1">
      <alignment vertical="center" wrapText="1"/>
    </xf>
    <xf numFmtId="0" fontId="24" fillId="6" borderId="3" xfId="0" applyFont="1" applyFill="1" applyBorder="1" applyAlignment="1">
      <alignment horizontal="center" vertical="center" wrapText="1"/>
    </xf>
    <xf numFmtId="15" fontId="24" fillId="6" borderId="4" xfId="0" applyNumberFormat="1" applyFont="1" applyFill="1" applyBorder="1" applyAlignment="1">
      <alignment horizontal="center" vertical="center" wrapText="1"/>
    </xf>
    <xf numFmtId="9" fontId="24" fillId="6" borderId="4" xfId="1" applyFont="1" applyFill="1" applyBorder="1" applyAlignment="1">
      <alignment horizontal="center" vertical="center" wrapText="1"/>
    </xf>
    <xf numFmtId="0" fontId="24" fillId="6" borderId="3" xfId="0" applyFont="1" applyFill="1" applyBorder="1" applyAlignment="1">
      <alignment horizontal="left" vertical="center" wrapText="1"/>
    </xf>
    <xf numFmtId="0" fontId="24" fillId="7" borderId="13" xfId="0" applyFont="1" applyFill="1" applyBorder="1" applyAlignment="1">
      <alignment vertical="center" wrapText="1"/>
    </xf>
    <xf numFmtId="0" fontId="24" fillId="7" borderId="13" xfId="0" applyFont="1" applyFill="1" applyBorder="1" applyAlignment="1">
      <alignment horizontal="center" vertical="center" wrapText="1"/>
    </xf>
    <xf numFmtId="15" fontId="24" fillId="7" borderId="4" xfId="0" applyNumberFormat="1" applyFont="1" applyFill="1" applyBorder="1" applyAlignment="1">
      <alignment horizontal="center" vertical="center" wrapText="1"/>
    </xf>
    <xf numFmtId="15" fontId="24" fillId="7" borderId="14" xfId="0" applyNumberFormat="1" applyFont="1" applyFill="1" applyBorder="1" applyAlignment="1">
      <alignment horizontal="center" vertical="center" wrapText="1"/>
    </xf>
    <xf numFmtId="9" fontId="24" fillId="7" borderId="14" xfId="1" applyFont="1" applyFill="1" applyBorder="1" applyAlignment="1">
      <alignment horizontal="center" vertical="center" wrapText="1"/>
    </xf>
    <xf numFmtId="0" fontId="24" fillId="7" borderId="3" xfId="0" applyFont="1" applyFill="1" applyBorder="1" applyAlignment="1">
      <alignment vertical="center" wrapText="1"/>
    </xf>
    <xf numFmtId="0" fontId="24" fillId="7" borderId="3" xfId="0" applyFont="1" applyFill="1" applyBorder="1" applyAlignment="1">
      <alignment horizontal="center" vertical="center" wrapText="1"/>
    </xf>
    <xf numFmtId="0" fontId="24" fillId="7" borderId="3" xfId="0" applyFont="1" applyFill="1" applyBorder="1" applyAlignment="1">
      <alignment horizontal="left" vertical="center" wrapText="1"/>
    </xf>
    <xf numFmtId="9" fontId="24" fillId="7" borderId="4" xfId="1" applyFont="1" applyFill="1" applyBorder="1" applyAlignment="1">
      <alignment horizontal="center" vertical="center" wrapText="1"/>
    </xf>
    <xf numFmtId="0" fontId="24" fillId="4" borderId="3" xfId="0" applyFont="1" applyFill="1" applyBorder="1" applyAlignment="1">
      <alignment horizontal="center" vertical="center"/>
    </xf>
    <xf numFmtId="0" fontId="24" fillId="4" borderId="4" xfId="0" applyFont="1" applyFill="1" applyBorder="1" applyAlignment="1">
      <alignment horizontal="center" vertical="center"/>
    </xf>
    <xf numFmtId="0" fontId="24" fillId="5" borderId="4" xfId="0" applyFont="1" applyFill="1" applyBorder="1" applyAlignment="1">
      <alignment horizontal="center" vertical="center"/>
    </xf>
    <xf numFmtId="9" fontId="24" fillId="5" borderId="4" xfId="1" applyFont="1" applyFill="1" applyBorder="1" applyAlignment="1">
      <alignment horizontal="center" vertical="center"/>
    </xf>
    <xf numFmtId="0" fontId="25" fillId="0" borderId="5" xfId="0" applyFont="1" applyBorder="1"/>
    <xf numFmtId="17" fontId="24" fillId="4" borderId="6" xfId="0" applyNumberFormat="1" applyFont="1" applyFill="1" applyBorder="1" applyAlignment="1">
      <alignment horizontal="center" vertical="center"/>
    </xf>
    <xf numFmtId="17" fontId="24" fillId="4" borderId="4" xfId="0" applyNumberFormat="1" applyFont="1" applyFill="1" applyBorder="1" applyAlignment="1">
      <alignment horizontal="center" vertical="center"/>
    </xf>
    <xf numFmtId="49" fontId="24" fillId="3" borderId="4" xfId="0" applyNumberFormat="1" applyFont="1" applyFill="1" applyBorder="1" applyAlignment="1">
      <alignment horizontal="center" vertical="center" wrapText="1"/>
    </xf>
    <xf numFmtId="0" fontId="0" fillId="12" borderId="5" xfId="0" applyFill="1" applyBorder="1"/>
    <xf numFmtId="0" fontId="2" fillId="12" borderId="10" xfId="0" applyFont="1" applyFill="1" applyBorder="1" applyAlignment="1">
      <alignment vertical="center" wrapText="1"/>
    </xf>
    <xf numFmtId="0" fontId="2" fillId="12" borderId="6" xfId="0" applyFont="1" applyFill="1" applyBorder="1" applyAlignment="1">
      <alignment vertical="center" wrapText="1"/>
    </xf>
    <xf numFmtId="0" fontId="24" fillId="12" borderId="3" xfId="0" applyFont="1" applyFill="1" applyBorder="1" applyAlignment="1">
      <alignment vertical="center" wrapText="1"/>
    </xf>
    <xf numFmtId="0" fontId="24" fillId="12" borderId="3" xfId="0" applyFont="1" applyFill="1" applyBorder="1" applyAlignment="1">
      <alignment horizontal="center" vertical="center" wrapText="1"/>
    </xf>
    <xf numFmtId="15" fontId="24" fillId="12" borderId="4" xfId="0" applyNumberFormat="1" applyFont="1" applyFill="1" applyBorder="1" applyAlignment="1">
      <alignment horizontal="center" vertical="center" wrapText="1"/>
    </xf>
    <xf numFmtId="9" fontId="24" fillId="12" borderId="4" xfId="1" applyFont="1" applyFill="1" applyBorder="1" applyAlignment="1">
      <alignment horizontal="center" vertical="center" wrapText="1"/>
    </xf>
    <xf numFmtId="0" fontId="24" fillId="12" borderId="21" xfId="0" applyFont="1" applyFill="1" applyBorder="1" applyAlignment="1">
      <alignment vertical="center" wrapText="1"/>
    </xf>
    <xf numFmtId="0" fontId="24" fillId="12" borderId="21" xfId="0" applyFont="1" applyFill="1" applyBorder="1" applyAlignment="1">
      <alignment horizontal="center" vertical="center" wrapText="1"/>
    </xf>
    <xf numFmtId="15" fontId="24" fillId="12" borderId="22" xfId="0" applyNumberFormat="1" applyFont="1" applyFill="1" applyBorder="1" applyAlignment="1">
      <alignment horizontal="center" vertical="center" wrapText="1"/>
    </xf>
    <xf numFmtId="9" fontId="24" fillId="12" borderId="22" xfId="1" applyFont="1" applyFill="1" applyBorder="1" applyAlignment="1">
      <alignment horizontal="center" vertical="center" wrapText="1"/>
    </xf>
    <xf numFmtId="0" fontId="0" fillId="12" borderId="17" xfId="0" applyFill="1" applyBorder="1"/>
    <xf numFmtId="0" fontId="2" fillId="12" borderId="23" xfId="0" applyFont="1" applyFill="1" applyBorder="1" applyAlignment="1">
      <alignment vertical="center" wrapText="1"/>
    </xf>
    <xf numFmtId="0" fontId="2" fillId="12" borderId="24" xfId="0" applyFont="1" applyFill="1" applyBorder="1" applyAlignment="1">
      <alignment vertical="center" wrapText="1"/>
    </xf>
    <xf numFmtId="49" fontId="3" fillId="12" borderId="25" xfId="0" applyNumberFormat="1" applyFont="1" applyFill="1" applyBorder="1" applyAlignment="1">
      <alignment horizontal="left" vertical="center" wrapText="1"/>
    </xf>
    <xf numFmtId="49" fontId="3" fillId="12" borderId="83" xfId="0" applyNumberFormat="1" applyFont="1" applyFill="1" applyBorder="1" applyAlignment="1">
      <alignment vertical="center" wrapText="1"/>
    </xf>
    <xf numFmtId="49" fontId="3" fillId="12" borderId="84" xfId="0" applyNumberFormat="1" applyFont="1" applyFill="1" applyBorder="1" applyAlignment="1">
      <alignment vertical="center" wrapText="1"/>
    </xf>
    <xf numFmtId="0" fontId="24" fillId="12" borderId="30" xfId="0" applyFont="1" applyFill="1" applyBorder="1" applyAlignment="1">
      <alignment vertical="center" wrapText="1"/>
    </xf>
    <xf numFmtId="0" fontId="24" fillId="12" borderId="30" xfId="0" applyFont="1" applyFill="1" applyBorder="1" applyAlignment="1">
      <alignment horizontal="center" vertical="center" wrapText="1"/>
    </xf>
    <xf numFmtId="15" fontId="24" fillId="12" borderId="31" xfId="0" applyNumberFormat="1" applyFont="1" applyFill="1" applyBorder="1" applyAlignment="1">
      <alignment horizontal="center" vertical="center" wrapText="1"/>
    </xf>
    <xf numFmtId="9" fontId="24" fillId="12" borderId="31" xfId="1" applyFont="1" applyFill="1" applyBorder="1" applyAlignment="1">
      <alignment horizontal="center" vertical="center" wrapText="1"/>
    </xf>
    <xf numFmtId="0" fontId="0" fillId="12" borderId="32" xfId="0" applyFill="1" applyBorder="1"/>
    <xf numFmtId="0" fontId="2" fillId="12" borderId="33" xfId="0" applyFont="1" applyFill="1" applyBorder="1" applyAlignment="1">
      <alignment vertical="center" wrapText="1"/>
    </xf>
    <xf numFmtId="0" fontId="2" fillId="12" borderId="34" xfId="0" applyFont="1" applyFill="1" applyBorder="1" applyAlignment="1">
      <alignment vertical="center" wrapText="1"/>
    </xf>
    <xf numFmtId="49" fontId="3" fillId="12" borderId="36" xfId="0" applyNumberFormat="1" applyFont="1" applyFill="1" applyBorder="1" applyAlignment="1">
      <alignment horizontal="left" vertical="center" wrapText="1"/>
    </xf>
    <xf numFmtId="0" fontId="24" fillId="6" borderId="86" xfId="0" applyFont="1" applyFill="1" applyBorder="1" applyAlignment="1">
      <alignment horizontal="left" vertical="center" wrapText="1"/>
    </xf>
    <xf numFmtId="0" fontId="24" fillId="6" borderId="86" xfId="0" applyFont="1" applyFill="1" applyBorder="1" applyAlignment="1">
      <alignment horizontal="center" vertical="center" wrapText="1"/>
    </xf>
    <xf numFmtId="15" fontId="24" fillId="6" borderId="87" xfId="0" applyNumberFormat="1" applyFont="1" applyFill="1" applyBorder="1" applyAlignment="1">
      <alignment horizontal="center" vertical="center" wrapText="1"/>
    </xf>
    <xf numFmtId="9" fontId="24" fillId="6" borderId="87" xfId="1" applyFont="1" applyFill="1" applyBorder="1" applyAlignment="1">
      <alignment horizontal="center" vertical="center" wrapText="1"/>
    </xf>
    <xf numFmtId="0" fontId="25" fillId="6" borderId="87" xfId="0" applyFont="1" applyFill="1" applyBorder="1"/>
    <xf numFmtId="0" fontId="24" fillId="6" borderId="8" xfId="0" applyFont="1" applyFill="1" applyBorder="1" applyAlignment="1">
      <alignment horizontal="left" vertical="center" wrapText="1"/>
    </xf>
    <xf numFmtId="0" fontId="24" fillId="6" borderId="88" xfId="0" applyFont="1" applyFill="1" applyBorder="1" applyAlignment="1">
      <alignment horizontal="left" vertical="center" wrapText="1"/>
    </xf>
    <xf numFmtId="49" fontId="3" fillId="6" borderId="89" xfId="0" applyNumberFormat="1" applyFont="1" applyFill="1" applyBorder="1" applyAlignment="1">
      <alignment horizontal="left" vertical="center" wrapText="1"/>
    </xf>
    <xf numFmtId="49" fontId="3" fillId="6" borderId="26" xfId="0" applyNumberFormat="1" applyFont="1" applyFill="1" applyBorder="1" applyAlignment="1">
      <alignment horizontal="center" vertical="center" wrapText="1"/>
    </xf>
    <xf numFmtId="0" fontId="24" fillId="7" borderId="21" xfId="0" applyFont="1" applyFill="1" applyBorder="1" applyAlignment="1">
      <alignment horizontal="left" vertical="center" wrapText="1"/>
    </xf>
    <xf numFmtId="0" fontId="24" fillId="7" borderId="21" xfId="0" applyFont="1" applyFill="1" applyBorder="1" applyAlignment="1">
      <alignment horizontal="center" vertical="center" wrapText="1"/>
    </xf>
    <xf numFmtId="15" fontId="24" fillId="7" borderId="22" xfId="0" applyNumberFormat="1" applyFont="1" applyFill="1" applyBorder="1" applyAlignment="1">
      <alignment horizontal="center" vertical="center" wrapText="1"/>
    </xf>
    <xf numFmtId="9" fontId="24" fillId="7" borderId="22" xfId="1" applyFont="1" applyFill="1" applyBorder="1" applyAlignment="1">
      <alignment horizontal="center" vertical="center" wrapText="1"/>
    </xf>
    <xf numFmtId="0" fontId="25" fillId="7" borderId="17" xfId="0" applyFont="1" applyFill="1" applyBorder="1"/>
    <xf numFmtId="0" fontId="24" fillId="7" borderId="23" xfId="0" applyFont="1" applyFill="1" applyBorder="1" applyAlignment="1">
      <alignment horizontal="left" vertical="center" wrapText="1"/>
    </xf>
    <xf numFmtId="0" fontId="24" fillId="7" borderId="24" xfId="0" applyFont="1" applyFill="1" applyBorder="1" applyAlignment="1">
      <alignment horizontal="left" vertical="center" wrapText="1"/>
    </xf>
    <xf numFmtId="49" fontId="25" fillId="7" borderId="26" xfId="0" applyNumberFormat="1" applyFont="1" applyFill="1" applyBorder="1" applyAlignment="1">
      <alignment horizontal="center" vertical="center" wrapText="1"/>
    </xf>
    <xf numFmtId="0" fontId="25" fillId="7" borderId="5" xfId="0" applyFont="1" applyFill="1" applyBorder="1"/>
    <xf numFmtId="0" fontId="24" fillId="7" borderId="10" xfId="0" applyFont="1" applyFill="1" applyBorder="1" applyAlignment="1">
      <alignment horizontal="left" vertical="center" wrapText="1"/>
    </xf>
    <xf numFmtId="0" fontId="24" fillId="7" borderId="6" xfId="0" applyFont="1" applyFill="1" applyBorder="1" applyAlignment="1">
      <alignment horizontal="left" vertical="center" wrapText="1"/>
    </xf>
    <xf numFmtId="49" fontId="25" fillId="7" borderId="28" xfId="0" applyNumberFormat="1" applyFont="1" applyFill="1" applyBorder="1" applyAlignment="1">
      <alignment horizontal="center" vertical="center" wrapText="1"/>
    </xf>
    <xf numFmtId="0" fontId="24" fillId="7" borderId="30" xfId="0" applyFont="1" applyFill="1" applyBorder="1" applyAlignment="1">
      <alignment horizontal="left" vertical="center" wrapText="1"/>
    </xf>
    <xf numFmtId="0" fontId="24" fillId="7" borderId="30" xfId="0" applyFont="1" applyFill="1" applyBorder="1" applyAlignment="1">
      <alignment horizontal="center" vertical="center" wrapText="1"/>
    </xf>
    <xf numFmtId="15" fontId="24" fillId="7" borderId="31" xfId="0" applyNumberFormat="1" applyFont="1" applyFill="1" applyBorder="1" applyAlignment="1">
      <alignment horizontal="center" vertical="center" wrapText="1"/>
    </xf>
    <xf numFmtId="9" fontId="24" fillId="7" borderId="31" xfId="1" applyFont="1" applyFill="1" applyBorder="1" applyAlignment="1">
      <alignment horizontal="center" vertical="center" wrapText="1"/>
    </xf>
    <xf numFmtId="0" fontId="25" fillId="7" borderId="32" xfId="0" applyFont="1" applyFill="1" applyBorder="1"/>
    <xf numFmtId="0" fontId="24" fillId="7" borderId="33" xfId="0" applyFont="1" applyFill="1" applyBorder="1" applyAlignment="1">
      <alignment horizontal="left" vertical="center" wrapText="1"/>
    </xf>
    <xf numFmtId="0" fontId="24" fillId="7" borderId="34" xfId="0" applyFont="1" applyFill="1" applyBorder="1" applyAlignment="1">
      <alignment horizontal="left" vertical="center" wrapText="1"/>
    </xf>
    <xf numFmtId="49" fontId="25" fillId="7" borderId="35" xfId="0" applyNumberFormat="1" applyFont="1" applyFill="1" applyBorder="1" applyAlignment="1">
      <alignment horizontal="center" vertical="center" wrapText="1"/>
    </xf>
    <xf numFmtId="0" fontId="30" fillId="6" borderId="85" xfId="0" applyFont="1" applyFill="1" applyBorder="1" applyAlignment="1">
      <alignment horizontal="center" vertical="center" textRotation="90" wrapText="1"/>
    </xf>
    <xf numFmtId="0" fontId="24" fillId="6" borderId="22" xfId="0" applyFont="1" applyFill="1" applyBorder="1" applyAlignment="1">
      <alignment horizontal="left" vertical="center" wrapText="1"/>
    </xf>
    <xf numFmtId="0" fontId="24" fillId="6" borderId="22" xfId="0" applyFont="1" applyFill="1" applyBorder="1" applyAlignment="1">
      <alignment horizontal="center" vertical="center" wrapText="1"/>
    </xf>
    <xf numFmtId="15" fontId="24" fillId="6" borderId="22" xfId="0" applyNumberFormat="1" applyFont="1" applyFill="1" applyBorder="1" applyAlignment="1">
      <alignment horizontal="center" vertical="center" wrapText="1"/>
    </xf>
    <xf numFmtId="9" fontId="24" fillId="6" borderId="22" xfId="1" applyFont="1" applyFill="1" applyBorder="1" applyAlignment="1">
      <alignment horizontal="center" vertical="center" wrapText="1"/>
    </xf>
    <xf numFmtId="0" fontId="24" fillId="6" borderId="30" xfId="0" applyFont="1" applyFill="1" applyBorder="1" applyAlignment="1">
      <alignment horizontal="left" vertical="center" wrapText="1"/>
    </xf>
    <xf numFmtId="0" fontId="24" fillId="6" borderId="31" xfId="0" applyFont="1" applyFill="1" applyBorder="1" applyAlignment="1">
      <alignment horizontal="center" vertical="center" wrapText="1"/>
    </xf>
    <xf numFmtId="15" fontId="24" fillId="6" borderId="31" xfId="0" applyNumberFormat="1" applyFont="1" applyFill="1" applyBorder="1" applyAlignment="1">
      <alignment horizontal="center" vertical="center" wrapText="1"/>
    </xf>
    <xf numFmtId="9" fontId="24" fillId="6" borderId="31" xfId="1" applyFont="1" applyFill="1" applyBorder="1" applyAlignment="1">
      <alignment horizontal="center" vertical="center" wrapText="1"/>
    </xf>
    <xf numFmtId="0" fontId="0" fillId="6" borderId="40" xfId="0" applyFill="1" applyBorder="1"/>
    <xf numFmtId="0" fontId="24" fillId="6" borderId="23" xfId="0" applyFont="1" applyFill="1" applyBorder="1" applyAlignment="1">
      <alignment horizontal="left" vertical="center" wrapText="1"/>
    </xf>
    <xf numFmtId="0" fontId="24" fillId="6" borderId="21" xfId="0" applyFont="1" applyFill="1" applyBorder="1" applyAlignment="1">
      <alignment horizontal="center" vertical="center" wrapText="1"/>
    </xf>
    <xf numFmtId="15" fontId="32" fillId="6" borderId="22" xfId="0" applyNumberFormat="1" applyFont="1" applyFill="1" applyBorder="1" applyAlignment="1">
      <alignment horizontal="center" vertical="center" wrapText="1"/>
    </xf>
    <xf numFmtId="15" fontId="32" fillId="6" borderId="17" xfId="0" applyNumberFormat="1" applyFont="1" applyFill="1" applyBorder="1" applyAlignment="1">
      <alignment horizontal="center" vertical="center" wrapText="1"/>
    </xf>
    <xf numFmtId="15" fontId="24" fillId="6" borderId="17" xfId="0" applyNumberFormat="1" applyFont="1" applyFill="1" applyBorder="1" applyAlignment="1">
      <alignment horizontal="center" vertical="center" wrapText="1"/>
    </xf>
    <xf numFmtId="9" fontId="24" fillId="6" borderId="17" xfId="1" applyFont="1" applyFill="1" applyBorder="1" applyAlignment="1">
      <alignment horizontal="center" vertical="center" wrapText="1"/>
    </xf>
    <xf numFmtId="0" fontId="24" fillId="6" borderId="10" xfId="0" applyFont="1" applyFill="1" applyBorder="1" applyAlignment="1">
      <alignment horizontal="left" vertical="center" wrapText="1"/>
    </xf>
    <xf numFmtId="15" fontId="32" fillId="6" borderId="3" xfId="0" applyNumberFormat="1" applyFont="1" applyFill="1" applyBorder="1" applyAlignment="1">
      <alignment horizontal="center" vertical="center" wrapText="1"/>
    </xf>
    <xf numFmtId="15" fontId="32" fillId="6" borderId="39" xfId="0" applyNumberFormat="1" applyFont="1" applyFill="1" applyBorder="1" applyAlignment="1">
      <alignment horizontal="center" vertical="center" wrapText="1"/>
    </xf>
    <xf numFmtId="15" fontId="24" fillId="6" borderId="3" xfId="0" applyNumberFormat="1" applyFont="1" applyFill="1" applyBorder="1" applyAlignment="1">
      <alignment horizontal="center" vertical="center" wrapText="1"/>
    </xf>
    <xf numFmtId="15" fontId="24" fillId="6" borderId="39" xfId="0" applyNumberFormat="1" applyFont="1" applyFill="1" applyBorder="1" applyAlignment="1">
      <alignment horizontal="center" vertical="center" wrapText="1"/>
    </xf>
    <xf numFmtId="9" fontId="24" fillId="6" borderId="39" xfId="1" applyFont="1" applyFill="1" applyBorder="1" applyAlignment="1">
      <alignment horizontal="center" vertical="center" wrapText="1"/>
    </xf>
    <xf numFmtId="15" fontId="32" fillId="6" borderId="4" xfId="0" applyNumberFormat="1" applyFont="1" applyFill="1" applyBorder="1" applyAlignment="1">
      <alignment horizontal="center" vertical="center" wrapText="1"/>
    </xf>
    <xf numFmtId="15" fontId="32" fillId="6" borderId="14" xfId="0" applyNumberFormat="1" applyFont="1" applyFill="1" applyBorder="1" applyAlignment="1">
      <alignment horizontal="center" vertical="center" wrapText="1"/>
    </xf>
    <xf numFmtId="15" fontId="24" fillId="6" borderId="14" xfId="0" applyNumberFormat="1" applyFont="1" applyFill="1" applyBorder="1" applyAlignment="1">
      <alignment horizontal="center" vertical="center" wrapText="1"/>
    </xf>
    <xf numFmtId="9" fontId="24" fillId="6" borderId="14" xfId="1" applyFont="1" applyFill="1" applyBorder="1" applyAlignment="1">
      <alignment horizontal="center" vertical="center" wrapText="1"/>
    </xf>
    <xf numFmtId="0" fontId="24" fillId="6" borderId="33" xfId="0" applyFont="1" applyFill="1" applyBorder="1" applyAlignment="1">
      <alignment horizontal="left" vertical="center" wrapText="1"/>
    </xf>
    <xf numFmtId="0" fontId="24" fillId="6" borderId="30" xfId="0" applyFont="1" applyFill="1" applyBorder="1" applyAlignment="1">
      <alignment horizontal="center" vertical="center" wrapText="1"/>
    </xf>
    <xf numFmtId="15" fontId="32" fillId="6" borderId="31" xfId="0" applyNumberFormat="1" applyFont="1" applyFill="1" applyBorder="1" applyAlignment="1">
      <alignment horizontal="center" vertical="center" wrapText="1"/>
    </xf>
    <xf numFmtId="0" fontId="24" fillId="6" borderId="4" xfId="0" applyFont="1" applyFill="1" applyBorder="1" applyAlignment="1">
      <alignment horizontal="left" vertical="center" wrapText="1"/>
    </xf>
    <xf numFmtId="0" fontId="24" fillId="6" borderId="31" xfId="0" applyFont="1" applyFill="1" applyBorder="1" applyAlignment="1">
      <alignment horizontal="left" vertical="center" wrapText="1"/>
    </xf>
    <xf numFmtId="0" fontId="24" fillId="12" borderId="22" xfId="0" applyFont="1" applyFill="1" applyBorder="1" applyAlignment="1">
      <alignment vertical="center" wrapText="1"/>
    </xf>
    <xf numFmtId="0" fontId="24" fillId="12" borderId="22" xfId="0" applyFont="1" applyFill="1" applyBorder="1" applyAlignment="1">
      <alignment horizontal="center" vertical="center" wrapText="1"/>
    </xf>
    <xf numFmtId="15" fontId="31" fillId="12" borderId="22" xfId="0" applyNumberFormat="1" applyFont="1" applyFill="1" applyBorder="1" applyAlignment="1">
      <alignment horizontal="center" vertical="center" wrapText="1"/>
    </xf>
    <xf numFmtId="0" fontId="0" fillId="12" borderId="22" xfId="0" applyFill="1" applyBorder="1"/>
    <xf numFmtId="0" fontId="2" fillId="12" borderId="22" xfId="0" applyFont="1" applyFill="1" applyBorder="1" applyAlignment="1">
      <alignment vertical="center" wrapText="1"/>
    </xf>
    <xf numFmtId="0" fontId="24" fillId="12" borderId="31" xfId="0" applyFont="1" applyFill="1" applyBorder="1" applyAlignment="1">
      <alignment vertical="center" wrapText="1"/>
    </xf>
    <xf numFmtId="0" fontId="24" fillId="12" borderId="31" xfId="0" applyFont="1" applyFill="1" applyBorder="1" applyAlignment="1">
      <alignment horizontal="center" vertical="center" wrapText="1"/>
    </xf>
    <xf numFmtId="0" fontId="0" fillId="12" borderId="31" xfId="0" applyFill="1" applyBorder="1"/>
    <xf numFmtId="0" fontId="2" fillId="12" borderId="31" xfId="0" applyFont="1" applyFill="1" applyBorder="1" applyAlignment="1">
      <alignment vertical="center" wrapText="1"/>
    </xf>
    <xf numFmtId="0" fontId="24" fillId="12" borderId="22" xfId="0" applyFont="1" applyFill="1" applyBorder="1" applyAlignment="1">
      <alignment horizontal="left" vertical="center" wrapText="1"/>
    </xf>
    <xf numFmtId="0" fontId="2" fillId="12" borderId="22" xfId="0" applyFont="1" applyFill="1" applyBorder="1" applyAlignment="1">
      <alignment horizontal="left" vertical="center" wrapText="1"/>
    </xf>
    <xf numFmtId="49" fontId="3" fillId="12" borderId="25" xfId="0" applyNumberFormat="1" applyFont="1" applyFill="1" applyBorder="1" applyAlignment="1">
      <alignment vertical="center" wrapText="1"/>
    </xf>
    <xf numFmtId="0" fontId="24" fillId="12" borderId="4" xfId="0" applyFont="1" applyFill="1" applyBorder="1" applyAlignment="1">
      <alignment horizontal="left" vertical="center" wrapText="1"/>
    </xf>
    <xf numFmtId="0" fontId="24" fillId="12" borderId="4" xfId="0" applyFont="1" applyFill="1" applyBorder="1" applyAlignment="1">
      <alignment horizontal="center" vertical="center" wrapText="1"/>
    </xf>
    <xf numFmtId="0" fontId="0" fillId="12" borderId="4" xfId="0" applyFill="1" applyBorder="1"/>
    <xf numFmtId="0" fontId="2" fillId="12" borderId="4" xfId="0" applyFont="1" applyFill="1" applyBorder="1" applyAlignment="1">
      <alignment horizontal="left" vertical="center" wrapText="1"/>
    </xf>
    <xf numFmtId="49" fontId="3" fillId="12" borderId="41" xfId="0" applyNumberFormat="1" applyFont="1" applyFill="1" applyBorder="1" applyAlignment="1">
      <alignment vertical="center" wrapText="1"/>
    </xf>
    <xf numFmtId="0" fontId="24" fillId="12" borderId="31" xfId="0" applyFont="1" applyFill="1" applyBorder="1" applyAlignment="1">
      <alignment horizontal="left" vertical="center" wrapText="1"/>
    </xf>
    <xf numFmtId="0" fontId="2" fillId="12" borderId="31" xfId="0" applyFont="1" applyFill="1" applyBorder="1" applyAlignment="1">
      <alignment horizontal="left" vertical="center" wrapText="1"/>
    </xf>
    <xf numFmtId="49" fontId="3" fillId="12" borderId="36" xfId="0" applyNumberFormat="1" applyFont="1" applyFill="1" applyBorder="1" applyAlignment="1">
      <alignment vertical="center" wrapText="1"/>
    </xf>
    <xf numFmtId="49" fontId="3" fillId="12" borderId="26" xfId="0" applyNumberFormat="1" applyFont="1" applyFill="1" applyBorder="1" applyAlignment="1">
      <alignment horizontal="center" vertical="center" wrapText="1"/>
    </xf>
    <xf numFmtId="49" fontId="3" fillId="12" borderId="35" xfId="0" applyNumberFormat="1" applyFont="1" applyFill="1" applyBorder="1" applyAlignment="1">
      <alignment horizontal="center" vertical="center" wrapText="1"/>
    </xf>
    <xf numFmtId="49" fontId="3" fillId="6" borderId="41" xfId="0" applyNumberFormat="1" applyFont="1" applyFill="1" applyBorder="1" applyAlignment="1">
      <alignment horizontal="left" vertical="center" wrapText="1"/>
    </xf>
    <xf numFmtId="0" fontId="21" fillId="6" borderId="31" xfId="0" applyFont="1" applyFill="1" applyBorder="1" applyAlignment="1">
      <alignment horizontal="left" vertical="center" wrapText="1"/>
    </xf>
    <xf numFmtId="49" fontId="22" fillId="6" borderId="26" xfId="0" applyNumberFormat="1" applyFont="1" applyFill="1" applyBorder="1" applyAlignment="1">
      <alignment horizontal="center" vertical="center" wrapText="1"/>
    </xf>
    <xf numFmtId="0" fontId="21" fillId="6" borderId="22" xfId="0" applyFont="1" applyFill="1" applyBorder="1" applyAlignment="1">
      <alignment horizontal="left" vertical="center" wrapText="1"/>
    </xf>
    <xf numFmtId="49" fontId="22" fillId="6" borderId="36" xfId="0" applyNumberFormat="1" applyFont="1" applyFill="1" applyBorder="1" applyAlignment="1">
      <alignment horizontal="left" vertical="center" wrapText="1"/>
    </xf>
    <xf numFmtId="0" fontId="21" fillId="6" borderId="34" xfId="0" applyFont="1" applyFill="1" applyBorder="1" applyAlignment="1">
      <alignment horizontal="left" vertical="center" wrapText="1"/>
    </xf>
    <xf numFmtId="0" fontId="21" fillId="6" borderId="33" xfId="0" applyFont="1" applyFill="1" applyBorder="1" applyAlignment="1">
      <alignment horizontal="left" vertical="center" wrapText="1"/>
    </xf>
    <xf numFmtId="49" fontId="22" fillId="6" borderId="25" xfId="0" applyNumberFormat="1" applyFont="1" applyFill="1" applyBorder="1" applyAlignment="1">
      <alignment horizontal="left" vertical="center" wrapText="1"/>
    </xf>
    <xf numFmtId="0" fontId="21" fillId="6" borderId="24" xfId="0" applyFont="1" applyFill="1" applyBorder="1" applyAlignment="1">
      <alignment horizontal="left" vertical="center" wrapText="1"/>
    </xf>
    <xf numFmtId="0" fontId="21" fillId="6" borderId="23" xfId="0" applyFont="1" applyFill="1" applyBorder="1" applyAlignment="1">
      <alignment horizontal="left" vertical="center" wrapText="1"/>
    </xf>
    <xf numFmtId="0" fontId="21" fillId="2" borderId="19" xfId="0" applyFont="1" applyFill="1" applyBorder="1" applyAlignment="1">
      <alignment vertical="center" textRotation="90"/>
    </xf>
    <xf numFmtId="9" fontId="21" fillId="2" borderId="18" xfId="1" applyFont="1" applyFill="1" applyBorder="1" applyAlignment="1">
      <alignment vertical="center" textRotation="90"/>
    </xf>
    <xf numFmtId="0" fontId="21" fillId="2" borderId="18" xfId="0" applyFont="1" applyFill="1" applyBorder="1" applyAlignment="1">
      <alignment horizontal="center" vertical="center" textRotation="90"/>
    </xf>
    <xf numFmtId="0" fontId="21" fillId="2" borderId="18" xfId="0" applyFont="1" applyFill="1" applyBorder="1" applyAlignment="1">
      <alignment vertical="center" textRotation="90"/>
    </xf>
    <xf numFmtId="0" fontId="21" fillId="6" borderId="4" xfId="0" applyFont="1" applyFill="1" applyBorder="1" applyAlignment="1">
      <alignment vertical="center" wrapText="1"/>
    </xf>
    <xf numFmtId="0" fontId="21" fillId="7" borderId="6" xfId="0" applyFont="1" applyFill="1" applyBorder="1" applyAlignment="1">
      <alignment horizontal="left" vertical="center" wrapText="1"/>
    </xf>
    <xf numFmtId="0" fontId="21" fillId="7" borderId="10" xfId="0" applyFont="1" applyFill="1" applyBorder="1" applyAlignment="1">
      <alignment horizontal="left" vertical="center" wrapText="1"/>
    </xf>
    <xf numFmtId="49" fontId="22" fillId="7" borderId="4" xfId="0" applyNumberFormat="1" applyFont="1" applyFill="1" applyBorder="1" applyAlignment="1">
      <alignment horizontal="left" vertical="center" wrapText="1"/>
    </xf>
    <xf numFmtId="0" fontId="21" fillId="7" borderId="6" xfId="0" applyFont="1" applyFill="1" applyBorder="1" applyAlignment="1">
      <alignment vertical="center" wrapText="1"/>
    </xf>
    <xf numFmtId="0" fontId="21" fillId="7" borderId="10" xfId="0" applyFont="1" applyFill="1" applyBorder="1" applyAlignment="1">
      <alignment vertical="center" wrapText="1"/>
    </xf>
    <xf numFmtId="49" fontId="22" fillId="7" borderId="14" xfId="0" applyNumberFormat="1" applyFont="1" applyFill="1" applyBorder="1" applyAlignment="1">
      <alignment horizontal="left" vertical="center" wrapText="1"/>
    </xf>
    <xf numFmtId="0" fontId="21" fillId="7" borderId="16" xfId="0" applyFont="1" applyFill="1" applyBorder="1" applyAlignment="1">
      <alignment vertical="center" wrapText="1"/>
    </xf>
    <xf numFmtId="0" fontId="21" fillId="7" borderId="15" xfId="0" applyFont="1" applyFill="1" applyBorder="1" applyAlignment="1">
      <alignment vertical="center" wrapText="1"/>
    </xf>
    <xf numFmtId="49" fontId="22" fillId="6" borderId="1" xfId="0" applyNumberFormat="1" applyFont="1" applyFill="1" applyBorder="1" applyAlignment="1">
      <alignment horizontal="left" vertical="center" wrapText="1"/>
    </xf>
    <xf numFmtId="0" fontId="21" fillId="6" borderId="12" xfId="0" applyFont="1" applyFill="1" applyBorder="1" applyAlignment="1">
      <alignment horizontal="left" vertical="center" wrapText="1"/>
    </xf>
    <xf numFmtId="0" fontId="21" fillId="6" borderId="11" xfId="0" applyFont="1" applyFill="1" applyBorder="1" applyAlignment="1">
      <alignment horizontal="left" vertical="center" wrapText="1"/>
    </xf>
    <xf numFmtId="0" fontId="21" fillId="6" borderId="6" xfId="0" applyFont="1" applyFill="1" applyBorder="1" applyAlignment="1">
      <alignment horizontal="left" vertical="center" wrapText="1"/>
    </xf>
    <xf numFmtId="0" fontId="21" fillId="6" borderId="10" xfId="0" applyFont="1" applyFill="1" applyBorder="1" applyAlignment="1">
      <alignment horizontal="left" vertical="center" wrapText="1"/>
    </xf>
    <xf numFmtId="49" fontId="22" fillId="6" borderId="4" xfId="0" applyNumberFormat="1" applyFont="1" applyFill="1" applyBorder="1" applyAlignment="1">
      <alignment horizontal="left" vertical="center" wrapText="1"/>
    </xf>
    <xf numFmtId="0" fontId="21" fillId="6" borderId="6" xfId="0" applyFont="1" applyFill="1" applyBorder="1" applyAlignment="1">
      <alignment vertical="center" wrapText="1"/>
    </xf>
    <xf numFmtId="0" fontId="21" fillId="6" borderId="10" xfId="0" applyFont="1" applyFill="1" applyBorder="1" applyAlignment="1">
      <alignment vertical="center" wrapText="1"/>
    </xf>
    <xf numFmtId="15" fontId="21" fillId="6" borderId="4" xfId="0" applyNumberFormat="1" applyFont="1" applyFill="1" applyBorder="1" applyAlignment="1">
      <alignment horizontal="center" vertical="center" wrapText="1"/>
    </xf>
    <xf numFmtId="0" fontId="21" fillId="2" borderId="9" xfId="0" applyFont="1" applyFill="1" applyBorder="1" applyAlignment="1">
      <alignment vertical="center" textRotation="90"/>
    </xf>
    <xf numFmtId="9" fontId="21" fillId="2" borderId="8" xfId="1" applyFont="1" applyFill="1" applyBorder="1" applyAlignment="1">
      <alignment vertical="center" textRotation="90"/>
    </xf>
    <xf numFmtId="0" fontId="21" fillId="2" borderId="8" xfId="0" applyFont="1" applyFill="1" applyBorder="1" applyAlignment="1">
      <alignment horizontal="center" vertical="center" textRotation="90"/>
    </xf>
    <xf numFmtId="0" fontId="21" fillId="2" borderId="8" xfId="0" applyFont="1" applyFill="1" applyBorder="1" applyAlignment="1">
      <alignment vertical="center" textRotation="90"/>
    </xf>
    <xf numFmtId="49" fontId="22" fillId="0" borderId="4" xfId="0" applyNumberFormat="1" applyFont="1" applyBorder="1" applyAlignment="1">
      <alignment horizontal="left" vertical="center" wrapText="1"/>
    </xf>
    <xf numFmtId="0" fontId="21" fillId="0" borderId="4" xfId="0" applyFont="1" applyBorder="1" applyAlignment="1">
      <alignment vertical="center"/>
    </xf>
    <xf numFmtId="0" fontId="21" fillId="0" borderId="6" xfId="0" applyFont="1" applyBorder="1" applyAlignment="1">
      <alignment vertical="center"/>
    </xf>
    <xf numFmtId="9" fontId="21" fillId="0" borderId="4" xfId="1" applyFont="1" applyBorder="1" applyAlignment="1">
      <alignment horizontal="center" vertical="center" wrapText="1"/>
    </xf>
    <xf numFmtId="0" fontId="21" fillId="0" borderId="3" xfId="0" applyFont="1" applyBorder="1" applyAlignment="1">
      <alignment horizontal="center" vertical="center" wrapText="1"/>
    </xf>
    <xf numFmtId="0" fontId="21" fillId="0" borderId="3" xfId="0" applyFont="1" applyBorder="1" applyAlignment="1">
      <alignment vertical="center" wrapText="1"/>
    </xf>
    <xf numFmtId="0" fontId="21" fillId="3" borderId="7" xfId="0" applyFont="1" applyFill="1" applyBorder="1" applyAlignment="1">
      <alignment horizontal="center" vertical="center" textRotation="90"/>
    </xf>
    <xf numFmtId="49" fontId="21" fillId="3" borderId="4" xfId="0" applyNumberFormat="1" applyFont="1" applyFill="1" applyBorder="1" applyAlignment="1">
      <alignment horizontal="center" vertical="center" wrapText="1"/>
    </xf>
    <xf numFmtId="17" fontId="21" fillId="4" borderId="4" xfId="0" applyNumberFormat="1" applyFont="1" applyFill="1" applyBorder="1" applyAlignment="1">
      <alignment horizontal="center" vertical="center"/>
    </xf>
    <xf numFmtId="17" fontId="21" fillId="4" borderId="6" xfId="0" applyNumberFormat="1" applyFont="1" applyFill="1" applyBorder="1" applyAlignment="1">
      <alignment horizontal="center" vertical="center"/>
    </xf>
    <xf numFmtId="9" fontId="21" fillId="5" borderId="4" xfId="1" applyFont="1" applyFill="1" applyBorder="1" applyAlignment="1">
      <alignment horizontal="center" vertical="center"/>
    </xf>
    <xf numFmtId="0" fontId="21" fillId="5" borderId="4" xfId="0" applyFont="1" applyFill="1" applyBorder="1" applyAlignment="1">
      <alignment horizontal="center" vertical="center"/>
    </xf>
    <xf numFmtId="0" fontId="21" fillId="4" borderId="4" xfId="0" applyFont="1" applyFill="1" applyBorder="1" applyAlignment="1">
      <alignment horizontal="center" vertical="center"/>
    </xf>
    <xf numFmtId="0" fontId="21" fillId="4" borderId="3" xfId="0" applyFont="1" applyFill="1" applyBorder="1" applyAlignment="1">
      <alignment horizontal="center" vertical="center"/>
    </xf>
    <xf numFmtId="0" fontId="21" fillId="3" borderId="2" xfId="0" applyFont="1" applyFill="1" applyBorder="1" applyAlignment="1">
      <alignment horizontal="center" vertical="center" textRotation="90"/>
    </xf>
    <xf numFmtId="0" fontId="24" fillId="6" borderId="2" xfId="0" applyFont="1" applyFill="1" applyBorder="1" applyAlignment="1">
      <alignment horizontal="left" vertical="center" wrapText="1"/>
    </xf>
    <xf numFmtId="0" fontId="24" fillId="6" borderId="2" xfId="0" applyFont="1" applyFill="1" applyBorder="1" applyAlignment="1">
      <alignment horizontal="center" vertical="center" wrapText="1"/>
    </xf>
    <xf numFmtId="15" fontId="24" fillId="6" borderId="1" xfId="0" applyNumberFormat="1" applyFont="1" applyFill="1" applyBorder="1" applyAlignment="1">
      <alignment horizontal="center" vertical="center" wrapText="1"/>
    </xf>
    <xf numFmtId="0" fontId="1" fillId="0" borderId="0" xfId="0" applyFont="1"/>
    <xf numFmtId="0" fontId="1" fillId="0" borderId="0" xfId="0" applyFont="1" applyAlignment="1">
      <alignment horizontal="center" vertical="center"/>
    </xf>
    <xf numFmtId="0" fontId="1" fillId="0" borderId="1" xfId="0" applyFont="1" applyBorder="1" applyAlignment="1">
      <alignment horizontal="center"/>
    </xf>
    <xf numFmtId="9" fontId="1" fillId="0" borderId="1" xfId="1" applyFont="1" applyBorder="1" applyAlignment="1">
      <alignment horizontal="center"/>
    </xf>
    <xf numFmtId="0" fontId="1" fillId="0" borderId="1" xfId="0" applyFont="1" applyBorder="1"/>
    <xf numFmtId="49" fontId="1" fillId="0" borderId="0" xfId="0" applyNumberFormat="1" applyFont="1" applyAlignment="1">
      <alignment horizontal="left" wrapText="1"/>
    </xf>
    <xf numFmtId="164" fontId="1" fillId="0" borderId="0" xfId="0" applyNumberFormat="1" applyFont="1"/>
    <xf numFmtId="0" fontId="1" fillId="0" borderId="5" xfId="0" applyFont="1" applyBorder="1"/>
    <xf numFmtId="15" fontId="21" fillId="0" borderId="4" xfId="0" applyNumberFormat="1" applyFont="1" applyBorder="1" applyAlignment="1">
      <alignment horizontal="center" vertical="center" wrapText="1"/>
    </xf>
    <xf numFmtId="0" fontId="1" fillId="2" borderId="0" xfId="0" applyFont="1" applyFill="1"/>
    <xf numFmtId="164" fontId="1" fillId="2" borderId="0" xfId="0" applyNumberFormat="1" applyFont="1" applyFill="1"/>
    <xf numFmtId="0" fontId="1" fillId="6" borderId="5" xfId="0" applyFont="1" applyFill="1" applyBorder="1"/>
    <xf numFmtId="15" fontId="1" fillId="0" borderId="0" xfId="0" applyNumberFormat="1" applyFont="1"/>
    <xf numFmtId="49" fontId="22" fillId="6" borderId="4" xfId="0" applyNumberFormat="1" applyFont="1" applyFill="1" applyBorder="1" applyAlignment="1">
      <alignment horizontal="left" vertical="top" wrapText="1"/>
    </xf>
    <xf numFmtId="0" fontId="1" fillId="7" borderId="5" xfId="0" applyFont="1" applyFill="1" applyBorder="1"/>
    <xf numFmtId="165" fontId="1" fillId="2" borderId="0" xfId="0" applyNumberFormat="1" applyFont="1" applyFill="1"/>
    <xf numFmtId="0" fontId="1" fillId="12" borderId="17" xfId="0" applyFont="1" applyFill="1" applyBorder="1"/>
    <xf numFmtId="0" fontId="21" fillId="12" borderId="23" xfId="0" applyFont="1" applyFill="1" applyBorder="1" applyAlignment="1">
      <alignment vertical="center" wrapText="1"/>
    </xf>
    <xf numFmtId="0" fontId="21" fillId="12" borderId="24" xfId="0" applyFont="1" applyFill="1" applyBorder="1" applyAlignment="1">
      <alignment vertical="center" wrapText="1"/>
    </xf>
    <xf numFmtId="49" fontId="22" fillId="12" borderId="25" xfId="0" applyNumberFormat="1" applyFont="1" applyFill="1" applyBorder="1" applyAlignment="1">
      <alignment horizontal="left" vertical="center" wrapText="1"/>
    </xf>
    <xf numFmtId="0" fontId="1" fillId="12" borderId="5" xfId="0" applyFont="1" applyFill="1" applyBorder="1"/>
    <xf numFmtId="0" fontId="21" fillId="12" borderId="10" xfId="0" applyFont="1" applyFill="1" applyBorder="1" applyAlignment="1">
      <alignment vertical="center" wrapText="1"/>
    </xf>
    <xf numFmtId="0" fontId="21" fillId="12" borderId="6" xfId="0" applyFont="1" applyFill="1" applyBorder="1" applyAlignment="1">
      <alignment vertical="center" wrapText="1"/>
    </xf>
    <xf numFmtId="49" fontId="22" fillId="12" borderId="83" xfId="0" applyNumberFormat="1" applyFont="1" applyFill="1" applyBorder="1" applyAlignment="1">
      <alignment vertical="center" wrapText="1"/>
    </xf>
    <xf numFmtId="49" fontId="22" fillId="12" borderId="84" xfId="0" applyNumberFormat="1" applyFont="1" applyFill="1" applyBorder="1" applyAlignment="1">
      <alignment vertical="center" wrapText="1"/>
    </xf>
    <xf numFmtId="0" fontId="1" fillId="12" borderId="32" xfId="0" applyFont="1" applyFill="1" applyBorder="1"/>
    <xf numFmtId="0" fontId="21" fillId="12" borderId="33" xfId="0" applyFont="1" applyFill="1" applyBorder="1" applyAlignment="1">
      <alignment vertical="center" wrapText="1"/>
    </xf>
    <xf numFmtId="0" fontId="21" fillId="12" borderId="34" xfId="0" applyFont="1" applyFill="1" applyBorder="1" applyAlignment="1">
      <alignment vertical="center" wrapText="1"/>
    </xf>
    <xf numFmtId="49" fontId="22" fillId="12" borderId="36" xfId="0" applyNumberFormat="1" applyFont="1" applyFill="1" applyBorder="1" applyAlignment="1">
      <alignment horizontal="left" vertical="center" wrapText="1"/>
    </xf>
    <xf numFmtId="49" fontId="22" fillId="6" borderId="89" xfId="0" applyNumberFormat="1" applyFont="1" applyFill="1" applyBorder="1" applyAlignment="1">
      <alignment horizontal="left" vertical="center" wrapText="1"/>
    </xf>
    <xf numFmtId="0" fontId="1" fillId="6" borderId="22" xfId="0" applyFont="1" applyFill="1" applyBorder="1"/>
    <xf numFmtId="0" fontId="1" fillId="6" borderId="31" xfId="0" applyFont="1" applyFill="1" applyBorder="1"/>
    <xf numFmtId="0" fontId="1" fillId="12" borderId="22" xfId="0" applyFont="1" applyFill="1" applyBorder="1"/>
    <xf numFmtId="0" fontId="21" fillId="12" borderId="22" xfId="0" applyFont="1" applyFill="1" applyBorder="1" applyAlignment="1">
      <alignment vertical="center" wrapText="1"/>
    </xf>
    <xf numFmtId="0" fontId="1" fillId="12" borderId="31" xfId="0" applyFont="1" applyFill="1" applyBorder="1"/>
    <xf numFmtId="0" fontId="21" fillId="12" borderId="31" xfId="0" applyFont="1" applyFill="1" applyBorder="1" applyAlignment="1">
      <alignment vertical="center" wrapText="1"/>
    </xf>
    <xf numFmtId="49" fontId="22" fillId="12" borderId="35" xfId="0" applyNumberFormat="1" applyFont="1" applyFill="1" applyBorder="1" applyAlignment="1">
      <alignment horizontal="center" vertical="center" wrapText="1"/>
    </xf>
    <xf numFmtId="0" fontId="1" fillId="6" borderId="17" xfId="0" applyFont="1" applyFill="1" applyBorder="1"/>
    <xf numFmtId="0" fontId="1" fillId="6" borderId="40" xfId="0" applyFont="1" applyFill="1" applyBorder="1"/>
    <xf numFmtId="49" fontId="22" fillId="6" borderId="41" xfId="0" applyNumberFormat="1" applyFont="1" applyFill="1" applyBorder="1" applyAlignment="1">
      <alignment horizontal="left" vertical="center" wrapText="1"/>
    </xf>
    <xf numFmtId="0" fontId="1" fillId="6" borderId="32" xfId="0" applyFont="1" applyFill="1" applyBorder="1"/>
    <xf numFmtId="0" fontId="21" fillId="12" borderId="22" xfId="0" applyFont="1" applyFill="1" applyBorder="1" applyAlignment="1">
      <alignment horizontal="left" vertical="center" wrapText="1"/>
    </xf>
    <xf numFmtId="49" fontId="22" fillId="12" borderId="25" xfId="0" applyNumberFormat="1" applyFont="1" applyFill="1" applyBorder="1" applyAlignment="1">
      <alignment vertical="center" wrapText="1"/>
    </xf>
    <xf numFmtId="0" fontId="1" fillId="12" borderId="4" xfId="0" applyFont="1" applyFill="1" applyBorder="1"/>
    <xf numFmtId="0" fontId="21" fillId="12" borderId="4" xfId="0" applyFont="1" applyFill="1" applyBorder="1" applyAlignment="1">
      <alignment horizontal="left" vertical="center" wrapText="1"/>
    </xf>
    <xf numFmtId="49" fontId="22" fillId="12" borderId="41" xfId="0" applyNumberFormat="1" applyFont="1" applyFill="1" applyBorder="1" applyAlignment="1">
      <alignment vertical="center" wrapText="1"/>
    </xf>
    <xf numFmtId="0" fontId="21" fillId="12" borderId="31" xfId="0" applyFont="1" applyFill="1" applyBorder="1" applyAlignment="1">
      <alignment horizontal="left" vertical="center" wrapText="1"/>
    </xf>
    <xf numFmtId="49" fontId="22" fillId="12" borderId="36" xfId="0" applyNumberFormat="1" applyFont="1" applyFill="1" applyBorder="1" applyAlignment="1">
      <alignment vertical="center" wrapText="1"/>
    </xf>
    <xf numFmtId="0" fontId="1" fillId="0" borderId="0" xfId="0" applyFont="1" applyAlignment="1">
      <alignment horizontal="center"/>
    </xf>
    <xf numFmtId="9" fontId="1" fillId="0" borderId="0" xfId="1" applyFont="1" applyAlignment="1">
      <alignment horizontal="center"/>
    </xf>
    <xf numFmtId="0" fontId="1" fillId="2" borderId="1" xfId="0" applyFont="1" applyFill="1" applyBorder="1"/>
    <xf numFmtId="0" fontId="1" fillId="2" borderId="5" xfId="0" applyFont="1" applyFill="1" applyBorder="1"/>
    <xf numFmtId="15" fontId="21" fillId="2" borderId="4" xfId="0" applyNumberFormat="1" applyFont="1" applyFill="1" applyBorder="1" applyAlignment="1">
      <alignment horizontal="center" vertical="center" wrapText="1"/>
    </xf>
    <xf numFmtId="9" fontId="21" fillId="2" borderId="4" xfId="1" applyFont="1" applyFill="1" applyBorder="1" applyAlignment="1">
      <alignment horizontal="center" vertical="center" wrapText="1"/>
    </xf>
    <xf numFmtId="0" fontId="24" fillId="9" borderId="52" xfId="0" applyFont="1" applyFill="1" applyBorder="1" applyAlignment="1">
      <alignment horizontal="center" vertical="center"/>
    </xf>
    <xf numFmtId="0" fontId="24" fillId="10" borderId="52" xfId="0" applyFont="1" applyFill="1" applyBorder="1" applyAlignment="1">
      <alignment horizontal="center" vertical="center"/>
    </xf>
    <xf numFmtId="0" fontId="24" fillId="11" borderId="52" xfId="0" applyFont="1" applyFill="1" applyBorder="1" applyAlignment="1">
      <alignment horizontal="center" vertical="center"/>
    </xf>
    <xf numFmtId="0" fontId="24" fillId="4" borderId="52" xfId="0" applyFont="1" applyFill="1" applyBorder="1" applyAlignment="1">
      <alignment horizontal="center" textRotation="90"/>
    </xf>
    <xf numFmtId="0" fontId="24" fillId="0" borderId="52" xfId="0" applyFont="1" applyBorder="1" applyAlignment="1">
      <alignment horizontal="center" vertical="center"/>
    </xf>
    <xf numFmtId="9" fontId="34" fillId="0" borderId="52" xfId="0" applyNumberFormat="1" applyFont="1" applyBorder="1" applyAlignment="1">
      <alignment horizontal="left" vertical="center"/>
    </xf>
    <xf numFmtId="9" fontId="24" fillId="0" borderId="52" xfId="0" applyNumberFormat="1" applyFont="1" applyBorder="1" applyAlignment="1">
      <alignment horizontal="left" vertical="center"/>
    </xf>
    <xf numFmtId="9" fontId="34" fillId="0" borderId="52" xfId="1" applyFont="1" applyBorder="1" applyAlignment="1">
      <alignment horizontal="right" vertical="center"/>
    </xf>
    <xf numFmtId="9" fontId="24" fillId="0" borderId="52" xfId="1" applyFont="1" applyBorder="1" applyAlignment="1">
      <alignment horizontal="right" vertical="center"/>
    </xf>
    <xf numFmtId="9" fontId="33" fillId="0" borderId="53" xfId="0" applyNumberFormat="1" applyFont="1" applyBorder="1" applyAlignment="1">
      <alignment horizontal="left" vertical="center"/>
    </xf>
    <xf numFmtId="9" fontId="38" fillId="0" borderId="52" xfId="0" applyNumberFormat="1" applyFont="1" applyBorder="1" applyAlignment="1">
      <alignment horizontal="center" vertical="center"/>
    </xf>
    <xf numFmtId="0" fontId="39" fillId="8" borderId="69" xfId="0" applyFont="1" applyFill="1" applyBorder="1" applyAlignment="1">
      <alignment horizontal="center" vertical="center"/>
    </xf>
    <xf numFmtId="0" fontId="39" fillId="8" borderId="70" xfId="0" applyFont="1" applyFill="1" applyBorder="1" applyAlignment="1">
      <alignment horizontal="center" vertical="center"/>
    </xf>
    <xf numFmtId="15" fontId="40" fillId="12" borderId="22" xfId="0" applyNumberFormat="1" applyFont="1" applyFill="1" applyBorder="1" applyAlignment="1">
      <alignment horizontal="center" vertical="center" wrapText="1"/>
    </xf>
    <xf numFmtId="0" fontId="21" fillId="12" borderId="21" xfId="0" applyFont="1" applyFill="1" applyBorder="1" applyAlignment="1">
      <alignment vertical="center" wrapText="1"/>
    </xf>
    <xf numFmtId="49" fontId="22" fillId="12" borderId="90" xfId="0" applyNumberFormat="1" applyFont="1" applyFill="1" applyBorder="1" applyAlignment="1">
      <alignment horizontal="center" vertical="center" wrapText="1"/>
    </xf>
    <xf numFmtId="49" fontId="3" fillId="12" borderId="90" xfId="0" applyNumberFormat="1" applyFont="1" applyFill="1" applyBorder="1" applyAlignment="1">
      <alignment horizontal="center" vertical="center" wrapText="1"/>
    </xf>
    <xf numFmtId="0" fontId="2" fillId="12" borderId="21" xfId="0" applyFont="1" applyFill="1" applyBorder="1" applyAlignment="1">
      <alignment vertical="center" wrapText="1"/>
    </xf>
    <xf numFmtId="49" fontId="3" fillId="12" borderId="26" xfId="0" applyNumberFormat="1" applyFont="1" applyFill="1" applyBorder="1" applyAlignment="1">
      <alignment vertical="center" wrapText="1"/>
    </xf>
    <xf numFmtId="0" fontId="21" fillId="2" borderId="77" xfId="0" applyFont="1" applyFill="1" applyBorder="1" applyAlignment="1">
      <alignment vertical="center" textRotation="90"/>
    </xf>
    <xf numFmtId="0" fontId="21" fillId="6" borderId="91" xfId="0" applyFont="1" applyFill="1" applyBorder="1" applyAlignment="1">
      <alignment horizontal="left" vertical="center" wrapText="1"/>
    </xf>
    <xf numFmtId="0" fontId="21" fillId="6" borderId="92" xfId="0" applyFont="1" applyFill="1" applyBorder="1" applyAlignment="1">
      <alignment horizontal="left" vertical="center" wrapText="1"/>
    </xf>
    <xf numFmtId="0" fontId="21" fillId="6" borderId="93" xfId="0" applyFont="1" applyFill="1" applyBorder="1" applyAlignment="1">
      <alignment horizontal="left" vertical="center" wrapText="1"/>
    </xf>
    <xf numFmtId="0" fontId="28" fillId="13" borderId="46" xfId="0" applyFont="1" applyFill="1" applyBorder="1" applyAlignment="1">
      <alignment horizontal="center" vertical="center" wrapText="1"/>
    </xf>
    <xf numFmtId="0" fontId="28" fillId="12" borderId="46" xfId="0" applyFont="1" applyFill="1" applyBorder="1" applyAlignment="1">
      <alignment horizontal="center" vertical="center" wrapText="1"/>
    </xf>
    <xf numFmtId="0" fontId="28" fillId="13" borderId="48" xfId="0" applyFont="1" applyFill="1" applyBorder="1" applyAlignment="1">
      <alignment horizontal="center" vertical="center" wrapText="1"/>
    </xf>
    <xf numFmtId="0" fontId="28" fillId="12" borderId="48" xfId="0" applyFont="1" applyFill="1" applyBorder="1" applyAlignment="1">
      <alignment horizontal="center" vertical="center" wrapText="1"/>
    </xf>
    <xf numFmtId="15" fontId="29" fillId="0" borderId="74" xfId="0" applyNumberFormat="1" applyFont="1" applyBorder="1" applyAlignment="1">
      <alignment vertical="center"/>
    </xf>
    <xf numFmtId="15" fontId="29" fillId="0" borderId="76" xfId="0" applyNumberFormat="1" applyFont="1" applyBorder="1" applyAlignment="1">
      <alignment vertical="center"/>
    </xf>
    <xf numFmtId="0" fontId="42" fillId="0" borderId="0" xfId="0" applyFont="1"/>
    <xf numFmtId="0" fontId="39" fillId="8" borderId="95" xfId="0" applyFont="1" applyFill="1" applyBorder="1" applyAlignment="1">
      <alignment horizontal="center" vertical="center"/>
    </xf>
    <xf numFmtId="0" fontId="39" fillId="8" borderId="96" xfId="0" applyFont="1" applyFill="1" applyBorder="1" applyAlignment="1">
      <alignment horizontal="center" vertical="center"/>
    </xf>
    <xf numFmtId="0" fontId="30" fillId="6" borderId="1" xfId="0" applyFont="1" applyFill="1" applyBorder="1" applyAlignment="1">
      <alignment horizontal="center" vertical="center" textRotation="90"/>
    </xf>
    <xf numFmtId="0" fontId="30" fillId="6" borderId="5" xfId="0" applyFont="1" applyFill="1" applyBorder="1" applyAlignment="1">
      <alignment horizontal="center" vertical="center" textRotation="90"/>
    </xf>
    <xf numFmtId="0" fontId="30" fillId="7" borderId="17" xfId="0" applyFont="1" applyFill="1" applyBorder="1" applyAlignment="1">
      <alignment horizontal="center" vertical="center" textRotation="90"/>
    </xf>
    <xf numFmtId="0" fontId="30" fillId="7" borderId="5" xfId="0" applyFont="1" applyFill="1" applyBorder="1" applyAlignment="1">
      <alignment horizontal="center" vertical="center" textRotation="90"/>
    </xf>
    <xf numFmtId="0" fontId="30" fillId="7" borderId="32" xfId="0" applyFont="1" applyFill="1" applyBorder="1" applyAlignment="1">
      <alignment horizontal="center" vertical="center" textRotation="90"/>
    </xf>
    <xf numFmtId="0" fontId="30" fillId="6" borderId="17" xfId="0" applyFont="1" applyFill="1" applyBorder="1" applyAlignment="1">
      <alignment horizontal="center" vertical="center" textRotation="90"/>
    </xf>
    <xf numFmtId="0" fontId="30" fillId="6" borderId="32" xfId="0" applyFont="1" applyFill="1" applyBorder="1" applyAlignment="1">
      <alignment horizontal="center" vertical="center" textRotation="90"/>
    </xf>
    <xf numFmtId="0" fontId="30" fillId="6" borderId="78" xfId="0" applyFont="1" applyFill="1" applyBorder="1" applyAlignment="1">
      <alignment horizontal="center" vertical="center" textRotation="90"/>
    </xf>
    <xf numFmtId="0" fontId="30" fillId="6" borderId="79" xfId="0" applyFont="1" applyFill="1" applyBorder="1" applyAlignment="1">
      <alignment horizontal="center" vertical="center" textRotation="90"/>
    </xf>
    <xf numFmtId="0" fontId="30" fillId="6" borderId="81" xfId="0" applyFont="1" applyFill="1" applyBorder="1" applyAlignment="1">
      <alignment horizontal="center" vertical="center" textRotation="90"/>
    </xf>
    <xf numFmtId="0" fontId="30" fillId="12" borderId="20" xfId="0" applyFont="1" applyFill="1" applyBorder="1" applyAlignment="1">
      <alignment horizontal="center" vertical="center" textRotation="90"/>
    </xf>
    <xf numFmtId="0" fontId="30" fillId="12" borderId="27" xfId="0" applyFont="1" applyFill="1" applyBorder="1" applyAlignment="1">
      <alignment horizontal="center" vertical="center" textRotation="90"/>
    </xf>
    <xf numFmtId="0" fontId="30" fillId="12" borderId="29" xfId="0" applyFont="1" applyFill="1" applyBorder="1" applyAlignment="1">
      <alignment horizontal="center" vertical="center" textRotation="90"/>
    </xf>
    <xf numFmtId="0" fontId="30" fillId="7" borderId="20" xfId="0" applyFont="1" applyFill="1" applyBorder="1" applyAlignment="1">
      <alignment horizontal="center" vertical="center" textRotation="90"/>
    </xf>
    <xf numFmtId="0" fontId="30" fillId="7" borderId="27" xfId="0" applyFont="1" applyFill="1" applyBorder="1" applyAlignment="1">
      <alignment horizontal="center" vertical="center" textRotation="90"/>
    </xf>
    <xf numFmtId="0" fontId="30" fillId="7" borderId="29" xfId="0" applyFont="1" applyFill="1" applyBorder="1" applyAlignment="1">
      <alignment horizontal="center" vertical="center" textRotation="90"/>
    </xf>
    <xf numFmtId="0" fontId="30" fillId="6" borderId="20" xfId="0" applyFont="1" applyFill="1" applyBorder="1" applyAlignment="1">
      <alignment horizontal="center" vertical="center" textRotation="90"/>
    </xf>
    <xf numFmtId="0" fontId="30" fillId="6" borderId="29" xfId="0" applyFont="1" applyFill="1" applyBorder="1" applyAlignment="1">
      <alignment horizontal="center" vertical="center" textRotation="90"/>
    </xf>
    <xf numFmtId="0" fontId="2" fillId="0" borderId="3" xfId="0" applyFont="1" applyBorder="1" applyAlignment="1">
      <alignment horizontal="left" vertical="center" wrapText="1"/>
    </xf>
    <xf numFmtId="0" fontId="2" fillId="0" borderId="10" xfId="0" applyFont="1" applyBorder="1" applyAlignment="1">
      <alignment horizontal="left" vertical="center" wrapText="1"/>
    </xf>
    <xf numFmtId="0" fontId="2" fillId="0" borderId="6" xfId="0" applyFont="1" applyBorder="1" applyAlignment="1">
      <alignment horizontal="left" vertical="center" wrapText="1"/>
    </xf>
    <xf numFmtId="0" fontId="2" fillId="3" borderId="1" xfId="0" applyFont="1" applyFill="1" applyBorder="1" applyAlignment="1">
      <alignment horizontal="center" vertical="center" textRotation="90"/>
    </xf>
    <xf numFmtId="0" fontId="2" fillId="3" borderId="5" xfId="0" applyFont="1" applyFill="1" applyBorder="1" applyAlignment="1">
      <alignment horizontal="center" vertical="center" textRotation="90"/>
    </xf>
    <xf numFmtId="0" fontId="2" fillId="3" borderId="14" xfId="0" applyFont="1" applyFill="1" applyBorder="1" applyAlignment="1">
      <alignment horizontal="center" vertical="center" textRotation="90"/>
    </xf>
    <xf numFmtId="0" fontId="2" fillId="0" borderId="4" xfId="0" applyFont="1" applyBorder="1" applyAlignment="1">
      <alignment horizontal="left" vertical="center" wrapText="1"/>
    </xf>
    <xf numFmtId="0" fontId="2" fillId="0" borderId="4" xfId="0" applyFont="1" applyBorder="1" applyAlignment="1">
      <alignment horizontal="left" vertical="center"/>
    </xf>
    <xf numFmtId="0" fontId="36" fillId="0" borderId="54" xfId="0" applyFont="1" applyBorder="1" applyAlignment="1">
      <alignment horizontal="center" vertical="center"/>
    </xf>
    <xf numFmtId="0" fontId="36" fillId="0" borderId="55" xfId="0" applyFont="1" applyBorder="1" applyAlignment="1">
      <alignment horizontal="center" vertical="center"/>
    </xf>
    <xf numFmtId="0" fontId="36" fillId="0" borderId="56" xfId="0" applyFont="1" applyBorder="1" applyAlignment="1">
      <alignment horizontal="center" vertical="center"/>
    </xf>
    <xf numFmtId="0" fontId="36" fillId="0" borderId="57" xfId="0" applyFont="1" applyBorder="1" applyAlignment="1">
      <alignment horizontal="center" vertical="center"/>
    </xf>
    <xf numFmtId="0" fontId="36" fillId="0" borderId="0" xfId="0" applyFont="1" applyAlignment="1">
      <alignment horizontal="center" vertical="center"/>
    </xf>
    <xf numFmtId="0" fontId="36" fillId="0" borderId="58" xfId="0" applyFont="1" applyBorder="1" applyAlignment="1">
      <alignment horizontal="center" vertical="center"/>
    </xf>
    <xf numFmtId="0" fontId="36" fillId="0" borderId="60" xfId="0" applyFont="1" applyBorder="1" applyAlignment="1">
      <alignment horizontal="center" vertical="center"/>
    </xf>
    <xf numFmtId="0" fontId="36" fillId="0" borderId="62" xfId="0" applyFont="1" applyBorder="1" applyAlignment="1">
      <alignment horizontal="center"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0" fontId="14" fillId="0" borderId="56" xfId="0" applyFont="1" applyBorder="1" applyAlignment="1">
      <alignment horizontal="center" vertical="center"/>
    </xf>
    <xf numFmtId="0" fontId="14" fillId="0" borderId="57" xfId="0" applyFont="1" applyBorder="1" applyAlignment="1">
      <alignment horizontal="center" vertical="center"/>
    </xf>
    <xf numFmtId="0" fontId="14" fillId="0" borderId="0" xfId="0" applyFont="1" applyAlignment="1">
      <alignment horizontal="center" vertical="center"/>
    </xf>
    <xf numFmtId="0" fontId="14" fillId="0" borderId="58" xfId="0" applyFont="1" applyBorder="1" applyAlignment="1">
      <alignment horizontal="center" vertical="center"/>
    </xf>
    <xf numFmtId="0" fontId="14" fillId="0" borderId="59" xfId="0" applyFont="1" applyBorder="1" applyAlignment="1">
      <alignment horizontal="center" vertical="center"/>
    </xf>
    <xf numFmtId="0" fontId="14" fillId="0" borderId="60" xfId="0" applyFont="1" applyBorder="1" applyAlignment="1">
      <alignment horizontal="center" vertical="center"/>
    </xf>
    <xf numFmtId="0" fontId="14" fillId="0" borderId="62" xfId="0" applyFont="1" applyBorder="1" applyAlignment="1">
      <alignment horizontal="center" vertical="center"/>
    </xf>
    <xf numFmtId="0" fontId="35" fillId="0" borderId="52" xfId="0" applyFont="1" applyBorder="1" applyAlignment="1">
      <alignment horizontal="center" vertical="center"/>
    </xf>
    <xf numFmtId="0" fontId="0" fillId="0" borderId="59" xfId="0" applyBorder="1" applyAlignment="1">
      <alignment horizontal="center"/>
    </xf>
    <xf numFmtId="0" fontId="0" fillId="0" borderId="60" xfId="0" applyBorder="1" applyAlignment="1">
      <alignment horizontal="center"/>
    </xf>
    <xf numFmtId="0" fontId="0" fillId="0" borderId="61" xfId="0" applyBorder="1" applyAlignment="1">
      <alignment horizontal="center"/>
    </xf>
    <xf numFmtId="0" fontId="0" fillId="0" borderId="66" xfId="0" applyBorder="1" applyAlignment="1">
      <alignment horizontal="center"/>
    </xf>
    <xf numFmtId="0" fontId="0" fillId="0" borderId="63" xfId="0" applyBorder="1" applyAlignment="1">
      <alignment horizontal="center"/>
    </xf>
    <xf numFmtId="0" fontId="0" fillId="0" borderId="64" xfId="0" applyBorder="1" applyAlignment="1">
      <alignment horizontal="center"/>
    </xf>
    <xf numFmtId="0" fontId="0" fillId="0" borderId="65" xfId="0" applyBorder="1" applyAlignment="1">
      <alignment horizontal="center"/>
    </xf>
    <xf numFmtId="0" fontId="9" fillId="8" borderId="94" xfId="0" applyFont="1" applyFill="1" applyBorder="1" applyAlignment="1">
      <alignment horizontal="center" vertical="center"/>
    </xf>
    <xf numFmtId="0" fontId="9" fillId="8" borderId="95" xfId="0" applyFont="1" applyFill="1" applyBorder="1" applyAlignment="1">
      <alignment horizontal="center" vertical="center"/>
    </xf>
    <xf numFmtId="0" fontId="41" fillId="13" borderId="43" xfId="0" applyFont="1" applyFill="1" applyBorder="1" applyAlignment="1">
      <alignment horizontal="center" vertical="center"/>
    </xf>
    <xf numFmtId="0" fontId="41" fillId="13" borderId="45" xfId="0" applyFont="1" applyFill="1" applyBorder="1" applyAlignment="1">
      <alignment horizontal="center" vertical="center"/>
    </xf>
    <xf numFmtId="0" fontId="41" fillId="12" borderId="43" xfId="0" applyFont="1" applyFill="1" applyBorder="1" applyAlignment="1">
      <alignment horizontal="center" vertical="center"/>
    </xf>
    <xf numFmtId="0" fontId="41" fillId="12" borderId="45" xfId="0" applyFont="1" applyFill="1" applyBorder="1" applyAlignment="1">
      <alignment horizontal="center" vertical="center"/>
    </xf>
    <xf numFmtId="0" fontId="27" fillId="13" borderId="78" xfId="0" applyFont="1" applyFill="1" applyBorder="1" applyAlignment="1">
      <alignment horizontal="center" vertical="center"/>
    </xf>
    <xf numFmtId="0" fontId="27" fillId="13" borderId="18" xfId="0" applyFont="1" applyFill="1" applyBorder="1" applyAlignment="1">
      <alignment horizontal="center" vertical="center"/>
    </xf>
    <xf numFmtId="0" fontId="27" fillId="13" borderId="19" xfId="0" applyFont="1" applyFill="1" applyBorder="1" applyAlignment="1">
      <alignment horizontal="center" vertical="center"/>
    </xf>
    <xf numFmtId="0" fontId="27" fillId="13" borderId="79" xfId="0" applyFont="1" applyFill="1" applyBorder="1" applyAlignment="1">
      <alignment horizontal="center" vertical="center"/>
    </xf>
    <xf numFmtId="0" fontId="27" fillId="13" borderId="0" xfId="0" applyFont="1" applyFill="1" applyAlignment="1">
      <alignment horizontal="center" vertical="center"/>
    </xf>
    <xf numFmtId="0" fontId="27" fillId="13" borderId="80" xfId="0" applyFont="1" applyFill="1" applyBorder="1" applyAlignment="1">
      <alignment horizontal="center" vertical="center"/>
    </xf>
    <xf numFmtId="0" fontId="27" fillId="13" borderId="81" xfId="0" applyFont="1" applyFill="1" applyBorder="1" applyAlignment="1">
      <alignment horizontal="center" vertical="center"/>
    </xf>
    <xf numFmtId="0" fontId="27" fillId="13" borderId="77" xfId="0" applyFont="1" applyFill="1" applyBorder="1" applyAlignment="1">
      <alignment horizontal="center" vertical="center"/>
    </xf>
    <xf numFmtId="0" fontId="27" fillId="13" borderId="82" xfId="0" applyFont="1" applyFill="1" applyBorder="1" applyAlignment="1">
      <alignment horizontal="center" vertical="center"/>
    </xf>
    <xf numFmtId="0" fontId="27" fillId="12" borderId="78" xfId="0" applyFont="1" applyFill="1" applyBorder="1" applyAlignment="1">
      <alignment horizontal="center" vertical="center"/>
    </xf>
    <xf numFmtId="0" fontId="27" fillId="12" borderId="18" xfId="0" applyFont="1" applyFill="1" applyBorder="1" applyAlignment="1">
      <alignment horizontal="center" vertical="center"/>
    </xf>
    <xf numFmtId="0" fontId="27" fillId="12" borderId="19" xfId="0" applyFont="1" applyFill="1" applyBorder="1" applyAlignment="1">
      <alignment horizontal="center" vertical="center"/>
    </xf>
    <xf numFmtId="0" fontId="27" fillId="12" borderId="79" xfId="0" applyFont="1" applyFill="1" applyBorder="1" applyAlignment="1">
      <alignment horizontal="center" vertical="center"/>
    </xf>
    <xf numFmtId="0" fontId="27" fillId="12" borderId="0" xfId="0" applyFont="1" applyFill="1" applyAlignment="1">
      <alignment horizontal="center" vertical="center"/>
    </xf>
    <xf numFmtId="0" fontId="27" fillId="12" borderId="80" xfId="0" applyFont="1" applyFill="1" applyBorder="1" applyAlignment="1">
      <alignment horizontal="center" vertical="center"/>
    </xf>
    <xf numFmtId="0" fontId="27" fillId="12" borderId="81" xfId="0" applyFont="1" applyFill="1" applyBorder="1" applyAlignment="1">
      <alignment horizontal="center" vertical="center"/>
    </xf>
    <xf numFmtId="0" fontId="27" fillId="12" borderId="77" xfId="0" applyFont="1" applyFill="1" applyBorder="1" applyAlignment="1">
      <alignment horizontal="center" vertical="center"/>
    </xf>
    <xf numFmtId="0" fontId="27" fillId="12" borderId="82" xfId="0" applyFont="1" applyFill="1" applyBorder="1" applyAlignment="1">
      <alignment horizontal="center" vertical="center"/>
    </xf>
    <xf numFmtId="15" fontId="29" fillId="0" borderId="48" xfId="0" applyNumberFormat="1" applyFont="1" applyBorder="1" applyAlignment="1">
      <alignment horizontal="center" vertical="center"/>
    </xf>
    <xf numFmtId="15" fontId="29" fillId="0" borderId="51" xfId="0" applyNumberFormat="1" applyFont="1" applyBorder="1" applyAlignment="1">
      <alignment horizontal="center" vertical="center"/>
    </xf>
    <xf numFmtId="0" fontId="30" fillId="6" borderId="37" xfId="0" applyFont="1" applyFill="1" applyBorder="1" applyAlignment="1">
      <alignment horizontal="center" vertical="center" textRotation="90"/>
    </xf>
    <xf numFmtId="0" fontId="30" fillId="6" borderId="38" xfId="0" applyFont="1" applyFill="1" applyBorder="1" applyAlignment="1">
      <alignment horizontal="center" vertical="center" textRotation="90"/>
    </xf>
    <xf numFmtId="0" fontId="30" fillId="6" borderId="42" xfId="0" applyFont="1" applyFill="1" applyBorder="1" applyAlignment="1">
      <alignment horizontal="center" vertical="center" textRotation="90"/>
    </xf>
    <xf numFmtId="15" fontId="29" fillId="0" borderId="47" xfId="0" applyNumberFormat="1" applyFont="1" applyBorder="1" applyAlignment="1">
      <alignment horizontal="center" vertical="center"/>
    </xf>
    <xf numFmtId="15" fontId="29" fillId="0" borderId="50" xfId="0" applyNumberFormat="1" applyFont="1" applyBorder="1" applyAlignment="1">
      <alignment horizontal="center" vertical="center"/>
    </xf>
    <xf numFmtId="0" fontId="28" fillId="13" borderId="46" xfId="0" applyFont="1" applyFill="1" applyBorder="1" applyAlignment="1">
      <alignment horizontal="center" vertical="center"/>
    </xf>
    <xf numFmtId="0" fontId="28" fillId="13" borderId="47" xfId="0" applyFont="1" applyFill="1" applyBorder="1" applyAlignment="1">
      <alignment horizontal="center" vertical="center"/>
    </xf>
    <xf numFmtId="0" fontId="28" fillId="13" borderId="48" xfId="0" applyFont="1" applyFill="1" applyBorder="1" applyAlignment="1">
      <alignment horizontal="center" vertical="center"/>
    </xf>
    <xf numFmtId="0" fontId="28" fillId="12" borderId="46" xfId="0" applyFont="1" applyFill="1" applyBorder="1" applyAlignment="1">
      <alignment horizontal="center" vertical="center"/>
    </xf>
    <xf numFmtId="0" fontId="28" fillId="12" borderId="47" xfId="0" applyFont="1" applyFill="1" applyBorder="1" applyAlignment="1">
      <alignment horizontal="center" vertical="center"/>
    </xf>
    <xf numFmtId="0" fontId="28" fillId="12" borderId="48" xfId="0" applyFont="1" applyFill="1" applyBorder="1" applyAlignment="1">
      <alignment horizontal="center" vertical="center"/>
    </xf>
    <xf numFmtId="0" fontId="28" fillId="13" borderId="47" xfId="0" applyFont="1" applyFill="1" applyBorder="1" applyAlignment="1">
      <alignment horizontal="center" vertical="center" wrapText="1"/>
    </xf>
    <xf numFmtId="0" fontId="28" fillId="12" borderId="46" xfId="0" applyFont="1" applyFill="1" applyBorder="1" applyAlignment="1">
      <alignment horizontal="center" vertical="center" wrapText="1"/>
    </xf>
    <xf numFmtId="0" fontId="28" fillId="12" borderId="47" xfId="0" applyFont="1" applyFill="1" applyBorder="1" applyAlignment="1">
      <alignment horizontal="center" vertical="center" wrapText="1"/>
    </xf>
    <xf numFmtId="0" fontId="37" fillId="13" borderId="78" xfId="0" applyFont="1" applyFill="1" applyBorder="1" applyAlignment="1">
      <alignment horizontal="center" vertical="center"/>
    </xf>
    <xf numFmtId="0" fontId="37" fillId="13" borderId="18" xfId="0" applyFont="1" applyFill="1" applyBorder="1" applyAlignment="1">
      <alignment horizontal="center" vertical="center"/>
    </xf>
    <xf numFmtId="0" fontId="37" fillId="13" borderId="19" xfId="0" applyFont="1" applyFill="1" applyBorder="1" applyAlignment="1">
      <alignment horizontal="center" vertical="center"/>
    </xf>
    <xf numFmtId="0" fontId="37" fillId="13" borderId="79" xfId="0" applyFont="1" applyFill="1" applyBorder="1" applyAlignment="1">
      <alignment horizontal="center" vertical="center"/>
    </xf>
    <xf numFmtId="0" fontId="37" fillId="13" borderId="0" xfId="0" applyFont="1" applyFill="1" applyAlignment="1">
      <alignment horizontal="center" vertical="center"/>
    </xf>
    <xf numFmtId="0" fontId="37" fillId="13" borderId="80" xfId="0" applyFont="1" applyFill="1" applyBorder="1" applyAlignment="1">
      <alignment horizontal="center" vertical="center"/>
    </xf>
    <xf numFmtId="0" fontId="37" fillId="13" borderId="81" xfId="0" applyFont="1" applyFill="1" applyBorder="1" applyAlignment="1">
      <alignment horizontal="center" vertical="center"/>
    </xf>
    <xf numFmtId="0" fontId="37" fillId="13" borderId="77" xfId="0" applyFont="1" applyFill="1" applyBorder="1" applyAlignment="1">
      <alignment horizontal="center" vertical="center"/>
    </xf>
    <xf numFmtId="0" fontId="37" fillId="13" borderId="82" xfId="0" applyFont="1" applyFill="1" applyBorder="1" applyAlignment="1">
      <alignment horizontal="center" vertical="center"/>
    </xf>
    <xf numFmtId="0" fontId="9" fillId="8" borderId="68" xfId="0" applyFont="1" applyFill="1" applyBorder="1" applyAlignment="1">
      <alignment horizontal="center" vertical="center"/>
    </xf>
    <xf numFmtId="0" fontId="9" fillId="8" borderId="69" xfId="0" applyFont="1" applyFill="1" applyBorder="1" applyAlignment="1">
      <alignment horizontal="center" vertical="center"/>
    </xf>
    <xf numFmtId="0" fontId="28" fillId="13" borderId="43" xfId="0" applyFont="1" applyFill="1" applyBorder="1" applyAlignment="1">
      <alignment horizontal="center" vertical="center"/>
    </xf>
    <xf numFmtId="0" fontId="28" fillId="13" borderId="44" xfId="0" applyFont="1" applyFill="1" applyBorder="1" applyAlignment="1">
      <alignment horizontal="center" vertical="center"/>
    </xf>
    <xf numFmtId="0" fontId="28" fillId="13" borderId="45" xfId="0" applyFont="1" applyFill="1" applyBorder="1" applyAlignment="1">
      <alignment horizontal="center" vertical="center"/>
    </xf>
    <xf numFmtId="0" fontId="28" fillId="12" borderId="43" xfId="0" applyFont="1" applyFill="1" applyBorder="1" applyAlignment="1">
      <alignment horizontal="center" vertical="center"/>
    </xf>
    <xf numFmtId="0" fontId="28" fillId="12" borderId="44" xfId="0" applyFont="1" applyFill="1" applyBorder="1" applyAlignment="1">
      <alignment horizontal="center" vertical="center"/>
    </xf>
    <xf numFmtId="0" fontId="28" fillId="12" borderId="45" xfId="0" applyFont="1" applyFill="1" applyBorder="1" applyAlignment="1">
      <alignment horizontal="center" vertical="center"/>
    </xf>
    <xf numFmtId="0" fontId="28" fillId="13" borderId="67" xfId="0" applyFont="1" applyFill="1" applyBorder="1" applyAlignment="1">
      <alignment horizontal="center" vertical="center" wrapText="1"/>
    </xf>
    <xf numFmtId="0" fontId="28" fillId="13" borderId="46" xfId="0" applyFont="1" applyFill="1" applyBorder="1" applyAlignment="1">
      <alignment horizontal="center" vertical="center" wrapText="1"/>
    </xf>
  </cellXfs>
  <cellStyles count="2">
    <cellStyle name="Normal" xfId="0" builtinId="0"/>
    <cellStyle name="Percent" xfId="1" builtinId="5"/>
  </cellStyles>
  <dxfs count="15">
    <dxf>
      <font>
        <color rgb="FF00B050"/>
      </font>
    </dxf>
    <dxf>
      <font>
        <color theme="5"/>
      </font>
    </dxf>
    <dxf>
      <font>
        <color rgb="FFC00000"/>
      </font>
    </dxf>
    <dxf>
      <font>
        <color rgb="FF00B050"/>
      </font>
    </dxf>
    <dxf>
      <font>
        <color theme="5"/>
      </font>
    </dxf>
    <dxf>
      <font>
        <color rgb="FFC00000"/>
      </font>
    </dxf>
    <dxf>
      <font>
        <color rgb="FF00B050"/>
      </font>
    </dxf>
    <dxf>
      <font>
        <color theme="5"/>
      </font>
    </dxf>
    <dxf>
      <font>
        <color rgb="FFC00000"/>
      </font>
    </dxf>
    <dxf>
      <font>
        <color rgb="FF00B050"/>
      </font>
    </dxf>
    <dxf>
      <font>
        <color theme="5"/>
      </font>
    </dxf>
    <dxf>
      <font>
        <color rgb="FFC00000"/>
      </font>
    </dxf>
    <dxf>
      <font>
        <color rgb="FF00B050"/>
      </font>
    </dxf>
    <dxf>
      <font>
        <color theme="5"/>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17217</xdr:colOff>
      <xdr:row>18</xdr:row>
      <xdr:rowOff>291996</xdr:rowOff>
    </xdr:from>
    <xdr:to>
      <xdr:col>5</xdr:col>
      <xdr:colOff>494109</xdr:colOff>
      <xdr:row>18</xdr:row>
      <xdr:rowOff>291996</xdr:rowOff>
    </xdr:to>
    <xdr:cxnSp macro="">
      <xdr:nvCxnSpPr>
        <xdr:cNvPr id="6" name="Straight Connector 2">
          <a:extLst>
            <a:ext uri="{FF2B5EF4-FFF2-40B4-BE49-F238E27FC236}">
              <a16:creationId xmlns:a16="http://schemas.microsoft.com/office/drawing/2014/main" id="{00000000-0008-0000-0000-000006000000}"/>
            </a:ext>
          </a:extLst>
        </xdr:cNvPr>
        <xdr:cNvCxnSpPr/>
      </xdr:nvCxnSpPr>
      <xdr:spPr>
        <a:xfrm>
          <a:off x="4105910" y="9809480"/>
          <a:ext cx="4768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3122</xdr:colOff>
      <xdr:row>1</xdr:row>
      <xdr:rowOff>15240</xdr:rowOff>
    </xdr:from>
    <xdr:to>
      <xdr:col>9</xdr:col>
      <xdr:colOff>3122</xdr:colOff>
      <xdr:row>32</xdr:row>
      <xdr:rowOff>5603</xdr:rowOff>
    </xdr:to>
    <xdr:cxnSp macro="">
      <xdr:nvCxnSpPr>
        <xdr:cNvPr id="8" name="Straight Connector 27">
          <a:extLst>
            <a:ext uri="{FF2B5EF4-FFF2-40B4-BE49-F238E27FC236}">
              <a16:creationId xmlns:a16="http://schemas.microsoft.com/office/drawing/2014/main" id="{00000000-0008-0000-0000-000008000000}"/>
            </a:ext>
          </a:extLst>
        </xdr:cNvPr>
        <xdr:cNvCxnSpPr/>
      </xdr:nvCxnSpPr>
      <xdr:spPr>
        <a:xfrm>
          <a:off x="6715125" y="84455"/>
          <a:ext cx="0" cy="1512316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482912</xdr:colOff>
      <xdr:row>41</xdr:row>
      <xdr:rowOff>55757</xdr:rowOff>
    </xdr:from>
    <xdr:to>
      <xdr:col>6</xdr:col>
      <xdr:colOff>482912</xdr:colOff>
      <xdr:row>42</xdr:row>
      <xdr:rowOff>0</xdr:rowOff>
    </xdr:to>
    <xdr:cxnSp macro="">
      <xdr:nvCxnSpPr>
        <xdr:cNvPr id="9" name="Straight Connector 8">
          <a:extLst>
            <a:ext uri="{FF2B5EF4-FFF2-40B4-BE49-F238E27FC236}">
              <a16:creationId xmlns:a16="http://schemas.microsoft.com/office/drawing/2014/main" id="{00000000-0008-0000-0000-000009000000}"/>
            </a:ext>
          </a:extLst>
        </xdr:cNvPr>
        <xdr:cNvCxnSpPr/>
      </xdr:nvCxnSpPr>
      <xdr:spPr>
        <a:xfrm>
          <a:off x="5227320" y="16840835"/>
          <a:ext cx="0" cy="120650"/>
        </a:xfrm>
        <a:prstGeom prst="line">
          <a:avLst/>
        </a:prstGeom>
        <a:ln w="9525">
          <a:solidFill>
            <a:schemeClr val="tx2"/>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10886</xdr:colOff>
      <xdr:row>19</xdr:row>
      <xdr:rowOff>218498</xdr:rowOff>
    </xdr:from>
    <xdr:to>
      <xdr:col>6</xdr:col>
      <xdr:colOff>484371</xdr:colOff>
      <xdr:row>19</xdr:row>
      <xdr:rowOff>218498</xdr:rowOff>
    </xdr:to>
    <xdr:cxnSp macro="">
      <xdr:nvCxnSpPr>
        <xdr:cNvPr id="27" name="Straight Connector 2">
          <a:extLst>
            <a:ext uri="{FF2B5EF4-FFF2-40B4-BE49-F238E27FC236}">
              <a16:creationId xmlns:a16="http://schemas.microsoft.com/office/drawing/2014/main" id="{00000000-0008-0000-0000-00001B000000}"/>
            </a:ext>
          </a:extLst>
        </xdr:cNvPr>
        <xdr:cNvCxnSpPr/>
      </xdr:nvCxnSpPr>
      <xdr:spPr>
        <a:xfrm>
          <a:off x="4099560" y="10288905"/>
          <a:ext cx="11290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487699</xdr:colOff>
      <xdr:row>19</xdr:row>
      <xdr:rowOff>221006</xdr:rowOff>
    </xdr:from>
    <xdr:to>
      <xdr:col>7</xdr:col>
      <xdr:colOff>287962</xdr:colOff>
      <xdr:row>19</xdr:row>
      <xdr:rowOff>221006</xdr:rowOff>
    </xdr:to>
    <xdr:cxnSp macro="">
      <xdr:nvCxnSpPr>
        <xdr:cNvPr id="28" name="Straight Connector 19">
          <a:extLst>
            <a:ext uri="{FF2B5EF4-FFF2-40B4-BE49-F238E27FC236}">
              <a16:creationId xmlns:a16="http://schemas.microsoft.com/office/drawing/2014/main" id="{00000000-0008-0000-0000-00001C000000}"/>
            </a:ext>
          </a:extLst>
        </xdr:cNvPr>
        <xdr:cNvCxnSpPr/>
      </xdr:nvCxnSpPr>
      <xdr:spPr>
        <a:xfrm>
          <a:off x="5232400" y="10291445"/>
          <a:ext cx="45593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532087</xdr:colOff>
      <xdr:row>2</xdr:row>
      <xdr:rowOff>282841</xdr:rowOff>
    </xdr:from>
    <xdr:to>
      <xdr:col>4</xdr:col>
      <xdr:colOff>505811</xdr:colOff>
      <xdr:row>2</xdr:row>
      <xdr:rowOff>282841</xdr:rowOff>
    </xdr:to>
    <xdr:cxnSp macro="">
      <xdr:nvCxnSpPr>
        <xdr:cNvPr id="29" name="Straight Connector 1">
          <a:extLst>
            <a:ext uri="{FF2B5EF4-FFF2-40B4-BE49-F238E27FC236}">
              <a16:creationId xmlns:a16="http://schemas.microsoft.com/office/drawing/2014/main" id="{00000000-0008-0000-0000-00001D000000}"/>
            </a:ext>
          </a:extLst>
        </xdr:cNvPr>
        <xdr:cNvCxnSpPr/>
      </xdr:nvCxnSpPr>
      <xdr:spPr>
        <a:xfrm>
          <a:off x="3308350" y="656590"/>
          <a:ext cx="6299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16124</xdr:colOff>
      <xdr:row>17</xdr:row>
      <xdr:rowOff>283719</xdr:rowOff>
    </xdr:from>
    <xdr:to>
      <xdr:col>5</xdr:col>
      <xdr:colOff>480876</xdr:colOff>
      <xdr:row>17</xdr:row>
      <xdr:rowOff>283719</xdr:rowOff>
    </xdr:to>
    <xdr:cxnSp macro="">
      <xdr:nvCxnSpPr>
        <xdr:cNvPr id="30" name="Straight Connector 2">
          <a:extLst>
            <a:ext uri="{FF2B5EF4-FFF2-40B4-BE49-F238E27FC236}">
              <a16:creationId xmlns:a16="http://schemas.microsoft.com/office/drawing/2014/main" id="{00000000-0008-0000-0000-00001E000000}"/>
            </a:ext>
          </a:extLst>
        </xdr:cNvPr>
        <xdr:cNvCxnSpPr/>
      </xdr:nvCxnSpPr>
      <xdr:spPr>
        <a:xfrm>
          <a:off x="4104640" y="9229725"/>
          <a:ext cx="4648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2129</xdr:colOff>
      <xdr:row>1</xdr:row>
      <xdr:rowOff>19050</xdr:rowOff>
    </xdr:from>
    <xdr:to>
      <xdr:col>3</xdr:col>
      <xdr:colOff>2129</xdr:colOff>
      <xdr:row>32</xdr:row>
      <xdr:rowOff>5603</xdr:rowOff>
    </xdr:to>
    <xdr:cxnSp macro="">
      <xdr:nvCxnSpPr>
        <xdr:cNvPr id="31" name="Straight Connector 5">
          <a:extLst>
            <a:ext uri="{FF2B5EF4-FFF2-40B4-BE49-F238E27FC236}">
              <a16:creationId xmlns:a16="http://schemas.microsoft.com/office/drawing/2014/main" id="{00000000-0008-0000-0000-00001F000000}"/>
            </a:ext>
          </a:extLst>
        </xdr:cNvPr>
        <xdr:cNvCxnSpPr/>
      </xdr:nvCxnSpPr>
      <xdr:spPr>
        <a:xfrm>
          <a:off x="2778760" y="88265"/>
          <a:ext cx="0" cy="1511935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0</xdr:colOff>
      <xdr:row>1</xdr:row>
      <xdr:rowOff>15421</xdr:rowOff>
    </xdr:from>
    <xdr:to>
      <xdr:col>4</xdr:col>
      <xdr:colOff>0</xdr:colOff>
      <xdr:row>32</xdr:row>
      <xdr:rowOff>5896</xdr:rowOff>
    </xdr:to>
    <xdr:cxnSp macro="">
      <xdr:nvCxnSpPr>
        <xdr:cNvPr id="32" name="Straight Connector 6">
          <a:extLst>
            <a:ext uri="{FF2B5EF4-FFF2-40B4-BE49-F238E27FC236}">
              <a16:creationId xmlns:a16="http://schemas.microsoft.com/office/drawing/2014/main" id="{00000000-0008-0000-0000-000020000000}"/>
            </a:ext>
          </a:extLst>
        </xdr:cNvPr>
        <xdr:cNvCxnSpPr/>
      </xdr:nvCxnSpPr>
      <xdr:spPr>
        <a:xfrm>
          <a:off x="3432810" y="84455"/>
          <a:ext cx="0" cy="1512379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624840</xdr:colOff>
      <xdr:row>1</xdr:row>
      <xdr:rowOff>15240</xdr:rowOff>
    </xdr:from>
    <xdr:to>
      <xdr:col>4</xdr:col>
      <xdr:colOff>624840</xdr:colOff>
      <xdr:row>31</xdr:row>
      <xdr:rowOff>453838</xdr:rowOff>
    </xdr:to>
    <xdr:cxnSp macro="">
      <xdr:nvCxnSpPr>
        <xdr:cNvPr id="33" name="Straight Connector 7">
          <a:extLst>
            <a:ext uri="{FF2B5EF4-FFF2-40B4-BE49-F238E27FC236}">
              <a16:creationId xmlns:a16="http://schemas.microsoft.com/office/drawing/2014/main" id="{00000000-0008-0000-0000-000021000000}"/>
            </a:ext>
          </a:extLst>
        </xdr:cNvPr>
        <xdr:cNvCxnSpPr/>
      </xdr:nvCxnSpPr>
      <xdr:spPr>
        <a:xfrm>
          <a:off x="4057650" y="84455"/>
          <a:ext cx="0" cy="1511427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3842</xdr:colOff>
      <xdr:row>1</xdr:row>
      <xdr:rowOff>19050</xdr:rowOff>
    </xdr:from>
    <xdr:to>
      <xdr:col>6</xdr:col>
      <xdr:colOff>3842</xdr:colOff>
      <xdr:row>31</xdr:row>
      <xdr:rowOff>448235</xdr:rowOff>
    </xdr:to>
    <xdr:cxnSp macro="">
      <xdr:nvCxnSpPr>
        <xdr:cNvPr id="34" name="Straight Connector 8">
          <a:extLst>
            <a:ext uri="{FF2B5EF4-FFF2-40B4-BE49-F238E27FC236}">
              <a16:creationId xmlns:a16="http://schemas.microsoft.com/office/drawing/2014/main" id="{00000000-0008-0000-0000-000022000000}"/>
            </a:ext>
          </a:extLst>
        </xdr:cNvPr>
        <xdr:cNvCxnSpPr/>
      </xdr:nvCxnSpPr>
      <xdr:spPr>
        <a:xfrm>
          <a:off x="4748530" y="88265"/>
          <a:ext cx="0" cy="1510474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1</xdr:row>
      <xdr:rowOff>19050</xdr:rowOff>
    </xdr:from>
    <xdr:to>
      <xdr:col>7</xdr:col>
      <xdr:colOff>0</xdr:colOff>
      <xdr:row>31</xdr:row>
      <xdr:rowOff>453838</xdr:rowOff>
    </xdr:to>
    <xdr:cxnSp macro="">
      <xdr:nvCxnSpPr>
        <xdr:cNvPr id="35" name="Straight Connector 9">
          <a:extLst>
            <a:ext uri="{FF2B5EF4-FFF2-40B4-BE49-F238E27FC236}">
              <a16:creationId xmlns:a16="http://schemas.microsoft.com/office/drawing/2014/main" id="{00000000-0008-0000-0000-000023000000}"/>
            </a:ext>
          </a:extLst>
        </xdr:cNvPr>
        <xdr:cNvCxnSpPr/>
      </xdr:nvCxnSpPr>
      <xdr:spPr>
        <a:xfrm>
          <a:off x="5400675" y="88265"/>
          <a:ext cx="0" cy="1511046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0</xdr:colOff>
      <xdr:row>1</xdr:row>
      <xdr:rowOff>19050</xdr:rowOff>
    </xdr:from>
    <xdr:to>
      <xdr:col>8</xdr:col>
      <xdr:colOff>0</xdr:colOff>
      <xdr:row>32</xdr:row>
      <xdr:rowOff>0</xdr:rowOff>
    </xdr:to>
    <xdr:cxnSp macro="">
      <xdr:nvCxnSpPr>
        <xdr:cNvPr id="36" name="Straight Connector 10">
          <a:extLst>
            <a:ext uri="{FF2B5EF4-FFF2-40B4-BE49-F238E27FC236}">
              <a16:creationId xmlns:a16="http://schemas.microsoft.com/office/drawing/2014/main" id="{00000000-0008-0000-0000-000024000000}"/>
            </a:ext>
          </a:extLst>
        </xdr:cNvPr>
        <xdr:cNvCxnSpPr/>
      </xdr:nvCxnSpPr>
      <xdr:spPr>
        <a:xfrm>
          <a:off x="6056630" y="88265"/>
          <a:ext cx="0" cy="1511427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479102</xdr:colOff>
      <xdr:row>1</xdr:row>
      <xdr:rowOff>0</xdr:rowOff>
    </xdr:from>
    <xdr:to>
      <xdr:col>6</xdr:col>
      <xdr:colOff>479102</xdr:colOff>
      <xdr:row>37</xdr:row>
      <xdr:rowOff>106455</xdr:rowOff>
    </xdr:to>
    <xdr:cxnSp macro="">
      <xdr:nvCxnSpPr>
        <xdr:cNvPr id="37" name="Straight Connector 10">
          <a:extLst>
            <a:ext uri="{FF2B5EF4-FFF2-40B4-BE49-F238E27FC236}">
              <a16:creationId xmlns:a16="http://schemas.microsoft.com/office/drawing/2014/main" id="{00000000-0008-0000-0000-000025000000}"/>
            </a:ext>
          </a:extLst>
        </xdr:cNvPr>
        <xdr:cNvCxnSpPr/>
      </xdr:nvCxnSpPr>
      <xdr:spPr>
        <a:xfrm>
          <a:off x="5223510" y="69215"/>
          <a:ext cx="0" cy="16118840"/>
        </a:xfrm>
        <a:prstGeom prst="line">
          <a:avLst/>
        </a:prstGeom>
        <a:ln w="9525">
          <a:solidFill>
            <a:schemeClr val="tx2"/>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282245</xdr:colOff>
      <xdr:row>20</xdr:row>
      <xdr:rowOff>398977</xdr:rowOff>
    </xdr:from>
    <xdr:to>
      <xdr:col>6</xdr:col>
      <xdr:colOff>477102</xdr:colOff>
      <xdr:row>37</xdr:row>
      <xdr:rowOff>170205</xdr:rowOff>
    </xdr:to>
    <xdr:sp macro="" textlink="">
      <xdr:nvSpPr>
        <xdr:cNvPr id="38" name="TextBox 13">
          <a:extLst>
            <a:ext uri="{FF2B5EF4-FFF2-40B4-BE49-F238E27FC236}">
              <a16:creationId xmlns:a16="http://schemas.microsoft.com/office/drawing/2014/main" id="{00000000-0008-0000-0000-000026000000}"/>
            </a:ext>
          </a:extLst>
        </xdr:cNvPr>
        <xdr:cNvSpPr txBox="1"/>
      </xdr:nvSpPr>
      <xdr:spPr>
        <a:xfrm rot="16200000">
          <a:off x="2461260" y="13491845"/>
          <a:ext cx="532574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6</xdr:col>
      <xdr:colOff>501148</xdr:colOff>
      <xdr:row>32</xdr:row>
      <xdr:rowOff>56589</xdr:rowOff>
    </xdr:from>
    <xdr:to>
      <xdr:col>8</xdr:col>
      <xdr:colOff>179615</xdr:colOff>
      <xdr:row>33</xdr:row>
      <xdr:rowOff>122707</xdr:rowOff>
    </xdr:to>
    <xdr:sp macro="" textlink="">
      <xdr:nvSpPr>
        <xdr:cNvPr id="39" name="Left Brace 15">
          <a:extLst>
            <a:ext uri="{FF2B5EF4-FFF2-40B4-BE49-F238E27FC236}">
              <a16:creationId xmlns:a16="http://schemas.microsoft.com/office/drawing/2014/main" id="{00000000-0008-0000-0000-000027000000}"/>
            </a:ext>
          </a:extLst>
        </xdr:cNvPr>
        <xdr:cNvSpPr/>
      </xdr:nvSpPr>
      <xdr:spPr>
        <a:xfrm rot="16200000">
          <a:off x="5619750" y="14884400"/>
          <a:ext cx="241935" cy="990600"/>
        </a:xfrm>
        <a:prstGeom prst="leftBrace">
          <a:avLst/>
        </a:prstGeom>
        <a:ln>
          <a:solidFill>
            <a:srgbClr val="FF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23820</xdr:colOff>
      <xdr:row>33</xdr:row>
      <xdr:rowOff>83196</xdr:rowOff>
    </xdr:from>
    <xdr:to>
      <xdr:col>8</xdr:col>
      <xdr:colOff>94441</xdr:colOff>
      <xdr:row>35</xdr:row>
      <xdr:rowOff>77391</xdr:rowOff>
    </xdr:to>
    <xdr:sp macro="" textlink="">
      <xdr:nvSpPr>
        <xdr:cNvPr id="40" name="TextBox 13">
          <a:extLst>
            <a:ext uri="{FF2B5EF4-FFF2-40B4-BE49-F238E27FC236}">
              <a16:creationId xmlns:a16="http://schemas.microsoft.com/office/drawing/2014/main" id="{00000000-0008-0000-0000-000028000000}"/>
            </a:ext>
          </a:extLst>
        </xdr:cNvPr>
        <xdr:cNvSpPr txBox="1"/>
      </xdr:nvSpPr>
      <xdr:spPr>
        <a:xfrm>
          <a:off x="5424170" y="15461615"/>
          <a:ext cx="726440" cy="34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b="1">
              <a:solidFill>
                <a:srgbClr val="FF0000"/>
              </a:solidFill>
            </a:rPr>
            <a:t>Variance:</a:t>
          </a:r>
          <a:endParaRPr lang="en-GB" sz="800" b="1" baseline="0">
            <a:solidFill>
              <a:srgbClr val="FF0000"/>
            </a:solidFill>
          </a:endParaRPr>
        </a:p>
        <a:p>
          <a:pPr algn="ctr"/>
          <a:r>
            <a:rPr lang="en-GB" sz="800" b="1" baseline="0">
              <a:solidFill>
                <a:srgbClr val="FF0000"/>
              </a:solidFill>
            </a:rPr>
            <a:t> - 6 Weeks</a:t>
          </a:r>
          <a:endParaRPr lang="en-US" sz="800" b="1">
            <a:solidFill>
              <a:srgbClr val="FF0000"/>
            </a:solidFill>
          </a:endParaRPr>
        </a:p>
      </xdr:txBody>
    </xdr:sp>
    <xdr:clientData/>
  </xdr:twoCellAnchor>
  <xdr:twoCellAnchor>
    <xdr:from>
      <xdr:col>3</xdr:col>
      <xdr:colOff>532087</xdr:colOff>
      <xdr:row>3</xdr:row>
      <xdr:rowOff>298557</xdr:rowOff>
    </xdr:from>
    <xdr:to>
      <xdr:col>4</xdr:col>
      <xdr:colOff>507716</xdr:colOff>
      <xdr:row>3</xdr:row>
      <xdr:rowOff>298557</xdr:rowOff>
    </xdr:to>
    <xdr:cxnSp macro="">
      <xdr:nvCxnSpPr>
        <xdr:cNvPr id="88" name="Straight Connector 87">
          <a:extLst>
            <a:ext uri="{FF2B5EF4-FFF2-40B4-BE49-F238E27FC236}">
              <a16:creationId xmlns:a16="http://schemas.microsoft.com/office/drawing/2014/main" id="{00000000-0008-0000-0000-000058000000}"/>
            </a:ext>
          </a:extLst>
        </xdr:cNvPr>
        <xdr:cNvCxnSpPr/>
      </xdr:nvCxnSpPr>
      <xdr:spPr>
        <a:xfrm>
          <a:off x="3308350" y="1243965"/>
          <a:ext cx="63182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370114</xdr:colOff>
      <xdr:row>4</xdr:row>
      <xdr:rowOff>294747</xdr:rowOff>
    </xdr:from>
    <xdr:to>
      <xdr:col>4</xdr:col>
      <xdr:colOff>515336</xdr:colOff>
      <xdr:row>4</xdr:row>
      <xdr:rowOff>294747</xdr:rowOff>
    </xdr:to>
    <xdr:cxnSp macro="">
      <xdr:nvCxnSpPr>
        <xdr:cNvPr id="89" name="Straight Connector 88">
          <a:extLst>
            <a:ext uri="{FF2B5EF4-FFF2-40B4-BE49-F238E27FC236}">
              <a16:creationId xmlns:a16="http://schemas.microsoft.com/office/drawing/2014/main" id="{00000000-0008-0000-0000-000059000000}"/>
            </a:ext>
          </a:extLst>
        </xdr:cNvPr>
        <xdr:cNvCxnSpPr/>
      </xdr:nvCxnSpPr>
      <xdr:spPr>
        <a:xfrm>
          <a:off x="3802380" y="1811655"/>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479835</xdr:colOff>
      <xdr:row>6</xdr:row>
      <xdr:rowOff>287399</xdr:rowOff>
    </xdr:from>
    <xdr:to>
      <xdr:col>5</xdr:col>
      <xdr:colOff>12791</xdr:colOff>
      <xdr:row>6</xdr:row>
      <xdr:rowOff>287399</xdr:rowOff>
    </xdr:to>
    <xdr:cxnSp macro="">
      <xdr:nvCxnSpPr>
        <xdr:cNvPr id="90" name="Straight Connector 89">
          <a:extLst>
            <a:ext uri="{FF2B5EF4-FFF2-40B4-BE49-F238E27FC236}">
              <a16:creationId xmlns:a16="http://schemas.microsoft.com/office/drawing/2014/main" id="{00000000-0008-0000-0000-00005A000000}"/>
            </a:ext>
          </a:extLst>
        </xdr:cNvPr>
        <xdr:cNvCxnSpPr/>
      </xdr:nvCxnSpPr>
      <xdr:spPr>
        <a:xfrm>
          <a:off x="3912235" y="2947035"/>
          <a:ext cx="1892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11749</xdr:colOff>
      <xdr:row>7</xdr:row>
      <xdr:rowOff>305360</xdr:rowOff>
    </xdr:from>
    <xdr:to>
      <xdr:col>5</xdr:col>
      <xdr:colOff>183696</xdr:colOff>
      <xdr:row>7</xdr:row>
      <xdr:rowOff>305360</xdr:rowOff>
    </xdr:to>
    <xdr:cxnSp macro="">
      <xdr:nvCxnSpPr>
        <xdr:cNvPr id="91" name="Straight Connector 90">
          <a:extLst>
            <a:ext uri="{FF2B5EF4-FFF2-40B4-BE49-F238E27FC236}">
              <a16:creationId xmlns:a16="http://schemas.microsoft.com/office/drawing/2014/main" id="{00000000-0008-0000-0000-00005B000000}"/>
            </a:ext>
          </a:extLst>
        </xdr:cNvPr>
        <xdr:cNvCxnSpPr/>
      </xdr:nvCxnSpPr>
      <xdr:spPr>
        <a:xfrm>
          <a:off x="4100195" y="3536315"/>
          <a:ext cx="1720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188097</xdr:colOff>
      <xdr:row>8</xdr:row>
      <xdr:rowOff>285221</xdr:rowOff>
    </xdr:from>
    <xdr:to>
      <xdr:col>5</xdr:col>
      <xdr:colOff>348614</xdr:colOff>
      <xdr:row>8</xdr:row>
      <xdr:rowOff>285221</xdr:rowOff>
    </xdr:to>
    <xdr:cxnSp macro="">
      <xdr:nvCxnSpPr>
        <xdr:cNvPr id="92" name="Straight Connector 91">
          <a:extLst>
            <a:ext uri="{FF2B5EF4-FFF2-40B4-BE49-F238E27FC236}">
              <a16:creationId xmlns:a16="http://schemas.microsoft.com/office/drawing/2014/main" id="{00000000-0008-0000-0000-00005C000000}"/>
            </a:ext>
          </a:extLst>
        </xdr:cNvPr>
        <xdr:cNvCxnSpPr/>
      </xdr:nvCxnSpPr>
      <xdr:spPr>
        <a:xfrm>
          <a:off x="4276725" y="4088130"/>
          <a:ext cx="1600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353017</xdr:colOff>
      <xdr:row>9</xdr:row>
      <xdr:rowOff>286854</xdr:rowOff>
    </xdr:from>
    <xdr:to>
      <xdr:col>5</xdr:col>
      <xdr:colOff>515439</xdr:colOff>
      <xdr:row>9</xdr:row>
      <xdr:rowOff>286854</xdr:rowOff>
    </xdr:to>
    <xdr:cxnSp macro="">
      <xdr:nvCxnSpPr>
        <xdr:cNvPr id="93" name="Straight Connector 92">
          <a:extLst>
            <a:ext uri="{FF2B5EF4-FFF2-40B4-BE49-F238E27FC236}">
              <a16:creationId xmlns:a16="http://schemas.microsoft.com/office/drawing/2014/main" id="{00000000-0008-0000-0000-00005D000000}"/>
            </a:ext>
          </a:extLst>
        </xdr:cNvPr>
        <xdr:cNvCxnSpPr/>
      </xdr:nvCxnSpPr>
      <xdr:spPr>
        <a:xfrm>
          <a:off x="4441190" y="4660900"/>
          <a:ext cx="1625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476569</xdr:colOff>
      <xdr:row>10</xdr:row>
      <xdr:rowOff>284677</xdr:rowOff>
    </xdr:from>
    <xdr:to>
      <xdr:col>6</xdr:col>
      <xdr:colOff>1905</xdr:colOff>
      <xdr:row>10</xdr:row>
      <xdr:rowOff>284677</xdr:rowOff>
    </xdr:to>
    <xdr:cxnSp macro="">
      <xdr:nvCxnSpPr>
        <xdr:cNvPr id="94" name="Straight Connector 93">
          <a:extLst>
            <a:ext uri="{FF2B5EF4-FFF2-40B4-BE49-F238E27FC236}">
              <a16:creationId xmlns:a16="http://schemas.microsoft.com/office/drawing/2014/main" id="{00000000-0008-0000-0000-00005E000000}"/>
            </a:ext>
          </a:extLst>
        </xdr:cNvPr>
        <xdr:cNvCxnSpPr/>
      </xdr:nvCxnSpPr>
      <xdr:spPr>
        <a:xfrm>
          <a:off x="4565015" y="5230495"/>
          <a:ext cx="18161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612640</xdr:colOff>
      <xdr:row>11</xdr:row>
      <xdr:rowOff>301005</xdr:rowOff>
    </xdr:from>
    <xdr:to>
      <xdr:col>6</xdr:col>
      <xdr:colOff>139881</xdr:colOff>
      <xdr:row>11</xdr:row>
      <xdr:rowOff>301005</xdr:rowOff>
    </xdr:to>
    <xdr:cxnSp macro="">
      <xdr:nvCxnSpPr>
        <xdr:cNvPr id="95" name="Straight Connector 94">
          <a:extLst>
            <a:ext uri="{FF2B5EF4-FFF2-40B4-BE49-F238E27FC236}">
              <a16:creationId xmlns:a16="http://schemas.microsoft.com/office/drawing/2014/main" id="{00000000-0008-0000-0000-00005F000000}"/>
            </a:ext>
          </a:extLst>
        </xdr:cNvPr>
        <xdr:cNvCxnSpPr/>
      </xdr:nvCxnSpPr>
      <xdr:spPr>
        <a:xfrm>
          <a:off x="4700905" y="5818505"/>
          <a:ext cx="1835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122783</xdr:colOff>
      <xdr:row>12</xdr:row>
      <xdr:rowOff>293658</xdr:rowOff>
    </xdr:from>
    <xdr:to>
      <xdr:col>6</xdr:col>
      <xdr:colOff>283300</xdr:colOff>
      <xdr:row>12</xdr:row>
      <xdr:rowOff>293658</xdr:rowOff>
    </xdr:to>
    <xdr:cxnSp macro="">
      <xdr:nvCxnSpPr>
        <xdr:cNvPr id="96" name="Straight Connector 95">
          <a:extLst>
            <a:ext uri="{FF2B5EF4-FFF2-40B4-BE49-F238E27FC236}">
              <a16:creationId xmlns:a16="http://schemas.microsoft.com/office/drawing/2014/main" id="{00000000-0008-0000-0000-000060000000}"/>
            </a:ext>
          </a:extLst>
        </xdr:cNvPr>
        <xdr:cNvCxnSpPr/>
      </xdr:nvCxnSpPr>
      <xdr:spPr>
        <a:xfrm>
          <a:off x="4867275" y="6382385"/>
          <a:ext cx="1606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304030</xdr:colOff>
      <xdr:row>13</xdr:row>
      <xdr:rowOff>288215</xdr:rowOff>
    </xdr:from>
    <xdr:to>
      <xdr:col>6</xdr:col>
      <xdr:colOff>470262</xdr:colOff>
      <xdr:row>13</xdr:row>
      <xdr:rowOff>288215</xdr:rowOff>
    </xdr:to>
    <xdr:cxnSp macro="">
      <xdr:nvCxnSpPr>
        <xdr:cNvPr id="97" name="Straight Connector 96">
          <a:extLst>
            <a:ext uri="{FF2B5EF4-FFF2-40B4-BE49-F238E27FC236}">
              <a16:creationId xmlns:a16="http://schemas.microsoft.com/office/drawing/2014/main" id="{00000000-0008-0000-0000-000061000000}"/>
            </a:ext>
          </a:extLst>
        </xdr:cNvPr>
        <xdr:cNvCxnSpPr/>
      </xdr:nvCxnSpPr>
      <xdr:spPr>
        <a:xfrm>
          <a:off x="5048250" y="6948170"/>
          <a:ext cx="1663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474392</xdr:colOff>
      <xdr:row>14</xdr:row>
      <xdr:rowOff>304544</xdr:rowOff>
    </xdr:from>
    <xdr:to>
      <xdr:col>7</xdr:col>
      <xdr:colOff>13062</xdr:colOff>
      <xdr:row>14</xdr:row>
      <xdr:rowOff>304544</xdr:rowOff>
    </xdr:to>
    <xdr:cxnSp macro="">
      <xdr:nvCxnSpPr>
        <xdr:cNvPr id="98" name="Straight Connector 97">
          <a:extLst>
            <a:ext uri="{FF2B5EF4-FFF2-40B4-BE49-F238E27FC236}">
              <a16:creationId xmlns:a16="http://schemas.microsoft.com/office/drawing/2014/main" id="{00000000-0008-0000-0000-000062000000}"/>
            </a:ext>
          </a:extLst>
        </xdr:cNvPr>
        <xdr:cNvCxnSpPr/>
      </xdr:nvCxnSpPr>
      <xdr:spPr>
        <a:xfrm>
          <a:off x="5219065" y="7536180"/>
          <a:ext cx="19431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627063</xdr:colOff>
      <xdr:row>15</xdr:row>
      <xdr:rowOff>304544</xdr:rowOff>
    </xdr:from>
    <xdr:to>
      <xdr:col>7</xdr:col>
      <xdr:colOff>163828</xdr:colOff>
      <xdr:row>15</xdr:row>
      <xdr:rowOff>304544</xdr:rowOff>
    </xdr:to>
    <xdr:cxnSp macro="">
      <xdr:nvCxnSpPr>
        <xdr:cNvPr id="99" name="Straight Connector 98">
          <a:extLst>
            <a:ext uri="{FF2B5EF4-FFF2-40B4-BE49-F238E27FC236}">
              <a16:creationId xmlns:a16="http://schemas.microsoft.com/office/drawing/2014/main" id="{00000000-0008-0000-0000-000063000000}"/>
            </a:ext>
          </a:extLst>
        </xdr:cNvPr>
        <xdr:cNvCxnSpPr/>
      </xdr:nvCxnSpPr>
      <xdr:spPr>
        <a:xfrm>
          <a:off x="5371465" y="8107680"/>
          <a:ext cx="19240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296926</xdr:colOff>
      <xdr:row>20</xdr:row>
      <xdr:rowOff>248492</xdr:rowOff>
    </xdr:from>
    <xdr:to>
      <xdr:col>8</xdr:col>
      <xdr:colOff>239486</xdr:colOff>
      <xdr:row>20</xdr:row>
      <xdr:rowOff>248492</xdr:rowOff>
    </xdr:to>
    <xdr:cxnSp macro="">
      <xdr:nvCxnSpPr>
        <xdr:cNvPr id="100" name="Straight Connector 19">
          <a:extLst>
            <a:ext uri="{FF2B5EF4-FFF2-40B4-BE49-F238E27FC236}">
              <a16:creationId xmlns:a16="http://schemas.microsoft.com/office/drawing/2014/main" id="{00000000-0008-0000-0000-000064000000}"/>
            </a:ext>
          </a:extLst>
        </xdr:cNvPr>
        <xdr:cNvCxnSpPr/>
      </xdr:nvCxnSpPr>
      <xdr:spPr>
        <a:xfrm>
          <a:off x="5697220" y="10775950"/>
          <a:ext cx="59880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386443</xdr:colOff>
      <xdr:row>30</xdr:row>
      <xdr:rowOff>237567</xdr:rowOff>
    </xdr:from>
    <xdr:to>
      <xdr:col>5</xdr:col>
      <xdr:colOff>174171</xdr:colOff>
      <xdr:row>30</xdr:row>
      <xdr:rowOff>237567</xdr:rowOff>
    </xdr:to>
    <xdr:cxnSp macro="">
      <xdr:nvCxnSpPr>
        <xdr:cNvPr id="101" name="Straight Connector 2">
          <a:extLst>
            <a:ext uri="{FF2B5EF4-FFF2-40B4-BE49-F238E27FC236}">
              <a16:creationId xmlns:a16="http://schemas.microsoft.com/office/drawing/2014/main" id="{00000000-0008-0000-0000-000065000000}"/>
            </a:ext>
          </a:extLst>
        </xdr:cNvPr>
        <xdr:cNvCxnSpPr/>
      </xdr:nvCxnSpPr>
      <xdr:spPr>
        <a:xfrm>
          <a:off x="3818890" y="14525625"/>
          <a:ext cx="4438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296926</xdr:colOff>
      <xdr:row>21</xdr:row>
      <xdr:rowOff>177734</xdr:rowOff>
    </xdr:from>
    <xdr:to>
      <xdr:col>7</xdr:col>
      <xdr:colOff>419100</xdr:colOff>
      <xdr:row>21</xdr:row>
      <xdr:rowOff>177734</xdr:rowOff>
    </xdr:to>
    <xdr:cxnSp macro="">
      <xdr:nvCxnSpPr>
        <xdr:cNvPr id="102" name="Straight Connector 19">
          <a:extLst>
            <a:ext uri="{FF2B5EF4-FFF2-40B4-BE49-F238E27FC236}">
              <a16:creationId xmlns:a16="http://schemas.microsoft.com/office/drawing/2014/main" id="{00000000-0008-0000-0000-000066000000}"/>
            </a:ext>
          </a:extLst>
        </xdr:cNvPr>
        <xdr:cNvCxnSpPr/>
      </xdr:nvCxnSpPr>
      <xdr:spPr>
        <a:xfrm>
          <a:off x="5697220" y="11162030"/>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405785</xdr:colOff>
      <xdr:row>22</xdr:row>
      <xdr:rowOff>194063</xdr:rowOff>
    </xdr:from>
    <xdr:to>
      <xdr:col>7</xdr:col>
      <xdr:colOff>527959</xdr:colOff>
      <xdr:row>22</xdr:row>
      <xdr:rowOff>194063</xdr:rowOff>
    </xdr:to>
    <xdr:cxnSp macro="">
      <xdr:nvCxnSpPr>
        <xdr:cNvPr id="103" name="Straight Connector 19">
          <a:extLst>
            <a:ext uri="{FF2B5EF4-FFF2-40B4-BE49-F238E27FC236}">
              <a16:creationId xmlns:a16="http://schemas.microsoft.com/office/drawing/2014/main" id="{00000000-0008-0000-0000-000067000000}"/>
            </a:ext>
          </a:extLst>
        </xdr:cNvPr>
        <xdr:cNvCxnSpPr/>
      </xdr:nvCxnSpPr>
      <xdr:spPr>
        <a:xfrm>
          <a:off x="5806440" y="1154557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498316</xdr:colOff>
      <xdr:row>23</xdr:row>
      <xdr:rowOff>194062</xdr:rowOff>
    </xdr:from>
    <xdr:to>
      <xdr:col>7</xdr:col>
      <xdr:colOff>620490</xdr:colOff>
      <xdr:row>23</xdr:row>
      <xdr:rowOff>194062</xdr:rowOff>
    </xdr:to>
    <xdr:cxnSp macro="">
      <xdr:nvCxnSpPr>
        <xdr:cNvPr id="104" name="Straight Connector 19">
          <a:extLst>
            <a:ext uri="{FF2B5EF4-FFF2-40B4-BE49-F238E27FC236}">
              <a16:creationId xmlns:a16="http://schemas.microsoft.com/office/drawing/2014/main" id="{00000000-0008-0000-0000-000068000000}"/>
            </a:ext>
          </a:extLst>
        </xdr:cNvPr>
        <xdr:cNvCxnSpPr/>
      </xdr:nvCxnSpPr>
      <xdr:spPr>
        <a:xfrm>
          <a:off x="5898515" y="11912600"/>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618061</xdr:colOff>
      <xdr:row>24</xdr:row>
      <xdr:rowOff>204948</xdr:rowOff>
    </xdr:from>
    <xdr:to>
      <xdr:col>8</xdr:col>
      <xdr:colOff>114307</xdr:colOff>
      <xdr:row>24</xdr:row>
      <xdr:rowOff>204948</xdr:rowOff>
    </xdr:to>
    <xdr:cxnSp macro="">
      <xdr:nvCxnSpPr>
        <xdr:cNvPr id="105" name="Straight Connector 19">
          <a:extLst>
            <a:ext uri="{FF2B5EF4-FFF2-40B4-BE49-F238E27FC236}">
              <a16:creationId xmlns:a16="http://schemas.microsoft.com/office/drawing/2014/main" id="{00000000-0008-0000-0000-000069000000}"/>
            </a:ext>
          </a:extLst>
        </xdr:cNvPr>
        <xdr:cNvCxnSpPr/>
      </xdr:nvCxnSpPr>
      <xdr:spPr>
        <a:xfrm>
          <a:off x="6018530" y="12290425"/>
          <a:ext cx="1524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57449</xdr:colOff>
      <xdr:row>25</xdr:row>
      <xdr:rowOff>199506</xdr:rowOff>
    </xdr:from>
    <xdr:to>
      <xdr:col>8</xdr:col>
      <xdr:colOff>179623</xdr:colOff>
      <xdr:row>25</xdr:row>
      <xdr:rowOff>199506</xdr:rowOff>
    </xdr:to>
    <xdr:cxnSp macro="">
      <xdr:nvCxnSpPr>
        <xdr:cNvPr id="106" name="Straight Connector 19">
          <a:extLst>
            <a:ext uri="{FF2B5EF4-FFF2-40B4-BE49-F238E27FC236}">
              <a16:creationId xmlns:a16="http://schemas.microsoft.com/office/drawing/2014/main" id="{00000000-0008-0000-0000-00006A000000}"/>
            </a:ext>
          </a:extLst>
        </xdr:cNvPr>
        <xdr:cNvCxnSpPr/>
      </xdr:nvCxnSpPr>
      <xdr:spPr>
        <a:xfrm>
          <a:off x="6113780" y="1265237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95550</xdr:colOff>
      <xdr:row>26</xdr:row>
      <xdr:rowOff>199506</xdr:rowOff>
    </xdr:from>
    <xdr:to>
      <xdr:col>8</xdr:col>
      <xdr:colOff>217724</xdr:colOff>
      <xdr:row>26</xdr:row>
      <xdr:rowOff>199506</xdr:rowOff>
    </xdr:to>
    <xdr:cxnSp macro="">
      <xdr:nvCxnSpPr>
        <xdr:cNvPr id="107" name="Straight Connector 19">
          <a:extLst>
            <a:ext uri="{FF2B5EF4-FFF2-40B4-BE49-F238E27FC236}">
              <a16:creationId xmlns:a16="http://schemas.microsoft.com/office/drawing/2014/main" id="{00000000-0008-0000-0000-00006B000000}"/>
            </a:ext>
          </a:extLst>
        </xdr:cNvPr>
        <xdr:cNvCxnSpPr/>
      </xdr:nvCxnSpPr>
      <xdr:spPr>
        <a:xfrm>
          <a:off x="6151880" y="1301940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111879</xdr:colOff>
      <xdr:row>27</xdr:row>
      <xdr:rowOff>199507</xdr:rowOff>
    </xdr:from>
    <xdr:to>
      <xdr:col>8</xdr:col>
      <xdr:colOff>234053</xdr:colOff>
      <xdr:row>27</xdr:row>
      <xdr:rowOff>199507</xdr:rowOff>
    </xdr:to>
    <xdr:cxnSp macro="">
      <xdr:nvCxnSpPr>
        <xdr:cNvPr id="108" name="Straight Connector 19">
          <a:extLst>
            <a:ext uri="{FF2B5EF4-FFF2-40B4-BE49-F238E27FC236}">
              <a16:creationId xmlns:a16="http://schemas.microsoft.com/office/drawing/2014/main" id="{00000000-0008-0000-0000-00006C000000}"/>
            </a:ext>
          </a:extLst>
        </xdr:cNvPr>
        <xdr:cNvCxnSpPr/>
      </xdr:nvCxnSpPr>
      <xdr:spPr>
        <a:xfrm>
          <a:off x="6168390" y="1338643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310242</xdr:colOff>
      <xdr:row>5</xdr:row>
      <xdr:rowOff>311075</xdr:rowOff>
    </xdr:from>
    <xdr:to>
      <xdr:col>5</xdr:col>
      <xdr:colOff>455464</xdr:colOff>
      <xdr:row>5</xdr:row>
      <xdr:rowOff>311075</xdr:rowOff>
    </xdr:to>
    <xdr:cxnSp macro="">
      <xdr:nvCxnSpPr>
        <xdr:cNvPr id="109" name="Straight Connector 108">
          <a:extLst>
            <a:ext uri="{FF2B5EF4-FFF2-40B4-BE49-F238E27FC236}">
              <a16:creationId xmlns:a16="http://schemas.microsoft.com/office/drawing/2014/main" id="{00000000-0008-0000-0000-00006D000000}"/>
            </a:ext>
          </a:extLst>
        </xdr:cNvPr>
        <xdr:cNvCxnSpPr/>
      </xdr:nvCxnSpPr>
      <xdr:spPr>
        <a:xfrm>
          <a:off x="4398645" y="2399030"/>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153534</xdr:colOff>
      <xdr:row>16</xdr:row>
      <xdr:rowOff>288215</xdr:rowOff>
    </xdr:from>
    <xdr:to>
      <xdr:col>7</xdr:col>
      <xdr:colOff>316228</xdr:colOff>
      <xdr:row>16</xdr:row>
      <xdr:rowOff>288215</xdr:rowOff>
    </xdr:to>
    <xdr:cxnSp macro="">
      <xdr:nvCxnSpPr>
        <xdr:cNvPr id="110" name="Straight Connector 109">
          <a:extLst>
            <a:ext uri="{FF2B5EF4-FFF2-40B4-BE49-F238E27FC236}">
              <a16:creationId xmlns:a16="http://schemas.microsoft.com/office/drawing/2014/main" id="{00000000-0008-0000-0000-00006E000000}"/>
            </a:ext>
          </a:extLst>
        </xdr:cNvPr>
        <xdr:cNvCxnSpPr/>
      </xdr:nvCxnSpPr>
      <xdr:spPr>
        <a:xfrm>
          <a:off x="5553710" y="8662670"/>
          <a:ext cx="16256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438150</xdr:colOff>
      <xdr:row>37</xdr:row>
      <xdr:rowOff>266172</xdr:rowOff>
    </xdr:from>
    <xdr:to>
      <xdr:col>16</xdr:col>
      <xdr:colOff>474980</xdr:colOff>
      <xdr:row>37</xdr:row>
      <xdr:rowOff>266172</xdr:rowOff>
    </xdr:to>
    <xdr:cxnSp macro="">
      <xdr:nvCxnSpPr>
        <xdr:cNvPr id="93" name="Straight Connector 92">
          <a:extLst>
            <a:ext uri="{FF2B5EF4-FFF2-40B4-BE49-F238E27FC236}">
              <a16:creationId xmlns:a16="http://schemas.microsoft.com/office/drawing/2014/main" id="{00000000-0008-0000-0400-00005D000000}"/>
            </a:ext>
          </a:extLst>
        </xdr:cNvPr>
        <xdr:cNvCxnSpPr/>
      </xdr:nvCxnSpPr>
      <xdr:spPr>
        <a:xfrm>
          <a:off x="17636490" y="16927830"/>
          <a:ext cx="368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580529</xdr:colOff>
      <xdr:row>54</xdr:row>
      <xdr:rowOff>298346</xdr:rowOff>
    </xdr:from>
    <xdr:to>
      <xdr:col>16</xdr:col>
      <xdr:colOff>386013</xdr:colOff>
      <xdr:row>54</xdr:row>
      <xdr:rowOff>298346</xdr:rowOff>
    </xdr:to>
    <xdr:cxnSp macro="">
      <xdr:nvCxnSpPr>
        <xdr:cNvPr id="201" name="Straight Connector 2">
          <a:extLst>
            <a:ext uri="{FF2B5EF4-FFF2-40B4-BE49-F238E27FC236}">
              <a16:creationId xmlns:a16="http://schemas.microsoft.com/office/drawing/2014/main" id="{00000000-0008-0000-0400-000002000000}"/>
            </a:ext>
          </a:extLst>
        </xdr:cNvPr>
        <xdr:cNvCxnSpPr/>
      </xdr:nvCxnSpPr>
      <xdr:spPr>
        <a:xfrm>
          <a:off x="10581779" y="25113478"/>
          <a:ext cx="4421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3122</xdr:colOff>
      <xdr:row>1</xdr:row>
      <xdr:rowOff>15240</xdr:rowOff>
    </xdr:from>
    <xdr:to>
      <xdr:col>19</xdr:col>
      <xdr:colOff>3122</xdr:colOff>
      <xdr:row>86</xdr:row>
      <xdr:rowOff>381000</xdr:rowOff>
    </xdr:to>
    <xdr:cxnSp macro="">
      <xdr:nvCxnSpPr>
        <xdr:cNvPr id="3" name="Straight Connector 27">
          <a:extLst>
            <a:ext uri="{FF2B5EF4-FFF2-40B4-BE49-F238E27FC236}">
              <a16:creationId xmlns:a16="http://schemas.microsoft.com/office/drawing/2014/main" id="{00000000-0008-0000-0400-000003000000}"/>
            </a:ext>
          </a:extLst>
        </xdr:cNvPr>
        <xdr:cNvCxnSpPr/>
      </xdr:nvCxnSpPr>
      <xdr:spPr>
        <a:xfrm>
          <a:off x="19168745" y="84455"/>
          <a:ext cx="0" cy="3893439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591553</xdr:colOff>
      <xdr:row>55</xdr:row>
      <xdr:rowOff>221673</xdr:rowOff>
    </xdr:from>
    <xdr:to>
      <xdr:col>16</xdr:col>
      <xdr:colOff>487546</xdr:colOff>
      <xdr:row>55</xdr:row>
      <xdr:rowOff>221673</xdr:rowOff>
    </xdr:to>
    <xdr:cxnSp macro="">
      <xdr:nvCxnSpPr>
        <xdr:cNvPr id="207" name="Straight Connector 2">
          <a:extLst>
            <a:ext uri="{FF2B5EF4-FFF2-40B4-BE49-F238E27FC236}">
              <a16:creationId xmlns:a16="http://schemas.microsoft.com/office/drawing/2014/main" id="{00000000-0008-0000-0400-000005000000}"/>
            </a:ext>
          </a:extLst>
        </xdr:cNvPr>
        <xdr:cNvCxnSpPr/>
      </xdr:nvCxnSpPr>
      <xdr:spPr>
        <a:xfrm>
          <a:off x="10592803" y="25588252"/>
          <a:ext cx="532664"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487699</xdr:colOff>
      <xdr:row>55</xdr:row>
      <xdr:rowOff>221225</xdr:rowOff>
    </xdr:from>
    <xdr:to>
      <xdr:col>18</xdr:col>
      <xdr:colOff>170448</xdr:colOff>
      <xdr:row>55</xdr:row>
      <xdr:rowOff>221225</xdr:rowOff>
    </xdr:to>
    <xdr:cxnSp macro="">
      <xdr:nvCxnSpPr>
        <xdr:cNvPr id="203" name="Straight Connector 19">
          <a:extLst>
            <a:ext uri="{FF2B5EF4-FFF2-40B4-BE49-F238E27FC236}">
              <a16:creationId xmlns:a16="http://schemas.microsoft.com/office/drawing/2014/main" id="{00000000-0008-0000-0400-000006000000}"/>
            </a:ext>
          </a:extLst>
        </xdr:cNvPr>
        <xdr:cNvCxnSpPr/>
      </xdr:nvCxnSpPr>
      <xdr:spPr>
        <a:xfrm>
          <a:off x="11125620" y="25587804"/>
          <a:ext cx="956091"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532087</xdr:colOff>
      <xdr:row>2</xdr:row>
      <xdr:rowOff>282841</xdr:rowOff>
    </xdr:from>
    <xdr:to>
      <xdr:col>14</xdr:col>
      <xdr:colOff>505811</xdr:colOff>
      <xdr:row>2</xdr:row>
      <xdr:rowOff>282841</xdr:rowOff>
    </xdr:to>
    <xdr:cxnSp macro="">
      <xdr:nvCxnSpPr>
        <xdr:cNvPr id="7" name="Straight Connector 1">
          <a:extLst>
            <a:ext uri="{FF2B5EF4-FFF2-40B4-BE49-F238E27FC236}">
              <a16:creationId xmlns:a16="http://schemas.microsoft.com/office/drawing/2014/main" id="{00000000-0008-0000-0400-000007000000}"/>
            </a:ext>
          </a:extLst>
        </xdr:cNvPr>
        <xdr:cNvCxnSpPr/>
      </xdr:nvCxnSpPr>
      <xdr:spPr>
        <a:xfrm>
          <a:off x="15761970" y="374015"/>
          <a:ext cx="6299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592637</xdr:colOff>
      <xdr:row>53</xdr:row>
      <xdr:rowOff>283719</xdr:rowOff>
    </xdr:from>
    <xdr:to>
      <xdr:col>16</xdr:col>
      <xdr:colOff>401053</xdr:colOff>
      <xdr:row>53</xdr:row>
      <xdr:rowOff>283719</xdr:rowOff>
    </xdr:to>
    <xdr:cxnSp macro="">
      <xdr:nvCxnSpPr>
        <xdr:cNvPr id="199" name="Straight Connector 2">
          <a:extLst>
            <a:ext uri="{FF2B5EF4-FFF2-40B4-BE49-F238E27FC236}">
              <a16:creationId xmlns:a16="http://schemas.microsoft.com/office/drawing/2014/main" id="{00000000-0008-0000-0400-000008000000}"/>
            </a:ext>
          </a:extLst>
        </xdr:cNvPr>
        <xdr:cNvCxnSpPr/>
      </xdr:nvCxnSpPr>
      <xdr:spPr>
        <a:xfrm>
          <a:off x="10593887" y="24527351"/>
          <a:ext cx="44508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42951</xdr:colOff>
      <xdr:row>2</xdr:row>
      <xdr:rowOff>434069</xdr:rowOff>
    </xdr:from>
    <xdr:to>
      <xdr:col>12</xdr:col>
      <xdr:colOff>42951</xdr:colOff>
      <xdr:row>77</xdr:row>
      <xdr:rowOff>0</xdr:rowOff>
    </xdr:to>
    <xdr:cxnSp macro="">
      <xdr:nvCxnSpPr>
        <xdr:cNvPr id="9" name="Straight Connector 5">
          <a:extLst>
            <a:ext uri="{FF2B5EF4-FFF2-40B4-BE49-F238E27FC236}">
              <a16:creationId xmlns:a16="http://schemas.microsoft.com/office/drawing/2014/main" id="{00000000-0008-0000-0400-000009000000}"/>
            </a:ext>
          </a:extLst>
        </xdr:cNvPr>
        <xdr:cNvCxnSpPr/>
      </xdr:nvCxnSpPr>
      <xdr:spPr>
        <a:xfrm>
          <a:off x="15211425" y="374015"/>
          <a:ext cx="0" cy="3504819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1</xdr:row>
      <xdr:rowOff>15421</xdr:rowOff>
    </xdr:from>
    <xdr:to>
      <xdr:col>14</xdr:col>
      <xdr:colOff>0</xdr:colOff>
      <xdr:row>86</xdr:row>
      <xdr:rowOff>361950</xdr:rowOff>
    </xdr:to>
    <xdr:cxnSp macro="">
      <xdr:nvCxnSpPr>
        <xdr:cNvPr id="10" name="Straight Connector 6">
          <a:extLst>
            <a:ext uri="{FF2B5EF4-FFF2-40B4-BE49-F238E27FC236}">
              <a16:creationId xmlns:a16="http://schemas.microsoft.com/office/drawing/2014/main" id="{00000000-0008-0000-0400-00000A000000}"/>
            </a:ext>
          </a:extLst>
        </xdr:cNvPr>
        <xdr:cNvCxnSpPr/>
      </xdr:nvCxnSpPr>
      <xdr:spPr>
        <a:xfrm>
          <a:off x="15886430" y="84455"/>
          <a:ext cx="0" cy="3891534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605790</xdr:colOff>
      <xdr:row>1</xdr:row>
      <xdr:rowOff>15240</xdr:rowOff>
    </xdr:from>
    <xdr:to>
      <xdr:col>14</xdr:col>
      <xdr:colOff>605790</xdr:colOff>
      <xdr:row>87</xdr:row>
      <xdr:rowOff>0</xdr:rowOff>
    </xdr:to>
    <xdr:cxnSp macro="">
      <xdr:nvCxnSpPr>
        <xdr:cNvPr id="11" name="Straight Connector 7">
          <a:extLst>
            <a:ext uri="{FF2B5EF4-FFF2-40B4-BE49-F238E27FC236}">
              <a16:creationId xmlns:a16="http://schemas.microsoft.com/office/drawing/2014/main" id="{00000000-0008-0000-0400-00000B000000}"/>
            </a:ext>
          </a:extLst>
        </xdr:cNvPr>
        <xdr:cNvCxnSpPr/>
      </xdr:nvCxnSpPr>
      <xdr:spPr>
        <a:xfrm>
          <a:off x="16492220" y="84455"/>
          <a:ext cx="0" cy="389439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3842</xdr:colOff>
      <xdr:row>1</xdr:row>
      <xdr:rowOff>19050</xdr:rowOff>
    </xdr:from>
    <xdr:to>
      <xdr:col>16</xdr:col>
      <xdr:colOff>3842</xdr:colOff>
      <xdr:row>86</xdr:row>
      <xdr:rowOff>361950</xdr:rowOff>
    </xdr:to>
    <xdr:cxnSp macro="">
      <xdr:nvCxnSpPr>
        <xdr:cNvPr id="12" name="Straight Connector 8">
          <a:extLst>
            <a:ext uri="{FF2B5EF4-FFF2-40B4-BE49-F238E27FC236}">
              <a16:creationId xmlns:a16="http://schemas.microsoft.com/office/drawing/2014/main" id="{00000000-0008-0000-0400-00000C000000}"/>
            </a:ext>
          </a:extLst>
        </xdr:cNvPr>
        <xdr:cNvCxnSpPr/>
      </xdr:nvCxnSpPr>
      <xdr:spPr>
        <a:xfrm>
          <a:off x="17202150" y="88265"/>
          <a:ext cx="0" cy="3891153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607695</xdr:colOff>
      <xdr:row>1</xdr:row>
      <xdr:rowOff>30480</xdr:rowOff>
    </xdr:from>
    <xdr:to>
      <xdr:col>16</xdr:col>
      <xdr:colOff>607695</xdr:colOff>
      <xdr:row>86</xdr:row>
      <xdr:rowOff>323850</xdr:rowOff>
    </xdr:to>
    <xdr:cxnSp macro="">
      <xdr:nvCxnSpPr>
        <xdr:cNvPr id="13" name="Straight Connector 9">
          <a:extLst>
            <a:ext uri="{FF2B5EF4-FFF2-40B4-BE49-F238E27FC236}">
              <a16:creationId xmlns:a16="http://schemas.microsoft.com/office/drawing/2014/main" id="{00000000-0008-0000-0400-00000D000000}"/>
            </a:ext>
          </a:extLst>
        </xdr:cNvPr>
        <xdr:cNvCxnSpPr/>
      </xdr:nvCxnSpPr>
      <xdr:spPr>
        <a:xfrm>
          <a:off x="17806035" y="99695"/>
          <a:ext cx="0" cy="3886200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1</xdr:row>
      <xdr:rowOff>19050</xdr:rowOff>
    </xdr:from>
    <xdr:to>
      <xdr:col>18</xdr:col>
      <xdr:colOff>0</xdr:colOff>
      <xdr:row>86</xdr:row>
      <xdr:rowOff>381000</xdr:rowOff>
    </xdr:to>
    <xdr:cxnSp macro="">
      <xdr:nvCxnSpPr>
        <xdr:cNvPr id="14" name="Straight Connector 10">
          <a:extLst>
            <a:ext uri="{FF2B5EF4-FFF2-40B4-BE49-F238E27FC236}">
              <a16:creationId xmlns:a16="http://schemas.microsoft.com/office/drawing/2014/main" id="{00000000-0008-0000-0400-00000E000000}"/>
            </a:ext>
          </a:extLst>
        </xdr:cNvPr>
        <xdr:cNvCxnSpPr/>
      </xdr:nvCxnSpPr>
      <xdr:spPr>
        <a:xfrm>
          <a:off x="18510250" y="88265"/>
          <a:ext cx="0" cy="3893058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479102</xdr:colOff>
      <xdr:row>1</xdr:row>
      <xdr:rowOff>0</xdr:rowOff>
    </xdr:from>
    <xdr:to>
      <xdr:col>16</xdr:col>
      <xdr:colOff>479102</xdr:colOff>
      <xdr:row>86</xdr:row>
      <xdr:rowOff>371475</xdr:rowOff>
    </xdr:to>
    <xdr:cxnSp macro="">
      <xdr:nvCxnSpPr>
        <xdr:cNvPr id="15" name="Straight Connector 10">
          <a:extLst>
            <a:ext uri="{FF2B5EF4-FFF2-40B4-BE49-F238E27FC236}">
              <a16:creationId xmlns:a16="http://schemas.microsoft.com/office/drawing/2014/main" id="{00000000-0008-0000-0400-00000F000000}"/>
            </a:ext>
          </a:extLst>
        </xdr:cNvPr>
        <xdr:cNvCxnSpPr/>
      </xdr:nvCxnSpPr>
      <xdr:spPr>
        <a:xfrm>
          <a:off x="17677130" y="69215"/>
          <a:ext cx="0" cy="38940105"/>
        </a:xfrm>
        <a:prstGeom prst="line">
          <a:avLst/>
        </a:prstGeom>
        <a:ln w="1905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276229</xdr:colOff>
      <xdr:row>87</xdr:row>
      <xdr:rowOff>19050</xdr:rowOff>
    </xdr:from>
    <xdr:to>
      <xdr:col>16</xdr:col>
      <xdr:colOff>430723</xdr:colOff>
      <xdr:row>93</xdr:row>
      <xdr:rowOff>16980</xdr:rowOff>
    </xdr:to>
    <xdr:sp macro="" textlink="">
      <xdr:nvSpPr>
        <xdr:cNvPr id="4" name="TextBox 13">
          <a:extLst>
            <a:ext uri="{FF2B5EF4-FFF2-40B4-BE49-F238E27FC236}">
              <a16:creationId xmlns:a16="http://schemas.microsoft.com/office/drawing/2014/main" id="{00000000-0008-0000-0400-000004000000}"/>
            </a:ext>
          </a:extLst>
        </xdr:cNvPr>
        <xdr:cNvSpPr txBox="1"/>
      </xdr:nvSpPr>
      <xdr:spPr>
        <a:xfrm rot="16200000">
          <a:off x="16917670" y="39603680"/>
          <a:ext cx="1268095" cy="154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700" b="1">
              <a:solidFill>
                <a:schemeClr val="dk1"/>
              </a:solidFill>
              <a:latin typeface="+mn-lt"/>
              <a:ea typeface="+mn-lt"/>
              <a:cs typeface="+mn-lt"/>
            </a:rPr>
            <a:t>Contract. TCC: 24-Jul-26</a:t>
          </a:r>
        </a:p>
      </xdr:txBody>
    </xdr:sp>
    <xdr:clientData/>
  </xdr:twoCellAnchor>
  <xdr:twoCellAnchor>
    <xdr:from>
      <xdr:col>14</xdr:col>
      <xdr:colOff>74543</xdr:colOff>
      <xdr:row>4</xdr:row>
      <xdr:rowOff>295382</xdr:rowOff>
    </xdr:from>
    <xdr:to>
      <xdr:col>15</xdr:col>
      <xdr:colOff>67235</xdr:colOff>
      <xdr:row>4</xdr:row>
      <xdr:rowOff>295382</xdr:rowOff>
    </xdr:to>
    <xdr:cxnSp macro="">
      <xdr:nvCxnSpPr>
        <xdr:cNvPr id="59" name="Straight Connector 18">
          <a:extLst>
            <a:ext uri="{FF2B5EF4-FFF2-40B4-BE49-F238E27FC236}">
              <a16:creationId xmlns:a16="http://schemas.microsoft.com/office/drawing/2014/main" id="{00000000-0008-0000-0400-000013000000}"/>
            </a:ext>
          </a:extLst>
        </xdr:cNvPr>
        <xdr:cNvCxnSpPr/>
      </xdr:nvCxnSpPr>
      <xdr:spPr>
        <a:xfrm>
          <a:off x="9420249" y="665176"/>
          <a:ext cx="63142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596941</xdr:colOff>
      <xdr:row>5</xdr:row>
      <xdr:rowOff>297922</xdr:rowOff>
    </xdr:from>
    <xdr:to>
      <xdr:col>15</xdr:col>
      <xdr:colOff>515471</xdr:colOff>
      <xdr:row>5</xdr:row>
      <xdr:rowOff>297922</xdr:rowOff>
    </xdr:to>
    <xdr:cxnSp macro="">
      <xdr:nvCxnSpPr>
        <xdr:cNvPr id="57" name="Straight Connector 19">
          <a:extLst>
            <a:ext uri="{FF2B5EF4-FFF2-40B4-BE49-F238E27FC236}">
              <a16:creationId xmlns:a16="http://schemas.microsoft.com/office/drawing/2014/main" id="{00000000-0008-0000-0400-000014000000}"/>
            </a:ext>
          </a:extLst>
        </xdr:cNvPr>
        <xdr:cNvCxnSpPr/>
      </xdr:nvCxnSpPr>
      <xdr:spPr>
        <a:xfrm>
          <a:off x="9942647" y="1239216"/>
          <a:ext cx="5572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411443</xdr:colOff>
      <xdr:row>11</xdr:row>
      <xdr:rowOff>287399</xdr:rowOff>
    </xdr:from>
    <xdr:to>
      <xdr:col>15</xdr:col>
      <xdr:colOff>99391</xdr:colOff>
      <xdr:row>11</xdr:row>
      <xdr:rowOff>287399</xdr:rowOff>
    </xdr:to>
    <xdr:cxnSp macro="">
      <xdr:nvCxnSpPr>
        <xdr:cNvPr id="21" name="Straight Connector 20">
          <a:extLst>
            <a:ext uri="{FF2B5EF4-FFF2-40B4-BE49-F238E27FC236}">
              <a16:creationId xmlns:a16="http://schemas.microsoft.com/office/drawing/2014/main" id="{00000000-0008-0000-0400-000015000000}"/>
            </a:ext>
          </a:extLst>
        </xdr:cNvPr>
        <xdr:cNvCxnSpPr/>
      </xdr:nvCxnSpPr>
      <xdr:spPr>
        <a:xfrm>
          <a:off x="9787356" y="4147095"/>
          <a:ext cx="325709"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111672</xdr:colOff>
      <xdr:row>17</xdr:row>
      <xdr:rowOff>274162</xdr:rowOff>
    </xdr:from>
    <xdr:to>
      <xdr:col>15</xdr:col>
      <xdr:colOff>381000</xdr:colOff>
      <xdr:row>17</xdr:row>
      <xdr:rowOff>274162</xdr:rowOff>
    </xdr:to>
    <xdr:cxnSp macro="">
      <xdr:nvCxnSpPr>
        <xdr:cNvPr id="72" name="Straight Connector 21">
          <a:extLst>
            <a:ext uri="{FF2B5EF4-FFF2-40B4-BE49-F238E27FC236}">
              <a16:creationId xmlns:a16="http://schemas.microsoft.com/office/drawing/2014/main" id="{00000000-0008-0000-0400-000016000000}"/>
            </a:ext>
          </a:extLst>
        </xdr:cNvPr>
        <xdr:cNvCxnSpPr/>
      </xdr:nvCxnSpPr>
      <xdr:spPr>
        <a:xfrm>
          <a:off x="10109638" y="7046765"/>
          <a:ext cx="269328"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188097</xdr:colOff>
      <xdr:row>23</xdr:row>
      <xdr:rowOff>285221</xdr:rowOff>
    </xdr:from>
    <xdr:to>
      <xdr:col>15</xdr:col>
      <xdr:colOff>479534</xdr:colOff>
      <xdr:row>23</xdr:row>
      <xdr:rowOff>285221</xdr:rowOff>
    </xdr:to>
    <xdr:cxnSp macro="">
      <xdr:nvCxnSpPr>
        <xdr:cNvPr id="100" name="Straight Connector 22">
          <a:extLst>
            <a:ext uri="{FF2B5EF4-FFF2-40B4-BE49-F238E27FC236}">
              <a16:creationId xmlns:a16="http://schemas.microsoft.com/office/drawing/2014/main" id="{00000000-0008-0000-0400-000017000000}"/>
            </a:ext>
          </a:extLst>
        </xdr:cNvPr>
        <xdr:cNvCxnSpPr/>
      </xdr:nvCxnSpPr>
      <xdr:spPr>
        <a:xfrm>
          <a:off x="10186063" y="9974445"/>
          <a:ext cx="29143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566618</xdr:colOff>
      <xdr:row>29</xdr:row>
      <xdr:rowOff>296817</xdr:rowOff>
    </xdr:from>
    <xdr:to>
      <xdr:col>16</xdr:col>
      <xdr:colOff>101929</xdr:colOff>
      <xdr:row>29</xdr:row>
      <xdr:rowOff>296817</xdr:rowOff>
    </xdr:to>
    <xdr:cxnSp macro="">
      <xdr:nvCxnSpPr>
        <xdr:cNvPr id="123" name="Straight Connector 23">
          <a:extLst>
            <a:ext uri="{FF2B5EF4-FFF2-40B4-BE49-F238E27FC236}">
              <a16:creationId xmlns:a16="http://schemas.microsoft.com/office/drawing/2014/main" id="{00000000-0008-0000-0400-000018000000}"/>
            </a:ext>
          </a:extLst>
        </xdr:cNvPr>
        <xdr:cNvCxnSpPr/>
      </xdr:nvCxnSpPr>
      <xdr:spPr>
        <a:xfrm>
          <a:off x="10564584" y="12902662"/>
          <a:ext cx="1725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105738</xdr:colOff>
      <xdr:row>35</xdr:row>
      <xdr:rowOff>302536</xdr:rowOff>
    </xdr:from>
    <xdr:to>
      <xdr:col>16</xdr:col>
      <xdr:colOff>268263</xdr:colOff>
      <xdr:row>35</xdr:row>
      <xdr:rowOff>302536</xdr:rowOff>
    </xdr:to>
    <xdr:cxnSp macro="">
      <xdr:nvCxnSpPr>
        <xdr:cNvPr id="135" name="Straight Connector 24">
          <a:extLst>
            <a:ext uri="{FF2B5EF4-FFF2-40B4-BE49-F238E27FC236}">
              <a16:creationId xmlns:a16="http://schemas.microsoft.com/office/drawing/2014/main" id="{00000000-0008-0000-0400-000019000000}"/>
            </a:ext>
          </a:extLst>
        </xdr:cNvPr>
        <xdr:cNvCxnSpPr/>
      </xdr:nvCxnSpPr>
      <xdr:spPr>
        <a:xfrm>
          <a:off x="10740893" y="15825002"/>
          <a:ext cx="16252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213739</xdr:colOff>
      <xdr:row>41</xdr:row>
      <xdr:rowOff>294655</xdr:rowOff>
    </xdr:from>
    <xdr:to>
      <xdr:col>16</xdr:col>
      <xdr:colOff>387490</xdr:colOff>
      <xdr:row>41</xdr:row>
      <xdr:rowOff>294655</xdr:rowOff>
    </xdr:to>
    <xdr:cxnSp macro="">
      <xdr:nvCxnSpPr>
        <xdr:cNvPr id="161" name="Straight Connector 25">
          <a:extLst>
            <a:ext uri="{FF2B5EF4-FFF2-40B4-BE49-F238E27FC236}">
              <a16:creationId xmlns:a16="http://schemas.microsoft.com/office/drawing/2014/main" id="{00000000-0008-0000-0400-00001A000000}"/>
            </a:ext>
          </a:extLst>
        </xdr:cNvPr>
        <xdr:cNvCxnSpPr/>
      </xdr:nvCxnSpPr>
      <xdr:spPr>
        <a:xfrm>
          <a:off x="10851660" y="18712997"/>
          <a:ext cx="173751"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314891</xdr:colOff>
      <xdr:row>47</xdr:row>
      <xdr:rowOff>302786</xdr:rowOff>
    </xdr:from>
    <xdr:to>
      <xdr:col>16</xdr:col>
      <xdr:colOff>465883</xdr:colOff>
      <xdr:row>47</xdr:row>
      <xdr:rowOff>302786</xdr:rowOff>
    </xdr:to>
    <xdr:cxnSp macro="">
      <xdr:nvCxnSpPr>
        <xdr:cNvPr id="184" name="Straight Connector 26">
          <a:extLst>
            <a:ext uri="{FF2B5EF4-FFF2-40B4-BE49-F238E27FC236}">
              <a16:creationId xmlns:a16="http://schemas.microsoft.com/office/drawing/2014/main" id="{00000000-0008-0000-0400-00001B000000}"/>
            </a:ext>
          </a:extLst>
        </xdr:cNvPr>
        <xdr:cNvCxnSpPr/>
      </xdr:nvCxnSpPr>
      <xdr:spPr>
        <a:xfrm>
          <a:off x="10952812" y="21633773"/>
          <a:ext cx="15099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274552</xdr:colOff>
      <xdr:row>74</xdr:row>
      <xdr:rowOff>270412</xdr:rowOff>
    </xdr:from>
    <xdr:to>
      <xdr:col>16</xdr:col>
      <xdr:colOff>141343</xdr:colOff>
      <xdr:row>74</xdr:row>
      <xdr:rowOff>270412</xdr:rowOff>
    </xdr:to>
    <xdr:cxnSp macro="">
      <xdr:nvCxnSpPr>
        <xdr:cNvPr id="246" name="Straight Connector 2">
          <a:extLst>
            <a:ext uri="{FF2B5EF4-FFF2-40B4-BE49-F238E27FC236}">
              <a16:creationId xmlns:a16="http://schemas.microsoft.com/office/drawing/2014/main" id="{00000000-0008-0000-0400-000020000000}"/>
            </a:ext>
          </a:extLst>
        </xdr:cNvPr>
        <xdr:cNvCxnSpPr/>
      </xdr:nvCxnSpPr>
      <xdr:spPr>
        <a:xfrm>
          <a:off x="10272518" y="35782240"/>
          <a:ext cx="5039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438473</xdr:colOff>
      <xdr:row>65</xdr:row>
      <xdr:rowOff>192815</xdr:rowOff>
    </xdr:from>
    <xdr:to>
      <xdr:col>17</xdr:col>
      <xdr:colOff>583406</xdr:colOff>
      <xdr:row>65</xdr:row>
      <xdr:rowOff>192815</xdr:rowOff>
    </xdr:to>
    <xdr:cxnSp macro="">
      <xdr:nvCxnSpPr>
        <xdr:cNvPr id="33" name="Straight Connector 19">
          <a:extLst>
            <a:ext uri="{FF2B5EF4-FFF2-40B4-BE49-F238E27FC236}">
              <a16:creationId xmlns:a16="http://schemas.microsoft.com/office/drawing/2014/main" id="{00000000-0008-0000-0400-000021000000}"/>
            </a:ext>
          </a:extLst>
        </xdr:cNvPr>
        <xdr:cNvCxnSpPr/>
      </xdr:nvCxnSpPr>
      <xdr:spPr>
        <a:xfrm>
          <a:off x="11541051" y="32768315"/>
          <a:ext cx="14493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582421</xdr:colOff>
      <xdr:row>66</xdr:row>
      <xdr:rowOff>203191</xdr:rowOff>
    </xdr:from>
    <xdr:to>
      <xdr:col>18</xdr:col>
      <xdr:colOff>137949</xdr:colOff>
      <xdr:row>66</xdr:row>
      <xdr:rowOff>203191</xdr:rowOff>
    </xdr:to>
    <xdr:cxnSp macro="">
      <xdr:nvCxnSpPr>
        <xdr:cNvPr id="229" name="Straight Connector 19">
          <a:extLst>
            <a:ext uri="{FF2B5EF4-FFF2-40B4-BE49-F238E27FC236}">
              <a16:creationId xmlns:a16="http://schemas.microsoft.com/office/drawing/2014/main" id="{00000000-0008-0000-0400-000022000000}"/>
            </a:ext>
          </a:extLst>
        </xdr:cNvPr>
        <xdr:cNvCxnSpPr/>
      </xdr:nvCxnSpPr>
      <xdr:spPr>
        <a:xfrm>
          <a:off x="11854766" y="33133415"/>
          <a:ext cx="19271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180206</xdr:colOff>
      <xdr:row>67</xdr:row>
      <xdr:rowOff>183371</xdr:rowOff>
    </xdr:from>
    <xdr:to>
      <xdr:col>18</xdr:col>
      <xdr:colOff>280317</xdr:colOff>
      <xdr:row>67</xdr:row>
      <xdr:rowOff>183371</xdr:rowOff>
    </xdr:to>
    <xdr:cxnSp macro="">
      <xdr:nvCxnSpPr>
        <xdr:cNvPr id="230" name="Straight Connector 19">
          <a:extLst>
            <a:ext uri="{FF2B5EF4-FFF2-40B4-BE49-F238E27FC236}">
              <a16:creationId xmlns:a16="http://schemas.microsoft.com/office/drawing/2014/main" id="{00000000-0008-0000-0400-000025000000}"/>
            </a:ext>
          </a:extLst>
        </xdr:cNvPr>
        <xdr:cNvCxnSpPr/>
      </xdr:nvCxnSpPr>
      <xdr:spPr>
        <a:xfrm>
          <a:off x="12089740" y="33474888"/>
          <a:ext cx="100111"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292210</xdr:colOff>
      <xdr:row>68</xdr:row>
      <xdr:rowOff>208634</xdr:rowOff>
    </xdr:from>
    <xdr:to>
      <xdr:col>18</xdr:col>
      <xdr:colOff>341587</xdr:colOff>
      <xdr:row>68</xdr:row>
      <xdr:rowOff>208634</xdr:rowOff>
    </xdr:to>
    <xdr:cxnSp macro="">
      <xdr:nvCxnSpPr>
        <xdr:cNvPr id="235" name="Straight Connector 19">
          <a:extLst>
            <a:ext uri="{FF2B5EF4-FFF2-40B4-BE49-F238E27FC236}">
              <a16:creationId xmlns:a16="http://schemas.microsoft.com/office/drawing/2014/main" id="{00000000-0008-0000-0400-000026000000}"/>
            </a:ext>
          </a:extLst>
        </xdr:cNvPr>
        <xdr:cNvCxnSpPr/>
      </xdr:nvCxnSpPr>
      <xdr:spPr>
        <a:xfrm>
          <a:off x="12201744" y="33861444"/>
          <a:ext cx="4937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315311</xdr:colOff>
      <xdr:row>69</xdr:row>
      <xdr:rowOff>190776</xdr:rowOff>
    </xdr:from>
    <xdr:to>
      <xdr:col>18</xdr:col>
      <xdr:colOff>371257</xdr:colOff>
      <xdr:row>69</xdr:row>
      <xdr:rowOff>190776</xdr:rowOff>
    </xdr:to>
    <xdr:cxnSp macro="">
      <xdr:nvCxnSpPr>
        <xdr:cNvPr id="234" name="Straight Connector 19">
          <a:extLst>
            <a:ext uri="{FF2B5EF4-FFF2-40B4-BE49-F238E27FC236}">
              <a16:creationId xmlns:a16="http://schemas.microsoft.com/office/drawing/2014/main" id="{00000000-0008-0000-0400-000027000000}"/>
            </a:ext>
          </a:extLst>
        </xdr:cNvPr>
        <xdr:cNvCxnSpPr/>
      </xdr:nvCxnSpPr>
      <xdr:spPr>
        <a:xfrm>
          <a:off x="12224845" y="34204879"/>
          <a:ext cx="55946"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280148</xdr:colOff>
      <xdr:row>7</xdr:row>
      <xdr:rowOff>314250</xdr:rowOff>
    </xdr:from>
    <xdr:to>
      <xdr:col>16</xdr:col>
      <xdr:colOff>383420</xdr:colOff>
      <xdr:row>7</xdr:row>
      <xdr:rowOff>314250</xdr:rowOff>
    </xdr:to>
    <xdr:cxnSp macro="">
      <xdr:nvCxnSpPr>
        <xdr:cNvPr id="20" name="Straight Connector 39">
          <a:extLst>
            <a:ext uri="{FF2B5EF4-FFF2-40B4-BE49-F238E27FC236}">
              <a16:creationId xmlns:a16="http://schemas.microsoft.com/office/drawing/2014/main" id="{00000000-0008-0000-0400-000028000000}"/>
            </a:ext>
          </a:extLst>
        </xdr:cNvPr>
        <xdr:cNvCxnSpPr/>
      </xdr:nvCxnSpPr>
      <xdr:spPr>
        <a:xfrm>
          <a:off x="10903324" y="2398544"/>
          <a:ext cx="10327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123265</xdr:colOff>
      <xdr:row>12</xdr:row>
      <xdr:rowOff>294747</xdr:rowOff>
    </xdr:from>
    <xdr:to>
      <xdr:col>15</xdr:col>
      <xdr:colOff>515471</xdr:colOff>
      <xdr:row>12</xdr:row>
      <xdr:rowOff>294747</xdr:rowOff>
    </xdr:to>
    <xdr:cxnSp macro="">
      <xdr:nvCxnSpPr>
        <xdr:cNvPr id="71" name="Straight Connector 41">
          <a:extLst>
            <a:ext uri="{FF2B5EF4-FFF2-40B4-BE49-F238E27FC236}">
              <a16:creationId xmlns:a16="http://schemas.microsoft.com/office/drawing/2014/main" id="{00000000-0008-0000-0400-00002A000000}"/>
            </a:ext>
          </a:extLst>
        </xdr:cNvPr>
        <xdr:cNvCxnSpPr/>
      </xdr:nvCxnSpPr>
      <xdr:spPr>
        <a:xfrm>
          <a:off x="10107706" y="4721071"/>
          <a:ext cx="392206"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515471</xdr:colOff>
      <xdr:row>18</xdr:row>
      <xdr:rowOff>276249</xdr:rowOff>
    </xdr:from>
    <xdr:to>
      <xdr:col>16</xdr:col>
      <xdr:colOff>67236</xdr:colOff>
      <xdr:row>18</xdr:row>
      <xdr:rowOff>276249</xdr:rowOff>
    </xdr:to>
    <xdr:cxnSp macro="">
      <xdr:nvCxnSpPr>
        <xdr:cNvPr id="82" name="Straight Connector 42">
          <a:extLst>
            <a:ext uri="{FF2B5EF4-FFF2-40B4-BE49-F238E27FC236}">
              <a16:creationId xmlns:a16="http://schemas.microsoft.com/office/drawing/2014/main" id="{00000000-0008-0000-0400-00002B000000}"/>
            </a:ext>
          </a:extLst>
        </xdr:cNvPr>
        <xdr:cNvCxnSpPr/>
      </xdr:nvCxnSpPr>
      <xdr:spPr>
        <a:xfrm>
          <a:off x="10499912" y="7616102"/>
          <a:ext cx="1905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47730</xdr:colOff>
      <xdr:row>24</xdr:row>
      <xdr:rowOff>264791</xdr:rowOff>
    </xdr:from>
    <xdr:to>
      <xdr:col>16</xdr:col>
      <xdr:colOff>210207</xdr:colOff>
      <xdr:row>24</xdr:row>
      <xdr:rowOff>264791</xdr:rowOff>
    </xdr:to>
    <xdr:cxnSp macro="">
      <xdr:nvCxnSpPr>
        <xdr:cNvPr id="109" name="Straight Connector 43">
          <a:extLst>
            <a:ext uri="{FF2B5EF4-FFF2-40B4-BE49-F238E27FC236}">
              <a16:creationId xmlns:a16="http://schemas.microsoft.com/office/drawing/2014/main" id="{00000000-0008-0000-0400-00002C000000}"/>
            </a:ext>
          </a:extLst>
        </xdr:cNvPr>
        <xdr:cNvCxnSpPr/>
      </xdr:nvCxnSpPr>
      <xdr:spPr>
        <a:xfrm>
          <a:off x="10682885" y="10525515"/>
          <a:ext cx="16247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151086</xdr:colOff>
      <xdr:row>30</xdr:row>
      <xdr:rowOff>297922</xdr:rowOff>
    </xdr:from>
    <xdr:to>
      <xdr:col>16</xdr:col>
      <xdr:colOff>297657</xdr:colOff>
      <xdr:row>30</xdr:row>
      <xdr:rowOff>297922</xdr:rowOff>
    </xdr:to>
    <xdr:cxnSp macro="">
      <xdr:nvCxnSpPr>
        <xdr:cNvPr id="45" name="Straight Connector 44">
          <a:extLst>
            <a:ext uri="{FF2B5EF4-FFF2-40B4-BE49-F238E27FC236}">
              <a16:creationId xmlns:a16="http://schemas.microsoft.com/office/drawing/2014/main" id="{00000000-0008-0000-0400-00002D000000}"/>
            </a:ext>
          </a:extLst>
        </xdr:cNvPr>
        <xdr:cNvCxnSpPr/>
      </xdr:nvCxnSpPr>
      <xdr:spPr>
        <a:xfrm>
          <a:off x="10789320" y="13478141"/>
          <a:ext cx="146571"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279290</xdr:colOff>
      <xdr:row>36</xdr:row>
      <xdr:rowOff>286016</xdr:rowOff>
    </xdr:from>
    <xdr:to>
      <xdr:col>16</xdr:col>
      <xdr:colOff>387569</xdr:colOff>
      <xdr:row>36</xdr:row>
      <xdr:rowOff>286016</xdr:rowOff>
    </xdr:to>
    <xdr:cxnSp macro="">
      <xdr:nvCxnSpPr>
        <xdr:cNvPr id="143" name="Straight Connector 45">
          <a:extLst>
            <a:ext uri="{FF2B5EF4-FFF2-40B4-BE49-F238E27FC236}">
              <a16:creationId xmlns:a16="http://schemas.microsoft.com/office/drawing/2014/main" id="{00000000-0008-0000-0400-00002E000000}"/>
            </a:ext>
          </a:extLst>
        </xdr:cNvPr>
        <xdr:cNvCxnSpPr/>
      </xdr:nvCxnSpPr>
      <xdr:spPr>
        <a:xfrm>
          <a:off x="10914445" y="16379982"/>
          <a:ext cx="108279"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386013</xdr:colOff>
      <xdr:row>42</xdr:row>
      <xdr:rowOff>297922</xdr:rowOff>
    </xdr:from>
    <xdr:to>
      <xdr:col>16</xdr:col>
      <xdr:colOff>475623</xdr:colOff>
      <xdr:row>42</xdr:row>
      <xdr:rowOff>297922</xdr:rowOff>
    </xdr:to>
    <xdr:cxnSp macro="">
      <xdr:nvCxnSpPr>
        <xdr:cNvPr id="165" name="Straight Connector 46">
          <a:extLst>
            <a:ext uri="{FF2B5EF4-FFF2-40B4-BE49-F238E27FC236}">
              <a16:creationId xmlns:a16="http://schemas.microsoft.com/office/drawing/2014/main" id="{00000000-0008-0000-0400-00002F000000}"/>
            </a:ext>
          </a:extLst>
        </xdr:cNvPr>
        <xdr:cNvCxnSpPr/>
      </xdr:nvCxnSpPr>
      <xdr:spPr>
        <a:xfrm>
          <a:off x="11023934" y="19287764"/>
          <a:ext cx="8961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291353</xdr:colOff>
      <xdr:row>13</xdr:row>
      <xdr:rowOff>305967</xdr:rowOff>
    </xdr:from>
    <xdr:to>
      <xdr:col>16</xdr:col>
      <xdr:colOff>437030</xdr:colOff>
      <xdr:row>13</xdr:row>
      <xdr:rowOff>305967</xdr:rowOff>
    </xdr:to>
    <xdr:cxnSp macro="">
      <xdr:nvCxnSpPr>
        <xdr:cNvPr id="74" name="Straight Connector 48">
          <a:extLst>
            <a:ext uri="{FF2B5EF4-FFF2-40B4-BE49-F238E27FC236}">
              <a16:creationId xmlns:a16="http://schemas.microsoft.com/office/drawing/2014/main" id="{00000000-0008-0000-0400-000031000000}"/>
            </a:ext>
          </a:extLst>
        </xdr:cNvPr>
        <xdr:cNvCxnSpPr/>
      </xdr:nvCxnSpPr>
      <xdr:spPr>
        <a:xfrm>
          <a:off x="10914529" y="5303791"/>
          <a:ext cx="14567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434578</xdr:colOff>
      <xdr:row>19</xdr:row>
      <xdr:rowOff>314250</xdr:rowOff>
    </xdr:from>
    <xdr:to>
      <xdr:col>16</xdr:col>
      <xdr:colOff>492673</xdr:colOff>
      <xdr:row>19</xdr:row>
      <xdr:rowOff>314250</xdr:rowOff>
    </xdr:to>
    <xdr:cxnSp macro="">
      <xdr:nvCxnSpPr>
        <xdr:cNvPr id="50" name="Straight Connector 49">
          <a:extLst>
            <a:ext uri="{FF2B5EF4-FFF2-40B4-BE49-F238E27FC236}">
              <a16:creationId xmlns:a16="http://schemas.microsoft.com/office/drawing/2014/main" id="{00000000-0008-0000-0400-000032000000}"/>
            </a:ext>
          </a:extLst>
        </xdr:cNvPr>
        <xdr:cNvCxnSpPr/>
      </xdr:nvCxnSpPr>
      <xdr:spPr>
        <a:xfrm>
          <a:off x="11072812" y="8231906"/>
          <a:ext cx="5809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573786</xdr:colOff>
      <xdr:row>25</xdr:row>
      <xdr:rowOff>317425</xdr:rowOff>
    </xdr:from>
    <xdr:to>
      <xdr:col>17</xdr:col>
      <xdr:colOff>138554</xdr:colOff>
      <xdr:row>25</xdr:row>
      <xdr:rowOff>317425</xdr:rowOff>
    </xdr:to>
    <xdr:cxnSp macro="">
      <xdr:nvCxnSpPr>
        <xdr:cNvPr id="111" name="Straight Connector 50">
          <a:extLst>
            <a:ext uri="{FF2B5EF4-FFF2-40B4-BE49-F238E27FC236}">
              <a16:creationId xmlns:a16="http://schemas.microsoft.com/office/drawing/2014/main" id="{00000000-0008-0000-0400-000033000000}"/>
            </a:ext>
          </a:extLst>
        </xdr:cNvPr>
        <xdr:cNvCxnSpPr/>
      </xdr:nvCxnSpPr>
      <xdr:spPr>
        <a:xfrm>
          <a:off x="11208941" y="11149649"/>
          <a:ext cx="201958"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84859</xdr:colOff>
      <xdr:row>31</xdr:row>
      <xdr:rowOff>317425</xdr:rowOff>
    </xdr:from>
    <xdr:to>
      <xdr:col>17</xdr:col>
      <xdr:colOff>352998</xdr:colOff>
      <xdr:row>31</xdr:row>
      <xdr:rowOff>317425</xdr:rowOff>
    </xdr:to>
    <xdr:cxnSp macro="">
      <xdr:nvCxnSpPr>
        <xdr:cNvPr id="129" name="Straight Connector 51">
          <a:extLst>
            <a:ext uri="{FF2B5EF4-FFF2-40B4-BE49-F238E27FC236}">
              <a16:creationId xmlns:a16="http://schemas.microsoft.com/office/drawing/2014/main" id="{00000000-0008-0000-0400-000034000000}"/>
            </a:ext>
          </a:extLst>
        </xdr:cNvPr>
        <xdr:cNvCxnSpPr/>
      </xdr:nvCxnSpPr>
      <xdr:spPr>
        <a:xfrm>
          <a:off x="11357204" y="14066270"/>
          <a:ext cx="268139"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267505</xdr:colOff>
      <xdr:row>37</xdr:row>
      <xdr:rowOff>266625</xdr:rowOff>
    </xdr:from>
    <xdr:to>
      <xdr:col>17</xdr:col>
      <xdr:colOff>419077</xdr:colOff>
      <xdr:row>37</xdr:row>
      <xdr:rowOff>266625</xdr:rowOff>
    </xdr:to>
    <xdr:cxnSp macro="">
      <xdr:nvCxnSpPr>
        <xdr:cNvPr id="147" name="Straight Connector 52">
          <a:extLst>
            <a:ext uri="{FF2B5EF4-FFF2-40B4-BE49-F238E27FC236}">
              <a16:creationId xmlns:a16="http://schemas.microsoft.com/office/drawing/2014/main" id="{00000000-0008-0000-0400-000035000000}"/>
            </a:ext>
          </a:extLst>
        </xdr:cNvPr>
        <xdr:cNvCxnSpPr/>
      </xdr:nvCxnSpPr>
      <xdr:spPr>
        <a:xfrm>
          <a:off x="11542097" y="16915322"/>
          <a:ext cx="151572"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449712</xdr:colOff>
      <xdr:row>43</xdr:row>
      <xdr:rowOff>317425</xdr:rowOff>
    </xdr:from>
    <xdr:to>
      <xdr:col>17</xdr:col>
      <xdr:colOff>585096</xdr:colOff>
      <xdr:row>43</xdr:row>
      <xdr:rowOff>317425</xdr:rowOff>
    </xdr:to>
    <xdr:cxnSp macro="">
      <xdr:nvCxnSpPr>
        <xdr:cNvPr id="174" name="Straight Connector 53">
          <a:extLst>
            <a:ext uri="{FF2B5EF4-FFF2-40B4-BE49-F238E27FC236}">
              <a16:creationId xmlns:a16="http://schemas.microsoft.com/office/drawing/2014/main" id="{00000000-0008-0000-0400-000036000000}"/>
            </a:ext>
          </a:extLst>
        </xdr:cNvPr>
        <xdr:cNvCxnSpPr/>
      </xdr:nvCxnSpPr>
      <xdr:spPr>
        <a:xfrm>
          <a:off x="11724304" y="19878767"/>
          <a:ext cx="13538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581892</xdr:colOff>
      <xdr:row>49</xdr:row>
      <xdr:rowOff>293216</xdr:rowOff>
    </xdr:from>
    <xdr:to>
      <xdr:col>17</xdr:col>
      <xdr:colOff>93618</xdr:colOff>
      <xdr:row>49</xdr:row>
      <xdr:rowOff>293216</xdr:rowOff>
    </xdr:to>
    <xdr:cxnSp macro="">
      <xdr:nvCxnSpPr>
        <xdr:cNvPr id="194" name="Straight Connector 54">
          <a:extLst>
            <a:ext uri="{FF2B5EF4-FFF2-40B4-BE49-F238E27FC236}">
              <a16:creationId xmlns:a16="http://schemas.microsoft.com/office/drawing/2014/main" id="{00000000-0008-0000-0400-000037000000}"/>
            </a:ext>
          </a:extLst>
        </xdr:cNvPr>
        <xdr:cNvCxnSpPr/>
      </xdr:nvCxnSpPr>
      <xdr:spPr>
        <a:xfrm>
          <a:off x="11219813" y="22767203"/>
          <a:ext cx="14839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368819</xdr:colOff>
      <xdr:row>8</xdr:row>
      <xdr:rowOff>275273</xdr:rowOff>
    </xdr:from>
    <xdr:to>
      <xdr:col>16</xdr:col>
      <xdr:colOff>425824</xdr:colOff>
      <xdr:row>8</xdr:row>
      <xdr:rowOff>275273</xdr:rowOff>
    </xdr:to>
    <xdr:cxnSp macro="">
      <xdr:nvCxnSpPr>
        <xdr:cNvPr id="60" name="Straight Connector 30">
          <a:extLst>
            <a:ext uri="{FF2B5EF4-FFF2-40B4-BE49-F238E27FC236}">
              <a16:creationId xmlns:a16="http://schemas.microsoft.com/office/drawing/2014/main" id="{00000000-0008-0000-0400-00001F000000}"/>
            </a:ext>
          </a:extLst>
        </xdr:cNvPr>
        <xdr:cNvCxnSpPr/>
      </xdr:nvCxnSpPr>
      <xdr:spPr>
        <a:xfrm>
          <a:off x="10991995" y="2931067"/>
          <a:ext cx="5700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391764</xdr:colOff>
      <xdr:row>14</xdr:row>
      <xdr:rowOff>272684</xdr:rowOff>
    </xdr:from>
    <xdr:to>
      <xdr:col>16</xdr:col>
      <xdr:colOff>465144</xdr:colOff>
      <xdr:row>14</xdr:row>
      <xdr:rowOff>272684</xdr:rowOff>
    </xdr:to>
    <xdr:cxnSp macro="">
      <xdr:nvCxnSpPr>
        <xdr:cNvPr id="5" name="Straight Connector 60">
          <a:extLst>
            <a:ext uri="{FF2B5EF4-FFF2-40B4-BE49-F238E27FC236}">
              <a16:creationId xmlns:a16="http://schemas.microsoft.com/office/drawing/2014/main" id="{00000000-0008-0000-0400-00003D000000}"/>
            </a:ext>
          </a:extLst>
        </xdr:cNvPr>
        <xdr:cNvCxnSpPr/>
      </xdr:nvCxnSpPr>
      <xdr:spPr>
        <a:xfrm>
          <a:off x="11029998" y="5844809"/>
          <a:ext cx="733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541058</xdr:colOff>
      <xdr:row>20</xdr:row>
      <xdr:rowOff>291353</xdr:rowOff>
    </xdr:from>
    <xdr:to>
      <xdr:col>17</xdr:col>
      <xdr:colOff>89647</xdr:colOff>
      <xdr:row>20</xdr:row>
      <xdr:rowOff>294509</xdr:rowOff>
    </xdr:to>
    <xdr:cxnSp macro="">
      <xdr:nvCxnSpPr>
        <xdr:cNvPr id="89" name="Straight Connector 67">
          <a:extLst>
            <a:ext uri="{FF2B5EF4-FFF2-40B4-BE49-F238E27FC236}">
              <a16:creationId xmlns:a16="http://schemas.microsoft.com/office/drawing/2014/main" id="{00000000-0008-0000-0400-000044000000}"/>
            </a:ext>
          </a:extLst>
        </xdr:cNvPr>
        <xdr:cNvCxnSpPr/>
      </xdr:nvCxnSpPr>
      <xdr:spPr>
        <a:xfrm flipV="1">
          <a:off x="11164234" y="8774206"/>
          <a:ext cx="187325" cy="3156"/>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203638</xdr:colOff>
      <xdr:row>26</xdr:row>
      <xdr:rowOff>292577</xdr:rowOff>
    </xdr:from>
    <xdr:to>
      <xdr:col>17</xdr:col>
      <xdr:colOff>269327</xdr:colOff>
      <xdr:row>26</xdr:row>
      <xdr:rowOff>292577</xdr:rowOff>
    </xdr:to>
    <xdr:cxnSp macro="">
      <xdr:nvCxnSpPr>
        <xdr:cNvPr id="115" name="Straight Connector 77">
          <a:extLst>
            <a:ext uri="{FF2B5EF4-FFF2-40B4-BE49-F238E27FC236}">
              <a16:creationId xmlns:a16="http://schemas.microsoft.com/office/drawing/2014/main" id="{00000000-0008-0000-0400-00004E000000}"/>
            </a:ext>
          </a:extLst>
        </xdr:cNvPr>
        <xdr:cNvCxnSpPr/>
      </xdr:nvCxnSpPr>
      <xdr:spPr>
        <a:xfrm>
          <a:off x="11475983" y="11696301"/>
          <a:ext cx="65689"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341586</xdr:colOff>
      <xdr:row>32</xdr:row>
      <xdr:rowOff>296778</xdr:rowOff>
    </xdr:from>
    <xdr:to>
      <xdr:col>17</xdr:col>
      <xdr:colOff>420414</xdr:colOff>
      <xdr:row>32</xdr:row>
      <xdr:rowOff>296778</xdr:rowOff>
    </xdr:to>
    <xdr:cxnSp macro="">
      <xdr:nvCxnSpPr>
        <xdr:cNvPr id="131" name="Straight Connector 86">
          <a:extLst>
            <a:ext uri="{FF2B5EF4-FFF2-40B4-BE49-F238E27FC236}">
              <a16:creationId xmlns:a16="http://schemas.microsoft.com/office/drawing/2014/main" id="{00000000-0008-0000-0400-000057000000}"/>
            </a:ext>
          </a:extLst>
        </xdr:cNvPr>
        <xdr:cNvCxnSpPr/>
      </xdr:nvCxnSpPr>
      <xdr:spPr>
        <a:xfrm>
          <a:off x="11613931" y="14617123"/>
          <a:ext cx="78828"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446171</xdr:colOff>
      <xdr:row>38</xdr:row>
      <xdr:rowOff>316155</xdr:rowOff>
    </xdr:from>
    <xdr:to>
      <xdr:col>17</xdr:col>
      <xdr:colOff>507582</xdr:colOff>
      <xdr:row>38</xdr:row>
      <xdr:rowOff>316155</xdr:rowOff>
    </xdr:to>
    <xdr:cxnSp macro="">
      <xdr:nvCxnSpPr>
        <xdr:cNvPr id="154" name="Straight Connector 94">
          <a:extLst>
            <a:ext uri="{FF2B5EF4-FFF2-40B4-BE49-F238E27FC236}">
              <a16:creationId xmlns:a16="http://schemas.microsoft.com/office/drawing/2014/main" id="{00000000-0008-0000-0400-00005F000000}"/>
            </a:ext>
          </a:extLst>
        </xdr:cNvPr>
        <xdr:cNvCxnSpPr/>
      </xdr:nvCxnSpPr>
      <xdr:spPr>
        <a:xfrm>
          <a:off x="11720763" y="17536352"/>
          <a:ext cx="61411"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597998</xdr:colOff>
      <xdr:row>44</xdr:row>
      <xdr:rowOff>302344</xdr:rowOff>
    </xdr:from>
    <xdr:to>
      <xdr:col>18</xdr:col>
      <xdr:colOff>50132</xdr:colOff>
      <xdr:row>44</xdr:row>
      <xdr:rowOff>302344</xdr:rowOff>
    </xdr:to>
    <xdr:cxnSp macro="">
      <xdr:nvCxnSpPr>
        <xdr:cNvPr id="176" name="Straight Connector 100">
          <a:extLst>
            <a:ext uri="{FF2B5EF4-FFF2-40B4-BE49-F238E27FC236}">
              <a16:creationId xmlns:a16="http://schemas.microsoft.com/office/drawing/2014/main" id="{00000000-0008-0000-0400-000065000000}"/>
            </a:ext>
          </a:extLst>
        </xdr:cNvPr>
        <xdr:cNvCxnSpPr/>
      </xdr:nvCxnSpPr>
      <xdr:spPr>
        <a:xfrm>
          <a:off x="11872590" y="20435186"/>
          <a:ext cx="8880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553486</xdr:colOff>
      <xdr:row>48</xdr:row>
      <xdr:rowOff>284484</xdr:rowOff>
    </xdr:from>
    <xdr:to>
      <xdr:col>17</xdr:col>
      <xdr:colOff>26044</xdr:colOff>
      <xdr:row>48</xdr:row>
      <xdr:rowOff>284484</xdr:rowOff>
    </xdr:to>
    <xdr:cxnSp macro="">
      <xdr:nvCxnSpPr>
        <xdr:cNvPr id="193" name="Straight Connector 103">
          <a:extLst>
            <a:ext uri="{FF2B5EF4-FFF2-40B4-BE49-F238E27FC236}">
              <a16:creationId xmlns:a16="http://schemas.microsoft.com/office/drawing/2014/main" id="{00000000-0008-0000-0400-000068000000}"/>
            </a:ext>
          </a:extLst>
        </xdr:cNvPr>
        <xdr:cNvCxnSpPr/>
      </xdr:nvCxnSpPr>
      <xdr:spPr>
        <a:xfrm>
          <a:off x="11191407" y="22186971"/>
          <a:ext cx="109229"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64514</xdr:colOff>
      <xdr:row>50</xdr:row>
      <xdr:rowOff>278531</xdr:rowOff>
    </xdr:from>
    <xdr:to>
      <xdr:col>17</xdr:col>
      <xdr:colOff>135355</xdr:colOff>
      <xdr:row>50</xdr:row>
      <xdr:rowOff>278531</xdr:rowOff>
    </xdr:to>
    <xdr:cxnSp macro="">
      <xdr:nvCxnSpPr>
        <xdr:cNvPr id="196" name="Straight Connector 105">
          <a:extLst>
            <a:ext uri="{FF2B5EF4-FFF2-40B4-BE49-F238E27FC236}">
              <a16:creationId xmlns:a16="http://schemas.microsoft.com/office/drawing/2014/main" id="{00000000-0008-0000-0400-00006A000000}"/>
            </a:ext>
          </a:extLst>
        </xdr:cNvPr>
        <xdr:cNvCxnSpPr/>
      </xdr:nvCxnSpPr>
      <xdr:spPr>
        <a:xfrm>
          <a:off x="11339106" y="23324018"/>
          <a:ext cx="70841"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635723</xdr:colOff>
      <xdr:row>71</xdr:row>
      <xdr:rowOff>230681</xdr:rowOff>
    </xdr:from>
    <xdr:to>
      <xdr:col>18</xdr:col>
      <xdr:colOff>128807</xdr:colOff>
      <xdr:row>71</xdr:row>
      <xdr:rowOff>230681</xdr:rowOff>
    </xdr:to>
    <xdr:cxnSp macro="">
      <xdr:nvCxnSpPr>
        <xdr:cNvPr id="241" name="Straight Connector 19">
          <a:extLst>
            <a:ext uri="{FF2B5EF4-FFF2-40B4-BE49-F238E27FC236}">
              <a16:creationId xmlns:a16="http://schemas.microsoft.com/office/drawing/2014/main" id="{00000000-0008-0000-0400-000079000000}"/>
            </a:ext>
          </a:extLst>
        </xdr:cNvPr>
        <xdr:cNvCxnSpPr/>
      </xdr:nvCxnSpPr>
      <xdr:spPr>
        <a:xfrm>
          <a:off x="11270878" y="34665198"/>
          <a:ext cx="76746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9744</xdr:colOff>
      <xdr:row>75</xdr:row>
      <xdr:rowOff>237785</xdr:rowOff>
    </xdr:from>
    <xdr:to>
      <xdr:col>16</xdr:col>
      <xdr:colOff>289034</xdr:colOff>
      <xdr:row>75</xdr:row>
      <xdr:rowOff>237785</xdr:rowOff>
    </xdr:to>
    <xdr:cxnSp macro="">
      <xdr:nvCxnSpPr>
        <xdr:cNvPr id="124" name="Straight Connector 2">
          <a:extLst>
            <a:ext uri="{FF2B5EF4-FFF2-40B4-BE49-F238E27FC236}">
              <a16:creationId xmlns:a16="http://schemas.microsoft.com/office/drawing/2014/main" id="{00000000-0008-0000-0400-00007C000000}"/>
            </a:ext>
          </a:extLst>
        </xdr:cNvPr>
        <xdr:cNvCxnSpPr/>
      </xdr:nvCxnSpPr>
      <xdr:spPr>
        <a:xfrm>
          <a:off x="17207865" y="35145345"/>
          <a:ext cx="279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324114</xdr:colOff>
      <xdr:row>9</xdr:row>
      <xdr:rowOff>239876</xdr:rowOff>
    </xdr:from>
    <xdr:to>
      <xdr:col>16</xdr:col>
      <xdr:colOff>443245</xdr:colOff>
      <xdr:row>9</xdr:row>
      <xdr:rowOff>353900</xdr:rowOff>
    </xdr:to>
    <xdr:sp macro="" textlink="">
      <xdr:nvSpPr>
        <xdr:cNvPr id="19" name="Diamond 62">
          <a:extLst>
            <a:ext uri="{FF2B5EF4-FFF2-40B4-BE49-F238E27FC236}">
              <a16:creationId xmlns:a16="http://schemas.microsoft.com/office/drawing/2014/main" id="{00000000-0008-0000-0400-000087000000}"/>
            </a:ext>
          </a:extLst>
        </xdr:cNvPr>
        <xdr:cNvSpPr/>
      </xdr:nvSpPr>
      <xdr:spPr>
        <a:xfrm>
          <a:off x="10947290" y="3467170"/>
          <a:ext cx="119131" cy="114024"/>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16</xdr:col>
      <xdr:colOff>473099</xdr:colOff>
      <xdr:row>15</xdr:row>
      <xdr:rowOff>247736</xdr:rowOff>
    </xdr:from>
    <xdr:to>
      <xdr:col>16</xdr:col>
      <xdr:colOff>601755</xdr:colOff>
      <xdr:row>15</xdr:row>
      <xdr:rowOff>358585</xdr:rowOff>
    </xdr:to>
    <xdr:sp macro="" textlink="">
      <xdr:nvSpPr>
        <xdr:cNvPr id="260" name="Diamond 62">
          <a:extLst>
            <a:ext uri="{FF2B5EF4-FFF2-40B4-BE49-F238E27FC236}">
              <a16:creationId xmlns:a16="http://schemas.microsoft.com/office/drawing/2014/main" id="{00000000-0008-0000-0400-000088000000}"/>
            </a:ext>
          </a:extLst>
        </xdr:cNvPr>
        <xdr:cNvSpPr/>
      </xdr:nvSpPr>
      <xdr:spPr>
        <a:xfrm>
          <a:off x="11108254" y="6389719"/>
          <a:ext cx="128656" cy="110849"/>
        </a:xfrm>
        <a:prstGeom prst="diamond">
          <a:avLst/>
        </a:prstGeom>
        <a:solidFill>
          <a:srgbClr val="FF000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16</xdr:col>
      <xdr:colOff>624874</xdr:colOff>
      <xdr:row>21</xdr:row>
      <xdr:rowOff>281257</xdr:rowOff>
    </xdr:from>
    <xdr:to>
      <xdr:col>17</xdr:col>
      <xdr:colOff>103069</xdr:colOff>
      <xdr:row>21</xdr:row>
      <xdr:rowOff>395281</xdr:rowOff>
    </xdr:to>
    <xdr:sp macro="" textlink="">
      <xdr:nvSpPr>
        <xdr:cNvPr id="261" name="Diamond 62">
          <a:extLst>
            <a:ext uri="{FF2B5EF4-FFF2-40B4-BE49-F238E27FC236}">
              <a16:creationId xmlns:a16="http://schemas.microsoft.com/office/drawing/2014/main" id="{00000000-0008-0000-0400-000089000000}"/>
            </a:ext>
          </a:extLst>
        </xdr:cNvPr>
        <xdr:cNvSpPr/>
      </xdr:nvSpPr>
      <xdr:spPr>
        <a:xfrm>
          <a:off x="11276309" y="9342431"/>
          <a:ext cx="115956" cy="114024"/>
        </a:xfrm>
        <a:prstGeom prst="diamond">
          <a:avLst/>
        </a:prstGeom>
        <a:solidFill>
          <a:srgbClr val="FF000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17</xdr:col>
      <xdr:colOff>187325</xdr:colOff>
      <xdr:row>27</xdr:row>
      <xdr:rowOff>239876</xdr:rowOff>
    </xdr:from>
    <xdr:to>
      <xdr:col>17</xdr:col>
      <xdr:colOff>306456</xdr:colOff>
      <xdr:row>27</xdr:row>
      <xdr:rowOff>353900</xdr:rowOff>
    </xdr:to>
    <xdr:sp macro="" textlink="">
      <xdr:nvSpPr>
        <xdr:cNvPr id="262" name="Diamond 62">
          <a:extLst>
            <a:ext uri="{FF2B5EF4-FFF2-40B4-BE49-F238E27FC236}">
              <a16:creationId xmlns:a16="http://schemas.microsoft.com/office/drawing/2014/main" id="{00000000-0008-0000-0400-00008A000000}"/>
            </a:ext>
          </a:extLst>
        </xdr:cNvPr>
        <xdr:cNvSpPr/>
      </xdr:nvSpPr>
      <xdr:spPr>
        <a:xfrm>
          <a:off x="11459670" y="12215100"/>
          <a:ext cx="119131" cy="114024"/>
        </a:xfrm>
        <a:prstGeom prst="diamond">
          <a:avLst/>
        </a:prstGeom>
        <a:solidFill>
          <a:srgbClr val="FF000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17</xdr:col>
      <xdr:colOff>331622</xdr:colOff>
      <xdr:row>33</xdr:row>
      <xdr:rowOff>279072</xdr:rowOff>
    </xdr:from>
    <xdr:to>
      <xdr:col>17</xdr:col>
      <xdr:colOff>447578</xdr:colOff>
      <xdr:row>33</xdr:row>
      <xdr:rowOff>383571</xdr:rowOff>
    </xdr:to>
    <xdr:sp macro="" textlink="">
      <xdr:nvSpPr>
        <xdr:cNvPr id="263" name="Diamond 64">
          <a:extLst>
            <a:ext uri="{FF2B5EF4-FFF2-40B4-BE49-F238E27FC236}">
              <a16:creationId xmlns:a16="http://schemas.microsoft.com/office/drawing/2014/main" id="{00000000-0008-0000-0400-00008B000000}"/>
            </a:ext>
          </a:extLst>
        </xdr:cNvPr>
        <xdr:cNvSpPr/>
      </xdr:nvSpPr>
      <xdr:spPr>
        <a:xfrm>
          <a:off x="11603967" y="15170917"/>
          <a:ext cx="115956" cy="104499"/>
        </a:xfrm>
        <a:prstGeom prst="diamond">
          <a:avLst/>
        </a:prstGeom>
        <a:solidFill>
          <a:srgbClr val="FF000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400361</xdr:colOff>
      <xdr:row>39</xdr:row>
      <xdr:rowOff>269327</xdr:rowOff>
    </xdr:from>
    <xdr:to>
      <xdr:col>17</xdr:col>
      <xdr:colOff>516317</xdr:colOff>
      <xdr:row>39</xdr:row>
      <xdr:rowOff>373826</xdr:rowOff>
    </xdr:to>
    <xdr:sp macro="" textlink="">
      <xdr:nvSpPr>
        <xdr:cNvPr id="264" name="Diamond 64">
          <a:extLst>
            <a:ext uri="{FF2B5EF4-FFF2-40B4-BE49-F238E27FC236}">
              <a16:creationId xmlns:a16="http://schemas.microsoft.com/office/drawing/2014/main" id="{00000000-0008-0000-0400-00008C000000}"/>
            </a:ext>
          </a:extLst>
        </xdr:cNvPr>
        <xdr:cNvSpPr/>
      </xdr:nvSpPr>
      <xdr:spPr>
        <a:xfrm>
          <a:off x="11674953" y="18061024"/>
          <a:ext cx="115956" cy="104499"/>
        </a:xfrm>
        <a:prstGeom prst="diamond">
          <a:avLst/>
        </a:prstGeom>
        <a:solidFill>
          <a:srgbClr val="FF000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282</xdr:colOff>
      <xdr:row>45</xdr:row>
      <xdr:rowOff>292429</xdr:rowOff>
    </xdr:from>
    <xdr:to>
      <xdr:col>18</xdr:col>
      <xdr:colOff>116238</xdr:colOff>
      <xdr:row>45</xdr:row>
      <xdr:rowOff>406453</xdr:rowOff>
    </xdr:to>
    <xdr:sp macro="" textlink="">
      <xdr:nvSpPr>
        <xdr:cNvPr id="179" name="Diamond 64">
          <a:extLst>
            <a:ext uri="{FF2B5EF4-FFF2-40B4-BE49-F238E27FC236}">
              <a16:creationId xmlns:a16="http://schemas.microsoft.com/office/drawing/2014/main" id="{00000000-0008-0000-0400-00008D000000}"/>
            </a:ext>
          </a:extLst>
        </xdr:cNvPr>
        <xdr:cNvSpPr/>
      </xdr:nvSpPr>
      <xdr:spPr>
        <a:xfrm>
          <a:off x="11911545" y="20996771"/>
          <a:ext cx="115956" cy="114024"/>
        </a:xfrm>
        <a:prstGeom prst="diamond">
          <a:avLst/>
        </a:prstGeom>
        <a:solidFill>
          <a:srgbClr val="FF000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49377</xdr:colOff>
      <xdr:row>51</xdr:row>
      <xdr:rowOff>259365</xdr:rowOff>
    </xdr:from>
    <xdr:to>
      <xdr:col>17</xdr:col>
      <xdr:colOff>168508</xdr:colOff>
      <xdr:row>51</xdr:row>
      <xdr:rowOff>360689</xdr:rowOff>
    </xdr:to>
    <xdr:sp macro="" textlink="">
      <xdr:nvSpPr>
        <xdr:cNvPr id="197" name="Diamond 64">
          <a:extLst>
            <a:ext uri="{FF2B5EF4-FFF2-40B4-BE49-F238E27FC236}">
              <a16:creationId xmlns:a16="http://schemas.microsoft.com/office/drawing/2014/main" id="{00000000-0008-0000-0400-00008E000000}"/>
            </a:ext>
          </a:extLst>
        </xdr:cNvPr>
        <xdr:cNvSpPr/>
      </xdr:nvSpPr>
      <xdr:spPr>
        <a:xfrm>
          <a:off x="11323969" y="23876352"/>
          <a:ext cx="119131" cy="101324"/>
        </a:xfrm>
        <a:prstGeom prst="diamond">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239793</xdr:colOff>
      <xdr:row>6</xdr:row>
      <xdr:rowOff>239406</xdr:rowOff>
    </xdr:from>
    <xdr:to>
      <xdr:col>16</xdr:col>
      <xdr:colOff>365274</xdr:colOff>
      <xdr:row>6</xdr:row>
      <xdr:rowOff>353430</xdr:rowOff>
    </xdr:to>
    <xdr:sp macro="" textlink="">
      <xdr:nvSpPr>
        <xdr:cNvPr id="58" name="Diamond 62">
          <a:extLst>
            <a:ext uri="{FF2B5EF4-FFF2-40B4-BE49-F238E27FC236}">
              <a16:creationId xmlns:a16="http://schemas.microsoft.com/office/drawing/2014/main" id="{00000000-0008-0000-0400-00008F000000}"/>
            </a:ext>
          </a:extLst>
        </xdr:cNvPr>
        <xdr:cNvSpPr/>
      </xdr:nvSpPr>
      <xdr:spPr>
        <a:xfrm>
          <a:off x="10862969" y="1752200"/>
          <a:ext cx="125481" cy="114024"/>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18</xdr:col>
      <xdr:colOff>183932</xdr:colOff>
      <xdr:row>57</xdr:row>
      <xdr:rowOff>693971</xdr:rowOff>
    </xdr:from>
    <xdr:to>
      <xdr:col>19</xdr:col>
      <xdr:colOff>169721</xdr:colOff>
      <xdr:row>57</xdr:row>
      <xdr:rowOff>693971</xdr:rowOff>
    </xdr:to>
    <xdr:cxnSp macro="">
      <xdr:nvCxnSpPr>
        <xdr:cNvPr id="215" name="Straight Connector 19">
          <a:extLst>
            <a:ext uri="{FF2B5EF4-FFF2-40B4-BE49-F238E27FC236}">
              <a16:creationId xmlns:a16="http://schemas.microsoft.com/office/drawing/2014/main" id="{00000000-0008-0000-0400-00001D000000}"/>
            </a:ext>
          </a:extLst>
        </xdr:cNvPr>
        <xdr:cNvCxnSpPr/>
      </xdr:nvCxnSpPr>
      <xdr:spPr>
        <a:xfrm>
          <a:off x="12093466" y="26615109"/>
          <a:ext cx="622979"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57</xdr:row>
      <xdr:rowOff>16565</xdr:rowOff>
    </xdr:from>
    <xdr:to>
      <xdr:col>16</xdr:col>
      <xdr:colOff>468820</xdr:colOff>
      <xdr:row>66</xdr:row>
      <xdr:rowOff>140805</xdr:rowOff>
    </xdr:to>
    <xdr:sp macro="" textlink="">
      <xdr:nvSpPr>
        <xdr:cNvPr id="30" name="TextBox 13">
          <a:extLst>
            <a:ext uri="{FF2B5EF4-FFF2-40B4-BE49-F238E27FC236}">
              <a16:creationId xmlns:a16="http://schemas.microsoft.com/office/drawing/2014/main" id="{00000000-0008-0000-0400-00001E000000}"/>
            </a:ext>
          </a:extLst>
        </xdr:cNvPr>
        <xdr:cNvSpPr txBox="1"/>
      </xdr:nvSpPr>
      <xdr:spPr>
        <a:xfrm rot="16200000">
          <a:off x="15239365" y="28145740"/>
          <a:ext cx="466026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18</xdr:col>
      <xdr:colOff>292429</xdr:colOff>
      <xdr:row>63</xdr:row>
      <xdr:rowOff>572584</xdr:rowOff>
    </xdr:from>
    <xdr:to>
      <xdr:col>18</xdr:col>
      <xdr:colOff>400707</xdr:colOff>
      <xdr:row>63</xdr:row>
      <xdr:rowOff>572584</xdr:rowOff>
    </xdr:to>
    <xdr:cxnSp macro="">
      <xdr:nvCxnSpPr>
        <xdr:cNvPr id="226" name="Straight Connector 2">
          <a:extLst>
            <a:ext uri="{FF2B5EF4-FFF2-40B4-BE49-F238E27FC236}">
              <a16:creationId xmlns:a16="http://schemas.microsoft.com/office/drawing/2014/main" id="{00000000-0008-0000-0400-000029000000}"/>
            </a:ext>
          </a:extLst>
        </xdr:cNvPr>
        <xdr:cNvCxnSpPr/>
      </xdr:nvCxnSpPr>
      <xdr:spPr>
        <a:xfrm>
          <a:off x="12201963" y="31998515"/>
          <a:ext cx="108278"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67</xdr:row>
      <xdr:rowOff>16565</xdr:rowOff>
    </xdr:from>
    <xdr:to>
      <xdr:col>16</xdr:col>
      <xdr:colOff>468820</xdr:colOff>
      <xdr:row>80</xdr:row>
      <xdr:rowOff>140805</xdr:rowOff>
    </xdr:to>
    <xdr:sp macro="" textlink="">
      <xdr:nvSpPr>
        <xdr:cNvPr id="56" name="TextBox 13">
          <a:extLst>
            <a:ext uri="{FF2B5EF4-FFF2-40B4-BE49-F238E27FC236}">
              <a16:creationId xmlns:a16="http://schemas.microsoft.com/office/drawing/2014/main" id="{00000000-0008-0000-0400-000038000000}"/>
            </a:ext>
          </a:extLst>
        </xdr:cNvPr>
        <xdr:cNvSpPr txBox="1"/>
      </xdr:nvSpPr>
      <xdr:spPr>
        <a:xfrm rot="16200000">
          <a:off x="15012670" y="34009330"/>
          <a:ext cx="511365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487612</xdr:colOff>
      <xdr:row>14</xdr:row>
      <xdr:rowOff>272519</xdr:rowOff>
    </xdr:from>
    <xdr:to>
      <xdr:col>16</xdr:col>
      <xdr:colOff>555317</xdr:colOff>
      <xdr:row>14</xdr:row>
      <xdr:rowOff>272519</xdr:rowOff>
    </xdr:to>
    <xdr:cxnSp macro="">
      <xdr:nvCxnSpPr>
        <xdr:cNvPr id="86" name="Straight Connector 85">
          <a:extLst>
            <a:ext uri="{FF2B5EF4-FFF2-40B4-BE49-F238E27FC236}">
              <a16:creationId xmlns:a16="http://schemas.microsoft.com/office/drawing/2014/main" id="{D95CF5BF-4D6F-4CF0-9F09-21729BAABB8E}"/>
            </a:ext>
          </a:extLst>
        </xdr:cNvPr>
        <xdr:cNvCxnSpPr/>
      </xdr:nvCxnSpPr>
      <xdr:spPr>
        <a:xfrm>
          <a:off x="11123088" y="5843482"/>
          <a:ext cx="6770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483869</xdr:colOff>
      <xdr:row>19</xdr:row>
      <xdr:rowOff>317425</xdr:rowOff>
    </xdr:from>
    <xdr:to>
      <xdr:col>16</xdr:col>
      <xdr:colOff>571500</xdr:colOff>
      <xdr:row>19</xdr:row>
      <xdr:rowOff>317425</xdr:rowOff>
    </xdr:to>
    <xdr:cxnSp macro="">
      <xdr:nvCxnSpPr>
        <xdr:cNvPr id="88" name="Straight Connector 91">
          <a:extLst>
            <a:ext uri="{FF2B5EF4-FFF2-40B4-BE49-F238E27FC236}">
              <a16:creationId xmlns:a16="http://schemas.microsoft.com/office/drawing/2014/main" id="{93EE4EAA-7EC6-4A3A-B4D5-032E1D8DF9AD}"/>
            </a:ext>
          </a:extLst>
        </xdr:cNvPr>
        <xdr:cNvCxnSpPr/>
      </xdr:nvCxnSpPr>
      <xdr:spPr>
        <a:xfrm>
          <a:off x="11119024" y="8233028"/>
          <a:ext cx="87631"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314628</xdr:colOff>
      <xdr:row>37</xdr:row>
      <xdr:rowOff>248578</xdr:rowOff>
    </xdr:from>
    <xdr:to>
      <xdr:col>16</xdr:col>
      <xdr:colOff>466200</xdr:colOff>
      <xdr:row>37</xdr:row>
      <xdr:rowOff>248578</xdr:rowOff>
    </xdr:to>
    <xdr:cxnSp macro="">
      <xdr:nvCxnSpPr>
        <xdr:cNvPr id="151" name="Straight Connector 106">
          <a:extLst>
            <a:ext uri="{FF2B5EF4-FFF2-40B4-BE49-F238E27FC236}">
              <a16:creationId xmlns:a16="http://schemas.microsoft.com/office/drawing/2014/main" id="{B77787CA-A7DB-4EFE-BE65-648464557912}"/>
            </a:ext>
          </a:extLst>
        </xdr:cNvPr>
        <xdr:cNvCxnSpPr/>
      </xdr:nvCxnSpPr>
      <xdr:spPr>
        <a:xfrm>
          <a:off x="10952549" y="16897275"/>
          <a:ext cx="151572" cy="0"/>
        </a:xfrm>
        <a:prstGeom prst="line">
          <a:avLst/>
        </a:prstGeom>
        <a:ln w="57150">
          <a:solidFill>
            <a:schemeClr val="accent1">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311453</xdr:colOff>
      <xdr:row>37</xdr:row>
      <xdr:rowOff>278657</xdr:rowOff>
    </xdr:from>
    <xdr:to>
      <xdr:col>16</xdr:col>
      <xdr:colOff>469375</xdr:colOff>
      <xdr:row>37</xdr:row>
      <xdr:rowOff>278657</xdr:rowOff>
    </xdr:to>
    <xdr:cxnSp macro="">
      <xdr:nvCxnSpPr>
        <xdr:cNvPr id="152" name="Straight Connector 107">
          <a:extLst>
            <a:ext uri="{FF2B5EF4-FFF2-40B4-BE49-F238E27FC236}">
              <a16:creationId xmlns:a16="http://schemas.microsoft.com/office/drawing/2014/main" id="{06438623-0F26-468C-B12B-D0E794365880}"/>
            </a:ext>
          </a:extLst>
        </xdr:cNvPr>
        <xdr:cNvCxnSpPr/>
      </xdr:nvCxnSpPr>
      <xdr:spPr>
        <a:xfrm>
          <a:off x="10949374" y="16927354"/>
          <a:ext cx="157922" cy="0"/>
        </a:xfrm>
        <a:prstGeom prst="line">
          <a:avLst/>
        </a:prstGeom>
        <a:ln w="57150">
          <a:solidFill>
            <a:schemeClr val="accent1">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486276</xdr:colOff>
      <xdr:row>42</xdr:row>
      <xdr:rowOff>297922</xdr:rowOff>
    </xdr:from>
    <xdr:to>
      <xdr:col>16</xdr:col>
      <xdr:colOff>534444</xdr:colOff>
      <xdr:row>42</xdr:row>
      <xdr:rowOff>297922</xdr:rowOff>
    </xdr:to>
    <xdr:cxnSp macro="">
      <xdr:nvCxnSpPr>
        <xdr:cNvPr id="168" name="Straight Connector 110">
          <a:extLst>
            <a:ext uri="{FF2B5EF4-FFF2-40B4-BE49-F238E27FC236}">
              <a16:creationId xmlns:a16="http://schemas.microsoft.com/office/drawing/2014/main" id="{D512A323-7A97-44A4-8859-00951E87197A}"/>
            </a:ext>
          </a:extLst>
        </xdr:cNvPr>
        <xdr:cNvCxnSpPr/>
      </xdr:nvCxnSpPr>
      <xdr:spPr>
        <a:xfrm>
          <a:off x="11124197" y="19287764"/>
          <a:ext cx="48168"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484002</xdr:colOff>
      <xdr:row>47</xdr:row>
      <xdr:rowOff>302786</xdr:rowOff>
    </xdr:from>
    <xdr:to>
      <xdr:col>16</xdr:col>
      <xdr:colOff>531395</xdr:colOff>
      <xdr:row>47</xdr:row>
      <xdr:rowOff>302786</xdr:rowOff>
    </xdr:to>
    <xdr:cxnSp macro="">
      <xdr:nvCxnSpPr>
        <xdr:cNvPr id="187" name="Straight Connector 113">
          <a:extLst>
            <a:ext uri="{FF2B5EF4-FFF2-40B4-BE49-F238E27FC236}">
              <a16:creationId xmlns:a16="http://schemas.microsoft.com/office/drawing/2014/main" id="{C0644A71-3A71-4B6D-A755-A65FE7C33093}"/>
            </a:ext>
          </a:extLst>
        </xdr:cNvPr>
        <xdr:cNvCxnSpPr/>
      </xdr:nvCxnSpPr>
      <xdr:spPr>
        <a:xfrm>
          <a:off x="11121923" y="21633773"/>
          <a:ext cx="4739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591443</xdr:colOff>
      <xdr:row>58</xdr:row>
      <xdr:rowOff>212337</xdr:rowOff>
    </xdr:from>
    <xdr:to>
      <xdr:col>16</xdr:col>
      <xdr:colOff>137948</xdr:colOff>
      <xdr:row>58</xdr:row>
      <xdr:rowOff>212337</xdr:rowOff>
    </xdr:to>
    <xdr:cxnSp macro="">
      <xdr:nvCxnSpPr>
        <xdr:cNvPr id="211" name="Straight Connector 2">
          <a:extLst>
            <a:ext uri="{FF2B5EF4-FFF2-40B4-BE49-F238E27FC236}">
              <a16:creationId xmlns:a16="http://schemas.microsoft.com/office/drawing/2014/main" id="{91AB6215-26CF-4763-8E50-1ED2A462F9BC}"/>
            </a:ext>
          </a:extLst>
        </xdr:cNvPr>
        <xdr:cNvCxnSpPr/>
      </xdr:nvCxnSpPr>
      <xdr:spPr>
        <a:xfrm>
          <a:off x="10589409" y="27532665"/>
          <a:ext cx="183694"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530461</xdr:colOff>
      <xdr:row>59</xdr:row>
      <xdr:rowOff>811427</xdr:rowOff>
    </xdr:from>
    <xdr:to>
      <xdr:col>16</xdr:col>
      <xdr:colOff>472966</xdr:colOff>
      <xdr:row>59</xdr:row>
      <xdr:rowOff>811427</xdr:rowOff>
    </xdr:to>
    <xdr:cxnSp macro="">
      <xdr:nvCxnSpPr>
        <xdr:cNvPr id="218" name="Straight Connector 2">
          <a:extLst>
            <a:ext uri="{FF2B5EF4-FFF2-40B4-BE49-F238E27FC236}">
              <a16:creationId xmlns:a16="http://schemas.microsoft.com/office/drawing/2014/main" id="{067C4CFC-5E14-4649-9946-945C533314F4}"/>
            </a:ext>
          </a:extLst>
        </xdr:cNvPr>
        <xdr:cNvCxnSpPr/>
      </xdr:nvCxnSpPr>
      <xdr:spPr>
        <a:xfrm>
          <a:off x="10528427" y="28571875"/>
          <a:ext cx="579694"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486323</xdr:colOff>
      <xdr:row>59</xdr:row>
      <xdr:rowOff>812213</xdr:rowOff>
    </xdr:from>
    <xdr:to>
      <xdr:col>19</xdr:col>
      <xdr:colOff>624052</xdr:colOff>
      <xdr:row>59</xdr:row>
      <xdr:rowOff>812213</xdr:rowOff>
    </xdr:to>
    <xdr:cxnSp macro="">
      <xdr:nvCxnSpPr>
        <xdr:cNvPr id="217" name="Straight Connector 19">
          <a:extLst>
            <a:ext uri="{FF2B5EF4-FFF2-40B4-BE49-F238E27FC236}">
              <a16:creationId xmlns:a16="http://schemas.microsoft.com/office/drawing/2014/main" id="{9D307E39-3B19-4FAF-AD1C-7CB0AC553CD6}"/>
            </a:ext>
          </a:extLst>
        </xdr:cNvPr>
        <xdr:cNvCxnSpPr/>
      </xdr:nvCxnSpPr>
      <xdr:spPr>
        <a:xfrm>
          <a:off x="11121478" y="28572661"/>
          <a:ext cx="2049298"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165779</xdr:colOff>
      <xdr:row>67</xdr:row>
      <xdr:rowOff>72653</xdr:rowOff>
    </xdr:from>
    <xdr:to>
      <xdr:col>30</xdr:col>
      <xdr:colOff>302621</xdr:colOff>
      <xdr:row>67</xdr:row>
      <xdr:rowOff>72653</xdr:rowOff>
    </xdr:to>
    <xdr:cxnSp macro="">
      <xdr:nvCxnSpPr>
        <xdr:cNvPr id="237" name="Straight Connector 19">
          <a:extLst>
            <a:ext uri="{FF2B5EF4-FFF2-40B4-BE49-F238E27FC236}">
              <a16:creationId xmlns:a16="http://schemas.microsoft.com/office/drawing/2014/main" id="{902CD2F9-39CF-43D9-AC65-12EA0FA0B0A3}"/>
            </a:ext>
          </a:extLst>
        </xdr:cNvPr>
        <xdr:cNvCxnSpPr/>
      </xdr:nvCxnSpPr>
      <xdr:spPr>
        <a:xfrm>
          <a:off x="18223865" y="33364170"/>
          <a:ext cx="76746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635723</xdr:colOff>
      <xdr:row>71</xdr:row>
      <xdr:rowOff>230681</xdr:rowOff>
    </xdr:from>
    <xdr:to>
      <xdr:col>18</xdr:col>
      <xdr:colOff>122457</xdr:colOff>
      <xdr:row>71</xdr:row>
      <xdr:rowOff>230681</xdr:rowOff>
    </xdr:to>
    <xdr:cxnSp macro="">
      <xdr:nvCxnSpPr>
        <xdr:cNvPr id="243" name="Straight Connector 19">
          <a:extLst>
            <a:ext uri="{FF2B5EF4-FFF2-40B4-BE49-F238E27FC236}">
              <a16:creationId xmlns:a16="http://schemas.microsoft.com/office/drawing/2014/main" id="{5F79533D-1FCD-482F-ABC2-11F6EA37B98D}"/>
            </a:ext>
          </a:extLst>
        </xdr:cNvPr>
        <xdr:cNvCxnSpPr/>
      </xdr:nvCxnSpPr>
      <xdr:spPr>
        <a:xfrm>
          <a:off x="11270878" y="34665198"/>
          <a:ext cx="76111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514088</xdr:colOff>
      <xdr:row>72</xdr:row>
      <xdr:rowOff>312902</xdr:rowOff>
    </xdr:from>
    <xdr:to>
      <xdr:col>20</xdr:col>
      <xdr:colOff>821</xdr:colOff>
      <xdr:row>72</xdr:row>
      <xdr:rowOff>312902</xdr:rowOff>
    </xdr:to>
    <xdr:cxnSp macro="">
      <xdr:nvCxnSpPr>
        <xdr:cNvPr id="248" name="Straight Connector 19">
          <a:extLst>
            <a:ext uri="{FF2B5EF4-FFF2-40B4-BE49-F238E27FC236}">
              <a16:creationId xmlns:a16="http://schemas.microsoft.com/office/drawing/2014/main" id="{3F6F5F0C-B146-46AD-B662-02CEAAD07375}"/>
            </a:ext>
          </a:extLst>
        </xdr:cNvPr>
        <xdr:cNvCxnSpPr/>
      </xdr:nvCxnSpPr>
      <xdr:spPr>
        <a:xfrm>
          <a:off x="12423622" y="35187540"/>
          <a:ext cx="76111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210207</xdr:colOff>
      <xdr:row>77</xdr:row>
      <xdr:rowOff>191267</xdr:rowOff>
    </xdr:from>
    <xdr:to>
      <xdr:col>20</xdr:col>
      <xdr:colOff>821</xdr:colOff>
      <xdr:row>77</xdr:row>
      <xdr:rowOff>191267</xdr:rowOff>
    </xdr:to>
    <xdr:cxnSp macro="">
      <xdr:nvCxnSpPr>
        <xdr:cNvPr id="252" name="Straight Connector 19">
          <a:extLst>
            <a:ext uri="{FF2B5EF4-FFF2-40B4-BE49-F238E27FC236}">
              <a16:creationId xmlns:a16="http://schemas.microsoft.com/office/drawing/2014/main" id="{0932CB57-5A52-4D41-A02F-54F062BB9F41}"/>
            </a:ext>
          </a:extLst>
        </xdr:cNvPr>
        <xdr:cNvCxnSpPr/>
      </xdr:nvCxnSpPr>
      <xdr:spPr>
        <a:xfrm>
          <a:off x="12119741" y="36681870"/>
          <a:ext cx="106499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545225</xdr:colOff>
      <xdr:row>78</xdr:row>
      <xdr:rowOff>192580</xdr:rowOff>
    </xdr:from>
    <xdr:to>
      <xdr:col>20</xdr:col>
      <xdr:colOff>2134</xdr:colOff>
      <xdr:row>78</xdr:row>
      <xdr:rowOff>192580</xdr:rowOff>
    </xdr:to>
    <xdr:cxnSp macro="">
      <xdr:nvCxnSpPr>
        <xdr:cNvPr id="256" name="Straight Connector 19">
          <a:extLst>
            <a:ext uri="{FF2B5EF4-FFF2-40B4-BE49-F238E27FC236}">
              <a16:creationId xmlns:a16="http://schemas.microsoft.com/office/drawing/2014/main" id="{B75C4828-2F77-4208-9669-460821C3D2A6}"/>
            </a:ext>
          </a:extLst>
        </xdr:cNvPr>
        <xdr:cNvCxnSpPr/>
      </xdr:nvCxnSpPr>
      <xdr:spPr>
        <a:xfrm>
          <a:off x="12454759" y="37044477"/>
          <a:ext cx="731289"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6569</xdr:colOff>
      <xdr:row>79</xdr:row>
      <xdr:rowOff>198929</xdr:rowOff>
    </xdr:from>
    <xdr:to>
      <xdr:col>20</xdr:col>
      <xdr:colOff>1915</xdr:colOff>
      <xdr:row>79</xdr:row>
      <xdr:rowOff>198929</xdr:rowOff>
    </xdr:to>
    <xdr:cxnSp macro="">
      <xdr:nvCxnSpPr>
        <xdr:cNvPr id="259" name="Straight Connector 19">
          <a:extLst>
            <a:ext uri="{FF2B5EF4-FFF2-40B4-BE49-F238E27FC236}">
              <a16:creationId xmlns:a16="http://schemas.microsoft.com/office/drawing/2014/main" id="{4C9DED28-67FF-494D-B88D-E78ECB1D8878}"/>
            </a:ext>
          </a:extLst>
        </xdr:cNvPr>
        <xdr:cNvCxnSpPr/>
      </xdr:nvCxnSpPr>
      <xdr:spPr>
        <a:xfrm>
          <a:off x="12553293" y="37412119"/>
          <a:ext cx="632536"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569010</xdr:colOff>
      <xdr:row>66</xdr:row>
      <xdr:rowOff>301739</xdr:rowOff>
    </xdr:from>
    <xdr:to>
      <xdr:col>16</xdr:col>
      <xdr:colOff>408713</xdr:colOff>
      <xdr:row>66</xdr:row>
      <xdr:rowOff>301739</xdr:rowOff>
    </xdr:to>
    <xdr:cxnSp macro="">
      <xdr:nvCxnSpPr>
        <xdr:cNvPr id="178" name="Straight Connector 2">
          <a:extLst>
            <a:ext uri="{FF2B5EF4-FFF2-40B4-BE49-F238E27FC236}">
              <a16:creationId xmlns:a16="http://schemas.microsoft.com/office/drawing/2014/main" id="{00000000-0008-0000-0300-000002000000}"/>
            </a:ext>
          </a:extLst>
        </xdr:cNvPr>
        <xdr:cNvCxnSpPr/>
      </xdr:nvCxnSpPr>
      <xdr:spPr>
        <a:xfrm>
          <a:off x="11079355" y="30978808"/>
          <a:ext cx="47689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3122</xdr:colOff>
      <xdr:row>1</xdr:row>
      <xdr:rowOff>15240</xdr:rowOff>
    </xdr:from>
    <xdr:to>
      <xdr:col>19</xdr:col>
      <xdr:colOff>3122</xdr:colOff>
      <xdr:row>98</xdr:row>
      <xdr:rowOff>361950</xdr:rowOff>
    </xdr:to>
    <xdr:cxnSp macro="">
      <xdr:nvCxnSpPr>
        <xdr:cNvPr id="3" name="Straight Connector 27">
          <a:extLst>
            <a:ext uri="{FF2B5EF4-FFF2-40B4-BE49-F238E27FC236}">
              <a16:creationId xmlns:a16="http://schemas.microsoft.com/office/drawing/2014/main" id="{00000000-0008-0000-0300-000003000000}"/>
            </a:ext>
          </a:extLst>
        </xdr:cNvPr>
        <xdr:cNvCxnSpPr/>
      </xdr:nvCxnSpPr>
      <xdr:spPr>
        <a:xfrm>
          <a:off x="15423515" y="84455"/>
          <a:ext cx="0" cy="450272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604345</xdr:colOff>
      <xdr:row>67</xdr:row>
      <xdr:rowOff>221673</xdr:rowOff>
    </xdr:from>
    <xdr:to>
      <xdr:col>16</xdr:col>
      <xdr:colOff>487546</xdr:colOff>
      <xdr:row>67</xdr:row>
      <xdr:rowOff>221673</xdr:rowOff>
    </xdr:to>
    <xdr:cxnSp macro="">
      <xdr:nvCxnSpPr>
        <xdr:cNvPr id="185" name="Straight Connector 2">
          <a:extLst>
            <a:ext uri="{FF2B5EF4-FFF2-40B4-BE49-F238E27FC236}">
              <a16:creationId xmlns:a16="http://schemas.microsoft.com/office/drawing/2014/main" id="{00000000-0008-0000-0300-000004000000}"/>
            </a:ext>
          </a:extLst>
        </xdr:cNvPr>
        <xdr:cNvCxnSpPr/>
      </xdr:nvCxnSpPr>
      <xdr:spPr>
        <a:xfrm>
          <a:off x="11114690" y="31450535"/>
          <a:ext cx="5203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484524</xdr:colOff>
      <xdr:row>67</xdr:row>
      <xdr:rowOff>217831</xdr:rowOff>
    </xdr:from>
    <xdr:to>
      <xdr:col>18</xdr:col>
      <xdr:colOff>59120</xdr:colOff>
      <xdr:row>67</xdr:row>
      <xdr:rowOff>217831</xdr:rowOff>
    </xdr:to>
    <xdr:cxnSp macro="">
      <xdr:nvCxnSpPr>
        <xdr:cNvPr id="181" name="Straight Connector 19">
          <a:extLst>
            <a:ext uri="{FF2B5EF4-FFF2-40B4-BE49-F238E27FC236}">
              <a16:creationId xmlns:a16="http://schemas.microsoft.com/office/drawing/2014/main" id="{00000000-0008-0000-0300-000005000000}"/>
            </a:ext>
          </a:extLst>
        </xdr:cNvPr>
        <xdr:cNvCxnSpPr/>
      </xdr:nvCxnSpPr>
      <xdr:spPr>
        <a:xfrm>
          <a:off x="11632058" y="31446693"/>
          <a:ext cx="848976"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532087</xdr:colOff>
      <xdr:row>2</xdr:row>
      <xdr:rowOff>282841</xdr:rowOff>
    </xdr:from>
    <xdr:to>
      <xdr:col>14</xdr:col>
      <xdr:colOff>505811</xdr:colOff>
      <xdr:row>2</xdr:row>
      <xdr:rowOff>282841</xdr:rowOff>
    </xdr:to>
    <xdr:cxnSp macro="">
      <xdr:nvCxnSpPr>
        <xdr:cNvPr id="6" name="Straight Connector 1">
          <a:extLst>
            <a:ext uri="{FF2B5EF4-FFF2-40B4-BE49-F238E27FC236}">
              <a16:creationId xmlns:a16="http://schemas.microsoft.com/office/drawing/2014/main" id="{00000000-0008-0000-0300-000006000000}"/>
            </a:ext>
          </a:extLst>
        </xdr:cNvPr>
        <xdr:cNvCxnSpPr/>
      </xdr:nvCxnSpPr>
      <xdr:spPr>
        <a:xfrm>
          <a:off x="12016740" y="374015"/>
          <a:ext cx="6299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594193</xdr:colOff>
      <xdr:row>65</xdr:row>
      <xdr:rowOff>303425</xdr:rowOff>
    </xdr:from>
    <xdr:to>
      <xdr:col>16</xdr:col>
      <xdr:colOff>424931</xdr:colOff>
      <xdr:row>65</xdr:row>
      <xdr:rowOff>303425</xdr:rowOff>
    </xdr:to>
    <xdr:cxnSp macro="">
      <xdr:nvCxnSpPr>
        <xdr:cNvPr id="177" name="Straight Connector 2">
          <a:extLst>
            <a:ext uri="{FF2B5EF4-FFF2-40B4-BE49-F238E27FC236}">
              <a16:creationId xmlns:a16="http://schemas.microsoft.com/office/drawing/2014/main" id="{00000000-0008-0000-0300-000007000000}"/>
            </a:ext>
          </a:extLst>
        </xdr:cNvPr>
        <xdr:cNvCxnSpPr/>
      </xdr:nvCxnSpPr>
      <xdr:spPr>
        <a:xfrm>
          <a:off x="11104538" y="30408994"/>
          <a:ext cx="46792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42951</xdr:colOff>
      <xdr:row>2</xdr:row>
      <xdr:rowOff>434069</xdr:rowOff>
    </xdr:from>
    <xdr:to>
      <xdr:col>12</xdr:col>
      <xdr:colOff>42951</xdr:colOff>
      <xdr:row>89</xdr:row>
      <xdr:rowOff>0</xdr:rowOff>
    </xdr:to>
    <xdr:cxnSp macro="">
      <xdr:nvCxnSpPr>
        <xdr:cNvPr id="8" name="Straight Connector 5">
          <a:extLst>
            <a:ext uri="{FF2B5EF4-FFF2-40B4-BE49-F238E27FC236}">
              <a16:creationId xmlns:a16="http://schemas.microsoft.com/office/drawing/2014/main" id="{00000000-0008-0000-0300-000008000000}"/>
            </a:ext>
          </a:extLst>
        </xdr:cNvPr>
        <xdr:cNvCxnSpPr/>
      </xdr:nvCxnSpPr>
      <xdr:spPr>
        <a:xfrm>
          <a:off x="11423015" y="374015"/>
          <a:ext cx="0" cy="4116006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1</xdr:row>
      <xdr:rowOff>15421</xdr:rowOff>
    </xdr:from>
    <xdr:to>
      <xdr:col>14</xdr:col>
      <xdr:colOff>0</xdr:colOff>
      <xdr:row>98</xdr:row>
      <xdr:rowOff>323850</xdr:rowOff>
    </xdr:to>
    <xdr:cxnSp macro="">
      <xdr:nvCxnSpPr>
        <xdr:cNvPr id="149" name="Straight Connector 6">
          <a:extLst>
            <a:ext uri="{FF2B5EF4-FFF2-40B4-BE49-F238E27FC236}">
              <a16:creationId xmlns:a16="http://schemas.microsoft.com/office/drawing/2014/main" id="{00000000-0008-0000-0300-000095000000}"/>
            </a:ext>
          </a:extLst>
        </xdr:cNvPr>
        <xdr:cNvCxnSpPr/>
      </xdr:nvCxnSpPr>
      <xdr:spPr>
        <a:xfrm>
          <a:off x="12141200" y="84455"/>
          <a:ext cx="0" cy="449891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3842</xdr:colOff>
      <xdr:row>1</xdr:row>
      <xdr:rowOff>19050</xdr:rowOff>
    </xdr:from>
    <xdr:to>
      <xdr:col>16</xdr:col>
      <xdr:colOff>3842</xdr:colOff>
      <xdr:row>98</xdr:row>
      <xdr:rowOff>361950</xdr:rowOff>
    </xdr:to>
    <xdr:cxnSp macro="">
      <xdr:nvCxnSpPr>
        <xdr:cNvPr id="92" name="Straight Connector 8">
          <a:extLst>
            <a:ext uri="{FF2B5EF4-FFF2-40B4-BE49-F238E27FC236}">
              <a16:creationId xmlns:a16="http://schemas.microsoft.com/office/drawing/2014/main" id="{00000000-0008-0000-0300-000096000000}"/>
            </a:ext>
          </a:extLst>
        </xdr:cNvPr>
        <xdr:cNvCxnSpPr/>
      </xdr:nvCxnSpPr>
      <xdr:spPr>
        <a:xfrm>
          <a:off x="13456920" y="88265"/>
          <a:ext cx="0" cy="4502340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605790</xdr:colOff>
      <xdr:row>1</xdr:row>
      <xdr:rowOff>15240</xdr:rowOff>
    </xdr:from>
    <xdr:to>
      <xdr:col>14</xdr:col>
      <xdr:colOff>605790</xdr:colOff>
      <xdr:row>98</xdr:row>
      <xdr:rowOff>352425</xdr:rowOff>
    </xdr:to>
    <xdr:cxnSp macro="">
      <xdr:nvCxnSpPr>
        <xdr:cNvPr id="151" name="Straight Connector 7">
          <a:extLst>
            <a:ext uri="{FF2B5EF4-FFF2-40B4-BE49-F238E27FC236}">
              <a16:creationId xmlns:a16="http://schemas.microsoft.com/office/drawing/2014/main" id="{00000000-0008-0000-0300-000097000000}"/>
            </a:ext>
          </a:extLst>
        </xdr:cNvPr>
        <xdr:cNvCxnSpPr/>
      </xdr:nvCxnSpPr>
      <xdr:spPr>
        <a:xfrm>
          <a:off x="12746990" y="84455"/>
          <a:ext cx="0" cy="4501769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0</xdr:colOff>
      <xdr:row>1</xdr:row>
      <xdr:rowOff>19050</xdr:rowOff>
    </xdr:from>
    <xdr:to>
      <xdr:col>17</xdr:col>
      <xdr:colOff>0</xdr:colOff>
      <xdr:row>98</xdr:row>
      <xdr:rowOff>361950</xdr:rowOff>
    </xdr:to>
    <xdr:cxnSp macro="">
      <xdr:nvCxnSpPr>
        <xdr:cNvPr id="12" name="Straight Connector 9">
          <a:extLst>
            <a:ext uri="{FF2B5EF4-FFF2-40B4-BE49-F238E27FC236}">
              <a16:creationId xmlns:a16="http://schemas.microsoft.com/office/drawing/2014/main" id="{00000000-0008-0000-0300-00000C000000}"/>
            </a:ext>
          </a:extLst>
        </xdr:cNvPr>
        <xdr:cNvCxnSpPr/>
      </xdr:nvCxnSpPr>
      <xdr:spPr>
        <a:xfrm>
          <a:off x="14109065" y="88265"/>
          <a:ext cx="0" cy="4502340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1</xdr:row>
      <xdr:rowOff>19050</xdr:rowOff>
    </xdr:from>
    <xdr:to>
      <xdr:col>18</xdr:col>
      <xdr:colOff>0</xdr:colOff>
      <xdr:row>98</xdr:row>
      <xdr:rowOff>361950</xdr:rowOff>
    </xdr:to>
    <xdr:cxnSp macro="">
      <xdr:nvCxnSpPr>
        <xdr:cNvPr id="13" name="Straight Connector 10">
          <a:extLst>
            <a:ext uri="{FF2B5EF4-FFF2-40B4-BE49-F238E27FC236}">
              <a16:creationId xmlns:a16="http://schemas.microsoft.com/office/drawing/2014/main" id="{00000000-0008-0000-0300-00000D000000}"/>
            </a:ext>
          </a:extLst>
        </xdr:cNvPr>
        <xdr:cNvCxnSpPr/>
      </xdr:nvCxnSpPr>
      <xdr:spPr>
        <a:xfrm>
          <a:off x="14765020" y="88265"/>
          <a:ext cx="0" cy="4502340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479102</xdr:colOff>
      <xdr:row>1</xdr:row>
      <xdr:rowOff>0</xdr:rowOff>
    </xdr:from>
    <xdr:to>
      <xdr:col>16</xdr:col>
      <xdr:colOff>479102</xdr:colOff>
      <xdr:row>99</xdr:row>
      <xdr:rowOff>19050</xdr:rowOff>
    </xdr:to>
    <xdr:cxnSp macro="">
      <xdr:nvCxnSpPr>
        <xdr:cNvPr id="57" name="Straight Connector 10">
          <a:extLst>
            <a:ext uri="{FF2B5EF4-FFF2-40B4-BE49-F238E27FC236}">
              <a16:creationId xmlns:a16="http://schemas.microsoft.com/office/drawing/2014/main" id="{00000000-0008-0000-0300-000039000000}"/>
            </a:ext>
          </a:extLst>
        </xdr:cNvPr>
        <xdr:cNvCxnSpPr/>
      </xdr:nvCxnSpPr>
      <xdr:spPr>
        <a:xfrm>
          <a:off x="13931900" y="69215"/>
          <a:ext cx="0" cy="45090080"/>
        </a:xfrm>
        <a:prstGeom prst="line">
          <a:avLst/>
        </a:prstGeom>
        <a:ln w="1270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80</xdr:row>
      <xdr:rowOff>16565</xdr:rowOff>
    </xdr:from>
    <xdr:to>
      <xdr:col>16</xdr:col>
      <xdr:colOff>468820</xdr:colOff>
      <xdr:row>92</xdr:row>
      <xdr:rowOff>140805</xdr:rowOff>
    </xdr:to>
    <xdr:sp macro="" textlink="">
      <xdr:nvSpPr>
        <xdr:cNvPr id="15" name="TextBox 13">
          <a:extLst>
            <a:ext uri="{FF2B5EF4-FFF2-40B4-BE49-F238E27FC236}">
              <a16:creationId xmlns:a16="http://schemas.microsoft.com/office/drawing/2014/main" id="{00000000-0008-0000-0300-00000F000000}"/>
            </a:ext>
          </a:extLst>
        </xdr:cNvPr>
        <xdr:cNvSpPr txBox="1"/>
      </xdr:nvSpPr>
      <xdr:spPr>
        <a:xfrm rot="16200000">
          <a:off x="11346180" y="40199945"/>
          <a:ext cx="495617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14</xdr:col>
      <xdr:colOff>259936</xdr:colOff>
      <xdr:row>4</xdr:row>
      <xdr:rowOff>295382</xdr:rowOff>
    </xdr:from>
    <xdr:to>
      <xdr:col>15</xdr:col>
      <xdr:colOff>57280</xdr:colOff>
      <xdr:row>4</xdr:row>
      <xdr:rowOff>295382</xdr:rowOff>
    </xdr:to>
    <xdr:cxnSp macro="">
      <xdr:nvCxnSpPr>
        <xdr:cNvPr id="31" name="Straight Connector 15">
          <a:extLst>
            <a:ext uri="{FF2B5EF4-FFF2-40B4-BE49-F238E27FC236}">
              <a16:creationId xmlns:a16="http://schemas.microsoft.com/office/drawing/2014/main" id="{00000000-0008-0000-0300-000010000000}"/>
            </a:ext>
          </a:extLst>
        </xdr:cNvPr>
        <xdr:cNvCxnSpPr/>
      </xdr:nvCxnSpPr>
      <xdr:spPr>
        <a:xfrm>
          <a:off x="10149371" y="668099"/>
          <a:ext cx="43510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306456</xdr:colOff>
      <xdr:row>5</xdr:row>
      <xdr:rowOff>286465</xdr:rowOff>
    </xdr:from>
    <xdr:to>
      <xdr:col>15</xdr:col>
      <xdr:colOff>560042</xdr:colOff>
      <xdr:row>5</xdr:row>
      <xdr:rowOff>286465</xdr:rowOff>
    </xdr:to>
    <xdr:cxnSp macro="">
      <xdr:nvCxnSpPr>
        <xdr:cNvPr id="40" name="Straight Connector 16">
          <a:extLst>
            <a:ext uri="{FF2B5EF4-FFF2-40B4-BE49-F238E27FC236}">
              <a16:creationId xmlns:a16="http://schemas.microsoft.com/office/drawing/2014/main" id="{00000000-0008-0000-0300-000011000000}"/>
            </a:ext>
          </a:extLst>
        </xdr:cNvPr>
        <xdr:cNvCxnSpPr/>
      </xdr:nvCxnSpPr>
      <xdr:spPr>
        <a:xfrm>
          <a:off x="10833652" y="1230682"/>
          <a:ext cx="253586"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410955</xdr:colOff>
      <xdr:row>11</xdr:row>
      <xdr:rowOff>295682</xdr:rowOff>
    </xdr:from>
    <xdr:to>
      <xdr:col>15</xdr:col>
      <xdr:colOff>157369</xdr:colOff>
      <xdr:row>11</xdr:row>
      <xdr:rowOff>295682</xdr:rowOff>
    </xdr:to>
    <xdr:cxnSp macro="">
      <xdr:nvCxnSpPr>
        <xdr:cNvPr id="16" name="Straight Connector 17">
          <a:extLst>
            <a:ext uri="{FF2B5EF4-FFF2-40B4-BE49-F238E27FC236}">
              <a16:creationId xmlns:a16="http://schemas.microsoft.com/office/drawing/2014/main" id="{00000000-0008-0000-0300-000012000000}"/>
            </a:ext>
          </a:extLst>
        </xdr:cNvPr>
        <xdr:cNvCxnSpPr/>
      </xdr:nvCxnSpPr>
      <xdr:spPr>
        <a:xfrm>
          <a:off x="10300390" y="4155378"/>
          <a:ext cx="38417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86519</xdr:colOff>
      <xdr:row>17</xdr:row>
      <xdr:rowOff>305360</xdr:rowOff>
    </xdr:from>
    <xdr:to>
      <xdr:col>15</xdr:col>
      <xdr:colOff>455543</xdr:colOff>
      <xdr:row>17</xdr:row>
      <xdr:rowOff>305360</xdr:rowOff>
    </xdr:to>
    <xdr:cxnSp macro="">
      <xdr:nvCxnSpPr>
        <xdr:cNvPr id="47" name="Straight Connector 18">
          <a:extLst>
            <a:ext uri="{FF2B5EF4-FFF2-40B4-BE49-F238E27FC236}">
              <a16:creationId xmlns:a16="http://schemas.microsoft.com/office/drawing/2014/main" id="{00000000-0008-0000-0300-000013000000}"/>
            </a:ext>
          </a:extLst>
        </xdr:cNvPr>
        <xdr:cNvCxnSpPr/>
      </xdr:nvCxnSpPr>
      <xdr:spPr>
        <a:xfrm>
          <a:off x="10613715" y="7080534"/>
          <a:ext cx="369024"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467002</xdr:colOff>
      <xdr:row>23</xdr:row>
      <xdr:rowOff>285221</xdr:rowOff>
    </xdr:from>
    <xdr:to>
      <xdr:col>16</xdr:col>
      <xdr:colOff>115957</xdr:colOff>
      <xdr:row>23</xdr:row>
      <xdr:rowOff>285221</xdr:rowOff>
    </xdr:to>
    <xdr:cxnSp macro="">
      <xdr:nvCxnSpPr>
        <xdr:cNvPr id="64" name="Straight Connector 19">
          <a:extLst>
            <a:ext uri="{FF2B5EF4-FFF2-40B4-BE49-F238E27FC236}">
              <a16:creationId xmlns:a16="http://schemas.microsoft.com/office/drawing/2014/main" id="{00000000-0008-0000-0300-000014000000}"/>
            </a:ext>
          </a:extLst>
        </xdr:cNvPr>
        <xdr:cNvCxnSpPr/>
      </xdr:nvCxnSpPr>
      <xdr:spPr>
        <a:xfrm>
          <a:off x="10994198" y="9975873"/>
          <a:ext cx="286716"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74543</xdr:colOff>
      <xdr:row>29</xdr:row>
      <xdr:rowOff>286854</xdr:rowOff>
    </xdr:from>
    <xdr:to>
      <xdr:col>16</xdr:col>
      <xdr:colOff>265043</xdr:colOff>
      <xdr:row>29</xdr:row>
      <xdr:rowOff>286854</xdr:rowOff>
    </xdr:to>
    <xdr:cxnSp macro="">
      <xdr:nvCxnSpPr>
        <xdr:cNvPr id="78" name="Straight Connector 20">
          <a:extLst>
            <a:ext uri="{FF2B5EF4-FFF2-40B4-BE49-F238E27FC236}">
              <a16:creationId xmlns:a16="http://schemas.microsoft.com/office/drawing/2014/main" id="{00000000-0008-0000-0300-000015000000}"/>
            </a:ext>
          </a:extLst>
        </xdr:cNvPr>
        <xdr:cNvCxnSpPr/>
      </xdr:nvCxnSpPr>
      <xdr:spPr>
        <a:xfrm>
          <a:off x="11239500" y="12892984"/>
          <a:ext cx="1905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173934</xdr:colOff>
      <xdr:row>35</xdr:row>
      <xdr:rowOff>284677</xdr:rowOff>
    </xdr:from>
    <xdr:to>
      <xdr:col>16</xdr:col>
      <xdr:colOff>323021</xdr:colOff>
      <xdr:row>35</xdr:row>
      <xdr:rowOff>284677</xdr:rowOff>
    </xdr:to>
    <xdr:cxnSp macro="">
      <xdr:nvCxnSpPr>
        <xdr:cNvPr id="90" name="Straight Connector 21">
          <a:extLst>
            <a:ext uri="{FF2B5EF4-FFF2-40B4-BE49-F238E27FC236}">
              <a16:creationId xmlns:a16="http://schemas.microsoft.com/office/drawing/2014/main" id="{00000000-0008-0000-0300-000042000000}"/>
            </a:ext>
          </a:extLst>
        </xdr:cNvPr>
        <xdr:cNvCxnSpPr/>
      </xdr:nvCxnSpPr>
      <xdr:spPr>
        <a:xfrm>
          <a:off x="11338891" y="15806286"/>
          <a:ext cx="14908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272229</xdr:colOff>
      <xdr:row>41</xdr:row>
      <xdr:rowOff>306113</xdr:rowOff>
    </xdr:from>
    <xdr:to>
      <xdr:col>16</xdr:col>
      <xdr:colOff>471471</xdr:colOff>
      <xdr:row>41</xdr:row>
      <xdr:rowOff>306113</xdr:rowOff>
    </xdr:to>
    <xdr:cxnSp macro="">
      <xdr:nvCxnSpPr>
        <xdr:cNvPr id="112" name="Straight Connector 22">
          <a:extLst>
            <a:ext uri="{FF2B5EF4-FFF2-40B4-BE49-F238E27FC236}">
              <a16:creationId xmlns:a16="http://schemas.microsoft.com/office/drawing/2014/main" id="{00000000-0008-0000-0300-000057000000}"/>
            </a:ext>
          </a:extLst>
        </xdr:cNvPr>
        <xdr:cNvCxnSpPr/>
      </xdr:nvCxnSpPr>
      <xdr:spPr>
        <a:xfrm>
          <a:off x="11437186" y="18743200"/>
          <a:ext cx="19924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556477</xdr:colOff>
      <xdr:row>47</xdr:row>
      <xdr:rowOff>299250</xdr:rowOff>
    </xdr:from>
    <xdr:to>
      <xdr:col>17</xdr:col>
      <xdr:colOff>79804</xdr:colOff>
      <xdr:row>47</xdr:row>
      <xdr:rowOff>299250</xdr:rowOff>
    </xdr:to>
    <xdr:cxnSp macro="">
      <xdr:nvCxnSpPr>
        <xdr:cNvPr id="143" name="Straight Connector 23">
          <a:extLst>
            <a:ext uri="{FF2B5EF4-FFF2-40B4-BE49-F238E27FC236}">
              <a16:creationId xmlns:a16="http://schemas.microsoft.com/office/drawing/2014/main" id="{00000000-0008-0000-0300-000018000000}"/>
            </a:ext>
          </a:extLst>
        </xdr:cNvPr>
        <xdr:cNvCxnSpPr/>
      </xdr:nvCxnSpPr>
      <xdr:spPr>
        <a:xfrm>
          <a:off x="11704011" y="21654957"/>
          <a:ext cx="16051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712</xdr:colOff>
      <xdr:row>83</xdr:row>
      <xdr:rowOff>211291</xdr:rowOff>
    </xdr:from>
    <xdr:to>
      <xdr:col>18</xdr:col>
      <xdr:colOff>137948</xdr:colOff>
      <xdr:row>83</xdr:row>
      <xdr:rowOff>211291</xdr:rowOff>
    </xdr:to>
    <xdr:cxnSp macro="">
      <xdr:nvCxnSpPr>
        <xdr:cNvPr id="225" name="Straight Connector 2">
          <a:extLst>
            <a:ext uri="{FF2B5EF4-FFF2-40B4-BE49-F238E27FC236}">
              <a16:creationId xmlns:a16="http://schemas.microsoft.com/office/drawing/2014/main" id="{00000000-0008-0000-0300-0000B4000000}"/>
            </a:ext>
          </a:extLst>
        </xdr:cNvPr>
        <xdr:cNvCxnSpPr/>
      </xdr:nvCxnSpPr>
      <xdr:spPr>
        <a:xfrm>
          <a:off x="11785436" y="40406791"/>
          <a:ext cx="774426"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477887</xdr:colOff>
      <xdr:row>77</xdr:row>
      <xdr:rowOff>201943</xdr:rowOff>
    </xdr:from>
    <xdr:to>
      <xdr:col>17</xdr:col>
      <xdr:colOff>600061</xdr:colOff>
      <xdr:row>77</xdr:row>
      <xdr:rowOff>201943</xdr:rowOff>
    </xdr:to>
    <xdr:cxnSp macro="">
      <xdr:nvCxnSpPr>
        <xdr:cNvPr id="208" name="Straight Connector 19">
          <a:extLst>
            <a:ext uri="{FF2B5EF4-FFF2-40B4-BE49-F238E27FC236}">
              <a16:creationId xmlns:a16="http://schemas.microsoft.com/office/drawing/2014/main" id="{00000000-0008-0000-0300-00001A000000}"/>
            </a:ext>
          </a:extLst>
        </xdr:cNvPr>
        <xdr:cNvCxnSpPr/>
      </xdr:nvCxnSpPr>
      <xdr:spPr>
        <a:xfrm>
          <a:off x="12262611" y="38531857"/>
          <a:ext cx="12217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616814</xdr:colOff>
      <xdr:row>78</xdr:row>
      <xdr:rowOff>191285</xdr:rowOff>
    </xdr:from>
    <xdr:to>
      <xdr:col>18</xdr:col>
      <xdr:colOff>151086</xdr:colOff>
      <xdr:row>78</xdr:row>
      <xdr:rowOff>191285</xdr:rowOff>
    </xdr:to>
    <xdr:cxnSp macro="">
      <xdr:nvCxnSpPr>
        <xdr:cNvPr id="210" name="Straight Connector 19">
          <a:extLst>
            <a:ext uri="{FF2B5EF4-FFF2-40B4-BE49-F238E27FC236}">
              <a16:creationId xmlns:a16="http://schemas.microsoft.com/office/drawing/2014/main" id="{00000000-0008-0000-0300-00001B000000}"/>
            </a:ext>
          </a:extLst>
        </xdr:cNvPr>
        <xdr:cNvCxnSpPr/>
      </xdr:nvCxnSpPr>
      <xdr:spPr>
        <a:xfrm>
          <a:off x="12401538" y="38882492"/>
          <a:ext cx="171462"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210207</xdr:colOff>
      <xdr:row>80</xdr:row>
      <xdr:rowOff>202681</xdr:rowOff>
    </xdr:from>
    <xdr:to>
      <xdr:col>18</xdr:col>
      <xdr:colOff>249620</xdr:colOff>
      <xdr:row>80</xdr:row>
      <xdr:rowOff>202681</xdr:rowOff>
    </xdr:to>
    <xdr:cxnSp macro="">
      <xdr:nvCxnSpPr>
        <xdr:cNvPr id="217" name="Straight Connector 19">
          <a:extLst>
            <a:ext uri="{FF2B5EF4-FFF2-40B4-BE49-F238E27FC236}">
              <a16:creationId xmlns:a16="http://schemas.microsoft.com/office/drawing/2014/main" id="{00000000-0008-0000-0300-00009E000000}"/>
            </a:ext>
          </a:extLst>
        </xdr:cNvPr>
        <xdr:cNvCxnSpPr/>
      </xdr:nvCxnSpPr>
      <xdr:spPr>
        <a:xfrm>
          <a:off x="12632121" y="39616474"/>
          <a:ext cx="3941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253015</xdr:colOff>
      <xdr:row>81</xdr:row>
      <xdr:rowOff>202682</xdr:rowOff>
    </xdr:from>
    <xdr:to>
      <xdr:col>18</xdr:col>
      <xdr:colOff>289034</xdr:colOff>
      <xdr:row>81</xdr:row>
      <xdr:rowOff>202682</xdr:rowOff>
    </xdr:to>
    <xdr:cxnSp macro="">
      <xdr:nvCxnSpPr>
        <xdr:cNvPr id="244" name="Straight Connector 19">
          <a:extLst>
            <a:ext uri="{FF2B5EF4-FFF2-40B4-BE49-F238E27FC236}">
              <a16:creationId xmlns:a16="http://schemas.microsoft.com/office/drawing/2014/main" id="{00000000-0008-0000-0300-00009F000000}"/>
            </a:ext>
          </a:extLst>
        </xdr:cNvPr>
        <xdr:cNvCxnSpPr/>
      </xdr:nvCxnSpPr>
      <xdr:spPr>
        <a:xfrm>
          <a:off x="12326774" y="39977768"/>
          <a:ext cx="36019"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248478</xdr:colOff>
      <xdr:row>7</xdr:row>
      <xdr:rowOff>317425</xdr:rowOff>
    </xdr:from>
    <xdr:to>
      <xdr:col>16</xdr:col>
      <xdr:colOff>323021</xdr:colOff>
      <xdr:row>7</xdr:row>
      <xdr:rowOff>317425</xdr:rowOff>
    </xdr:to>
    <xdr:cxnSp macro="">
      <xdr:nvCxnSpPr>
        <xdr:cNvPr id="50" name="Straight Connector 32">
          <a:extLst>
            <a:ext uri="{FF2B5EF4-FFF2-40B4-BE49-F238E27FC236}">
              <a16:creationId xmlns:a16="http://schemas.microsoft.com/office/drawing/2014/main" id="{00000000-0008-0000-0300-000021000000}"/>
            </a:ext>
          </a:extLst>
        </xdr:cNvPr>
        <xdr:cNvCxnSpPr/>
      </xdr:nvCxnSpPr>
      <xdr:spPr>
        <a:xfrm>
          <a:off x="11413435" y="2404642"/>
          <a:ext cx="74543"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554934</xdr:colOff>
      <xdr:row>12</xdr:row>
      <xdr:rowOff>294747</xdr:rowOff>
    </xdr:from>
    <xdr:to>
      <xdr:col>16</xdr:col>
      <xdr:colOff>143979</xdr:colOff>
      <xdr:row>12</xdr:row>
      <xdr:rowOff>294747</xdr:rowOff>
    </xdr:to>
    <xdr:cxnSp macro="">
      <xdr:nvCxnSpPr>
        <xdr:cNvPr id="28" name="Straight Connector 33">
          <a:extLst>
            <a:ext uri="{FF2B5EF4-FFF2-40B4-BE49-F238E27FC236}">
              <a16:creationId xmlns:a16="http://schemas.microsoft.com/office/drawing/2014/main" id="{00000000-0008-0000-0300-000022000000}"/>
            </a:ext>
          </a:extLst>
        </xdr:cNvPr>
        <xdr:cNvCxnSpPr/>
      </xdr:nvCxnSpPr>
      <xdr:spPr>
        <a:xfrm>
          <a:off x="11082130" y="4725943"/>
          <a:ext cx="226806"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129919</xdr:colOff>
      <xdr:row>18</xdr:row>
      <xdr:rowOff>311312</xdr:rowOff>
    </xdr:from>
    <xdr:to>
      <xdr:col>16</xdr:col>
      <xdr:colOff>252172</xdr:colOff>
      <xdr:row>18</xdr:row>
      <xdr:rowOff>311312</xdr:rowOff>
    </xdr:to>
    <xdr:cxnSp macro="">
      <xdr:nvCxnSpPr>
        <xdr:cNvPr id="48" name="Straight Connector 34">
          <a:extLst>
            <a:ext uri="{FF2B5EF4-FFF2-40B4-BE49-F238E27FC236}">
              <a16:creationId xmlns:a16="http://schemas.microsoft.com/office/drawing/2014/main" id="{00000000-0008-0000-0300-000023000000}"/>
            </a:ext>
          </a:extLst>
        </xdr:cNvPr>
        <xdr:cNvCxnSpPr/>
      </xdr:nvCxnSpPr>
      <xdr:spPr>
        <a:xfrm>
          <a:off x="11294876" y="7657986"/>
          <a:ext cx="122253"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182217</xdr:colOff>
      <xdr:row>24</xdr:row>
      <xdr:rowOff>297922</xdr:rowOff>
    </xdr:from>
    <xdr:to>
      <xdr:col>16</xdr:col>
      <xdr:colOff>341519</xdr:colOff>
      <xdr:row>24</xdr:row>
      <xdr:rowOff>297922</xdr:rowOff>
    </xdr:to>
    <xdr:cxnSp macro="">
      <xdr:nvCxnSpPr>
        <xdr:cNvPr id="67" name="Straight Connector 35">
          <a:extLst>
            <a:ext uri="{FF2B5EF4-FFF2-40B4-BE49-F238E27FC236}">
              <a16:creationId xmlns:a16="http://schemas.microsoft.com/office/drawing/2014/main" id="{00000000-0008-0000-0300-000024000000}"/>
            </a:ext>
          </a:extLst>
        </xdr:cNvPr>
        <xdr:cNvCxnSpPr/>
      </xdr:nvCxnSpPr>
      <xdr:spPr>
        <a:xfrm>
          <a:off x="11347174" y="10560074"/>
          <a:ext cx="15930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226135</xdr:colOff>
      <xdr:row>30</xdr:row>
      <xdr:rowOff>297922</xdr:rowOff>
    </xdr:from>
    <xdr:to>
      <xdr:col>16</xdr:col>
      <xdr:colOff>399380</xdr:colOff>
      <xdr:row>30</xdr:row>
      <xdr:rowOff>297922</xdr:rowOff>
    </xdr:to>
    <xdr:cxnSp macro="">
      <xdr:nvCxnSpPr>
        <xdr:cNvPr id="79" name="Straight Connector 36">
          <a:extLst>
            <a:ext uri="{FF2B5EF4-FFF2-40B4-BE49-F238E27FC236}">
              <a16:creationId xmlns:a16="http://schemas.microsoft.com/office/drawing/2014/main" id="{00000000-0008-0000-0300-000025000000}"/>
            </a:ext>
          </a:extLst>
        </xdr:cNvPr>
        <xdr:cNvCxnSpPr/>
      </xdr:nvCxnSpPr>
      <xdr:spPr>
        <a:xfrm>
          <a:off x="11391092" y="13475552"/>
          <a:ext cx="17324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332227</xdr:colOff>
      <xdr:row>36</xdr:row>
      <xdr:rowOff>250786</xdr:rowOff>
    </xdr:from>
    <xdr:to>
      <xdr:col>16</xdr:col>
      <xdr:colOff>483799</xdr:colOff>
      <xdr:row>36</xdr:row>
      <xdr:rowOff>250786</xdr:rowOff>
    </xdr:to>
    <xdr:cxnSp macro="">
      <xdr:nvCxnSpPr>
        <xdr:cNvPr id="96" name="Straight Connector 37">
          <a:extLst>
            <a:ext uri="{FF2B5EF4-FFF2-40B4-BE49-F238E27FC236}">
              <a16:creationId xmlns:a16="http://schemas.microsoft.com/office/drawing/2014/main" id="{00000000-0008-0000-0300-000050000000}"/>
            </a:ext>
          </a:extLst>
        </xdr:cNvPr>
        <xdr:cNvCxnSpPr/>
      </xdr:nvCxnSpPr>
      <xdr:spPr>
        <a:xfrm>
          <a:off x="11497184" y="16343895"/>
          <a:ext cx="15157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570577</xdr:colOff>
      <xdr:row>42</xdr:row>
      <xdr:rowOff>294747</xdr:rowOff>
    </xdr:from>
    <xdr:to>
      <xdr:col>17</xdr:col>
      <xdr:colOff>78828</xdr:colOff>
      <xdr:row>42</xdr:row>
      <xdr:rowOff>294747</xdr:rowOff>
    </xdr:to>
    <xdr:cxnSp macro="">
      <xdr:nvCxnSpPr>
        <xdr:cNvPr id="133" name="Straight Connector 38">
          <a:extLst>
            <a:ext uri="{FF2B5EF4-FFF2-40B4-BE49-F238E27FC236}">
              <a16:creationId xmlns:a16="http://schemas.microsoft.com/office/drawing/2014/main" id="{00000000-0008-0000-0300-000058000000}"/>
            </a:ext>
          </a:extLst>
        </xdr:cNvPr>
        <xdr:cNvCxnSpPr/>
      </xdr:nvCxnSpPr>
      <xdr:spPr>
        <a:xfrm>
          <a:off x="11718111" y="19305333"/>
          <a:ext cx="145441"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248478</xdr:colOff>
      <xdr:row>13</xdr:row>
      <xdr:rowOff>317425</xdr:rowOff>
    </xdr:from>
    <xdr:to>
      <xdr:col>16</xdr:col>
      <xdr:colOff>374431</xdr:colOff>
      <xdr:row>13</xdr:row>
      <xdr:rowOff>317425</xdr:rowOff>
    </xdr:to>
    <xdr:cxnSp macro="">
      <xdr:nvCxnSpPr>
        <xdr:cNvPr id="242" name="Straight Connector 40">
          <a:extLst>
            <a:ext uri="{FF2B5EF4-FFF2-40B4-BE49-F238E27FC236}">
              <a16:creationId xmlns:a16="http://schemas.microsoft.com/office/drawing/2014/main" id="{00000000-0008-0000-0300-000029000000}"/>
            </a:ext>
          </a:extLst>
        </xdr:cNvPr>
        <xdr:cNvCxnSpPr/>
      </xdr:nvCxnSpPr>
      <xdr:spPr>
        <a:xfrm>
          <a:off x="11047857" y="5316408"/>
          <a:ext cx="125953"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265043</xdr:colOff>
      <xdr:row>19</xdr:row>
      <xdr:rowOff>313007</xdr:rowOff>
    </xdr:from>
    <xdr:to>
      <xdr:col>16</xdr:col>
      <xdr:colOff>427520</xdr:colOff>
      <xdr:row>19</xdr:row>
      <xdr:rowOff>313007</xdr:rowOff>
    </xdr:to>
    <xdr:cxnSp macro="">
      <xdr:nvCxnSpPr>
        <xdr:cNvPr id="52" name="Straight Connector 41">
          <a:extLst>
            <a:ext uri="{FF2B5EF4-FFF2-40B4-BE49-F238E27FC236}">
              <a16:creationId xmlns:a16="http://schemas.microsoft.com/office/drawing/2014/main" id="{00000000-0008-0000-0300-00002A000000}"/>
            </a:ext>
          </a:extLst>
        </xdr:cNvPr>
        <xdr:cNvCxnSpPr/>
      </xdr:nvCxnSpPr>
      <xdr:spPr>
        <a:xfrm>
          <a:off x="11430000" y="8231181"/>
          <a:ext cx="16247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530086</xdr:colOff>
      <xdr:row>25</xdr:row>
      <xdr:rowOff>302793</xdr:rowOff>
    </xdr:from>
    <xdr:to>
      <xdr:col>16</xdr:col>
      <xdr:colOff>609659</xdr:colOff>
      <xdr:row>25</xdr:row>
      <xdr:rowOff>302793</xdr:rowOff>
    </xdr:to>
    <xdr:cxnSp macro="">
      <xdr:nvCxnSpPr>
        <xdr:cNvPr id="71" name="Straight Connector 42">
          <a:extLst>
            <a:ext uri="{FF2B5EF4-FFF2-40B4-BE49-F238E27FC236}">
              <a16:creationId xmlns:a16="http://schemas.microsoft.com/office/drawing/2014/main" id="{00000000-0008-0000-0300-00002B000000}"/>
            </a:ext>
          </a:extLst>
        </xdr:cNvPr>
        <xdr:cNvCxnSpPr/>
      </xdr:nvCxnSpPr>
      <xdr:spPr>
        <a:xfrm>
          <a:off x="11695043" y="11136445"/>
          <a:ext cx="7957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586743</xdr:colOff>
      <xdr:row>31</xdr:row>
      <xdr:rowOff>302792</xdr:rowOff>
    </xdr:from>
    <xdr:to>
      <xdr:col>17</xdr:col>
      <xdr:colOff>91030</xdr:colOff>
      <xdr:row>31</xdr:row>
      <xdr:rowOff>302792</xdr:rowOff>
    </xdr:to>
    <xdr:cxnSp macro="">
      <xdr:nvCxnSpPr>
        <xdr:cNvPr id="82" name="Straight Connector 43">
          <a:extLst>
            <a:ext uri="{FF2B5EF4-FFF2-40B4-BE49-F238E27FC236}">
              <a16:creationId xmlns:a16="http://schemas.microsoft.com/office/drawing/2014/main" id="{00000000-0008-0000-0300-00002C000000}"/>
            </a:ext>
          </a:extLst>
        </xdr:cNvPr>
        <xdr:cNvCxnSpPr/>
      </xdr:nvCxnSpPr>
      <xdr:spPr>
        <a:xfrm>
          <a:off x="11751700" y="14051922"/>
          <a:ext cx="14204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132522</xdr:colOff>
      <xdr:row>37</xdr:row>
      <xdr:rowOff>274441</xdr:rowOff>
    </xdr:from>
    <xdr:to>
      <xdr:col>17</xdr:col>
      <xdr:colOff>265044</xdr:colOff>
      <xdr:row>37</xdr:row>
      <xdr:rowOff>274441</xdr:rowOff>
    </xdr:to>
    <xdr:cxnSp macro="">
      <xdr:nvCxnSpPr>
        <xdr:cNvPr id="102" name="Straight Connector 44">
          <a:extLst>
            <a:ext uri="{FF2B5EF4-FFF2-40B4-BE49-F238E27FC236}">
              <a16:creationId xmlns:a16="http://schemas.microsoft.com/office/drawing/2014/main" id="{00000000-0008-0000-0300-000016000000}"/>
            </a:ext>
          </a:extLst>
        </xdr:cNvPr>
        <xdr:cNvCxnSpPr/>
      </xdr:nvCxnSpPr>
      <xdr:spPr>
        <a:xfrm>
          <a:off x="11935239" y="16939050"/>
          <a:ext cx="132522"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181248</xdr:colOff>
      <xdr:row>43</xdr:row>
      <xdr:rowOff>311691</xdr:rowOff>
    </xdr:from>
    <xdr:to>
      <xdr:col>17</xdr:col>
      <xdr:colOff>262759</xdr:colOff>
      <xdr:row>43</xdr:row>
      <xdr:rowOff>311691</xdr:rowOff>
    </xdr:to>
    <xdr:cxnSp macro="">
      <xdr:nvCxnSpPr>
        <xdr:cNvPr id="135" name="Straight Connector 45">
          <a:extLst>
            <a:ext uri="{FF2B5EF4-FFF2-40B4-BE49-F238E27FC236}">
              <a16:creationId xmlns:a16="http://schemas.microsoft.com/office/drawing/2014/main" id="{00000000-0008-0000-0300-00005D000000}"/>
            </a:ext>
          </a:extLst>
        </xdr:cNvPr>
        <xdr:cNvCxnSpPr/>
      </xdr:nvCxnSpPr>
      <xdr:spPr>
        <a:xfrm>
          <a:off x="11965972" y="19893777"/>
          <a:ext cx="81511"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354724</xdr:colOff>
      <xdr:row>50</xdr:row>
      <xdr:rowOff>314250</xdr:rowOff>
    </xdr:from>
    <xdr:to>
      <xdr:col>17</xdr:col>
      <xdr:colOff>430377</xdr:colOff>
      <xdr:row>50</xdr:row>
      <xdr:rowOff>314250</xdr:rowOff>
    </xdr:to>
    <xdr:cxnSp macro="">
      <xdr:nvCxnSpPr>
        <xdr:cNvPr id="156" name="Straight Connector 46">
          <a:extLst>
            <a:ext uri="{FF2B5EF4-FFF2-40B4-BE49-F238E27FC236}">
              <a16:creationId xmlns:a16="http://schemas.microsoft.com/office/drawing/2014/main" id="{00000000-0008-0000-0300-000079000000}"/>
            </a:ext>
          </a:extLst>
        </xdr:cNvPr>
        <xdr:cNvCxnSpPr/>
      </xdr:nvCxnSpPr>
      <xdr:spPr>
        <a:xfrm>
          <a:off x="12139448" y="23384457"/>
          <a:ext cx="7565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269328</xdr:colOff>
      <xdr:row>54</xdr:row>
      <xdr:rowOff>294966</xdr:rowOff>
    </xdr:from>
    <xdr:to>
      <xdr:col>17</xdr:col>
      <xdr:colOff>393193</xdr:colOff>
      <xdr:row>54</xdr:row>
      <xdr:rowOff>294966</xdr:rowOff>
    </xdr:to>
    <xdr:cxnSp macro="">
      <xdr:nvCxnSpPr>
        <xdr:cNvPr id="163" name="Straight Connector 49">
          <a:extLst>
            <a:ext uri="{FF2B5EF4-FFF2-40B4-BE49-F238E27FC236}">
              <a16:creationId xmlns:a16="http://schemas.microsoft.com/office/drawing/2014/main" id="{00000000-0008-0000-0300-00007C000000}"/>
            </a:ext>
          </a:extLst>
        </xdr:cNvPr>
        <xdr:cNvCxnSpPr/>
      </xdr:nvCxnSpPr>
      <xdr:spPr>
        <a:xfrm>
          <a:off x="12054052" y="25138794"/>
          <a:ext cx="12386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387569</xdr:colOff>
      <xdr:row>55</xdr:row>
      <xdr:rowOff>324213</xdr:rowOff>
    </xdr:from>
    <xdr:to>
      <xdr:col>17</xdr:col>
      <xdr:colOff>512379</xdr:colOff>
      <xdr:row>55</xdr:row>
      <xdr:rowOff>324213</xdr:rowOff>
    </xdr:to>
    <xdr:cxnSp macro="">
      <xdr:nvCxnSpPr>
        <xdr:cNvPr id="165" name="Straight Connector 50">
          <a:extLst>
            <a:ext uri="{FF2B5EF4-FFF2-40B4-BE49-F238E27FC236}">
              <a16:creationId xmlns:a16="http://schemas.microsoft.com/office/drawing/2014/main" id="{00000000-0008-0000-0300-000080000000}"/>
            </a:ext>
          </a:extLst>
        </xdr:cNvPr>
        <xdr:cNvCxnSpPr/>
      </xdr:nvCxnSpPr>
      <xdr:spPr>
        <a:xfrm>
          <a:off x="12172293" y="25739541"/>
          <a:ext cx="12481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236483</xdr:colOff>
      <xdr:row>59</xdr:row>
      <xdr:rowOff>297052</xdr:rowOff>
    </xdr:from>
    <xdr:to>
      <xdr:col>17</xdr:col>
      <xdr:colOff>410670</xdr:colOff>
      <xdr:row>59</xdr:row>
      <xdr:rowOff>297052</xdr:rowOff>
    </xdr:to>
    <xdr:cxnSp macro="">
      <xdr:nvCxnSpPr>
        <xdr:cNvPr id="171" name="Straight Connector 51">
          <a:extLst>
            <a:ext uri="{FF2B5EF4-FFF2-40B4-BE49-F238E27FC236}">
              <a16:creationId xmlns:a16="http://schemas.microsoft.com/office/drawing/2014/main" id="{00000000-0008-0000-0300-000086000000}"/>
            </a:ext>
          </a:extLst>
        </xdr:cNvPr>
        <xdr:cNvCxnSpPr/>
      </xdr:nvCxnSpPr>
      <xdr:spPr>
        <a:xfrm>
          <a:off x="12021207" y="27486000"/>
          <a:ext cx="17418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370114</xdr:colOff>
      <xdr:row>60</xdr:row>
      <xdr:rowOff>288178</xdr:rowOff>
    </xdr:from>
    <xdr:to>
      <xdr:col>17</xdr:col>
      <xdr:colOff>512161</xdr:colOff>
      <xdr:row>60</xdr:row>
      <xdr:rowOff>288178</xdr:rowOff>
    </xdr:to>
    <xdr:cxnSp macro="">
      <xdr:nvCxnSpPr>
        <xdr:cNvPr id="172" name="Straight Connector 52">
          <a:extLst>
            <a:ext uri="{FF2B5EF4-FFF2-40B4-BE49-F238E27FC236}">
              <a16:creationId xmlns:a16="http://schemas.microsoft.com/office/drawing/2014/main" id="{00000000-0008-0000-0300-000088000000}"/>
            </a:ext>
          </a:extLst>
        </xdr:cNvPr>
        <xdr:cNvCxnSpPr/>
      </xdr:nvCxnSpPr>
      <xdr:spPr>
        <a:xfrm>
          <a:off x="12154838" y="28048626"/>
          <a:ext cx="14204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540156</xdr:colOff>
      <xdr:row>61</xdr:row>
      <xdr:rowOff>291369</xdr:rowOff>
    </xdr:from>
    <xdr:to>
      <xdr:col>18</xdr:col>
      <xdr:colOff>45013</xdr:colOff>
      <xdr:row>61</xdr:row>
      <xdr:rowOff>291369</xdr:rowOff>
    </xdr:to>
    <xdr:cxnSp macro="">
      <xdr:nvCxnSpPr>
        <xdr:cNvPr id="173" name="Straight Connector 53">
          <a:extLst>
            <a:ext uri="{FF2B5EF4-FFF2-40B4-BE49-F238E27FC236}">
              <a16:creationId xmlns:a16="http://schemas.microsoft.com/office/drawing/2014/main" id="{00000000-0008-0000-0300-00008E000000}"/>
            </a:ext>
          </a:extLst>
        </xdr:cNvPr>
        <xdr:cNvCxnSpPr/>
      </xdr:nvCxnSpPr>
      <xdr:spPr>
        <a:xfrm>
          <a:off x="12324880" y="28623317"/>
          <a:ext cx="14204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335090</xdr:colOff>
      <xdr:row>8</xdr:row>
      <xdr:rowOff>269662</xdr:rowOff>
    </xdr:from>
    <xdr:to>
      <xdr:col>16</xdr:col>
      <xdr:colOff>427400</xdr:colOff>
      <xdr:row>8</xdr:row>
      <xdr:rowOff>269662</xdr:rowOff>
    </xdr:to>
    <xdr:cxnSp macro="">
      <xdr:nvCxnSpPr>
        <xdr:cNvPr id="49" name="Straight Connector 57">
          <a:extLst>
            <a:ext uri="{FF2B5EF4-FFF2-40B4-BE49-F238E27FC236}">
              <a16:creationId xmlns:a16="http://schemas.microsoft.com/office/drawing/2014/main" id="{00000000-0008-0000-0300-00003A000000}"/>
            </a:ext>
          </a:extLst>
        </xdr:cNvPr>
        <xdr:cNvCxnSpPr/>
      </xdr:nvCxnSpPr>
      <xdr:spPr>
        <a:xfrm>
          <a:off x="11500047" y="2928379"/>
          <a:ext cx="9231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314739</xdr:colOff>
      <xdr:row>14</xdr:row>
      <xdr:rowOff>294509</xdr:rowOff>
    </xdr:from>
    <xdr:to>
      <xdr:col>16</xdr:col>
      <xdr:colOff>397565</xdr:colOff>
      <xdr:row>14</xdr:row>
      <xdr:rowOff>294509</xdr:rowOff>
    </xdr:to>
    <xdr:cxnSp macro="">
      <xdr:nvCxnSpPr>
        <xdr:cNvPr id="39" name="Straight Connector 59">
          <a:extLst>
            <a:ext uri="{FF2B5EF4-FFF2-40B4-BE49-F238E27FC236}">
              <a16:creationId xmlns:a16="http://schemas.microsoft.com/office/drawing/2014/main" id="{00000000-0008-0000-0300-00003C000000}"/>
            </a:ext>
          </a:extLst>
        </xdr:cNvPr>
        <xdr:cNvCxnSpPr/>
      </xdr:nvCxnSpPr>
      <xdr:spPr>
        <a:xfrm>
          <a:off x="11479696" y="5868705"/>
          <a:ext cx="82826"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311025</xdr:colOff>
      <xdr:row>15</xdr:row>
      <xdr:rowOff>254828</xdr:rowOff>
    </xdr:from>
    <xdr:to>
      <xdr:col>16</xdr:col>
      <xdr:colOff>426981</xdr:colOff>
      <xdr:row>15</xdr:row>
      <xdr:rowOff>352977</xdr:rowOff>
    </xdr:to>
    <xdr:sp macro="" textlink="">
      <xdr:nvSpPr>
        <xdr:cNvPr id="243" name="Diamond 60">
          <a:extLst>
            <a:ext uri="{FF2B5EF4-FFF2-40B4-BE49-F238E27FC236}">
              <a16:creationId xmlns:a16="http://schemas.microsoft.com/office/drawing/2014/main" id="{00000000-0008-0000-0300-00003D000000}"/>
            </a:ext>
          </a:extLst>
        </xdr:cNvPr>
        <xdr:cNvSpPr/>
      </xdr:nvSpPr>
      <xdr:spPr>
        <a:xfrm>
          <a:off x="11110404" y="6396811"/>
          <a:ext cx="115956" cy="98149"/>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523658</xdr:colOff>
      <xdr:row>20</xdr:row>
      <xdr:rowOff>286227</xdr:rowOff>
    </xdr:from>
    <xdr:to>
      <xdr:col>16</xdr:col>
      <xdr:colOff>612913</xdr:colOff>
      <xdr:row>20</xdr:row>
      <xdr:rowOff>286227</xdr:rowOff>
    </xdr:to>
    <xdr:cxnSp macro="">
      <xdr:nvCxnSpPr>
        <xdr:cNvPr id="58" name="Straight Connector 61">
          <a:extLst>
            <a:ext uri="{FF2B5EF4-FFF2-40B4-BE49-F238E27FC236}">
              <a16:creationId xmlns:a16="http://schemas.microsoft.com/office/drawing/2014/main" id="{00000000-0008-0000-0300-00003E000000}"/>
            </a:ext>
          </a:extLst>
        </xdr:cNvPr>
        <xdr:cNvCxnSpPr/>
      </xdr:nvCxnSpPr>
      <xdr:spPr>
        <a:xfrm>
          <a:off x="11688615" y="8775901"/>
          <a:ext cx="892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518630</xdr:colOff>
      <xdr:row>21</xdr:row>
      <xdr:rowOff>240196</xdr:rowOff>
    </xdr:from>
    <xdr:to>
      <xdr:col>16</xdr:col>
      <xdr:colOff>634586</xdr:colOff>
      <xdr:row>21</xdr:row>
      <xdr:rowOff>344695</xdr:rowOff>
    </xdr:to>
    <xdr:sp macro="" textlink="">
      <xdr:nvSpPr>
        <xdr:cNvPr id="63" name="Diamond 62">
          <a:extLst>
            <a:ext uri="{FF2B5EF4-FFF2-40B4-BE49-F238E27FC236}">
              <a16:creationId xmlns:a16="http://schemas.microsoft.com/office/drawing/2014/main" id="{00000000-0008-0000-0300-0000DF000000}"/>
            </a:ext>
          </a:extLst>
        </xdr:cNvPr>
        <xdr:cNvSpPr/>
      </xdr:nvSpPr>
      <xdr:spPr>
        <a:xfrm>
          <a:off x="11683587" y="9301370"/>
          <a:ext cx="115956" cy="104499"/>
        </a:xfrm>
        <a:prstGeom prst="diamond">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16</xdr:col>
      <xdr:colOff>571500</xdr:colOff>
      <xdr:row>26</xdr:row>
      <xdr:rowOff>294510</xdr:rowOff>
    </xdr:from>
    <xdr:to>
      <xdr:col>17</xdr:col>
      <xdr:colOff>86001</xdr:colOff>
      <xdr:row>26</xdr:row>
      <xdr:rowOff>294510</xdr:rowOff>
    </xdr:to>
    <xdr:cxnSp macro="">
      <xdr:nvCxnSpPr>
        <xdr:cNvPr id="75" name="Straight Connector 63">
          <a:extLst>
            <a:ext uri="{FF2B5EF4-FFF2-40B4-BE49-F238E27FC236}">
              <a16:creationId xmlns:a16="http://schemas.microsoft.com/office/drawing/2014/main" id="{00000000-0008-0000-0300-000072000000}"/>
            </a:ext>
          </a:extLst>
        </xdr:cNvPr>
        <xdr:cNvCxnSpPr/>
      </xdr:nvCxnSpPr>
      <xdr:spPr>
        <a:xfrm>
          <a:off x="11736457" y="11699662"/>
          <a:ext cx="152261"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123988</xdr:colOff>
      <xdr:row>33</xdr:row>
      <xdr:rowOff>222169</xdr:rowOff>
    </xdr:from>
    <xdr:to>
      <xdr:col>17</xdr:col>
      <xdr:colOff>233594</xdr:colOff>
      <xdr:row>33</xdr:row>
      <xdr:rowOff>336193</xdr:rowOff>
    </xdr:to>
    <xdr:sp macro="" textlink="">
      <xdr:nvSpPr>
        <xdr:cNvPr id="85" name="Diamond 64">
          <a:extLst>
            <a:ext uri="{FF2B5EF4-FFF2-40B4-BE49-F238E27FC236}">
              <a16:creationId xmlns:a16="http://schemas.microsoft.com/office/drawing/2014/main" id="{00000000-0008-0000-0300-000056000000}"/>
            </a:ext>
          </a:extLst>
        </xdr:cNvPr>
        <xdr:cNvSpPr/>
      </xdr:nvSpPr>
      <xdr:spPr>
        <a:xfrm>
          <a:off x="11926705" y="15114299"/>
          <a:ext cx="109606" cy="114024"/>
        </a:xfrm>
        <a:prstGeom prst="diamond">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111466</xdr:colOff>
      <xdr:row>32</xdr:row>
      <xdr:rowOff>294134</xdr:rowOff>
    </xdr:from>
    <xdr:to>
      <xdr:col>17</xdr:col>
      <xdr:colOff>190500</xdr:colOff>
      <xdr:row>32</xdr:row>
      <xdr:rowOff>294134</xdr:rowOff>
    </xdr:to>
    <xdr:cxnSp macro="">
      <xdr:nvCxnSpPr>
        <xdr:cNvPr id="84" name="Straight Connector 69">
          <a:extLst>
            <a:ext uri="{FF2B5EF4-FFF2-40B4-BE49-F238E27FC236}">
              <a16:creationId xmlns:a16="http://schemas.microsoft.com/office/drawing/2014/main" id="{00000000-0008-0000-0300-000038000000}"/>
            </a:ext>
          </a:extLst>
        </xdr:cNvPr>
        <xdr:cNvCxnSpPr/>
      </xdr:nvCxnSpPr>
      <xdr:spPr>
        <a:xfrm>
          <a:off x="11914183" y="14614764"/>
          <a:ext cx="7903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183884</xdr:colOff>
      <xdr:row>38</xdr:row>
      <xdr:rowOff>282976</xdr:rowOff>
    </xdr:from>
    <xdr:to>
      <xdr:col>17</xdr:col>
      <xdr:colOff>281609</xdr:colOff>
      <xdr:row>38</xdr:row>
      <xdr:rowOff>282976</xdr:rowOff>
    </xdr:to>
    <xdr:cxnSp macro="">
      <xdr:nvCxnSpPr>
        <xdr:cNvPr id="108" name="Straight Connector 71">
          <a:extLst>
            <a:ext uri="{FF2B5EF4-FFF2-40B4-BE49-F238E27FC236}">
              <a16:creationId xmlns:a16="http://schemas.microsoft.com/office/drawing/2014/main" id="{00000000-0008-0000-0300-000048000000}"/>
            </a:ext>
          </a:extLst>
        </xdr:cNvPr>
        <xdr:cNvCxnSpPr/>
      </xdr:nvCxnSpPr>
      <xdr:spPr>
        <a:xfrm>
          <a:off x="11986601" y="17519085"/>
          <a:ext cx="977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201068</xdr:colOff>
      <xdr:row>39</xdr:row>
      <xdr:rowOff>245052</xdr:rowOff>
    </xdr:from>
    <xdr:to>
      <xdr:col>17</xdr:col>
      <xdr:colOff>317024</xdr:colOff>
      <xdr:row>39</xdr:row>
      <xdr:rowOff>349551</xdr:rowOff>
    </xdr:to>
    <xdr:sp macro="" textlink="">
      <xdr:nvSpPr>
        <xdr:cNvPr id="109" name="Diamond 64">
          <a:extLst>
            <a:ext uri="{FF2B5EF4-FFF2-40B4-BE49-F238E27FC236}">
              <a16:creationId xmlns:a16="http://schemas.microsoft.com/office/drawing/2014/main" id="{00000000-0008-0000-0300-000063000000}"/>
            </a:ext>
          </a:extLst>
        </xdr:cNvPr>
        <xdr:cNvSpPr/>
      </xdr:nvSpPr>
      <xdr:spPr>
        <a:xfrm>
          <a:off x="12003785" y="18052661"/>
          <a:ext cx="115956" cy="104499"/>
        </a:xfrm>
        <a:prstGeom prst="diamond">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237696</xdr:colOff>
      <xdr:row>44</xdr:row>
      <xdr:rowOff>324213</xdr:rowOff>
    </xdr:from>
    <xdr:to>
      <xdr:col>17</xdr:col>
      <xdr:colOff>328448</xdr:colOff>
      <xdr:row>44</xdr:row>
      <xdr:rowOff>324213</xdr:rowOff>
    </xdr:to>
    <xdr:cxnSp macro="">
      <xdr:nvCxnSpPr>
        <xdr:cNvPr id="138" name="Straight Connector 81">
          <a:extLst>
            <a:ext uri="{FF2B5EF4-FFF2-40B4-BE49-F238E27FC236}">
              <a16:creationId xmlns:a16="http://schemas.microsoft.com/office/drawing/2014/main" id="{00000000-0008-0000-0300-00006A000000}"/>
            </a:ext>
          </a:extLst>
        </xdr:cNvPr>
        <xdr:cNvCxnSpPr/>
      </xdr:nvCxnSpPr>
      <xdr:spPr>
        <a:xfrm>
          <a:off x="12022420" y="20477799"/>
          <a:ext cx="90752"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347299</xdr:colOff>
      <xdr:row>51</xdr:row>
      <xdr:rowOff>274502</xdr:rowOff>
    </xdr:from>
    <xdr:to>
      <xdr:col>17</xdr:col>
      <xdr:colOff>463255</xdr:colOff>
      <xdr:row>51</xdr:row>
      <xdr:rowOff>379001</xdr:rowOff>
    </xdr:to>
    <xdr:sp macro="" textlink="">
      <xdr:nvSpPr>
        <xdr:cNvPr id="160" name="Diamond 64">
          <a:extLst>
            <a:ext uri="{FF2B5EF4-FFF2-40B4-BE49-F238E27FC236}">
              <a16:creationId xmlns:a16="http://schemas.microsoft.com/office/drawing/2014/main" id="{00000000-0008-0000-0300-000083000000}"/>
            </a:ext>
          </a:extLst>
        </xdr:cNvPr>
        <xdr:cNvSpPr/>
      </xdr:nvSpPr>
      <xdr:spPr>
        <a:xfrm>
          <a:off x="12132023" y="23916209"/>
          <a:ext cx="115956" cy="104499"/>
        </a:xfrm>
        <a:prstGeom prst="diamond">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105104</xdr:colOff>
      <xdr:row>48</xdr:row>
      <xdr:rowOff>294762</xdr:rowOff>
    </xdr:from>
    <xdr:to>
      <xdr:col>17</xdr:col>
      <xdr:colOff>183712</xdr:colOff>
      <xdr:row>48</xdr:row>
      <xdr:rowOff>294762</xdr:rowOff>
    </xdr:to>
    <xdr:cxnSp macro="">
      <xdr:nvCxnSpPr>
        <xdr:cNvPr id="148" name="Straight Connector 90">
          <a:extLst>
            <a:ext uri="{FF2B5EF4-FFF2-40B4-BE49-F238E27FC236}">
              <a16:creationId xmlns:a16="http://schemas.microsoft.com/office/drawing/2014/main" id="{00000000-0008-0000-0300-00006B000000}"/>
            </a:ext>
          </a:extLst>
        </xdr:cNvPr>
        <xdr:cNvCxnSpPr/>
      </xdr:nvCxnSpPr>
      <xdr:spPr>
        <a:xfrm>
          <a:off x="11889828" y="22221969"/>
          <a:ext cx="78608"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241158</xdr:colOff>
      <xdr:row>49</xdr:row>
      <xdr:rowOff>275055</xdr:rowOff>
    </xdr:from>
    <xdr:to>
      <xdr:col>17</xdr:col>
      <xdr:colOff>383205</xdr:colOff>
      <xdr:row>49</xdr:row>
      <xdr:rowOff>275055</xdr:rowOff>
    </xdr:to>
    <xdr:cxnSp macro="">
      <xdr:nvCxnSpPr>
        <xdr:cNvPr id="152" name="Straight Connector 101">
          <a:extLst>
            <a:ext uri="{FF2B5EF4-FFF2-40B4-BE49-F238E27FC236}">
              <a16:creationId xmlns:a16="http://schemas.microsoft.com/office/drawing/2014/main" id="{00000000-0008-0000-0300-000077000000}"/>
            </a:ext>
          </a:extLst>
        </xdr:cNvPr>
        <xdr:cNvCxnSpPr/>
      </xdr:nvCxnSpPr>
      <xdr:spPr>
        <a:xfrm>
          <a:off x="12025882" y="22773762"/>
          <a:ext cx="14204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479535</xdr:colOff>
      <xdr:row>56</xdr:row>
      <xdr:rowOff>333957</xdr:rowOff>
    </xdr:from>
    <xdr:to>
      <xdr:col>17</xdr:col>
      <xdr:colOff>597831</xdr:colOff>
      <xdr:row>56</xdr:row>
      <xdr:rowOff>333957</xdr:rowOff>
    </xdr:to>
    <xdr:cxnSp macro="">
      <xdr:nvCxnSpPr>
        <xdr:cNvPr id="167" name="Straight Connector 102">
          <a:extLst>
            <a:ext uri="{FF2B5EF4-FFF2-40B4-BE49-F238E27FC236}">
              <a16:creationId xmlns:a16="http://schemas.microsoft.com/office/drawing/2014/main" id="{00000000-0008-0000-0300-00007F000000}"/>
            </a:ext>
          </a:extLst>
        </xdr:cNvPr>
        <xdr:cNvCxnSpPr/>
      </xdr:nvCxnSpPr>
      <xdr:spPr>
        <a:xfrm>
          <a:off x="12264259" y="26320785"/>
          <a:ext cx="118296"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511933</xdr:colOff>
      <xdr:row>57</xdr:row>
      <xdr:rowOff>283850</xdr:rowOff>
    </xdr:from>
    <xdr:to>
      <xdr:col>17</xdr:col>
      <xdr:colOff>631064</xdr:colOff>
      <xdr:row>57</xdr:row>
      <xdr:rowOff>397874</xdr:rowOff>
    </xdr:to>
    <xdr:sp macro="" textlink="">
      <xdr:nvSpPr>
        <xdr:cNvPr id="168" name="Diamond 64">
          <a:extLst>
            <a:ext uri="{FF2B5EF4-FFF2-40B4-BE49-F238E27FC236}">
              <a16:creationId xmlns:a16="http://schemas.microsoft.com/office/drawing/2014/main" id="{00000000-0008-0000-0300-000091000000}"/>
            </a:ext>
          </a:extLst>
        </xdr:cNvPr>
        <xdr:cNvSpPr/>
      </xdr:nvSpPr>
      <xdr:spPr>
        <a:xfrm>
          <a:off x="12296657" y="26842178"/>
          <a:ext cx="119131" cy="114024"/>
        </a:xfrm>
        <a:prstGeom prst="diamond">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47483</xdr:colOff>
      <xdr:row>62</xdr:row>
      <xdr:rowOff>317426</xdr:rowOff>
    </xdr:from>
    <xdr:to>
      <xdr:col>18</xdr:col>
      <xdr:colOff>111672</xdr:colOff>
      <xdr:row>62</xdr:row>
      <xdr:rowOff>317426</xdr:rowOff>
    </xdr:to>
    <xdr:cxnSp macro="">
      <xdr:nvCxnSpPr>
        <xdr:cNvPr id="175" name="Straight Connector 106">
          <a:extLst>
            <a:ext uri="{FF2B5EF4-FFF2-40B4-BE49-F238E27FC236}">
              <a16:creationId xmlns:a16="http://schemas.microsoft.com/office/drawing/2014/main" id="{00000000-0008-0000-0300-00008D000000}"/>
            </a:ext>
          </a:extLst>
        </xdr:cNvPr>
        <xdr:cNvCxnSpPr/>
      </xdr:nvCxnSpPr>
      <xdr:spPr>
        <a:xfrm>
          <a:off x="12469397" y="29220874"/>
          <a:ext cx="64189"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22024</xdr:colOff>
      <xdr:row>63</xdr:row>
      <xdr:rowOff>277895</xdr:rowOff>
    </xdr:from>
    <xdr:to>
      <xdr:col>18</xdr:col>
      <xdr:colOff>137980</xdr:colOff>
      <xdr:row>63</xdr:row>
      <xdr:rowOff>382394</xdr:rowOff>
    </xdr:to>
    <xdr:sp macro="" textlink="">
      <xdr:nvSpPr>
        <xdr:cNvPr id="176" name="Diamond 64">
          <a:extLst>
            <a:ext uri="{FF2B5EF4-FFF2-40B4-BE49-F238E27FC236}">
              <a16:creationId xmlns:a16="http://schemas.microsoft.com/office/drawing/2014/main" id="{00000000-0008-0000-0300-000090000000}"/>
            </a:ext>
          </a:extLst>
        </xdr:cNvPr>
        <xdr:cNvSpPr/>
      </xdr:nvSpPr>
      <xdr:spPr>
        <a:xfrm>
          <a:off x="12443938" y="29752843"/>
          <a:ext cx="115956" cy="104499"/>
        </a:xfrm>
        <a:prstGeom prst="diamond">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413845</xdr:colOff>
      <xdr:row>84</xdr:row>
      <xdr:rowOff>240961</xdr:rowOff>
    </xdr:from>
    <xdr:to>
      <xdr:col>19</xdr:col>
      <xdr:colOff>627748</xdr:colOff>
      <xdr:row>84</xdr:row>
      <xdr:rowOff>240961</xdr:rowOff>
    </xdr:to>
    <xdr:cxnSp macro="">
      <xdr:nvCxnSpPr>
        <xdr:cNvPr id="230" name="Straight Connector 2">
          <a:extLst>
            <a:ext uri="{FF2B5EF4-FFF2-40B4-BE49-F238E27FC236}">
              <a16:creationId xmlns:a16="http://schemas.microsoft.com/office/drawing/2014/main" id="{00000000-0008-0000-0300-0000C6000000}"/>
            </a:ext>
          </a:extLst>
        </xdr:cNvPr>
        <xdr:cNvCxnSpPr/>
      </xdr:nvCxnSpPr>
      <xdr:spPr>
        <a:xfrm>
          <a:off x="12835759" y="40876582"/>
          <a:ext cx="851092"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274551</xdr:colOff>
      <xdr:row>86</xdr:row>
      <xdr:rowOff>244136</xdr:rowOff>
    </xdr:from>
    <xdr:to>
      <xdr:col>16</xdr:col>
      <xdr:colOff>128411</xdr:colOff>
      <xdr:row>86</xdr:row>
      <xdr:rowOff>244136</xdr:rowOff>
    </xdr:to>
    <xdr:cxnSp macro="">
      <xdr:nvCxnSpPr>
        <xdr:cNvPr id="228" name="Straight Connector 2">
          <a:extLst>
            <a:ext uri="{FF2B5EF4-FFF2-40B4-BE49-F238E27FC236}">
              <a16:creationId xmlns:a16="http://schemas.microsoft.com/office/drawing/2014/main" id="{00000000-0008-0000-0300-0000BE000000}"/>
            </a:ext>
          </a:extLst>
        </xdr:cNvPr>
        <xdr:cNvCxnSpPr/>
      </xdr:nvCxnSpPr>
      <xdr:spPr>
        <a:xfrm>
          <a:off x="10784896" y="41378998"/>
          <a:ext cx="491049"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115271</xdr:colOff>
      <xdr:row>53</xdr:row>
      <xdr:rowOff>294238</xdr:rowOff>
    </xdr:from>
    <xdr:to>
      <xdr:col>17</xdr:col>
      <xdr:colOff>300024</xdr:colOff>
      <xdr:row>53</xdr:row>
      <xdr:rowOff>294238</xdr:rowOff>
    </xdr:to>
    <xdr:cxnSp macro="">
      <xdr:nvCxnSpPr>
        <xdr:cNvPr id="161" name="Straight Connector 202">
          <a:extLst>
            <a:ext uri="{FF2B5EF4-FFF2-40B4-BE49-F238E27FC236}">
              <a16:creationId xmlns:a16="http://schemas.microsoft.com/office/drawing/2014/main" id="{00000000-0008-0000-0300-0000CB000000}"/>
            </a:ext>
          </a:extLst>
        </xdr:cNvPr>
        <xdr:cNvCxnSpPr/>
      </xdr:nvCxnSpPr>
      <xdr:spPr>
        <a:xfrm>
          <a:off x="11899995" y="24566566"/>
          <a:ext cx="18475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258617</xdr:colOff>
      <xdr:row>45</xdr:row>
      <xdr:rowOff>246078</xdr:rowOff>
    </xdr:from>
    <xdr:to>
      <xdr:col>17</xdr:col>
      <xdr:colOff>374573</xdr:colOff>
      <xdr:row>45</xdr:row>
      <xdr:rowOff>347402</xdr:rowOff>
    </xdr:to>
    <xdr:sp macro="" textlink="">
      <xdr:nvSpPr>
        <xdr:cNvPr id="139" name="Diamond 64">
          <a:extLst>
            <a:ext uri="{FF2B5EF4-FFF2-40B4-BE49-F238E27FC236}">
              <a16:creationId xmlns:a16="http://schemas.microsoft.com/office/drawing/2014/main" id="{00000000-0008-0000-0300-0000ED000000}"/>
            </a:ext>
          </a:extLst>
        </xdr:cNvPr>
        <xdr:cNvSpPr/>
      </xdr:nvSpPr>
      <xdr:spPr>
        <a:xfrm>
          <a:off x="12043341" y="20971164"/>
          <a:ext cx="115956" cy="101324"/>
        </a:xfrm>
        <a:prstGeom prst="diamond">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15859</xdr:colOff>
      <xdr:row>27</xdr:row>
      <xdr:rowOff>267890</xdr:rowOff>
    </xdr:from>
    <xdr:to>
      <xdr:col>17</xdr:col>
      <xdr:colOff>131815</xdr:colOff>
      <xdr:row>27</xdr:row>
      <xdr:rowOff>372389</xdr:rowOff>
    </xdr:to>
    <xdr:sp macro="" textlink="">
      <xdr:nvSpPr>
        <xdr:cNvPr id="77" name="Diamond 62">
          <a:extLst>
            <a:ext uri="{FF2B5EF4-FFF2-40B4-BE49-F238E27FC236}">
              <a16:creationId xmlns:a16="http://schemas.microsoft.com/office/drawing/2014/main" id="{00000000-0008-0000-0300-0000F8000000}"/>
            </a:ext>
          </a:extLst>
        </xdr:cNvPr>
        <xdr:cNvSpPr/>
      </xdr:nvSpPr>
      <xdr:spPr>
        <a:xfrm>
          <a:off x="11818576" y="12244542"/>
          <a:ext cx="115956" cy="104499"/>
        </a:xfrm>
        <a:prstGeom prst="diamond">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16</xdr:col>
      <xdr:colOff>301279</xdr:colOff>
      <xdr:row>9</xdr:row>
      <xdr:rowOff>275138</xdr:rowOff>
    </xdr:from>
    <xdr:to>
      <xdr:col>16</xdr:col>
      <xdr:colOff>417235</xdr:colOff>
      <xdr:row>9</xdr:row>
      <xdr:rowOff>379637</xdr:rowOff>
    </xdr:to>
    <xdr:sp macro="" textlink="">
      <xdr:nvSpPr>
        <xdr:cNvPr id="53" name="Diamond 62">
          <a:extLst>
            <a:ext uri="{FF2B5EF4-FFF2-40B4-BE49-F238E27FC236}">
              <a16:creationId xmlns:a16="http://schemas.microsoft.com/office/drawing/2014/main" id="{00000000-0008-0000-0300-0000FB000000}"/>
            </a:ext>
          </a:extLst>
        </xdr:cNvPr>
        <xdr:cNvSpPr/>
      </xdr:nvSpPr>
      <xdr:spPr>
        <a:xfrm>
          <a:off x="11466236" y="3505355"/>
          <a:ext cx="115956" cy="104499"/>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16</xdr:col>
      <xdr:colOff>165205</xdr:colOff>
      <xdr:row>6</xdr:row>
      <xdr:rowOff>258711</xdr:rowOff>
    </xdr:from>
    <xdr:to>
      <xdr:col>16</xdr:col>
      <xdr:colOff>281161</xdr:colOff>
      <xdr:row>6</xdr:row>
      <xdr:rowOff>360035</xdr:rowOff>
    </xdr:to>
    <xdr:sp macro="" textlink="">
      <xdr:nvSpPr>
        <xdr:cNvPr id="46" name="Diamond 62">
          <a:extLst>
            <a:ext uri="{FF2B5EF4-FFF2-40B4-BE49-F238E27FC236}">
              <a16:creationId xmlns:a16="http://schemas.microsoft.com/office/drawing/2014/main" id="{00000000-0008-0000-0300-0000FA000000}"/>
            </a:ext>
          </a:extLst>
        </xdr:cNvPr>
        <xdr:cNvSpPr/>
      </xdr:nvSpPr>
      <xdr:spPr>
        <a:xfrm>
          <a:off x="11330162" y="1774428"/>
          <a:ext cx="115956" cy="101324"/>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18</xdr:col>
      <xdr:colOff>98534</xdr:colOff>
      <xdr:row>69</xdr:row>
      <xdr:rowOff>713679</xdr:rowOff>
    </xdr:from>
    <xdr:to>
      <xdr:col>19</xdr:col>
      <xdr:colOff>140270</xdr:colOff>
      <xdr:row>69</xdr:row>
      <xdr:rowOff>713679</xdr:rowOff>
    </xdr:to>
    <xdr:cxnSp macro="">
      <xdr:nvCxnSpPr>
        <xdr:cNvPr id="195" name="Straight Connector 19">
          <a:extLst>
            <a:ext uri="{FF2B5EF4-FFF2-40B4-BE49-F238E27FC236}">
              <a16:creationId xmlns:a16="http://schemas.microsoft.com/office/drawing/2014/main" id="{00000000-0008-0000-0300-00000A000000}"/>
            </a:ext>
          </a:extLst>
        </xdr:cNvPr>
        <xdr:cNvCxnSpPr/>
      </xdr:nvCxnSpPr>
      <xdr:spPr>
        <a:xfrm>
          <a:off x="12520448" y="32468058"/>
          <a:ext cx="6789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69</xdr:row>
      <xdr:rowOff>16565</xdr:rowOff>
    </xdr:from>
    <xdr:to>
      <xdr:col>16</xdr:col>
      <xdr:colOff>468820</xdr:colOff>
      <xdr:row>81</xdr:row>
      <xdr:rowOff>140805</xdr:rowOff>
    </xdr:to>
    <xdr:sp macro="" textlink="">
      <xdr:nvSpPr>
        <xdr:cNvPr id="23" name="TextBox 13">
          <a:extLst>
            <a:ext uri="{FF2B5EF4-FFF2-40B4-BE49-F238E27FC236}">
              <a16:creationId xmlns:a16="http://schemas.microsoft.com/office/drawing/2014/main" id="{00000000-0008-0000-0300-000017000000}"/>
            </a:ext>
          </a:extLst>
        </xdr:cNvPr>
        <xdr:cNvSpPr txBox="1"/>
      </xdr:nvSpPr>
      <xdr:spPr>
        <a:xfrm rot="16200000">
          <a:off x="10540365" y="34928810"/>
          <a:ext cx="656780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18</xdr:col>
      <xdr:colOff>220170</xdr:colOff>
      <xdr:row>75</xdr:row>
      <xdr:rowOff>526602</xdr:rowOff>
    </xdr:from>
    <xdr:to>
      <xdr:col>18</xdr:col>
      <xdr:colOff>315310</xdr:colOff>
      <xdr:row>75</xdr:row>
      <xdr:rowOff>526602</xdr:rowOff>
    </xdr:to>
    <xdr:cxnSp macro="">
      <xdr:nvCxnSpPr>
        <xdr:cNvPr id="202" name="Straight Connector 2">
          <a:extLst>
            <a:ext uri="{FF2B5EF4-FFF2-40B4-BE49-F238E27FC236}">
              <a16:creationId xmlns:a16="http://schemas.microsoft.com/office/drawing/2014/main" id="{00000000-0008-0000-0300-000019000000}"/>
            </a:ext>
          </a:extLst>
        </xdr:cNvPr>
        <xdr:cNvCxnSpPr/>
      </xdr:nvCxnSpPr>
      <xdr:spPr>
        <a:xfrm>
          <a:off x="12642084" y="37818619"/>
          <a:ext cx="951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131379</xdr:colOff>
      <xdr:row>79</xdr:row>
      <xdr:rowOff>199903</xdr:rowOff>
    </xdr:from>
    <xdr:to>
      <xdr:col>18</xdr:col>
      <xdr:colOff>200463</xdr:colOff>
      <xdr:row>79</xdr:row>
      <xdr:rowOff>199903</xdr:rowOff>
    </xdr:to>
    <xdr:cxnSp macro="">
      <xdr:nvCxnSpPr>
        <xdr:cNvPr id="212" name="Straight Connector 19">
          <a:extLst>
            <a:ext uri="{FF2B5EF4-FFF2-40B4-BE49-F238E27FC236}">
              <a16:creationId xmlns:a16="http://schemas.microsoft.com/office/drawing/2014/main" id="{DEBAC421-E417-41AB-A358-4BEFFDFD4EAD}"/>
            </a:ext>
          </a:extLst>
        </xdr:cNvPr>
        <xdr:cNvCxnSpPr/>
      </xdr:nvCxnSpPr>
      <xdr:spPr>
        <a:xfrm>
          <a:off x="12553293" y="39252403"/>
          <a:ext cx="6908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464749</xdr:colOff>
      <xdr:row>36</xdr:row>
      <xdr:rowOff>250786</xdr:rowOff>
    </xdr:from>
    <xdr:to>
      <xdr:col>16</xdr:col>
      <xdr:colOff>563217</xdr:colOff>
      <xdr:row>36</xdr:row>
      <xdr:rowOff>250786</xdr:rowOff>
    </xdr:to>
    <xdr:cxnSp macro="">
      <xdr:nvCxnSpPr>
        <xdr:cNvPr id="100" name="Straight Connector 37">
          <a:extLst>
            <a:ext uri="{FF2B5EF4-FFF2-40B4-BE49-F238E27FC236}">
              <a16:creationId xmlns:a16="http://schemas.microsoft.com/office/drawing/2014/main" id="{1F504FA9-404A-44C1-AC72-255A177F60AD}"/>
            </a:ext>
          </a:extLst>
        </xdr:cNvPr>
        <xdr:cNvCxnSpPr/>
      </xdr:nvCxnSpPr>
      <xdr:spPr>
        <a:xfrm>
          <a:off x="11629706" y="16343895"/>
          <a:ext cx="98468"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474187</xdr:colOff>
      <xdr:row>41</xdr:row>
      <xdr:rowOff>314396</xdr:rowOff>
    </xdr:from>
    <xdr:to>
      <xdr:col>16</xdr:col>
      <xdr:colOff>588065</xdr:colOff>
      <xdr:row>41</xdr:row>
      <xdr:rowOff>314396</xdr:rowOff>
    </xdr:to>
    <xdr:cxnSp macro="">
      <xdr:nvCxnSpPr>
        <xdr:cNvPr id="117" name="Straight Connector 22">
          <a:extLst>
            <a:ext uri="{FF2B5EF4-FFF2-40B4-BE49-F238E27FC236}">
              <a16:creationId xmlns:a16="http://schemas.microsoft.com/office/drawing/2014/main" id="{77AE5D6F-A3CA-4F78-8990-1D58578F946D}"/>
            </a:ext>
          </a:extLst>
        </xdr:cNvPr>
        <xdr:cNvCxnSpPr/>
      </xdr:nvCxnSpPr>
      <xdr:spPr>
        <a:xfrm>
          <a:off x="11639144" y="18751483"/>
          <a:ext cx="113878"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607739</xdr:colOff>
      <xdr:row>70</xdr:row>
      <xdr:rowOff>235030</xdr:rowOff>
    </xdr:from>
    <xdr:to>
      <xdr:col>16</xdr:col>
      <xdr:colOff>183932</xdr:colOff>
      <xdr:row>70</xdr:row>
      <xdr:rowOff>235030</xdr:rowOff>
    </xdr:to>
    <xdr:cxnSp macro="">
      <xdr:nvCxnSpPr>
        <xdr:cNvPr id="189" name="Straight Connector 2">
          <a:extLst>
            <a:ext uri="{FF2B5EF4-FFF2-40B4-BE49-F238E27FC236}">
              <a16:creationId xmlns:a16="http://schemas.microsoft.com/office/drawing/2014/main" id="{BF4DD16B-98D1-4182-9717-7636B7D8CC4A}"/>
            </a:ext>
          </a:extLst>
        </xdr:cNvPr>
        <xdr:cNvCxnSpPr/>
      </xdr:nvCxnSpPr>
      <xdr:spPr>
        <a:xfrm>
          <a:off x="11118084" y="33388599"/>
          <a:ext cx="21338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364687</xdr:colOff>
      <xdr:row>71</xdr:row>
      <xdr:rowOff>895101</xdr:rowOff>
    </xdr:from>
    <xdr:to>
      <xdr:col>16</xdr:col>
      <xdr:colOff>466397</xdr:colOff>
      <xdr:row>71</xdr:row>
      <xdr:rowOff>895101</xdr:rowOff>
    </xdr:to>
    <xdr:cxnSp macro="">
      <xdr:nvCxnSpPr>
        <xdr:cNvPr id="193" name="Straight Connector 2">
          <a:extLst>
            <a:ext uri="{FF2B5EF4-FFF2-40B4-BE49-F238E27FC236}">
              <a16:creationId xmlns:a16="http://schemas.microsoft.com/office/drawing/2014/main" id="{46AE417E-031A-4513-8D83-2AC2A24E381A}"/>
            </a:ext>
          </a:extLst>
        </xdr:cNvPr>
        <xdr:cNvCxnSpPr/>
      </xdr:nvCxnSpPr>
      <xdr:spPr>
        <a:xfrm>
          <a:off x="10875032" y="34488791"/>
          <a:ext cx="738899"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486103</xdr:colOff>
      <xdr:row>71</xdr:row>
      <xdr:rowOff>894215</xdr:rowOff>
    </xdr:from>
    <xdr:to>
      <xdr:col>19</xdr:col>
      <xdr:colOff>617483</xdr:colOff>
      <xdr:row>71</xdr:row>
      <xdr:rowOff>894215</xdr:rowOff>
    </xdr:to>
    <xdr:cxnSp macro="">
      <xdr:nvCxnSpPr>
        <xdr:cNvPr id="197" name="Straight Connector 19">
          <a:extLst>
            <a:ext uri="{FF2B5EF4-FFF2-40B4-BE49-F238E27FC236}">
              <a16:creationId xmlns:a16="http://schemas.microsoft.com/office/drawing/2014/main" id="{0305EF5D-7351-47EF-987D-84ECCFB1DD27}"/>
            </a:ext>
          </a:extLst>
        </xdr:cNvPr>
        <xdr:cNvCxnSpPr/>
      </xdr:nvCxnSpPr>
      <xdr:spPr>
        <a:xfrm>
          <a:off x="11633637" y="34487905"/>
          <a:ext cx="2042949"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124810</xdr:colOff>
      <xdr:row>89</xdr:row>
      <xdr:rowOff>211511</xdr:rowOff>
    </xdr:from>
    <xdr:to>
      <xdr:col>20</xdr:col>
      <xdr:colOff>302</xdr:colOff>
      <xdr:row>89</xdr:row>
      <xdr:rowOff>211511</xdr:rowOff>
    </xdr:to>
    <xdr:cxnSp macro="">
      <xdr:nvCxnSpPr>
        <xdr:cNvPr id="234" name="Straight Connector 2">
          <a:extLst>
            <a:ext uri="{FF2B5EF4-FFF2-40B4-BE49-F238E27FC236}">
              <a16:creationId xmlns:a16="http://schemas.microsoft.com/office/drawing/2014/main" id="{695C13DB-1B67-45A9-BBC7-FF1530C2C320}"/>
            </a:ext>
          </a:extLst>
        </xdr:cNvPr>
        <xdr:cNvCxnSpPr/>
      </xdr:nvCxnSpPr>
      <xdr:spPr>
        <a:xfrm>
          <a:off x="12546724" y="42325149"/>
          <a:ext cx="1149871"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387569</xdr:colOff>
      <xdr:row>90</xdr:row>
      <xdr:rowOff>201548</xdr:rowOff>
    </xdr:from>
    <xdr:to>
      <xdr:col>19</xdr:col>
      <xdr:colOff>630705</xdr:colOff>
      <xdr:row>90</xdr:row>
      <xdr:rowOff>201548</xdr:rowOff>
    </xdr:to>
    <xdr:cxnSp macro="">
      <xdr:nvCxnSpPr>
        <xdr:cNvPr id="239" name="Straight Connector 2">
          <a:extLst>
            <a:ext uri="{FF2B5EF4-FFF2-40B4-BE49-F238E27FC236}">
              <a16:creationId xmlns:a16="http://schemas.microsoft.com/office/drawing/2014/main" id="{AB602792-158C-47AB-AE31-BC27552B6481}"/>
            </a:ext>
          </a:extLst>
        </xdr:cNvPr>
        <xdr:cNvCxnSpPr/>
      </xdr:nvCxnSpPr>
      <xdr:spPr>
        <a:xfrm>
          <a:off x="12809483" y="42676479"/>
          <a:ext cx="8803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545224</xdr:colOff>
      <xdr:row>91</xdr:row>
      <xdr:rowOff>211511</xdr:rowOff>
    </xdr:from>
    <xdr:to>
      <xdr:col>20</xdr:col>
      <xdr:colOff>6653</xdr:colOff>
      <xdr:row>91</xdr:row>
      <xdr:rowOff>211511</xdr:rowOff>
    </xdr:to>
    <xdr:cxnSp macro="">
      <xdr:nvCxnSpPr>
        <xdr:cNvPr id="241" name="Straight Connector 2">
          <a:extLst>
            <a:ext uri="{FF2B5EF4-FFF2-40B4-BE49-F238E27FC236}">
              <a16:creationId xmlns:a16="http://schemas.microsoft.com/office/drawing/2014/main" id="{DDBD9CD7-4909-4223-892F-D224049BF4FD}"/>
            </a:ext>
          </a:extLst>
        </xdr:cNvPr>
        <xdr:cNvCxnSpPr/>
      </xdr:nvCxnSpPr>
      <xdr:spPr>
        <a:xfrm>
          <a:off x="12967138" y="43047735"/>
          <a:ext cx="735808"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3122</xdr:colOff>
      <xdr:row>1</xdr:row>
      <xdr:rowOff>15240</xdr:rowOff>
    </xdr:from>
    <xdr:to>
      <xdr:col>19</xdr:col>
      <xdr:colOff>3122</xdr:colOff>
      <xdr:row>87</xdr:row>
      <xdr:rowOff>336176</xdr:rowOff>
    </xdr:to>
    <xdr:cxnSp macro="">
      <xdr:nvCxnSpPr>
        <xdr:cNvPr id="3" name="Straight Connector 27">
          <a:extLst>
            <a:ext uri="{FF2B5EF4-FFF2-40B4-BE49-F238E27FC236}">
              <a16:creationId xmlns:a16="http://schemas.microsoft.com/office/drawing/2014/main" id="{00000000-0008-0000-0700-000003000000}"/>
            </a:ext>
          </a:extLst>
        </xdr:cNvPr>
        <xdr:cNvCxnSpPr/>
      </xdr:nvCxnSpPr>
      <xdr:spPr>
        <a:xfrm>
          <a:off x="18861405" y="84455"/>
          <a:ext cx="0" cy="3915156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597647</xdr:colOff>
      <xdr:row>55</xdr:row>
      <xdr:rowOff>216647</xdr:rowOff>
    </xdr:from>
    <xdr:to>
      <xdr:col>16</xdr:col>
      <xdr:colOff>484371</xdr:colOff>
      <xdr:row>55</xdr:row>
      <xdr:rowOff>218498</xdr:rowOff>
    </xdr:to>
    <xdr:cxnSp macro="">
      <xdr:nvCxnSpPr>
        <xdr:cNvPr id="4" name="Straight Connector 2">
          <a:extLst>
            <a:ext uri="{FF2B5EF4-FFF2-40B4-BE49-F238E27FC236}">
              <a16:creationId xmlns:a16="http://schemas.microsoft.com/office/drawing/2014/main" id="{00000000-0008-0000-0700-000004000000}"/>
            </a:ext>
          </a:extLst>
        </xdr:cNvPr>
        <xdr:cNvCxnSpPr/>
      </xdr:nvCxnSpPr>
      <xdr:spPr>
        <a:xfrm>
          <a:off x="10309412" y="25781000"/>
          <a:ext cx="521724" cy="1851"/>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487699</xdr:colOff>
      <xdr:row>55</xdr:row>
      <xdr:rowOff>221006</xdr:rowOff>
    </xdr:from>
    <xdr:to>
      <xdr:col>18</xdr:col>
      <xdr:colOff>239059</xdr:colOff>
      <xdr:row>55</xdr:row>
      <xdr:rowOff>224118</xdr:rowOff>
    </xdr:to>
    <xdr:cxnSp macro="">
      <xdr:nvCxnSpPr>
        <xdr:cNvPr id="5" name="Straight Connector 19">
          <a:extLst>
            <a:ext uri="{FF2B5EF4-FFF2-40B4-BE49-F238E27FC236}">
              <a16:creationId xmlns:a16="http://schemas.microsoft.com/office/drawing/2014/main" id="{00000000-0008-0000-0700-000005000000}"/>
            </a:ext>
          </a:extLst>
        </xdr:cNvPr>
        <xdr:cNvCxnSpPr/>
      </xdr:nvCxnSpPr>
      <xdr:spPr>
        <a:xfrm>
          <a:off x="10834464" y="25785359"/>
          <a:ext cx="1021360" cy="3112"/>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532087</xdr:colOff>
      <xdr:row>2</xdr:row>
      <xdr:rowOff>282841</xdr:rowOff>
    </xdr:from>
    <xdr:to>
      <xdr:col>14</xdr:col>
      <xdr:colOff>505811</xdr:colOff>
      <xdr:row>2</xdr:row>
      <xdr:rowOff>282841</xdr:rowOff>
    </xdr:to>
    <xdr:cxnSp macro="">
      <xdr:nvCxnSpPr>
        <xdr:cNvPr id="6" name="Straight Connector 1">
          <a:extLst>
            <a:ext uri="{FF2B5EF4-FFF2-40B4-BE49-F238E27FC236}">
              <a16:creationId xmlns:a16="http://schemas.microsoft.com/office/drawing/2014/main" id="{00000000-0008-0000-0700-000006000000}"/>
            </a:ext>
          </a:extLst>
        </xdr:cNvPr>
        <xdr:cNvCxnSpPr/>
      </xdr:nvCxnSpPr>
      <xdr:spPr>
        <a:xfrm>
          <a:off x="15454630" y="374015"/>
          <a:ext cx="6299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567715</xdr:colOff>
      <xdr:row>53</xdr:row>
      <xdr:rowOff>306951</xdr:rowOff>
    </xdr:from>
    <xdr:to>
      <xdr:col>16</xdr:col>
      <xdr:colOff>372461</xdr:colOff>
      <xdr:row>53</xdr:row>
      <xdr:rowOff>306986</xdr:rowOff>
    </xdr:to>
    <xdr:cxnSp macro="">
      <xdr:nvCxnSpPr>
        <xdr:cNvPr id="7" name="Straight Connector 2">
          <a:extLst>
            <a:ext uri="{FF2B5EF4-FFF2-40B4-BE49-F238E27FC236}">
              <a16:creationId xmlns:a16="http://schemas.microsoft.com/office/drawing/2014/main" id="{00000000-0008-0000-0700-000007000000}"/>
            </a:ext>
          </a:extLst>
        </xdr:cNvPr>
        <xdr:cNvCxnSpPr/>
      </xdr:nvCxnSpPr>
      <xdr:spPr>
        <a:xfrm flipV="1">
          <a:off x="10273543" y="24600958"/>
          <a:ext cx="439746" cy="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42951</xdr:colOff>
      <xdr:row>2</xdr:row>
      <xdr:rowOff>434069</xdr:rowOff>
    </xdr:from>
    <xdr:to>
      <xdr:col>12</xdr:col>
      <xdr:colOff>42951</xdr:colOff>
      <xdr:row>76</xdr:row>
      <xdr:rowOff>0</xdr:rowOff>
    </xdr:to>
    <xdr:cxnSp macro="">
      <xdr:nvCxnSpPr>
        <xdr:cNvPr id="8" name="Straight Connector 5">
          <a:extLst>
            <a:ext uri="{FF2B5EF4-FFF2-40B4-BE49-F238E27FC236}">
              <a16:creationId xmlns:a16="http://schemas.microsoft.com/office/drawing/2014/main" id="{00000000-0008-0000-0700-000008000000}"/>
            </a:ext>
          </a:extLst>
        </xdr:cNvPr>
        <xdr:cNvCxnSpPr/>
      </xdr:nvCxnSpPr>
      <xdr:spPr>
        <a:xfrm>
          <a:off x="14904085" y="374015"/>
          <a:ext cx="0" cy="3499104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1</xdr:row>
      <xdr:rowOff>15421</xdr:rowOff>
    </xdr:from>
    <xdr:to>
      <xdr:col>14</xdr:col>
      <xdr:colOff>0</xdr:colOff>
      <xdr:row>87</xdr:row>
      <xdr:rowOff>302559</xdr:rowOff>
    </xdr:to>
    <xdr:cxnSp macro="">
      <xdr:nvCxnSpPr>
        <xdr:cNvPr id="9" name="Straight Connector 6">
          <a:extLst>
            <a:ext uri="{FF2B5EF4-FFF2-40B4-BE49-F238E27FC236}">
              <a16:creationId xmlns:a16="http://schemas.microsoft.com/office/drawing/2014/main" id="{00000000-0008-0000-0700-000009000000}"/>
            </a:ext>
          </a:extLst>
        </xdr:cNvPr>
        <xdr:cNvCxnSpPr/>
      </xdr:nvCxnSpPr>
      <xdr:spPr>
        <a:xfrm>
          <a:off x="15579090" y="84455"/>
          <a:ext cx="0" cy="3911790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672</xdr:colOff>
      <xdr:row>1</xdr:row>
      <xdr:rowOff>15240</xdr:rowOff>
    </xdr:from>
    <xdr:to>
      <xdr:col>15</xdr:col>
      <xdr:colOff>672</xdr:colOff>
      <xdr:row>87</xdr:row>
      <xdr:rowOff>336176</xdr:rowOff>
    </xdr:to>
    <xdr:cxnSp macro="">
      <xdr:nvCxnSpPr>
        <xdr:cNvPr id="10" name="Straight Connector 7">
          <a:extLst>
            <a:ext uri="{FF2B5EF4-FFF2-40B4-BE49-F238E27FC236}">
              <a16:creationId xmlns:a16="http://schemas.microsoft.com/office/drawing/2014/main" id="{00000000-0008-0000-0700-00000A000000}"/>
            </a:ext>
          </a:extLst>
        </xdr:cNvPr>
        <xdr:cNvCxnSpPr/>
      </xdr:nvCxnSpPr>
      <xdr:spPr>
        <a:xfrm>
          <a:off x="16235680" y="84455"/>
          <a:ext cx="0" cy="3915156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3842</xdr:colOff>
      <xdr:row>1</xdr:row>
      <xdr:rowOff>19050</xdr:rowOff>
    </xdr:from>
    <xdr:to>
      <xdr:col>16</xdr:col>
      <xdr:colOff>3842</xdr:colOff>
      <xdr:row>88</xdr:row>
      <xdr:rowOff>0</xdr:rowOff>
    </xdr:to>
    <xdr:cxnSp macro="">
      <xdr:nvCxnSpPr>
        <xdr:cNvPr id="11" name="Straight Connector 8">
          <a:extLst>
            <a:ext uri="{FF2B5EF4-FFF2-40B4-BE49-F238E27FC236}">
              <a16:creationId xmlns:a16="http://schemas.microsoft.com/office/drawing/2014/main" id="{00000000-0008-0000-0700-00000B000000}"/>
            </a:ext>
          </a:extLst>
        </xdr:cNvPr>
        <xdr:cNvCxnSpPr/>
      </xdr:nvCxnSpPr>
      <xdr:spPr>
        <a:xfrm>
          <a:off x="16894810" y="88265"/>
          <a:ext cx="0" cy="3920236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0</xdr:colOff>
      <xdr:row>1</xdr:row>
      <xdr:rowOff>19050</xdr:rowOff>
    </xdr:from>
    <xdr:to>
      <xdr:col>17</xdr:col>
      <xdr:colOff>0</xdr:colOff>
      <xdr:row>88</xdr:row>
      <xdr:rowOff>0</xdr:rowOff>
    </xdr:to>
    <xdr:cxnSp macro="">
      <xdr:nvCxnSpPr>
        <xdr:cNvPr id="12" name="Straight Connector 9">
          <a:extLst>
            <a:ext uri="{FF2B5EF4-FFF2-40B4-BE49-F238E27FC236}">
              <a16:creationId xmlns:a16="http://schemas.microsoft.com/office/drawing/2014/main" id="{00000000-0008-0000-0700-00000C000000}"/>
            </a:ext>
          </a:extLst>
        </xdr:cNvPr>
        <xdr:cNvCxnSpPr/>
      </xdr:nvCxnSpPr>
      <xdr:spPr>
        <a:xfrm>
          <a:off x="17546955" y="88265"/>
          <a:ext cx="0" cy="3922458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1</xdr:row>
      <xdr:rowOff>19050</xdr:rowOff>
    </xdr:from>
    <xdr:to>
      <xdr:col>18</xdr:col>
      <xdr:colOff>0</xdr:colOff>
      <xdr:row>87</xdr:row>
      <xdr:rowOff>347382</xdr:rowOff>
    </xdr:to>
    <xdr:cxnSp macro="">
      <xdr:nvCxnSpPr>
        <xdr:cNvPr id="13" name="Straight Connector 10">
          <a:extLst>
            <a:ext uri="{FF2B5EF4-FFF2-40B4-BE49-F238E27FC236}">
              <a16:creationId xmlns:a16="http://schemas.microsoft.com/office/drawing/2014/main" id="{00000000-0008-0000-0700-00000D000000}"/>
            </a:ext>
          </a:extLst>
        </xdr:cNvPr>
        <xdr:cNvCxnSpPr/>
      </xdr:nvCxnSpPr>
      <xdr:spPr>
        <a:xfrm>
          <a:off x="18202910" y="88265"/>
          <a:ext cx="0" cy="3915918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479102</xdr:colOff>
      <xdr:row>1</xdr:row>
      <xdr:rowOff>0</xdr:rowOff>
    </xdr:from>
    <xdr:to>
      <xdr:col>16</xdr:col>
      <xdr:colOff>479102</xdr:colOff>
      <xdr:row>88</xdr:row>
      <xdr:rowOff>0</xdr:rowOff>
    </xdr:to>
    <xdr:cxnSp macro="">
      <xdr:nvCxnSpPr>
        <xdr:cNvPr id="14" name="Straight Connector 10">
          <a:extLst>
            <a:ext uri="{FF2B5EF4-FFF2-40B4-BE49-F238E27FC236}">
              <a16:creationId xmlns:a16="http://schemas.microsoft.com/office/drawing/2014/main" id="{00000000-0008-0000-0700-00000E000000}"/>
            </a:ext>
          </a:extLst>
        </xdr:cNvPr>
        <xdr:cNvCxnSpPr/>
      </xdr:nvCxnSpPr>
      <xdr:spPr>
        <a:xfrm>
          <a:off x="17369790" y="69215"/>
          <a:ext cx="0" cy="39583360"/>
        </a:xfrm>
        <a:prstGeom prst="line">
          <a:avLst/>
        </a:prstGeom>
        <a:ln w="1905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68</xdr:row>
      <xdr:rowOff>16565</xdr:rowOff>
    </xdr:from>
    <xdr:to>
      <xdr:col>16</xdr:col>
      <xdr:colOff>468820</xdr:colOff>
      <xdr:row>80</xdr:row>
      <xdr:rowOff>140805</xdr:rowOff>
    </xdr:to>
    <xdr:sp macro="" textlink="">
      <xdr:nvSpPr>
        <xdr:cNvPr id="15" name="TextBox 13">
          <a:extLst>
            <a:ext uri="{FF2B5EF4-FFF2-40B4-BE49-F238E27FC236}">
              <a16:creationId xmlns:a16="http://schemas.microsoft.com/office/drawing/2014/main" id="{00000000-0008-0000-0700-00000F000000}"/>
            </a:ext>
          </a:extLst>
        </xdr:cNvPr>
        <xdr:cNvSpPr txBox="1"/>
      </xdr:nvSpPr>
      <xdr:spPr>
        <a:xfrm rot="16200000">
          <a:off x="14888845" y="34192845"/>
          <a:ext cx="474662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14</xdr:col>
      <xdr:colOff>84701</xdr:colOff>
      <xdr:row>4</xdr:row>
      <xdr:rowOff>312989</xdr:rowOff>
    </xdr:from>
    <xdr:to>
      <xdr:col>14</xdr:col>
      <xdr:colOff>512329</xdr:colOff>
      <xdr:row>4</xdr:row>
      <xdr:rowOff>317500</xdr:rowOff>
    </xdr:to>
    <xdr:cxnSp macro="">
      <xdr:nvCxnSpPr>
        <xdr:cNvPr id="56" name="Straight Connector 15">
          <a:extLst>
            <a:ext uri="{FF2B5EF4-FFF2-40B4-BE49-F238E27FC236}">
              <a16:creationId xmlns:a16="http://schemas.microsoft.com/office/drawing/2014/main" id="{00000000-0008-0000-0700-000010000000}"/>
            </a:ext>
          </a:extLst>
        </xdr:cNvPr>
        <xdr:cNvCxnSpPr/>
      </xdr:nvCxnSpPr>
      <xdr:spPr>
        <a:xfrm>
          <a:off x="15259758" y="688216"/>
          <a:ext cx="427628" cy="4511"/>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2103</xdr:colOff>
      <xdr:row>5</xdr:row>
      <xdr:rowOff>273100</xdr:rowOff>
    </xdr:from>
    <xdr:to>
      <xdr:col>15</xdr:col>
      <xdr:colOff>512329</xdr:colOff>
      <xdr:row>5</xdr:row>
      <xdr:rowOff>274205</xdr:rowOff>
    </xdr:to>
    <xdr:cxnSp macro="">
      <xdr:nvCxnSpPr>
        <xdr:cNvPr id="59" name="Straight Connector 16">
          <a:extLst>
            <a:ext uri="{FF2B5EF4-FFF2-40B4-BE49-F238E27FC236}">
              <a16:creationId xmlns:a16="http://schemas.microsoft.com/office/drawing/2014/main" id="{00000000-0008-0000-0700-000011000000}"/>
            </a:ext>
          </a:extLst>
        </xdr:cNvPr>
        <xdr:cNvCxnSpPr/>
      </xdr:nvCxnSpPr>
      <xdr:spPr>
        <a:xfrm>
          <a:off x="15812160" y="1218384"/>
          <a:ext cx="510226" cy="110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479835</xdr:colOff>
      <xdr:row>11</xdr:row>
      <xdr:rowOff>287399</xdr:rowOff>
    </xdr:from>
    <xdr:to>
      <xdr:col>15</xdr:col>
      <xdr:colOff>0</xdr:colOff>
      <xdr:row>11</xdr:row>
      <xdr:rowOff>287399</xdr:rowOff>
    </xdr:to>
    <xdr:cxnSp macro="">
      <xdr:nvCxnSpPr>
        <xdr:cNvPr id="76" name="Straight Connector 17">
          <a:extLst>
            <a:ext uri="{FF2B5EF4-FFF2-40B4-BE49-F238E27FC236}">
              <a16:creationId xmlns:a16="http://schemas.microsoft.com/office/drawing/2014/main" id="{00000000-0008-0000-0700-000012000000}"/>
            </a:ext>
          </a:extLst>
        </xdr:cNvPr>
        <xdr:cNvCxnSpPr/>
      </xdr:nvCxnSpPr>
      <xdr:spPr>
        <a:xfrm>
          <a:off x="15657767" y="4159467"/>
          <a:ext cx="1551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578886</xdr:colOff>
      <xdr:row>17</xdr:row>
      <xdr:rowOff>305360</xdr:rowOff>
    </xdr:from>
    <xdr:to>
      <xdr:col>15</xdr:col>
      <xdr:colOff>484733</xdr:colOff>
      <xdr:row>17</xdr:row>
      <xdr:rowOff>305382</xdr:rowOff>
    </xdr:to>
    <xdr:cxnSp macro="">
      <xdr:nvCxnSpPr>
        <xdr:cNvPr id="99" name="Straight Connector 18">
          <a:extLst>
            <a:ext uri="{FF2B5EF4-FFF2-40B4-BE49-F238E27FC236}">
              <a16:creationId xmlns:a16="http://schemas.microsoft.com/office/drawing/2014/main" id="{00000000-0008-0000-0700-000013000000}"/>
            </a:ext>
          </a:extLst>
        </xdr:cNvPr>
        <xdr:cNvCxnSpPr/>
      </xdr:nvCxnSpPr>
      <xdr:spPr>
        <a:xfrm>
          <a:off x="15741329" y="7086772"/>
          <a:ext cx="540847" cy="22"/>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555078</xdr:colOff>
      <xdr:row>23</xdr:row>
      <xdr:rowOff>297591</xdr:rowOff>
    </xdr:from>
    <xdr:to>
      <xdr:col>16</xdr:col>
      <xdr:colOff>80595</xdr:colOff>
      <xdr:row>23</xdr:row>
      <xdr:rowOff>297591</xdr:rowOff>
    </xdr:to>
    <xdr:cxnSp macro="">
      <xdr:nvCxnSpPr>
        <xdr:cNvPr id="110" name="Straight Connector 19">
          <a:extLst>
            <a:ext uri="{FF2B5EF4-FFF2-40B4-BE49-F238E27FC236}">
              <a16:creationId xmlns:a16="http://schemas.microsoft.com/office/drawing/2014/main" id="{00000000-0008-0000-0700-000014000000}"/>
            </a:ext>
          </a:extLst>
        </xdr:cNvPr>
        <xdr:cNvCxnSpPr/>
      </xdr:nvCxnSpPr>
      <xdr:spPr>
        <a:xfrm>
          <a:off x="14916799" y="10016390"/>
          <a:ext cx="16051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127880</xdr:colOff>
      <xdr:row>29</xdr:row>
      <xdr:rowOff>286854</xdr:rowOff>
    </xdr:from>
    <xdr:to>
      <xdr:col>16</xdr:col>
      <xdr:colOff>290302</xdr:colOff>
      <xdr:row>29</xdr:row>
      <xdr:rowOff>286854</xdr:rowOff>
    </xdr:to>
    <xdr:cxnSp macro="">
      <xdr:nvCxnSpPr>
        <xdr:cNvPr id="125" name="Straight Connector 20">
          <a:extLst>
            <a:ext uri="{FF2B5EF4-FFF2-40B4-BE49-F238E27FC236}">
              <a16:creationId xmlns:a16="http://schemas.microsoft.com/office/drawing/2014/main" id="{00000000-0008-0000-0700-000015000000}"/>
            </a:ext>
          </a:extLst>
        </xdr:cNvPr>
        <xdr:cNvCxnSpPr/>
      </xdr:nvCxnSpPr>
      <xdr:spPr>
        <a:xfrm>
          <a:off x="15131198" y="12894490"/>
          <a:ext cx="16242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250100</xdr:colOff>
      <xdr:row>35</xdr:row>
      <xdr:rowOff>306880</xdr:rowOff>
    </xdr:from>
    <xdr:to>
      <xdr:col>16</xdr:col>
      <xdr:colOff>410436</xdr:colOff>
      <xdr:row>35</xdr:row>
      <xdr:rowOff>306880</xdr:rowOff>
    </xdr:to>
    <xdr:cxnSp macro="">
      <xdr:nvCxnSpPr>
        <xdr:cNvPr id="139" name="Straight Connector 21">
          <a:extLst>
            <a:ext uri="{FF2B5EF4-FFF2-40B4-BE49-F238E27FC236}">
              <a16:creationId xmlns:a16="http://schemas.microsoft.com/office/drawing/2014/main" id="{00000000-0008-0000-0700-000016000000}"/>
            </a:ext>
          </a:extLst>
        </xdr:cNvPr>
        <xdr:cNvCxnSpPr/>
      </xdr:nvCxnSpPr>
      <xdr:spPr>
        <a:xfrm>
          <a:off x="10583282" y="15866600"/>
          <a:ext cx="160336"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351734</xdr:colOff>
      <xdr:row>41</xdr:row>
      <xdr:rowOff>301225</xdr:rowOff>
    </xdr:from>
    <xdr:to>
      <xdr:col>16</xdr:col>
      <xdr:colOff>470683</xdr:colOff>
      <xdr:row>41</xdr:row>
      <xdr:rowOff>302754</xdr:rowOff>
    </xdr:to>
    <xdr:cxnSp macro="">
      <xdr:nvCxnSpPr>
        <xdr:cNvPr id="163" name="Straight Connector 22">
          <a:extLst>
            <a:ext uri="{FF2B5EF4-FFF2-40B4-BE49-F238E27FC236}">
              <a16:creationId xmlns:a16="http://schemas.microsoft.com/office/drawing/2014/main" id="{00000000-0008-0000-0700-000017000000}"/>
            </a:ext>
          </a:extLst>
        </xdr:cNvPr>
        <xdr:cNvCxnSpPr/>
      </xdr:nvCxnSpPr>
      <xdr:spPr>
        <a:xfrm>
          <a:off x="10690164" y="18754710"/>
          <a:ext cx="118949" cy="1529"/>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3427</xdr:colOff>
      <xdr:row>74</xdr:row>
      <xdr:rowOff>237567</xdr:rowOff>
    </xdr:from>
    <xdr:to>
      <xdr:col>15</xdr:col>
      <xdr:colOff>491133</xdr:colOff>
      <xdr:row>74</xdr:row>
      <xdr:rowOff>238125</xdr:rowOff>
    </xdr:to>
    <xdr:cxnSp macro="">
      <xdr:nvCxnSpPr>
        <xdr:cNvPr id="25" name="Straight Connector 2">
          <a:extLst>
            <a:ext uri="{FF2B5EF4-FFF2-40B4-BE49-F238E27FC236}">
              <a16:creationId xmlns:a16="http://schemas.microsoft.com/office/drawing/2014/main" id="{00000000-0008-0000-0700-000019000000}"/>
            </a:ext>
          </a:extLst>
        </xdr:cNvPr>
        <xdr:cNvCxnSpPr/>
      </xdr:nvCxnSpPr>
      <xdr:spPr>
        <a:xfrm>
          <a:off x="9707021" y="35703309"/>
          <a:ext cx="487706" cy="558"/>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296926</xdr:colOff>
      <xdr:row>65</xdr:row>
      <xdr:rowOff>177734</xdr:rowOff>
    </xdr:from>
    <xdr:to>
      <xdr:col>17</xdr:col>
      <xdr:colOff>419100</xdr:colOff>
      <xdr:row>65</xdr:row>
      <xdr:rowOff>177734</xdr:rowOff>
    </xdr:to>
    <xdr:cxnSp macro="">
      <xdr:nvCxnSpPr>
        <xdr:cNvPr id="26" name="Straight Connector 19">
          <a:extLst>
            <a:ext uri="{FF2B5EF4-FFF2-40B4-BE49-F238E27FC236}">
              <a16:creationId xmlns:a16="http://schemas.microsoft.com/office/drawing/2014/main" id="{00000000-0008-0000-0700-00001A000000}"/>
            </a:ext>
          </a:extLst>
        </xdr:cNvPr>
        <xdr:cNvCxnSpPr/>
      </xdr:nvCxnSpPr>
      <xdr:spPr>
        <a:xfrm>
          <a:off x="17843500" y="30243145"/>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405785</xdr:colOff>
      <xdr:row>66</xdr:row>
      <xdr:rowOff>193261</xdr:rowOff>
    </xdr:from>
    <xdr:to>
      <xdr:col>18</xdr:col>
      <xdr:colOff>45177</xdr:colOff>
      <xdr:row>66</xdr:row>
      <xdr:rowOff>194063</xdr:rowOff>
    </xdr:to>
    <xdr:cxnSp macro="">
      <xdr:nvCxnSpPr>
        <xdr:cNvPr id="27" name="Straight Connector 19">
          <a:extLst>
            <a:ext uri="{FF2B5EF4-FFF2-40B4-BE49-F238E27FC236}">
              <a16:creationId xmlns:a16="http://schemas.microsoft.com/office/drawing/2014/main" id="{00000000-0008-0000-0700-00001B000000}"/>
            </a:ext>
          </a:extLst>
        </xdr:cNvPr>
        <xdr:cNvCxnSpPr/>
      </xdr:nvCxnSpPr>
      <xdr:spPr>
        <a:xfrm flipV="1">
          <a:off x="11378987" y="33140474"/>
          <a:ext cx="274392" cy="802"/>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57449</xdr:colOff>
      <xdr:row>67</xdr:row>
      <xdr:rowOff>199506</xdr:rowOff>
    </xdr:from>
    <xdr:to>
      <xdr:col>18</xdr:col>
      <xdr:colOff>179623</xdr:colOff>
      <xdr:row>67</xdr:row>
      <xdr:rowOff>199506</xdr:rowOff>
    </xdr:to>
    <xdr:cxnSp macro="">
      <xdr:nvCxnSpPr>
        <xdr:cNvPr id="30" name="Straight Connector 19">
          <a:extLst>
            <a:ext uri="{FF2B5EF4-FFF2-40B4-BE49-F238E27FC236}">
              <a16:creationId xmlns:a16="http://schemas.microsoft.com/office/drawing/2014/main" id="{00000000-0008-0000-0700-00001E000000}"/>
            </a:ext>
          </a:extLst>
        </xdr:cNvPr>
        <xdr:cNvCxnSpPr/>
      </xdr:nvCxnSpPr>
      <xdr:spPr>
        <a:xfrm>
          <a:off x="18260060" y="3173349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191884</xdr:colOff>
      <xdr:row>68</xdr:row>
      <xdr:rowOff>197819</xdr:rowOff>
    </xdr:from>
    <xdr:to>
      <xdr:col>18</xdr:col>
      <xdr:colOff>239250</xdr:colOff>
      <xdr:row>68</xdr:row>
      <xdr:rowOff>199506</xdr:rowOff>
    </xdr:to>
    <xdr:cxnSp macro="">
      <xdr:nvCxnSpPr>
        <xdr:cNvPr id="31" name="Straight Connector 19">
          <a:extLst>
            <a:ext uri="{FF2B5EF4-FFF2-40B4-BE49-F238E27FC236}">
              <a16:creationId xmlns:a16="http://schemas.microsoft.com/office/drawing/2014/main" id="{00000000-0008-0000-0700-00001F000000}"/>
            </a:ext>
          </a:extLst>
        </xdr:cNvPr>
        <xdr:cNvCxnSpPr/>
      </xdr:nvCxnSpPr>
      <xdr:spPr>
        <a:xfrm>
          <a:off x="11801900" y="33833037"/>
          <a:ext cx="47366" cy="168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361078</xdr:colOff>
      <xdr:row>7</xdr:row>
      <xdr:rowOff>289427</xdr:rowOff>
    </xdr:from>
    <xdr:to>
      <xdr:col>16</xdr:col>
      <xdr:colOff>455087</xdr:colOff>
      <xdr:row>7</xdr:row>
      <xdr:rowOff>290523</xdr:rowOff>
    </xdr:to>
    <xdr:cxnSp macro="">
      <xdr:nvCxnSpPr>
        <xdr:cNvPr id="50" name="Straight Connector 32">
          <a:extLst>
            <a:ext uri="{FF2B5EF4-FFF2-40B4-BE49-F238E27FC236}">
              <a16:creationId xmlns:a16="http://schemas.microsoft.com/office/drawing/2014/main" id="{00000000-0008-0000-0700-000021000000}"/>
            </a:ext>
          </a:extLst>
        </xdr:cNvPr>
        <xdr:cNvCxnSpPr/>
      </xdr:nvCxnSpPr>
      <xdr:spPr>
        <a:xfrm flipV="1">
          <a:off x="16804673" y="2381192"/>
          <a:ext cx="94009" cy="1096"/>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370114</xdr:colOff>
      <xdr:row>12</xdr:row>
      <xdr:rowOff>294747</xdr:rowOff>
    </xdr:from>
    <xdr:to>
      <xdr:col>14</xdr:col>
      <xdr:colOff>515336</xdr:colOff>
      <xdr:row>12</xdr:row>
      <xdr:rowOff>294747</xdr:rowOff>
    </xdr:to>
    <xdr:cxnSp macro="">
      <xdr:nvCxnSpPr>
        <xdr:cNvPr id="84" name="Straight Connector 33">
          <a:extLst>
            <a:ext uri="{FF2B5EF4-FFF2-40B4-BE49-F238E27FC236}">
              <a16:creationId xmlns:a16="http://schemas.microsoft.com/office/drawing/2014/main" id="{00000000-0008-0000-0700-000022000000}"/>
            </a:ext>
          </a:extLst>
        </xdr:cNvPr>
        <xdr:cNvCxnSpPr/>
      </xdr:nvCxnSpPr>
      <xdr:spPr>
        <a:xfrm>
          <a:off x="15948660" y="4726305"/>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45343</xdr:colOff>
      <xdr:row>18</xdr:row>
      <xdr:rowOff>265663</xdr:rowOff>
    </xdr:from>
    <xdr:to>
      <xdr:col>16</xdr:col>
      <xdr:colOff>190565</xdr:colOff>
      <xdr:row>18</xdr:row>
      <xdr:rowOff>265663</xdr:rowOff>
    </xdr:to>
    <xdr:cxnSp macro="">
      <xdr:nvCxnSpPr>
        <xdr:cNvPr id="100" name="Straight Connector 34">
          <a:extLst>
            <a:ext uri="{FF2B5EF4-FFF2-40B4-BE49-F238E27FC236}">
              <a16:creationId xmlns:a16="http://schemas.microsoft.com/office/drawing/2014/main" id="{00000000-0008-0000-0700-000023000000}"/>
            </a:ext>
          </a:extLst>
        </xdr:cNvPr>
        <xdr:cNvCxnSpPr/>
      </xdr:nvCxnSpPr>
      <xdr:spPr>
        <a:xfrm>
          <a:off x="16477786" y="7619060"/>
          <a:ext cx="14522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180439</xdr:colOff>
      <xdr:row>24</xdr:row>
      <xdr:rowOff>290623</xdr:rowOff>
    </xdr:from>
    <xdr:to>
      <xdr:col>15</xdr:col>
      <xdr:colOff>325661</xdr:colOff>
      <xdr:row>24</xdr:row>
      <xdr:rowOff>290623</xdr:rowOff>
    </xdr:to>
    <xdr:cxnSp macro="">
      <xdr:nvCxnSpPr>
        <xdr:cNvPr id="111" name="Straight Connector 35">
          <a:extLst>
            <a:ext uri="{FF2B5EF4-FFF2-40B4-BE49-F238E27FC236}">
              <a16:creationId xmlns:a16="http://schemas.microsoft.com/office/drawing/2014/main" id="{00000000-0008-0000-0700-000024000000}"/>
            </a:ext>
          </a:extLst>
        </xdr:cNvPr>
        <xdr:cNvCxnSpPr/>
      </xdr:nvCxnSpPr>
      <xdr:spPr>
        <a:xfrm>
          <a:off x="14542160" y="10582571"/>
          <a:ext cx="14522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283523</xdr:colOff>
      <xdr:row>30</xdr:row>
      <xdr:rowOff>260110</xdr:rowOff>
    </xdr:from>
    <xdr:to>
      <xdr:col>16</xdr:col>
      <xdr:colOff>428745</xdr:colOff>
      <xdr:row>30</xdr:row>
      <xdr:rowOff>260110</xdr:rowOff>
    </xdr:to>
    <xdr:cxnSp macro="">
      <xdr:nvCxnSpPr>
        <xdr:cNvPr id="126" name="Straight Connector 36">
          <a:extLst>
            <a:ext uri="{FF2B5EF4-FFF2-40B4-BE49-F238E27FC236}">
              <a16:creationId xmlns:a16="http://schemas.microsoft.com/office/drawing/2014/main" id="{00000000-0008-0000-0700-000025000000}"/>
            </a:ext>
          </a:extLst>
        </xdr:cNvPr>
        <xdr:cNvCxnSpPr/>
      </xdr:nvCxnSpPr>
      <xdr:spPr>
        <a:xfrm>
          <a:off x="15286841" y="13439246"/>
          <a:ext cx="14522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409575</xdr:colOff>
      <xdr:row>36</xdr:row>
      <xdr:rowOff>245901</xdr:rowOff>
    </xdr:from>
    <xdr:to>
      <xdr:col>16</xdr:col>
      <xdr:colOff>472840</xdr:colOff>
      <xdr:row>36</xdr:row>
      <xdr:rowOff>246063</xdr:rowOff>
    </xdr:to>
    <xdr:cxnSp macro="">
      <xdr:nvCxnSpPr>
        <xdr:cNvPr id="143" name="Straight Connector 37">
          <a:extLst>
            <a:ext uri="{FF2B5EF4-FFF2-40B4-BE49-F238E27FC236}">
              <a16:creationId xmlns:a16="http://schemas.microsoft.com/office/drawing/2014/main" id="{00000000-0008-0000-0700-000026000000}"/>
            </a:ext>
          </a:extLst>
        </xdr:cNvPr>
        <xdr:cNvCxnSpPr/>
      </xdr:nvCxnSpPr>
      <xdr:spPr>
        <a:xfrm flipV="1">
          <a:off x="10747375" y="16336801"/>
          <a:ext cx="63265" cy="162"/>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370114</xdr:colOff>
      <xdr:row>48</xdr:row>
      <xdr:rowOff>294747</xdr:rowOff>
    </xdr:from>
    <xdr:to>
      <xdr:col>14</xdr:col>
      <xdr:colOff>515336</xdr:colOff>
      <xdr:row>48</xdr:row>
      <xdr:rowOff>294747</xdr:rowOff>
    </xdr:to>
    <xdr:cxnSp macro="">
      <xdr:nvCxnSpPr>
        <xdr:cNvPr id="40" name="Straight Connector 39">
          <a:extLst>
            <a:ext uri="{FF2B5EF4-FFF2-40B4-BE49-F238E27FC236}">
              <a16:creationId xmlns:a16="http://schemas.microsoft.com/office/drawing/2014/main" id="{00000000-0008-0000-0700-000028000000}"/>
            </a:ext>
          </a:extLst>
        </xdr:cNvPr>
        <xdr:cNvCxnSpPr/>
      </xdr:nvCxnSpPr>
      <xdr:spPr>
        <a:xfrm>
          <a:off x="15948660" y="22214205"/>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429559</xdr:colOff>
      <xdr:row>13</xdr:row>
      <xdr:rowOff>300692</xdr:rowOff>
    </xdr:from>
    <xdr:to>
      <xdr:col>16</xdr:col>
      <xdr:colOff>469788</xdr:colOff>
      <xdr:row>13</xdr:row>
      <xdr:rowOff>301526</xdr:rowOff>
    </xdr:to>
    <xdr:cxnSp macro="">
      <xdr:nvCxnSpPr>
        <xdr:cNvPr id="89" name="Straight Connector 40">
          <a:extLst>
            <a:ext uri="{FF2B5EF4-FFF2-40B4-BE49-F238E27FC236}">
              <a16:creationId xmlns:a16="http://schemas.microsoft.com/office/drawing/2014/main" id="{00000000-0008-0000-0700-000029000000}"/>
            </a:ext>
          </a:extLst>
        </xdr:cNvPr>
        <xdr:cNvCxnSpPr/>
      </xdr:nvCxnSpPr>
      <xdr:spPr>
        <a:xfrm>
          <a:off x="16866721" y="5304118"/>
          <a:ext cx="40229" cy="834"/>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310242</xdr:colOff>
      <xdr:row>49</xdr:row>
      <xdr:rowOff>311075</xdr:rowOff>
    </xdr:from>
    <xdr:to>
      <xdr:col>15</xdr:col>
      <xdr:colOff>455464</xdr:colOff>
      <xdr:row>49</xdr:row>
      <xdr:rowOff>311075</xdr:rowOff>
    </xdr:to>
    <xdr:cxnSp macro="">
      <xdr:nvCxnSpPr>
        <xdr:cNvPr id="47" name="Straight Connector 46">
          <a:extLst>
            <a:ext uri="{FF2B5EF4-FFF2-40B4-BE49-F238E27FC236}">
              <a16:creationId xmlns:a16="http://schemas.microsoft.com/office/drawing/2014/main" id="{00000000-0008-0000-0700-00002F000000}"/>
            </a:ext>
          </a:extLst>
        </xdr:cNvPr>
        <xdr:cNvCxnSpPr/>
      </xdr:nvCxnSpPr>
      <xdr:spPr>
        <a:xfrm>
          <a:off x="16544925" y="22801580"/>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307271</xdr:colOff>
      <xdr:row>6</xdr:row>
      <xdr:rowOff>223630</xdr:rowOff>
    </xdr:from>
    <xdr:to>
      <xdr:col>16</xdr:col>
      <xdr:colOff>429577</xdr:colOff>
      <xdr:row>6</xdr:row>
      <xdr:rowOff>337654</xdr:rowOff>
    </xdr:to>
    <xdr:sp macro="" textlink="">
      <xdr:nvSpPr>
        <xdr:cNvPr id="60" name="Diamond 62">
          <a:extLst>
            <a:ext uri="{FF2B5EF4-FFF2-40B4-BE49-F238E27FC236}">
              <a16:creationId xmlns:a16="http://schemas.microsoft.com/office/drawing/2014/main" id="{00000000-0008-0000-0700-000032000000}"/>
            </a:ext>
          </a:extLst>
        </xdr:cNvPr>
        <xdr:cNvSpPr/>
      </xdr:nvSpPr>
      <xdr:spPr>
        <a:xfrm>
          <a:off x="16752328" y="1738971"/>
          <a:ext cx="122306" cy="114024"/>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18</xdr:col>
      <xdr:colOff>151522</xdr:colOff>
      <xdr:row>57</xdr:row>
      <xdr:rowOff>746648</xdr:rowOff>
    </xdr:from>
    <xdr:to>
      <xdr:col>19</xdr:col>
      <xdr:colOff>150027</xdr:colOff>
      <xdr:row>57</xdr:row>
      <xdr:rowOff>751418</xdr:rowOff>
    </xdr:to>
    <xdr:cxnSp macro="">
      <xdr:nvCxnSpPr>
        <xdr:cNvPr id="49" name="Straight Connector 19">
          <a:extLst>
            <a:ext uri="{FF2B5EF4-FFF2-40B4-BE49-F238E27FC236}">
              <a16:creationId xmlns:a16="http://schemas.microsoft.com/office/drawing/2014/main" id="{00000000-0008-0000-0700-000031000000}"/>
            </a:ext>
          </a:extLst>
        </xdr:cNvPr>
        <xdr:cNvCxnSpPr/>
      </xdr:nvCxnSpPr>
      <xdr:spPr>
        <a:xfrm flipV="1">
          <a:off x="11755973" y="26670000"/>
          <a:ext cx="633505" cy="47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57</xdr:row>
      <xdr:rowOff>16565</xdr:rowOff>
    </xdr:from>
    <xdr:to>
      <xdr:col>16</xdr:col>
      <xdr:colOff>468820</xdr:colOff>
      <xdr:row>66</xdr:row>
      <xdr:rowOff>140805</xdr:rowOff>
    </xdr:to>
    <xdr:sp macro="" textlink="">
      <xdr:nvSpPr>
        <xdr:cNvPr id="51" name="TextBox 13">
          <a:extLst>
            <a:ext uri="{FF2B5EF4-FFF2-40B4-BE49-F238E27FC236}">
              <a16:creationId xmlns:a16="http://schemas.microsoft.com/office/drawing/2014/main" id="{00000000-0008-0000-0700-000033000000}"/>
            </a:ext>
          </a:extLst>
        </xdr:cNvPr>
        <xdr:cNvSpPr txBox="1"/>
      </xdr:nvSpPr>
      <xdr:spPr>
        <a:xfrm rot="16200000">
          <a:off x="14932025" y="28145740"/>
          <a:ext cx="466026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15</xdr:col>
      <xdr:colOff>23813</xdr:colOff>
      <xdr:row>63</xdr:row>
      <xdr:rowOff>211291</xdr:rowOff>
    </xdr:from>
    <xdr:to>
      <xdr:col>16</xdr:col>
      <xdr:colOff>259365</xdr:colOff>
      <xdr:row>63</xdr:row>
      <xdr:rowOff>211291</xdr:rowOff>
    </xdr:to>
    <xdr:cxnSp macro="">
      <xdr:nvCxnSpPr>
        <xdr:cNvPr id="52" name="Straight Connector 2">
          <a:extLst>
            <a:ext uri="{FF2B5EF4-FFF2-40B4-BE49-F238E27FC236}">
              <a16:creationId xmlns:a16="http://schemas.microsoft.com/office/drawing/2014/main" id="{00000000-0008-0000-0700-000034000000}"/>
            </a:ext>
          </a:extLst>
        </xdr:cNvPr>
        <xdr:cNvCxnSpPr/>
      </xdr:nvCxnSpPr>
      <xdr:spPr>
        <a:xfrm>
          <a:off x="16258540" y="29314140"/>
          <a:ext cx="89154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67</xdr:row>
      <xdr:rowOff>16565</xdr:rowOff>
    </xdr:from>
    <xdr:to>
      <xdr:col>16</xdr:col>
      <xdr:colOff>468820</xdr:colOff>
      <xdr:row>80</xdr:row>
      <xdr:rowOff>140805</xdr:rowOff>
    </xdr:to>
    <xdr:sp macro="" textlink="">
      <xdr:nvSpPr>
        <xdr:cNvPr id="53" name="TextBox 13">
          <a:extLst>
            <a:ext uri="{FF2B5EF4-FFF2-40B4-BE49-F238E27FC236}">
              <a16:creationId xmlns:a16="http://schemas.microsoft.com/office/drawing/2014/main" id="{00000000-0008-0000-0700-000035000000}"/>
            </a:ext>
          </a:extLst>
        </xdr:cNvPr>
        <xdr:cNvSpPr txBox="1"/>
      </xdr:nvSpPr>
      <xdr:spPr>
        <a:xfrm rot="16200000">
          <a:off x="14705330" y="34009330"/>
          <a:ext cx="511365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273963</xdr:colOff>
      <xdr:row>67</xdr:row>
      <xdr:rowOff>0</xdr:rowOff>
    </xdr:from>
    <xdr:to>
      <xdr:col>16</xdr:col>
      <xdr:colOff>468820</xdr:colOff>
      <xdr:row>80</xdr:row>
      <xdr:rowOff>140805</xdr:rowOff>
    </xdr:to>
    <xdr:sp macro="" textlink="">
      <xdr:nvSpPr>
        <xdr:cNvPr id="54" name="TextBox 13">
          <a:extLst>
            <a:ext uri="{FF2B5EF4-FFF2-40B4-BE49-F238E27FC236}">
              <a16:creationId xmlns:a16="http://schemas.microsoft.com/office/drawing/2014/main" id="{00000000-0008-0000-0700-000036000000}"/>
            </a:ext>
          </a:extLst>
        </xdr:cNvPr>
        <xdr:cNvSpPr txBox="1"/>
      </xdr:nvSpPr>
      <xdr:spPr>
        <a:xfrm rot="16200000">
          <a:off x="14521815" y="33825815"/>
          <a:ext cx="548068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439738</xdr:colOff>
      <xdr:row>8</xdr:row>
      <xdr:rowOff>291921</xdr:rowOff>
    </xdr:from>
    <xdr:to>
      <xdr:col>16</xdr:col>
      <xdr:colOff>473621</xdr:colOff>
      <xdr:row>8</xdr:row>
      <xdr:rowOff>293687</xdr:rowOff>
    </xdr:to>
    <xdr:cxnSp macro="">
      <xdr:nvCxnSpPr>
        <xdr:cNvPr id="68" name="Straight Connector 58">
          <a:extLst>
            <a:ext uri="{FF2B5EF4-FFF2-40B4-BE49-F238E27FC236}">
              <a16:creationId xmlns:a16="http://schemas.microsoft.com/office/drawing/2014/main" id="{33AB0062-F825-43E1-AA3D-426F3ACC1CCF}"/>
            </a:ext>
          </a:extLst>
        </xdr:cNvPr>
        <xdr:cNvCxnSpPr/>
      </xdr:nvCxnSpPr>
      <xdr:spPr>
        <a:xfrm flipV="1">
          <a:off x="16879888" y="2952571"/>
          <a:ext cx="33883" cy="1766"/>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473216</xdr:colOff>
      <xdr:row>8</xdr:row>
      <xdr:rowOff>290513</xdr:rowOff>
    </xdr:from>
    <xdr:to>
      <xdr:col>16</xdr:col>
      <xdr:colOff>546100</xdr:colOff>
      <xdr:row>8</xdr:row>
      <xdr:rowOff>291211</xdr:rowOff>
    </xdr:to>
    <xdr:cxnSp macro="">
      <xdr:nvCxnSpPr>
        <xdr:cNvPr id="70" name="Straight Connector 19">
          <a:extLst>
            <a:ext uri="{FF2B5EF4-FFF2-40B4-BE49-F238E27FC236}">
              <a16:creationId xmlns:a16="http://schemas.microsoft.com/office/drawing/2014/main" id="{2EA53925-641F-4F20-A78B-BCB5A63FA92B}"/>
            </a:ext>
          </a:extLst>
        </xdr:cNvPr>
        <xdr:cNvCxnSpPr/>
      </xdr:nvCxnSpPr>
      <xdr:spPr>
        <a:xfrm flipV="1">
          <a:off x="16913366" y="2951163"/>
          <a:ext cx="72884" cy="69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517331</xdr:colOff>
      <xdr:row>9</xdr:row>
      <xdr:rowOff>242197</xdr:rowOff>
    </xdr:from>
    <xdr:to>
      <xdr:col>16</xdr:col>
      <xdr:colOff>590215</xdr:colOff>
      <xdr:row>9</xdr:row>
      <xdr:rowOff>242895</xdr:rowOff>
    </xdr:to>
    <xdr:cxnSp macro="">
      <xdr:nvCxnSpPr>
        <xdr:cNvPr id="72" name="Straight Connector 19">
          <a:extLst>
            <a:ext uri="{FF2B5EF4-FFF2-40B4-BE49-F238E27FC236}">
              <a16:creationId xmlns:a16="http://schemas.microsoft.com/office/drawing/2014/main" id="{FBB98A4C-7E5C-4089-9A02-AF10E4CE6F22}"/>
            </a:ext>
          </a:extLst>
        </xdr:cNvPr>
        <xdr:cNvCxnSpPr/>
      </xdr:nvCxnSpPr>
      <xdr:spPr>
        <a:xfrm flipV="1">
          <a:off x="16960908" y="3472992"/>
          <a:ext cx="72884" cy="69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627461</xdr:colOff>
      <xdr:row>11</xdr:row>
      <xdr:rowOff>287017</xdr:rowOff>
    </xdr:from>
    <xdr:to>
      <xdr:col>15</xdr:col>
      <xdr:colOff>147626</xdr:colOff>
      <xdr:row>11</xdr:row>
      <xdr:rowOff>287017</xdr:rowOff>
    </xdr:to>
    <xdr:cxnSp macro="">
      <xdr:nvCxnSpPr>
        <xdr:cNvPr id="77" name="Straight Connector 68">
          <a:extLst>
            <a:ext uri="{FF2B5EF4-FFF2-40B4-BE49-F238E27FC236}">
              <a16:creationId xmlns:a16="http://schemas.microsoft.com/office/drawing/2014/main" id="{AFD45AB9-B5D6-4AD3-815C-24497AAF7CC2}"/>
            </a:ext>
          </a:extLst>
        </xdr:cNvPr>
        <xdr:cNvCxnSpPr/>
      </xdr:nvCxnSpPr>
      <xdr:spPr>
        <a:xfrm>
          <a:off x="15805393" y="4159085"/>
          <a:ext cx="1551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178698</xdr:colOff>
      <xdr:row>12</xdr:row>
      <xdr:rowOff>286466</xdr:rowOff>
    </xdr:from>
    <xdr:to>
      <xdr:col>16</xdr:col>
      <xdr:colOff>62068</xdr:colOff>
      <xdr:row>12</xdr:row>
      <xdr:rowOff>290854</xdr:rowOff>
    </xdr:to>
    <xdr:cxnSp macro="">
      <xdr:nvCxnSpPr>
        <xdr:cNvPr id="85" name="Straight Connector 69">
          <a:extLst>
            <a:ext uri="{FF2B5EF4-FFF2-40B4-BE49-F238E27FC236}">
              <a16:creationId xmlns:a16="http://schemas.microsoft.com/office/drawing/2014/main" id="{3FCB291C-AD3C-46D8-A490-D5D57379AE32}"/>
            </a:ext>
          </a:extLst>
        </xdr:cNvPr>
        <xdr:cNvCxnSpPr/>
      </xdr:nvCxnSpPr>
      <xdr:spPr>
        <a:xfrm flipV="1">
          <a:off x="15991630" y="4731466"/>
          <a:ext cx="518370" cy="4388"/>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485588</xdr:colOff>
      <xdr:row>13</xdr:row>
      <xdr:rowOff>302559</xdr:rowOff>
    </xdr:from>
    <xdr:to>
      <xdr:col>16</xdr:col>
      <xdr:colOff>558472</xdr:colOff>
      <xdr:row>13</xdr:row>
      <xdr:rowOff>303257</xdr:rowOff>
    </xdr:to>
    <xdr:cxnSp macro="">
      <xdr:nvCxnSpPr>
        <xdr:cNvPr id="93" name="Straight Connector 19">
          <a:extLst>
            <a:ext uri="{FF2B5EF4-FFF2-40B4-BE49-F238E27FC236}">
              <a16:creationId xmlns:a16="http://schemas.microsoft.com/office/drawing/2014/main" id="{3D3D14D5-D7A2-495F-82FB-FD04EB80C291}"/>
            </a:ext>
          </a:extLst>
        </xdr:cNvPr>
        <xdr:cNvCxnSpPr/>
      </xdr:nvCxnSpPr>
      <xdr:spPr>
        <a:xfrm flipV="1">
          <a:off x="16922750" y="5305985"/>
          <a:ext cx="72884" cy="69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528360</xdr:colOff>
      <xdr:row>14</xdr:row>
      <xdr:rowOff>327234</xdr:rowOff>
    </xdr:from>
    <xdr:to>
      <xdr:col>16</xdr:col>
      <xdr:colOff>601244</xdr:colOff>
      <xdr:row>14</xdr:row>
      <xdr:rowOff>327932</xdr:rowOff>
    </xdr:to>
    <xdr:cxnSp macro="">
      <xdr:nvCxnSpPr>
        <xdr:cNvPr id="94" name="Straight Connector 19">
          <a:extLst>
            <a:ext uri="{FF2B5EF4-FFF2-40B4-BE49-F238E27FC236}">
              <a16:creationId xmlns:a16="http://schemas.microsoft.com/office/drawing/2014/main" id="{A8154245-E507-4DE2-A612-BC78D59AFCAD}"/>
            </a:ext>
          </a:extLst>
        </xdr:cNvPr>
        <xdr:cNvCxnSpPr/>
      </xdr:nvCxnSpPr>
      <xdr:spPr>
        <a:xfrm flipV="1">
          <a:off x="16964633" y="5894781"/>
          <a:ext cx="72884" cy="69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556712</xdr:colOff>
      <xdr:row>15</xdr:row>
      <xdr:rowOff>260958</xdr:rowOff>
    </xdr:from>
    <xdr:to>
      <xdr:col>16</xdr:col>
      <xdr:colOff>600820</xdr:colOff>
      <xdr:row>15</xdr:row>
      <xdr:rowOff>262122</xdr:rowOff>
    </xdr:to>
    <xdr:cxnSp macro="">
      <xdr:nvCxnSpPr>
        <xdr:cNvPr id="97" name="Straight Connector 19">
          <a:extLst>
            <a:ext uri="{FF2B5EF4-FFF2-40B4-BE49-F238E27FC236}">
              <a16:creationId xmlns:a16="http://schemas.microsoft.com/office/drawing/2014/main" id="{ED418660-0B4B-455B-8EC7-F89A15513963}"/>
            </a:ext>
          </a:extLst>
        </xdr:cNvPr>
        <xdr:cNvCxnSpPr/>
      </xdr:nvCxnSpPr>
      <xdr:spPr>
        <a:xfrm>
          <a:off x="16999298" y="6410890"/>
          <a:ext cx="44108" cy="116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562240</xdr:colOff>
      <xdr:row>19</xdr:row>
      <xdr:rowOff>304271</xdr:rowOff>
    </xdr:from>
    <xdr:to>
      <xdr:col>17</xdr:col>
      <xdr:colOff>89297</xdr:colOff>
      <xdr:row>19</xdr:row>
      <xdr:rowOff>308276</xdr:rowOff>
    </xdr:to>
    <xdr:cxnSp macro="">
      <xdr:nvCxnSpPr>
        <xdr:cNvPr id="103" name="Straight Connector 19">
          <a:extLst>
            <a:ext uri="{FF2B5EF4-FFF2-40B4-BE49-F238E27FC236}">
              <a16:creationId xmlns:a16="http://schemas.microsoft.com/office/drawing/2014/main" id="{D8FF3ED1-C9B5-4B25-BBB3-BDCEE73BDB57}"/>
            </a:ext>
          </a:extLst>
        </xdr:cNvPr>
        <xdr:cNvCxnSpPr/>
      </xdr:nvCxnSpPr>
      <xdr:spPr>
        <a:xfrm flipV="1">
          <a:off x="15560808" y="8228542"/>
          <a:ext cx="162057" cy="40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83937</xdr:colOff>
      <xdr:row>20</xdr:row>
      <xdr:rowOff>266408</xdr:rowOff>
    </xdr:from>
    <xdr:to>
      <xdr:col>17</xdr:col>
      <xdr:colOff>156821</xdr:colOff>
      <xdr:row>20</xdr:row>
      <xdr:rowOff>267106</xdr:rowOff>
    </xdr:to>
    <xdr:cxnSp macro="">
      <xdr:nvCxnSpPr>
        <xdr:cNvPr id="107" name="Straight Connector 19">
          <a:extLst>
            <a:ext uri="{FF2B5EF4-FFF2-40B4-BE49-F238E27FC236}">
              <a16:creationId xmlns:a16="http://schemas.microsoft.com/office/drawing/2014/main" id="{AB556C3A-2B12-4610-829C-DA4A8334F00A}"/>
            </a:ext>
          </a:extLst>
        </xdr:cNvPr>
        <xdr:cNvCxnSpPr/>
      </xdr:nvCxnSpPr>
      <xdr:spPr>
        <a:xfrm flipV="1">
          <a:off x="15714426" y="8780517"/>
          <a:ext cx="72884" cy="69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130257</xdr:colOff>
      <xdr:row>21</xdr:row>
      <xdr:rowOff>246087</xdr:rowOff>
    </xdr:from>
    <xdr:to>
      <xdr:col>17</xdr:col>
      <xdr:colOff>175069</xdr:colOff>
      <xdr:row>21</xdr:row>
      <xdr:rowOff>248302</xdr:rowOff>
    </xdr:to>
    <xdr:cxnSp macro="">
      <xdr:nvCxnSpPr>
        <xdr:cNvPr id="109" name="Straight Connector 19">
          <a:extLst>
            <a:ext uri="{FF2B5EF4-FFF2-40B4-BE49-F238E27FC236}">
              <a16:creationId xmlns:a16="http://schemas.microsoft.com/office/drawing/2014/main" id="{890509F6-89E0-4CDC-89E8-D588AA4404D2}"/>
            </a:ext>
          </a:extLst>
        </xdr:cNvPr>
        <xdr:cNvCxnSpPr/>
      </xdr:nvCxnSpPr>
      <xdr:spPr>
        <a:xfrm flipV="1">
          <a:off x="15763061" y="9313154"/>
          <a:ext cx="44812" cy="221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69387</xdr:colOff>
      <xdr:row>25</xdr:row>
      <xdr:rowOff>296473</xdr:rowOff>
    </xdr:from>
    <xdr:to>
      <xdr:col>17</xdr:col>
      <xdr:colOff>180828</xdr:colOff>
      <xdr:row>25</xdr:row>
      <xdr:rowOff>296586</xdr:rowOff>
    </xdr:to>
    <xdr:cxnSp macro="">
      <xdr:nvCxnSpPr>
        <xdr:cNvPr id="118" name="Straight Connector 19">
          <a:extLst>
            <a:ext uri="{FF2B5EF4-FFF2-40B4-BE49-F238E27FC236}">
              <a16:creationId xmlns:a16="http://schemas.microsoft.com/office/drawing/2014/main" id="{7170B84B-8CE6-4F69-A51C-A9CF01C55728}"/>
            </a:ext>
          </a:extLst>
        </xdr:cNvPr>
        <xdr:cNvCxnSpPr/>
      </xdr:nvCxnSpPr>
      <xdr:spPr>
        <a:xfrm flipV="1">
          <a:off x="15702582" y="11135629"/>
          <a:ext cx="111441" cy="11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170597</xdr:colOff>
      <xdr:row>26</xdr:row>
      <xdr:rowOff>250592</xdr:rowOff>
    </xdr:from>
    <xdr:to>
      <xdr:col>17</xdr:col>
      <xdr:colOff>223351</xdr:colOff>
      <xdr:row>26</xdr:row>
      <xdr:rowOff>251156</xdr:rowOff>
    </xdr:to>
    <xdr:cxnSp macro="">
      <xdr:nvCxnSpPr>
        <xdr:cNvPr id="120" name="Straight Connector 19">
          <a:extLst>
            <a:ext uri="{FF2B5EF4-FFF2-40B4-BE49-F238E27FC236}">
              <a16:creationId xmlns:a16="http://schemas.microsoft.com/office/drawing/2014/main" id="{DC780E92-0452-4095-A676-EDC72AC91275}"/>
            </a:ext>
          </a:extLst>
        </xdr:cNvPr>
        <xdr:cNvCxnSpPr/>
      </xdr:nvCxnSpPr>
      <xdr:spPr>
        <a:xfrm flipV="1">
          <a:off x="15803918" y="11690070"/>
          <a:ext cx="52754" cy="56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202920</xdr:colOff>
      <xdr:row>27</xdr:row>
      <xdr:rowOff>253650</xdr:rowOff>
    </xdr:from>
    <xdr:to>
      <xdr:col>17</xdr:col>
      <xdr:colOff>230876</xdr:colOff>
      <xdr:row>27</xdr:row>
      <xdr:rowOff>254402</xdr:rowOff>
    </xdr:to>
    <xdr:cxnSp macro="">
      <xdr:nvCxnSpPr>
        <xdr:cNvPr id="124" name="Straight Connector 19">
          <a:extLst>
            <a:ext uri="{FF2B5EF4-FFF2-40B4-BE49-F238E27FC236}">
              <a16:creationId xmlns:a16="http://schemas.microsoft.com/office/drawing/2014/main" id="{254610C5-7635-4AF1-BD34-32127DE617F0}"/>
            </a:ext>
          </a:extLst>
        </xdr:cNvPr>
        <xdr:cNvCxnSpPr/>
      </xdr:nvCxnSpPr>
      <xdr:spPr>
        <a:xfrm>
          <a:off x="15838264" y="12241680"/>
          <a:ext cx="27956" cy="752"/>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166013</xdr:colOff>
      <xdr:row>31</xdr:row>
      <xdr:rowOff>294673</xdr:rowOff>
    </xdr:from>
    <xdr:to>
      <xdr:col>17</xdr:col>
      <xdr:colOff>277454</xdr:colOff>
      <xdr:row>31</xdr:row>
      <xdr:rowOff>294786</xdr:rowOff>
    </xdr:to>
    <xdr:cxnSp macro="">
      <xdr:nvCxnSpPr>
        <xdr:cNvPr id="133" name="Straight Connector 19">
          <a:extLst>
            <a:ext uri="{FF2B5EF4-FFF2-40B4-BE49-F238E27FC236}">
              <a16:creationId xmlns:a16="http://schemas.microsoft.com/office/drawing/2014/main" id="{F79C492E-74A4-49F9-ACAF-B82D69C708BA}"/>
            </a:ext>
          </a:extLst>
        </xdr:cNvPr>
        <xdr:cNvCxnSpPr/>
      </xdr:nvCxnSpPr>
      <xdr:spPr>
        <a:xfrm flipV="1">
          <a:off x="11139477" y="14073758"/>
          <a:ext cx="111441" cy="11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202204</xdr:colOff>
      <xdr:row>32</xdr:row>
      <xdr:rowOff>272759</xdr:rowOff>
    </xdr:from>
    <xdr:to>
      <xdr:col>17</xdr:col>
      <xdr:colOff>313645</xdr:colOff>
      <xdr:row>32</xdr:row>
      <xdr:rowOff>272872</xdr:rowOff>
    </xdr:to>
    <xdr:cxnSp macro="">
      <xdr:nvCxnSpPr>
        <xdr:cNvPr id="136" name="Straight Connector 19">
          <a:extLst>
            <a:ext uri="{FF2B5EF4-FFF2-40B4-BE49-F238E27FC236}">
              <a16:creationId xmlns:a16="http://schemas.microsoft.com/office/drawing/2014/main" id="{1477711A-AAAB-4B66-94EC-0CD92CA24739}"/>
            </a:ext>
          </a:extLst>
        </xdr:cNvPr>
        <xdr:cNvCxnSpPr/>
      </xdr:nvCxnSpPr>
      <xdr:spPr>
        <a:xfrm flipV="1">
          <a:off x="11175668" y="14624589"/>
          <a:ext cx="111441" cy="11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272500</xdr:colOff>
      <xdr:row>33</xdr:row>
      <xdr:rowOff>284048</xdr:rowOff>
    </xdr:from>
    <xdr:to>
      <xdr:col>17</xdr:col>
      <xdr:colOff>308332</xdr:colOff>
      <xdr:row>33</xdr:row>
      <xdr:rowOff>285000</xdr:rowOff>
    </xdr:to>
    <xdr:cxnSp macro="">
      <xdr:nvCxnSpPr>
        <xdr:cNvPr id="138" name="Straight Connector 19">
          <a:extLst>
            <a:ext uri="{FF2B5EF4-FFF2-40B4-BE49-F238E27FC236}">
              <a16:creationId xmlns:a16="http://schemas.microsoft.com/office/drawing/2014/main" id="{5628D41C-ED67-487F-A9B0-8DA850DF396F}"/>
            </a:ext>
          </a:extLst>
        </xdr:cNvPr>
        <xdr:cNvCxnSpPr/>
      </xdr:nvCxnSpPr>
      <xdr:spPr>
        <a:xfrm flipV="1">
          <a:off x="11245000" y="15201548"/>
          <a:ext cx="35832" cy="952"/>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475590</xdr:colOff>
      <xdr:row>36</xdr:row>
      <xdr:rowOff>245174</xdr:rowOff>
    </xdr:from>
    <xdr:to>
      <xdr:col>16</xdr:col>
      <xdr:colOff>563899</xdr:colOff>
      <xdr:row>36</xdr:row>
      <xdr:rowOff>246681</xdr:rowOff>
    </xdr:to>
    <xdr:cxnSp macro="">
      <xdr:nvCxnSpPr>
        <xdr:cNvPr id="147" name="Straight Connector 19">
          <a:extLst>
            <a:ext uri="{FF2B5EF4-FFF2-40B4-BE49-F238E27FC236}">
              <a16:creationId xmlns:a16="http://schemas.microsoft.com/office/drawing/2014/main" id="{BDF79540-921E-47FB-8E0F-43D75D10335B}"/>
            </a:ext>
          </a:extLst>
        </xdr:cNvPr>
        <xdr:cNvCxnSpPr/>
      </xdr:nvCxnSpPr>
      <xdr:spPr>
        <a:xfrm flipV="1">
          <a:off x="10817019" y="16323668"/>
          <a:ext cx="88309" cy="150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192171</xdr:colOff>
      <xdr:row>37</xdr:row>
      <xdr:rowOff>261205</xdr:rowOff>
    </xdr:from>
    <xdr:to>
      <xdr:col>17</xdr:col>
      <xdr:colOff>359136</xdr:colOff>
      <xdr:row>37</xdr:row>
      <xdr:rowOff>261799</xdr:rowOff>
    </xdr:to>
    <xdr:cxnSp macro="">
      <xdr:nvCxnSpPr>
        <xdr:cNvPr id="150" name="Straight Connector 19">
          <a:extLst>
            <a:ext uri="{FF2B5EF4-FFF2-40B4-BE49-F238E27FC236}">
              <a16:creationId xmlns:a16="http://schemas.microsoft.com/office/drawing/2014/main" id="{8BF60920-FC24-463D-952F-36184C0392D2}"/>
            </a:ext>
          </a:extLst>
        </xdr:cNvPr>
        <xdr:cNvCxnSpPr/>
      </xdr:nvCxnSpPr>
      <xdr:spPr>
        <a:xfrm flipV="1">
          <a:off x="11165417" y="16913244"/>
          <a:ext cx="166965" cy="59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329557</xdr:colOff>
      <xdr:row>38</xdr:row>
      <xdr:rowOff>265709</xdr:rowOff>
    </xdr:from>
    <xdr:to>
      <xdr:col>17</xdr:col>
      <xdr:colOff>396646</xdr:colOff>
      <xdr:row>38</xdr:row>
      <xdr:rowOff>267263</xdr:rowOff>
    </xdr:to>
    <xdr:cxnSp macro="">
      <xdr:nvCxnSpPr>
        <xdr:cNvPr id="155" name="Straight Connector 19">
          <a:extLst>
            <a:ext uri="{FF2B5EF4-FFF2-40B4-BE49-F238E27FC236}">
              <a16:creationId xmlns:a16="http://schemas.microsoft.com/office/drawing/2014/main" id="{3060EFA0-EA18-45D6-BDA1-5563288A2AD4}"/>
            </a:ext>
          </a:extLst>
        </xdr:cNvPr>
        <xdr:cNvCxnSpPr/>
      </xdr:nvCxnSpPr>
      <xdr:spPr>
        <a:xfrm flipV="1">
          <a:off x="11303402" y="17473003"/>
          <a:ext cx="67089" cy="155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356789</xdr:colOff>
      <xdr:row>39</xdr:row>
      <xdr:rowOff>256973</xdr:rowOff>
    </xdr:from>
    <xdr:to>
      <xdr:col>17</xdr:col>
      <xdr:colOff>400517</xdr:colOff>
      <xdr:row>39</xdr:row>
      <xdr:rowOff>256974</xdr:rowOff>
    </xdr:to>
    <xdr:cxnSp macro="">
      <xdr:nvCxnSpPr>
        <xdr:cNvPr id="158" name="Straight Connector 19">
          <a:extLst>
            <a:ext uri="{FF2B5EF4-FFF2-40B4-BE49-F238E27FC236}">
              <a16:creationId xmlns:a16="http://schemas.microsoft.com/office/drawing/2014/main" id="{A37E0A1E-FAE8-41D3-AC2D-2B50EA319411}"/>
            </a:ext>
          </a:extLst>
        </xdr:cNvPr>
        <xdr:cNvCxnSpPr/>
      </xdr:nvCxnSpPr>
      <xdr:spPr>
        <a:xfrm flipV="1">
          <a:off x="11328060" y="18058210"/>
          <a:ext cx="43728" cy="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486309</xdr:colOff>
      <xdr:row>41</xdr:row>
      <xdr:rowOff>302632</xdr:rowOff>
    </xdr:from>
    <xdr:to>
      <xdr:col>16</xdr:col>
      <xdr:colOff>582520</xdr:colOff>
      <xdr:row>41</xdr:row>
      <xdr:rowOff>304380</xdr:rowOff>
    </xdr:to>
    <xdr:cxnSp macro="">
      <xdr:nvCxnSpPr>
        <xdr:cNvPr id="166" name="Straight Connector 19">
          <a:extLst>
            <a:ext uri="{FF2B5EF4-FFF2-40B4-BE49-F238E27FC236}">
              <a16:creationId xmlns:a16="http://schemas.microsoft.com/office/drawing/2014/main" id="{2563C004-899D-4B39-B2DD-DC64B62CA3F9}"/>
            </a:ext>
          </a:extLst>
        </xdr:cNvPr>
        <xdr:cNvCxnSpPr/>
      </xdr:nvCxnSpPr>
      <xdr:spPr>
        <a:xfrm>
          <a:off x="10824739" y="18756117"/>
          <a:ext cx="96211" cy="174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591472</xdr:colOff>
      <xdr:row>42</xdr:row>
      <xdr:rowOff>258609</xdr:rowOff>
    </xdr:from>
    <xdr:to>
      <xdr:col>17</xdr:col>
      <xdr:colOff>128024</xdr:colOff>
      <xdr:row>42</xdr:row>
      <xdr:rowOff>263730</xdr:rowOff>
    </xdr:to>
    <xdr:cxnSp macro="">
      <xdr:nvCxnSpPr>
        <xdr:cNvPr id="169" name="Straight Connector 19">
          <a:extLst>
            <a:ext uri="{FF2B5EF4-FFF2-40B4-BE49-F238E27FC236}">
              <a16:creationId xmlns:a16="http://schemas.microsoft.com/office/drawing/2014/main" id="{CEF01C79-1C32-4403-8A7F-19B5EA1FF468}"/>
            </a:ext>
          </a:extLst>
        </xdr:cNvPr>
        <xdr:cNvCxnSpPr/>
      </xdr:nvCxnSpPr>
      <xdr:spPr>
        <a:xfrm>
          <a:off x="10930706" y="19242036"/>
          <a:ext cx="171552" cy="512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231826</xdr:colOff>
      <xdr:row>43</xdr:row>
      <xdr:rowOff>297341</xdr:rowOff>
    </xdr:from>
    <xdr:to>
      <xdr:col>17</xdr:col>
      <xdr:colOff>403378</xdr:colOff>
      <xdr:row>43</xdr:row>
      <xdr:rowOff>302462</xdr:rowOff>
    </xdr:to>
    <xdr:cxnSp macro="">
      <xdr:nvCxnSpPr>
        <xdr:cNvPr id="171" name="Straight Connector 19">
          <a:extLst>
            <a:ext uri="{FF2B5EF4-FFF2-40B4-BE49-F238E27FC236}">
              <a16:creationId xmlns:a16="http://schemas.microsoft.com/office/drawing/2014/main" id="{78CA25D4-F639-4A49-A1C5-D790355F2738}"/>
            </a:ext>
          </a:extLst>
        </xdr:cNvPr>
        <xdr:cNvCxnSpPr/>
      </xdr:nvCxnSpPr>
      <xdr:spPr>
        <a:xfrm>
          <a:off x="11208255" y="19795873"/>
          <a:ext cx="171552" cy="512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370359</xdr:colOff>
      <xdr:row>45</xdr:row>
      <xdr:rowOff>255751</xdr:rowOff>
    </xdr:from>
    <xdr:to>
      <xdr:col>17</xdr:col>
      <xdr:colOff>400115</xdr:colOff>
      <xdr:row>45</xdr:row>
      <xdr:rowOff>256528</xdr:rowOff>
    </xdr:to>
    <xdr:cxnSp macro="">
      <xdr:nvCxnSpPr>
        <xdr:cNvPr id="181" name="Straight Connector 19">
          <a:extLst>
            <a:ext uri="{FF2B5EF4-FFF2-40B4-BE49-F238E27FC236}">
              <a16:creationId xmlns:a16="http://schemas.microsoft.com/office/drawing/2014/main" id="{6012DE53-7C0D-4A53-A01E-8A350968E857}"/>
            </a:ext>
          </a:extLst>
        </xdr:cNvPr>
        <xdr:cNvCxnSpPr/>
      </xdr:nvCxnSpPr>
      <xdr:spPr>
        <a:xfrm flipV="1">
          <a:off x="11341748" y="20973214"/>
          <a:ext cx="29756" cy="77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348884</xdr:colOff>
      <xdr:row>44</xdr:row>
      <xdr:rowOff>255445</xdr:rowOff>
    </xdr:from>
    <xdr:to>
      <xdr:col>17</xdr:col>
      <xdr:colOff>416437</xdr:colOff>
      <xdr:row>44</xdr:row>
      <xdr:rowOff>255445</xdr:rowOff>
    </xdr:to>
    <xdr:cxnSp macro="">
      <xdr:nvCxnSpPr>
        <xdr:cNvPr id="180" name="Straight Connector 19">
          <a:extLst>
            <a:ext uri="{FF2B5EF4-FFF2-40B4-BE49-F238E27FC236}">
              <a16:creationId xmlns:a16="http://schemas.microsoft.com/office/drawing/2014/main" id="{D2C8149C-3312-494A-BF6F-D3F117A91095}"/>
            </a:ext>
          </a:extLst>
        </xdr:cNvPr>
        <xdr:cNvCxnSpPr/>
      </xdr:nvCxnSpPr>
      <xdr:spPr>
        <a:xfrm>
          <a:off x="11320273" y="20401408"/>
          <a:ext cx="6755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578303</xdr:colOff>
      <xdr:row>47</xdr:row>
      <xdr:rowOff>299215</xdr:rowOff>
    </xdr:from>
    <xdr:to>
      <xdr:col>17</xdr:col>
      <xdr:colOff>172879</xdr:colOff>
      <xdr:row>47</xdr:row>
      <xdr:rowOff>300491</xdr:rowOff>
    </xdr:to>
    <xdr:cxnSp macro="">
      <xdr:nvCxnSpPr>
        <xdr:cNvPr id="184" name="Straight Connector 19">
          <a:extLst>
            <a:ext uri="{FF2B5EF4-FFF2-40B4-BE49-F238E27FC236}">
              <a16:creationId xmlns:a16="http://schemas.microsoft.com/office/drawing/2014/main" id="{97ED4E52-7922-4531-A0BF-8C48447FCABC}"/>
            </a:ext>
          </a:extLst>
        </xdr:cNvPr>
        <xdr:cNvCxnSpPr/>
      </xdr:nvCxnSpPr>
      <xdr:spPr>
        <a:xfrm flipV="1">
          <a:off x="10911183" y="21656492"/>
          <a:ext cx="229576" cy="1276"/>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145791</xdr:colOff>
      <xdr:row>48</xdr:row>
      <xdr:rowOff>311019</xdr:rowOff>
    </xdr:from>
    <xdr:to>
      <xdr:col>17</xdr:col>
      <xdr:colOff>287702</xdr:colOff>
      <xdr:row>48</xdr:row>
      <xdr:rowOff>314271</xdr:rowOff>
    </xdr:to>
    <xdr:cxnSp macro="">
      <xdr:nvCxnSpPr>
        <xdr:cNvPr id="16" name="Straight Connector 19">
          <a:extLst>
            <a:ext uri="{FF2B5EF4-FFF2-40B4-BE49-F238E27FC236}">
              <a16:creationId xmlns:a16="http://schemas.microsoft.com/office/drawing/2014/main" id="{424553CF-A1D9-44C6-8FCF-69F985106174}"/>
            </a:ext>
          </a:extLst>
        </xdr:cNvPr>
        <xdr:cNvCxnSpPr/>
      </xdr:nvCxnSpPr>
      <xdr:spPr>
        <a:xfrm>
          <a:off x="11118980" y="22192601"/>
          <a:ext cx="141911" cy="3252"/>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481500</xdr:colOff>
      <xdr:row>49</xdr:row>
      <xdr:rowOff>277717</xdr:rowOff>
    </xdr:from>
    <xdr:to>
      <xdr:col>18</xdr:col>
      <xdr:colOff>44302</xdr:colOff>
      <xdr:row>49</xdr:row>
      <xdr:rowOff>280582</xdr:rowOff>
    </xdr:to>
    <xdr:cxnSp macro="">
      <xdr:nvCxnSpPr>
        <xdr:cNvPr id="18" name="Straight Connector 19">
          <a:extLst>
            <a:ext uri="{FF2B5EF4-FFF2-40B4-BE49-F238E27FC236}">
              <a16:creationId xmlns:a16="http://schemas.microsoft.com/office/drawing/2014/main" id="{36717E5B-0C25-4B6C-8F59-B9C6B1BF2D64}"/>
            </a:ext>
          </a:extLst>
        </xdr:cNvPr>
        <xdr:cNvCxnSpPr/>
      </xdr:nvCxnSpPr>
      <xdr:spPr>
        <a:xfrm>
          <a:off x="11448787" y="22763608"/>
          <a:ext cx="197802" cy="286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57727</xdr:colOff>
      <xdr:row>50</xdr:row>
      <xdr:rowOff>270596</xdr:rowOff>
    </xdr:from>
    <xdr:to>
      <xdr:col>18</xdr:col>
      <xdr:colOff>125280</xdr:colOff>
      <xdr:row>50</xdr:row>
      <xdr:rowOff>270596</xdr:rowOff>
    </xdr:to>
    <xdr:cxnSp macro="">
      <xdr:nvCxnSpPr>
        <xdr:cNvPr id="20" name="Straight Connector 19">
          <a:extLst>
            <a:ext uri="{FF2B5EF4-FFF2-40B4-BE49-F238E27FC236}">
              <a16:creationId xmlns:a16="http://schemas.microsoft.com/office/drawing/2014/main" id="{AD131B35-7A25-4FA9-8EE7-4E17F0B24F63}"/>
            </a:ext>
          </a:extLst>
        </xdr:cNvPr>
        <xdr:cNvCxnSpPr/>
      </xdr:nvCxnSpPr>
      <xdr:spPr>
        <a:xfrm>
          <a:off x="11668125" y="23278522"/>
          <a:ext cx="67553"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106016</xdr:colOff>
      <xdr:row>51</xdr:row>
      <xdr:rowOff>220663</xdr:rowOff>
    </xdr:from>
    <xdr:to>
      <xdr:col>18</xdr:col>
      <xdr:colOff>135772</xdr:colOff>
      <xdr:row>51</xdr:row>
      <xdr:rowOff>221440</xdr:rowOff>
    </xdr:to>
    <xdr:cxnSp macro="">
      <xdr:nvCxnSpPr>
        <xdr:cNvPr id="21" name="Straight Connector 19">
          <a:extLst>
            <a:ext uri="{FF2B5EF4-FFF2-40B4-BE49-F238E27FC236}">
              <a16:creationId xmlns:a16="http://schemas.microsoft.com/office/drawing/2014/main" id="{1CEAA2EA-34F1-43A5-A503-0A74ED1F7D59}"/>
            </a:ext>
          </a:extLst>
        </xdr:cNvPr>
        <xdr:cNvCxnSpPr/>
      </xdr:nvCxnSpPr>
      <xdr:spPr>
        <a:xfrm flipV="1">
          <a:off x="11712639" y="23869156"/>
          <a:ext cx="29756" cy="77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555099</xdr:colOff>
      <xdr:row>54</xdr:row>
      <xdr:rowOff>290166</xdr:rowOff>
    </xdr:from>
    <xdr:to>
      <xdr:col>16</xdr:col>
      <xdr:colOff>359845</xdr:colOff>
      <xdr:row>54</xdr:row>
      <xdr:rowOff>290201</xdr:rowOff>
    </xdr:to>
    <xdr:cxnSp macro="">
      <xdr:nvCxnSpPr>
        <xdr:cNvPr id="23" name="Straight Connector 2">
          <a:extLst>
            <a:ext uri="{FF2B5EF4-FFF2-40B4-BE49-F238E27FC236}">
              <a16:creationId xmlns:a16="http://schemas.microsoft.com/office/drawing/2014/main" id="{9FF2585A-03A0-4686-820A-2BFE3A671BC1}"/>
            </a:ext>
          </a:extLst>
        </xdr:cNvPr>
        <xdr:cNvCxnSpPr/>
      </xdr:nvCxnSpPr>
      <xdr:spPr>
        <a:xfrm flipV="1">
          <a:off x="10260927" y="25156093"/>
          <a:ext cx="439746" cy="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575654</xdr:colOff>
      <xdr:row>58</xdr:row>
      <xdr:rowOff>243318</xdr:rowOff>
    </xdr:from>
    <xdr:to>
      <xdr:col>16</xdr:col>
      <xdr:colOff>215498</xdr:colOff>
      <xdr:row>58</xdr:row>
      <xdr:rowOff>244231</xdr:rowOff>
    </xdr:to>
    <xdr:cxnSp macro="">
      <xdr:nvCxnSpPr>
        <xdr:cNvPr id="36" name="Straight Connector 2">
          <a:extLst>
            <a:ext uri="{FF2B5EF4-FFF2-40B4-BE49-F238E27FC236}">
              <a16:creationId xmlns:a16="http://schemas.microsoft.com/office/drawing/2014/main" id="{AA8F7354-D6B0-4A3F-99FC-E9E9D385C4A2}"/>
            </a:ext>
          </a:extLst>
        </xdr:cNvPr>
        <xdr:cNvCxnSpPr/>
      </xdr:nvCxnSpPr>
      <xdr:spPr>
        <a:xfrm>
          <a:off x="10281672" y="27559811"/>
          <a:ext cx="274844" cy="913"/>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497417</xdr:colOff>
      <xdr:row>59</xdr:row>
      <xdr:rowOff>836083</xdr:rowOff>
    </xdr:from>
    <xdr:to>
      <xdr:col>16</xdr:col>
      <xdr:colOff>470958</xdr:colOff>
      <xdr:row>59</xdr:row>
      <xdr:rowOff>836083</xdr:rowOff>
    </xdr:to>
    <xdr:cxnSp macro="">
      <xdr:nvCxnSpPr>
        <xdr:cNvPr id="39" name="Straight Connector 2">
          <a:extLst>
            <a:ext uri="{FF2B5EF4-FFF2-40B4-BE49-F238E27FC236}">
              <a16:creationId xmlns:a16="http://schemas.microsoft.com/office/drawing/2014/main" id="{8F095936-05E1-4ACE-BEF3-54C288E40A02}"/>
            </a:ext>
          </a:extLst>
        </xdr:cNvPr>
        <xdr:cNvCxnSpPr/>
      </xdr:nvCxnSpPr>
      <xdr:spPr>
        <a:xfrm>
          <a:off x="10197042" y="28590875"/>
          <a:ext cx="608541"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460375</xdr:colOff>
      <xdr:row>59</xdr:row>
      <xdr:rowOff>835562</xdr:rowOff>
    </xdr:from>
    <xdr:to>
      <xdr:col>20</xdr:col>
      <xdr:colOff>0</xdr:colOff>
      <xdr:row>59</xdr:row>
      <xdr:rowOff>835562</xdr:rowOff>
    </xdr:to>
    <xdr:cxnSp macro="">
      <xdr:nvCxnSpPr>
        <xdr:cNvPr id="42" name="Straight Connector 19">
          <a:extLst>
            <a:ext uri="{FF2B5EF4-FFF2-40B4-BE49-F238E27FC236}">
              <a16:creationId xmlns:a16="http://schemas.microsoft.com/office/drawing/2014/main" id="{63C7305D-307A-4D2A-B0C1-9754642FF92E}"/>
            </a:ext>
          </a:extLst>
        </xdr:cNvPr>
        <xdr:cNvCxnSpPr/>
      </xdr:nvCxnSpPr>
      <xdr:spPr>
        <a:xfrm>
          <a:off x="10795000" y="28590354"/>
          <a:ext cx="20796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206169</xdr:colOff>
      <xdr:row>63</xdr:row>
      <xdr:rowOff>597889</xdr:rowOff>
    </xdr:from>
    <xdr:to>
      <xdr:col>18</xdr:col>
      <xdr:colOff>328343</xdr:colOff>
      <xdr:row>63</xdr:row>
      <xdr:rowOff>597889</xdr:rowOff>
    </xdr:to>
    <xdr:cxnSp macro="">
      <xdr:nvCxnSpPr>
        <xdr:cNvPr id="44" name="Straight Connector 19">
          <a:extLst>
            <a:ext uri="{FF2B5EF4-FFF2-40B4-BE49-F238E27FC236}">
              <a16:creationId xmlns:a16="http://schemas.microsoft.com/office/drawing/2014/main" id="{2480F2DB-1991-4F9E-9982-1FB503E6B495}"/>
            </a:ext>
          </a:extLst>
        </xdr:cNvPr>
        <xdr:cNvCxnSpPr/>
      </xdr:nvCxnSpPr>
      <xdr:spPr>
        <a:xfrm>
          <a:off x="11813474" y="32067499"/>
          <a:ext cx="12217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215022</xdr:colOff>
      <xdr:row>69</xdr:row>
      <xdr:rowOff>213079</xdr:rowOff>
    </xdr:from>
    <xdr:to>
      <xdr:col>18</xdr:col>
      <xdr:colOff>262388</xdr:colOff>
      <xdr:row>69</xdr:row>
      <xdr:rowOff>214766</xdr:rowOff>
    </xdr:to>
    <xdr:cxnSp macro="">
      <xdr:nvCxnSpPr>
        <xdr:cNvPr id="58" name="Straight Connector 19">
          <a:extLst>
            <a:ext uri="{FF2B5EF4-FFF2-40B4-BE49-F238E27FC236}">
              <a16:creationId xmlns:a16="http://schemas.microsoft.com/office/drawing/2014/main" id="{9E831F33-D3EA-42C4-94D7-9DBE3DDF29E1}"/>
            </a:ext>
          </a:extLst>
        </xdr:cNvPr>
        <xdr:cNvCxnSpPr/>
      </xdr:nvCxnSpPr>
      <xdr:spPr>
        <a:xfrm>
          <a:off x="11818811" y="34195605"/>
          <a:ext cx="47366" cy="168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624504</xdr:colOff>
      <xdr:row>71</xdr:row>
      <xdr:rowOff>215968</xdr:rowOff>
    </xdr:from>
    <xdr:to>
      <xdr:col>18</xdr:col>
      <xdr:colOff>220579</xdr:colOff>
      <xdr:row>71</xdr:row>
      <xdr:rowOff>220579</xdr:rowOff>
    </xdr:to>
    <xdr:cxnSp macro="">
      <xdr:nvCxnSpPr>
        <xdr:cNvPr id="61" name="Straight Connector 19">
          <a:extLst>
            <a:ext uri="{FF2B5EF4-FFF2-40B4-BE49-F238E27FC236}">
              <a16:creationId xmlns:a16="http://schemas.microsoft.com/office/drawing/2014/main" id="{91BD88F2-6D1C-4D85-AACE-B39726BAC827}"/>
            </a:ext>
          </a:extLst>
        </xdr:cNvPr>
        <xdr:cNvCxnSpPr/>
      </xdr:nvCxnSpPr>
      <xdr:spPr>
        <a:xfrm>
          <a:off x="10971662" y="34806757"/>
          <a:ext cx="866075" cy="461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521368</xdr:colOff>
      <xdr:row>72</xdr:row>
      <xdr:rowOff>300790</xdr:rowOff>
    </xdr:from>
    <xdr:to>
      <xdr:col>20</xdr:col>
      <xdr:colOff>13368</xdr:colOff>
      <xdr:row>72</xdr:row>
      <xdr:rowOff>307474</xdr:rowOff>
    </xdr:to>
    <xdr:cxnSp macro="">
      <xdr:nvCxnSpPr>
        <xdr:cNvPr id="65" name="Straight Connector 19">
          <a:extLst>
            <a:ext uri="{FF2B5EF4-FFF2-40B4-BE49-F238E27FC236}">
              <a16:creationId xmlns:a16="http://schemas.microsoft.com/office/drawing/2014/main" id="{309CEF41-7A00-4EAF-9789-9029D427A269}"/>
            </a:ext>
          </a:extLst>
        </xdr:cNvPr>
        <xdr:cNvCxnSpPr/>
      </xdr:nvCxnSpPr>
      <xdr:spPr>
        <a:xfrm>
          <a:off x="12138526" y="35332737"/>
          <a:ext cx="762000" cy="668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0</xdr:colOff>
      <xdr:row>75</xdr:row>
      <xdr:rowOff>213321</xdr:rowOff>
    </xdr:from>
    <xdr:to>
      <xdr:col>16</xdr:col>
      <xdr:colOff>357187</xdr:colOff>
      <xdr:row>75</xdr:row>
      <xdr:rowOff>218282</xdr:rowOff>
    </xdr:to>
    <xdr:cxnSp macro="">
      <xdr:nvCxnSpPr>
        <xdr:cNvPr id="73" name="Straight Connector 2">
          <a:extLst>
            <a:ext uri="{FF2B5EF4-FFF2-40B4-BE49-F238E27FC236}">
              <a16:creationId xmlns:a16="http://schemas.microsoft.com/office/drawing/2014/main" id="{C5FFAF36-EB7B-4D18-AB89-BB8D56BC7DD4}"/>
            </a:ext>
          </a:extLst>
        </xdr:cNvPr>
        <xdr:cNvCxnSpPr/>
      </xdr:nvCxnSpPr>
      <xdr:spPr>
        <a:xfrm>
          <a:off x="10338594" y="36135469"/>
          <a:ext cx="357187" cy="4961"/>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122410</xdr:colOff>
      <xdr:row>78</xdr:row>
      <xdr:rowOff>191265</xdr:rowOff>
    </xdr:from>
    <xdr:to>
      <xdr:col>20</xdr:col>
      <xdr:colOff>0</xdr:colOff>
      <xdr:row>78</xdr:row>
      <xdr:rowOff>191265</xdr:rowOff>
    </xdr:to>
    <xdr:cxnSp macro="">
      <xdr:nvCxnSpPr>
        <xdr:cNvPr id="75" name="Straight Connector 19">
          <a:extLst>
            <a:ext uri="{FF2B5EF4-FFF2-40B4-BE49-F238E27FC236}">
              <a16:creationId xmlns:a16="http://schemas.microsoft.com/office/drawing/2014/main" id="{E17F8125-51EE-412C-A924-A279BA0BB7C8}"/>
            </a:ext>
          </a:extLst>
        </xdr:cNvPr>
        <xdr:cNvCxnSpPr/>
      </xdr:nvCxnSpPr>
      <xdr:spPr>
        <a:xfrm>
          <a:off x="11101024" y="37051867"/>
          <a:ext cx="17825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3122</xdr:colOff>
      <xdr:row>1</xdr:row>
      <xdr:rowOff>15240</xdr:rowOff>
    </xdr:from>
    <xdr:to>
      <xdr:col>19</xdr:col>
      <xdr:colOff>3122</xdr:colOff>
      <xdr:row>101</xdr:row>
      <xdr:rowOff>356152</xdr:rowOff>
    </xdr:to>
    <xdr:cxnSp macro="">
      <xdr:nvCxnSpPr>
        <xdr:cNvPr id="3" name="Straight Connector 27">
          <a:extLst>
            <a:ext uri="{FF2B5EF4-FFF2-40B4-BE49-F238E27FC236}">
              <a16:creationId xmlns:a16="http://schemas.microsoft.com/office/drawing/2014/main" id="{00000000-0008-0000-0500-000003000000}"/>
            </a:ext>
          </a:extLst>
        </xdr:cNvPr>
        <xdr:cNvCxnSpPr/>
      </xdr:nvCxnSpPr>
      <xdr:spPr>
        <a:xfrm>
          <a:off x="18912205" y="84455"/>
          <a:ext cx="0" cy="4614354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230000</xdr:colOff>
      <xdr:row>69</xdr:row>
      <xdr:rowOff>215000</xdr:rowOff>
    </xdr:from>
    <xdr:to>
      <xdr:col>16</xdr:col>
      <xdr:colOff>484371</xdr:colOff>
      <xdr:row>69</xdr:row>
      <xdr:rowOff>218498</xdr:rowOff>
    </xdr:to>
    <xdr:cxnSp macro="">
      <xdr:nvCxnSpPr>
        <xdr:cNvPr id="213" name="Straight Connector 2">
          <a:extLst>
            <a:ext uri="{FF2B5EF4-FFF2-40B4-BE49-F238E27FC236}">
              <a16:creationId xmlns:a16="http://schemas.microsoft.com/office/drawing/2014/main" id="{00000000-0008-0000-0500-0000D5000000}"/>
            </a:ext>
          </a:extLst>
        </xdr:cNvPr>
        <xdr:cNvCxnSpPr/>
      </xdr:nvCxnSpPr>
      <xdr:spPr>
        <a:xfrm>
          <a:off x="10710000" y="32470000"/>
          <a:ext cx="254371" cy="3498"/>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487699</xdr:colOff>
      <xdr:row>69</xdr:row>
      <xdr:rowOff>220000</xdr:rowOff>
    </xdr:from>
    <xdr:to>
      <xdr:col>18</xdr:col>
      <xdr:colOff>595000</xdr:colOff>
      <xdr:row>69</xdr:row>
      <xdr:rowOff>221006</xdr:rowOff>
    </xdr:to>
    <xdr:cxnSp macro="">
      <xdr:nvCxnSpPr>
        <xdr:cNvPr id="214" name="Straight Connector 19">
          <a:extLst>
            <a:ext uri="{FF2B5EF4-FFF2-40B4-BE49-F238E27FC236}">
              <a16:creationId xmlns:a16="http://schemas.microsoft.com/office/drawing/2014/main" id="{00000000-0008-0000-0500-0000D6000000}"/>
            </a:ext>
          </a:extLst>
        </xdr:cNvPr>
        <xdr:cNvCxnSpPr/>
      </xdr:nvCxnSpPr>
      <xdr:spPr>
        <a:xfrm flipV="1">
          <a:off x="10967699" y="32475000"/>
          <a:ext cx="1377301" cy="1006"/>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336826</xdr:colOff>
      <xdr:row>2</xdr:row>
      <xdr:rowOff>287131</xdr:rowOff>
    </xdr:from>
    <xdr:to>
      <xdr:col>14</xdr:col>
      <xdr:colOff>585304</xdr:colOff>
      <xdr:row>2</xdr:row>
      <xdr:rowOff>292652</xdr:rowOff>
    </xdr:to>
    <xdr:cxnSp macro="">
      <xdr:nvCxnSpPr>
        <xdr:cNvPr id="58" name="Straight Connector 1">
          <a:extLst>
            <a:ext uri="{FF2B5EF4-FFF2-40B4-BE49-F238E27FC236}">
              <a16:creationId xmlns:a16="http://schemas.microsoft.com/office/drawing/2014/main" id="{00000000-0008-0000-0500-00003A000000}"/>
            </a:ext>
          </a:extLst>
        </xdr:cNvPr>
        <xdr:cNvCxnSpPr/>
      </xdr:nvCxnSpPr>
      <xdr:spPr>
        <a:xfrm>
          <a:off x="15966440" y="374015"/>
          <a:ext cx="2482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273618</xdr:colOff>
      <xdr:row>67</xdr:row>
      <xdr:rowOff>294269</xdr:rowOff>
    </xdr:from>
    <xdr:to>
      <xdr:col>16</xdr:col>
      <xdr:colOff>495610</xdr:colOff>
      <xdr:row>67</xdr:row>
      <xdr:rowOff>297760</xdr:rowOff>
    </xdr:to>
    <xdr:cxnSp macro="">
      <xdr:nvCxnSpPr>
        <xdr:cNvPr id="210" name="Straight Connector 2">
          <a:extLst>
            <a:ext uri="{FF2B5EF4-FFF2-40B4-BE49-F238E27FC236}">
              <a16:creationId xmlns:a16="http://schemas.microsoft.com/office/drawing/2014/main" id="{00000000-0008-0000-0500-0000D2000000}"/>
            </a:ext>
          </a:extLst>
        </xdr:cNvPr>
        <xdr:cNvCxnSpPr/>
      </xdr:nvCxnSpPr>
      <xdr:spPr>
        <a:xfrm>
          <a:off x="10738211" y="31610610"/>
          <a:ext cx="221992" cy="3491"/>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42951</xdr:colOff>
      <xdr:row>0</xdr:row>
      <xdr:rowOff>41413</xdr:rowOff>
    </xdr:from>
    <xdr:to>
      <xdr:col>12</xdr:col>
      <xdr:colOff>42951</xdr:colOff>
      <xdr:row>90</xdr:row>
      <xdr:rowOff>0</xdr:rowOff>
    </xdr:to>
    <xdr:cxnSp macro="">
      <xdr:nvCxnSpPr>
        <xdr:cNvPr id="8" name="Straight Connector 5">
          <a:extLst>
            <a:ext uri="{FF2B5EF4-FFF2-40B4-BE49-F238E27FC236}">
              <a16:creationId xmlns:a16="http://schemas.microsoft.com/office/drawing/2014/main" id="{00000000-0008-0000-0500-000008000000}"/>
            </a:ext>
          </a:extLst>
        </xdr:cNvPr>
        <xdr:cNvCxnSpPr/>
      </xdr:nvCxnSpPr>
      <xdr:spPr>
        <a:xfrm>
          <a:off x="14954885" y="41275"/>
          <a:ext cx="0" cy="4229608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1</xdr:row>
      <xdr:rowOff>15421</xdr:rowOff>
    </xdr:from>
    <xdr:to>
      <xdr:col>14</xdr:col>
      <xdr:colOff>0</xdr:colOff>
      <xdr:row>101</xdr:row>
      <xdr:rowOff>356152</xdr:rowOff>
    </xdr:to>
    <xdr:cxnSp macro="">
      <xdr:nvCxnSpPr>
        <xdr:cNvPr id="9" name="Straight Connector 6">
          <a:extLst>
            <a:ext uri="{FF2B5EF4-FFF2-40B4-BE49-F238E27FC236}">
              <a16:creationId xmlns:a16="http://schemas.microsoft.com/office/drawing/2014/main" id="{00000000-0008-0000-0500-000009000000}"/>
            </a:ext>
          </a:extLst>
        </xdr:cNvPr>
        <xdr:cNvCxnSpPr/>
      </xdr:nvCxnSpPr>
      <xdr:spPr>
        <a:xfrm>
          <a:off x="15629890" y="84455"/>
          <a:ext cx="0" cy="4614354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554935</xdr:colOff>
      <xdr:row>1</xdr:row>
      <xdr:rowOff>15240</xdr:rowOff>
    </xdr:from>
    <xdr:to>
      <xdr:col>14</xdr:col>
      <xdr:colOff>605790</xdr:colOff>
      <xdr:row>101</xdr:row>
      <xdr:rowOff>364434</xdr:rowOff>
    </xdr:to>
    <xdr:cxnSp macro="">
      <xdr:nvCxnSpPr>
        <xdr:cNvPr id="10" name="Straight Connector 7">
          <a:extLst>
            <a:ext uri="{FF2B5EF4-FFF2-40B4-BE49-F238E27FC236}">
              <a16:creationId xmlns:a16="http://schemas.microsoft.com/office/drawing/2014/main" id="{00000000-0008-0000-0500-00000A000000}"/>
            </a:ext>
          </a:extLst>
        </xdr:cNvPr>
        <xdr:cNvCxnSpPr/>
      </xdr:nvCxnSpPr>
      <xdr:spPr>
        <a:xfrm flipH="1">
          <a:off x="16184245" y="84455"/>
          <a:ext cx="51435" cy="4615180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3842</xdr:colOff>
      <xdr:row>1</xdr:row>
      <xdr:rowOff>19050</xdr:rowOff>
    </xdr:from>
    <xdr:to>
      <xdr:col>16</xdr:col>
      <xdr:colOff>3842</xdr:colOff>
      <xdr:row>101</xdr:row>
      <xdr:rowOff>347869</xdr:rowOff>
    </xdr:to>
    <xdr:cxnSp macro="">
      <xdr:nvCxnSpPr>
        <xdr:cNvPr id="11" name="Straight Connector 8">
          <a:extLst>
            <a:ext uri="{FF2B5EF4-FFF2-40B4-BE49-F238E27FC236}">
              <a16:creationId xmlns:a16="http://schemas.microsoft.com/office/drawing/2014/main" id="{00000000-0008-0000-0500-00000B000000}"/>
            </a:ext>
          </a:extLst>
        </xdr:cNvPr>
        <xdr:cNvCxnSpPr/>
      </xdr:nvCxnSpPr>
      <xdr:spPr>
        <a:xfrm>
          <a:off x="16945610" y="88265"/>
          <a:ext cx="0" cy="4613148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1</xdr:row>
      <xdr:rowOff>19050</xdr:rowOff>
    </xdr:from>
    <xdr:to>
      <xdr:col>18</xdr:col>
      <xdr:colOff>0</xdr:colOff>
      <xdr:row>101</xdr:row>
      <xdr:rowOff>339587</xdr:rowOff>
    </xdr:to>
    <xdr:cxnSp macro="">
      <xdr:nvCxnSpPr>
        <xdr:cNvPr id="18" name="Straight Connector 10">
          <a:extLst>
            <a:ext uri="{FF2B5EF4-FFF2-40B4-BE49-F238E27FC236}">
              <a16:creationId xmlns:a16="http://schemas.microsoft.com/office/drawing/2014/main" id="{00000000-0008-0000-0500-00000D000000}"/>
            </a:ext>
          </a:extLst>
        </xdr:cNvPr>
        <xdr:cNvCxnSpPr/>
      </xdr:nvCxnSpPr>
      <xdr:spPr>
        <a:xfrm>
          <a:off x="11751972" y="90599"/>
          <a:ext cx="0" cy="470601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479102</xdr:colOff>
      <xdr:row>1</xdr:row>
      <xdr:rowOff>0</xdr:rowOff>
    </xdr:from>
    <xdr:to>
      <xdr:col>16</xdr:col>
      <xdr:colOff>479102</xdr:colOff>
      <xdr:row>100</xdr:row>
      <xdr:rowOff>339586</xdr:rowOff>
    </xdr:to>
    <xdr:cxnSp macro="">
      <xdr:nvCxnSpPr>
        <xdr:cNvPr id="14" name="Straight Connector 10">
          <a:extLst>
            <a:ext uri="{FF2B5EF4-FFF2-40B4-BE49-F238E27FC236}">
              <a16:creationId xmlns:a16="http://schemas.microsoft.com/office/drawing/2014/main" id="{00000000-0008-0000-0500-00000E000000}"/>
            </a:ext>
          </a:extLst>
        </xdr:cNvPr>
        <xdr:cNvCxnSpPr/>
      </xdr:nvCxnSpPr>
      <xdr:spPr>
        <a:xfrm>
          <a:off x="17420590" y="69215"/>
          <a:ext cx="0" cy="45751750"/>
        </a:xfrm>
        <a:prstGeom prst="line">
          <a:avLst/>
        </a:prstGeom>
        <a:ln w="1905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259582</xdr:colOff>
      <xdr:row>81</xdr:row>
      <xdr:rowOff>314529</xdr:rowOff>
    </xdr:from>
    <xdr:to>
      <xdr:col>16</xdr:col>
      <xdr:colOff>454439</xdr:colOff>
      <xdr:row>94</xdr:row>
      <xdr:rowOff>78460</xdr:rowOff>
    </xdr:to>
    <xdr:sp macro="" textlink="">
      <xdr:nvSpPr>
        <xdr:cNvPr id="15" name="TextBox 13">
          <a:extLst>
            <a:ext uri="{FF2B5EF4-FFF2-40B4-BE49-F238E27FC236}">
              <a16:creationId xmlns:a16="http://schemas.microsoft.com/office/drawing/2014/main" id="{00000000-0008-0000-0500-00000F000000}"/>
            </a:ext>
          </a:extLst>
        </xdr:cNvPr>
        <xdr:cNvSpPr txBox="1"/>
      </xdr:nvSpPr>
      <xdr:spPr>
        <a:xfrm rot="16200000">
          <a:off x="8808160" y="42349244"/>
          <a:ext cx="4042622" cy="194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16</xdr:col>
      <xdr:colOff>77564</xdr:colOff>
      <xdr:row>13</xdr:row>
      <xdr:rowOff>280183</xdr:rowOff>
    </xdr:from>
    <xdr:to>
      <xdr:col>16</xdr:col>
      <xdr:colOff>188148</xdr:colOff>
      <xdr:row>13</xdr:row>
      <xdr:rowOff>282222</xdr:rowOff>
    </xdr:to>
    <xdr:cxnSp macro="">
      <xdr:nvCxnSpPr>
        <xdr:cNvPr id="59" name="Straight Connector 17">
          <a:extLst>
            <a:ext uri="{FF2B5EF4-FFF2-40B4-BE49-F238E27FC236}">
              <a16:creationId xmlns:a16="http://schemas.microsoft.com/office/drawing/2014/main" id="{00000000-0008-0000-0500-00003B000000}"/>
            </a:ext>
          </a:extLst>
        </xdr:cNvPr>
        <xdr:cNvCxnSpPr/>
      </xdr:nvCxnSpPr>
      <xdr:spPr>
        <a:xfrm>
          <a:off x="10553384" y="5282908"/>
          <a:ext cx="110584" cy="2039"/>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96983</xdr:colOff>
      <xdr:row>19</xdr:row>
      <xdr:rowOff>289403</xdr:rowOff>
    </xdr:from>
    <xdr:to>
      <xdr:col>16</xdr:col>
      <xdr:colOff>236017</xdr:colOff>
      <xdr:row>19</xdr:row>
      <xdr:rowOff>291786</xdr:rowOff>
    </xdr:to>
    <xdr:cxnSp macro="">
      <xdr:nvCxnSpPr>
        <xdr:cNvPr id="79" name="Straight Connector 18">
          <a:extLst>
            <a:ext uri="{FF2B5EF4-FFF2-40B4-BE49-F238E27FC236}">
              <a16:creationId xmlns:a16="http://schemas.microsoft.com/office/drawing/2014/main" id="{00000000-0008-0000-0500-00004F000000}"/>
            </a:ext>
          </a:extLst>
        </xdr:cNvPr>
        <xdr:cNvCxnSpPr/>
      </xdr:nvCxnSpPr>
      <xdr:spPr>
        <a:xfrm flipV="1">
          <a:off x="10568864" y="8190376"/>
          <a:ext cx="139034" cy="2383"/>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205406</xdr:colOff>
      <xdr:row>25</xdr:row>
      <xdr:rowOff>297877</xdr:rowOff>
    </xdr:from>
    <xdr:to>
      <xdr:col>16</xdr:col>
      <xdr:colOff>365923</xdr:colOff>
      <xdr:row>25</xdr:row>
      <xdr:rowOff>297877</xdr:rowOff>
    </xdr:to>
    <xdr:cxnSp macro="">
      <xdr:nvCxnSpPr>
        <xdr:cNvPr id="91" name="Straight Connector 19">
          <a:extLst>
            <a:ext uri="{FF2B5EF4-FFF2-40B4-BE49-F238E27FC236}">
              <a16:creationId xmlns:a16="http://schemas.microsoft.com/office/drawing/2014/main" id="{00000000-0008-0000-0500-00005B000000}"/>
            </a:ext>
          </a:extLst>
        </xdr:cNvPr>
        <xdr:cNvCxnSpPr/>
      </xdr:nvCxnSpPr>
      <xdr:spPr>
        <a:xfrm>
          <a:off x="10674623" y="11175703"/>
          <a:ext cx="16051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338089</xdr:colOff>
      <xdr:row>31</xdr:row>
      <xdr:rowOff>305294</xdr:rowOff>
    </xdr:from>
    <xdr:to>
      <xdr:col>16</xdr:col>
      <xdr:colOff>473126</xdr:colOff>
      <xdr:row>31</xdr:row>
      <xdr:rowOff>305580</xdr:rowOff>
    </xdr:to>
    <xdr:cxnSp macro="">
      <xdr:nvCxnSpPr>
        <xdr:cNvPr id="108" name="Straight Connector 20">
          <a:extLst>
            <a:ext uri="{FF2B5EF4-FFF2-40B4-BE49-F238E27FC236}">
              <a16:creationId xmlns:a16="http://schemas.microsoft.com/office/drawing/2014/main" id="{00000000-0008-0000-0500-00006C000000}"/>
            </a:ext>
          </a:extLst>
        </xdr:cNvPr>
        <xdr:cNvCxnSpPr/>
      </xdr:nvCxnSpPr>
      <xdr:spPr>
        <a:xfrm flipV="1">
          <a:off x="10805836" y="14065072"/>
          <a:ext cx="135037" cy="286"/>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5669</xdr:colOff>
      <xdr:row>37</xdr:row>
      <xdr:rowOff>298947</xdr:rowOff>
    </xdr:from>
    <xdr:to>
      <xdr:col>16</xdr:col>
      <xdr:colOff>173140</xdr:colOff>
      <xdr:row>37</xdr:row>
      <xdr:rowOff>298947</xdr:rowOff>
    </xdr:to>
    <xdr:cxnSp macro="">
      <xdr:nvCxnSpPr>
        <xdr:cNvPr id="125" name="Straight Connector 21">
          <a:extLst>
            <a:ext uri="{FF2B5EF4-FFF2-40B4-BE49-F238E27FC236}">
              <a16:creationId xmlns:a16="http://schemas.microsoft.com/office/drawing/2014/main" id="{00000000-0008-0000-0500-00007D000000}"/>
            </a:ext>
          </a:extLst>
        </xdr:cNvPr>
        <xdr:cNvCxnSpPr/>
      </xdr:nvCxnSpPr>
      <xdr:spPr>
        <a:xfrm>
          <a:off x="16946880" y="16960215"/>
          <a:ext cx="16764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102416</xdr:colOff>
      <xdr:row>79</xdr:row>
      <xdr:rowOff>184321</xdr:rowOff>
    </xdr:from>
    <xdr:to>
      <xdr:col>19</xdr:col>
      <xdr:colOff>224590</xdr:colOff>
      <xdr:row>79</xdr:row>
      <xdr:rowOff>184321</xdr:rowOff>
    </xdr:to>
    <xdr:cxnSp macro="">
      <xdr:nvCxnSpPr>
        <xdr:cNvPr id="215" name="Straight Connector 19">
          <a:extLst>
            <a:ext uri="{FF2B5EF4-FFF2-40B4-BE49-F238E27FC236}">
              <a16:creationId xmlns:a16="http://schemas.microsoft.com/office/drawing/2014/main" id="{00000000-0008-0000-0500-0000D7000000}"/>
            </a:ext>
          </a:extLst>
        </xdr:cNvPr>
        <xdr:cNvCxnSpPr/>
      </xdr:nvCxnSpPr>
      <xdr:spPr>
        <a:xfrm>
          <a:off x="12477532" y="39554321"/>
          <a:ext cx="12217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165743</xdr:colOff>
      <xdr:row>80</xdr:row>
      <xdr:rowOff>186245</xdr:rowOff>
    </xdr:from>
    <xdr:to>
      <xdr:col>19</xdr:col>
      <xdr:colOff>287917</xdr:colOff>
      <xdr:row>80</xdr:row>
      <xdr:rowOff>186245</xdr:rowOff>
    </xdr:to>
    <xdr:cxnSp macro="">
      <xdr:nvCxnSpPr>
        <xdr:cNvPr id="216" name="Straight Connector 19">
          <a:extLst>
            <a:ext uri="{FF2B5EF4-FFF2-40B4-BE49-F238E27FC236}">
              <a16:creationId xmlns:a16="http://schemas.microsoft.com/office/drawing/2014/main" id="{00000000-0008-0000-0500-0000D8000000}"/>
            </a:ext>
          </a:extLst>
        </xdr:cNvPr>
        <xdr:cNvCxnSpPr/>
      </xdr:nvCxnSpPr>
      <xdr:spPr>
        <a:xfrm>
          <a:off x="12540859" y="39918047"/>
          <a:ext cx="12217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269040</xdr:colOff>
      <xdr:row>9</xdr:row>
      <xdr:rowOff>288818</xdr:rowOff>
    </xdr:from>
    <xdr:to>
      <xdr:col>16</xdr:col>
      <xdr:colOff>407245</xdr:colOff>
      <xdr:row>9</xdr:row>
      <xdr:rowOff>288818</xdr:rowOff>
    </xdr:to>
    <xdr:cxnSp macro="">
      <xdr:nvCxnSpPr>
        <xdr:cNvPr id="6" name="Straight Connector 32">
          <a:extLst>
            <a:ext uri="{FF2B5EF4-FFF2-40B4-BE49-F238E27FC236}">
              <a16:creationId xmlns:a16="http://schemas.microsoft.com/office/drawing/2014/main" id="{00000000-0008-0000-0500-000006000000}"/>
            </a:ext>
          </a:extLst>
        </xdr:cNvPr>
        <xdr:cNvCxnSpPr/>
      </xdr:nvCxnSpPr>
      <xdr:spPr>
        <a:xfrm>
          <a:off x="10749080" y="3534938"/>
          <a:ext cx="13820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368115</xdr:colOff>
      <xdr:row>20</xdr:row>
      <xdr:rowOff>253079</xdr:rowOff>
    </xdr:from>
    <xdr:to>
      <xdr:col>16</xdr:col>
      <xdr:colOff>470673</xdr:colOff>
      <xdr:row>20</xdr:row>
      <xdr:rowOff>253129</xdr:rowOff>
    </xdr:to>
    <xdr:cxnSp macro="">
      <xdr:nvCxnSpPr>
        <xdr:cNvPr id="80" name="Straight Connector 34">
          <a:extLst>
            <a:ext uri="{FF2B5EF4-FFF2-40B4-BE49-F238E27FC236}">
              <a16:creationId xmlns:a16="http://schemas.microsoft.com/office/drawing/2014/main" id="{00000000-0008-0000-0500-000050000000}"/>
            </a:ext>
          </a:extLst>
        </xdr:cNvPr>
        <xdr:cNvCxnSpPr/>
      </xdr:nvCxnSpPr>
      <xdr:spPr>
        <a:xfrm>
          <a:off x="10841014" y="8728949"/>
          <a:ext cx="102558" cy="5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123963</xdr:colOff>
      <xdr:row>38</xdr:row>
      <xdr:rowOff>298314</xdr:rowOff>
    </xdr:from>
    <xdr:to>
      <xdr:col>16</xdr:col>
      <xdr:colOff>269185</xdr:colOff>
      <xdr:row>38</xdr:row>
      <xdr:rowOff>298314</xdr:rowOff>
    </xdr:to>
    <xdr:cxnSp macro="">
      <xdr:nvCxnSpPr>
        <xdr:cNvPr id="126" name="Straight Connector 37">
          <a:extLst>
            <a:ext uri="{FF2B5EF4-FFF2-40B4-BE49-F238E27FC236}">
              <a16:creationId xmlns:a16="http://schemas.microsoft.com/office/drawing/2014/main" id="{00000000-0008-0000-0500-00007E000000}"/>
            </a:ext>
          </a:extLst>
        </xdr:cNvPr>
        <xdr:cNvCxnSpPr/>
      </xdr:nvCxnSpPr>
      <xdr:spPr>
        <a:xfrm>
          <a:off x="17065625" y="17531080"/>
          <a:ext cx="1447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404487</xdr:colOff>
      <xdr:row>15</xdr:row>
      <xdr:rowOff>284880</xdr:rowOff>
    </xdr:from>
    <xdr:to>
      <xdr:col>16</xdr:col>
      <xdr:colOff>471773</xdr:colOff>
      <xdr:row>15</xdr:row>
      <xdr:rowOff>285762</xdr:rowOff>
    </xdr:to>
    <xdr:cxnSp macro="">
      <xdr:nvCxnSpPr>
        <xdr:cNvPr id="69" name="Straight Connector 40">
          <a:extLst>
            <a:ext uri="{FF2B5EF4-FFF2-40B4-BE49-F238E27FC236}">
              <a16:creationId xmlns:a16="http://schemas.microsoft.com/office/drawing/2014/main" id="{00000000-0008-0000-0500-000045000000}"/>
            </a:ext>
          </a:extLst>
        </xdr:cNvPr>
        <xdr:cNvCxnSpPr/>
      </xdr:nvCxnSpPr>
      <xdr:spPr>
        <a:xfrm>
          <a:off x="10875463" y="6434812"/>
          <a:ext cx="67286" cy="882"/>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340139</xdr:colOff>
      <xdr:row>4</xdr:row>
      <xdr:rowOff>284922</xdr:rowOff>
    </xdr:from>
    <xdr:to>
      <xdr:col>16</xdr:col>
      <xdr:colOff>106680</xdr:colOff>
      <xdr:row>4</xdr:row>
      <xdr:rowOff>289560</xdr:rowOff>
    </xdr:to>
    <xdr:cxnSp macro="">
      <xdr:nvCxnSpPr>
        <xdr:cNvPr id="61" name="Straight Connector 1">
          <a:extLst>
            <a:ext uri="{FF2B5EF4-FFF2-40B4-BE49-F238E27FC236}">
              <a16:creationId xmlns:a16="http://schemas.microsoft.com/office/drawing/2014/main" id="{00000000-0008-0000-0500-00003D000000}"/>
            </a:ext>
          </a:extLst>
        </xdr:cNvPr>
        <xdr:cNvCxnSpPr/>
      </xdr:nvCxnSpPr>
      <xdr:spPr>
        <a:xfrm>
          <a:off x="9550179" y="660842"/>
          <a:ext cx="1036541" cy="4638"/>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207479</xdr:colOff>
      <xdr:row>5</xdr:row>
      <xdr:rowOff>267668</xdr:rowOff>
    </xdr:from>
    <xdr:to>
      <xdr:col>16</xdr:col>
      <xdr:colOff>50800</xdr:colOff>
      <xdr:row>5</xdr:row>
      <xdr:rowOff>279400</xdr:rowOff>
    </xdr:to>
    <xdr:cxnSp macro="">
      <xdr:nvCxnSpPr>
        <xdr:cNvPr id="63" name="Straight Connector 1">
          <a:extLst>
            <a:ext uri="{FF2B5EF4-FFF2-40B4-BE49-F238E27FC236}">
              <a16:creationId xmlns:a16="http://schemas.microsoft.com/office/drawing/2014/main" id="{00000000-0008-0000-0500-00003F000000}"/>
            </a:ext>
          </a:extLst>
        </xdr:cNvPr>
        <xdr:cNvCxnSpPr/>
      </xdr:nvCxnSpPr>
      <xdr:spPr>
        <a:xfrm>
          <a:off x="10052519" y="1217628"/>
          <a:ext cx="478321" cy="11732"/>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419361</xdr:colOff>
      <xdr:row>10</xdr:row>
      <xdr:rowOff>275394</xdr:rowOff>
    </xdr:from>
    <xdr:to>
      <xdr:col>16</xdr:col>
      <xdr:colOff>490524</xdr:colOff>
      <xdr:row>10</xdr:row>
      <xdr:rowOff>279377</xdr:rowOff>
    </xdr:to>
    <xdr:cxnSp macro="">
      <xdr:nvCxnSpPr>
        <xdr:cNvPr id="57" name="Straight Connector 64">
          <a:extLst>
            <a:ext uri="{FF2B5EF4-FFF2-40B4-BE49-F238E27FC236}">
              <a16:creationId xmlns:a16="http://schemas.microsoft.com/office/drawing/2014/main" id="{00000000-0008-0000-0500-000039000000}"/>
            </a:ext>
          </a:extLst>
        </xdr:cNvPr>
        <xdr:cNvCxnSpPr/>
      </xdr:nvCxnSpPr>
      <xdr:spPr>
        <a:xfrm>
          <a:off x="10892808" y="4088096"/>
          <a:ext cx="71163" cy="3983"/>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170430</xdr:colOff>
      <xdr:row>27</xdr:row>
      <xdr:rowOff>309217</xdr:rowOff>
    </xdr:from>
    <xdr:to>
      <xdr:col>17</xdr:col>
      <xdr:colOff>425174</xdr:colOff>
      <xdr:row>27</xdr:row>
      <xdr:rowOff>310365</xdr:rowOff>
    </xdr:to>
    <xdr:cxnSp macro="">
      <xdr:nvCxnSpPr>
        <xdr:cNvPr id="99" name="Straight Connector 19">
          <a:extLst>
            <a:ext uri="{FF2B5EF4-FFF2-40B4-BE49-F238E27FC236}">
              <a16:creationId xmlns:a16="http://schemas.microsoft.com/office/drawing/2014/main" id="{00000000-0008-0000-0500-000063000000}"/>
            </a:ext>
          </a:extLst>
        </xdr:cNvPr>
        <xdr:cNvCxnSpPr/>
      </xdr:nvCxnSpPr>
      <xdr:spPr>
        <a:xfrm flipV="1">
          <a:off x="11274647" y="12335565"/>
          <a:ext cx="254744" cy="114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345730</xdr:colOff>
      <xdr:row>28</xdr:row>
      <xdr:rowOff>260353</xdr:rowOff>
    </xdr:from>
    <xdr:to>
      <xdr:col>17</xdr:col>
      <xdr:colOff>421831</xdr:colOff>
      <xdr:row>28</xdr:row>
      <xdr:rowOff>261316</xdr:rowOff>
    </xdr:to>
    <xdr:cxnSp macro="">
      <xdr:nvCxnSpPr>
        <xdr:cNvPr id="103" name="Straight Connector 19">
          <a:extLst>
            <a:ext uri="{FF2B5EF4-FFF2-40B4-BE49-F238E27FC236}">
              <a16:creationId xmlns:a16="http://schemas.microsoft.com/office/drawing/2014/main" id="{00000000-0008-0000-0500-000067000000}"/>
            </a:ext>
          </a:extLst>
        </xdr:cNvPr>
        <xdr:cNvCxnSpPr/>
      </xdr:nvCxnSpPr>
      <xdr:spPr>
        <a:xfrm flipV="1">
          <a:off x="11449947" y="12860962"/>
          <a:ext cx="76101" cy="96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377370</xdr:colOff>
      <xdr:row>29</xdr:row>
      <xdr:rowOff>279560</xdr:rowOff>
    </xdr:from>
    <xdr:to>
      <xdr:col>17</xdr:col>
      <xdr:colOff>424957</xdr:colOff>
      <xdr:row>29</xdr:row>
      <xdr:rowOff>280677</xdr:rowOff>
    </xdr:to>
    <xdr:cxnSp macro="">
      <xdr:nvCxnSpPr>
        <xdr:cNvPr id="105" name="Straight Connector 19">
          <a:extLst>
            <a:ext uri="{FF2B5EF4-FFF2-40B4-BE49-F238E27FC236}">
              <a16:creationId xmlns:a16="http://schemas.microsoft.com/office/drawing/2014/main" id="{00000000-0008-0000-0500-000069000000}"/>
            </a:ext>
          </a:extLst>
        </xdr:cNvPr>
        <xdr:cNvCxnSpPr/>
      </xdr:nvCxnSpPr>
      <xdr:spPr>
        <a:xfrm>
          <a:off x="11481587" y="13454430"/>
          <a:ext cx="47587" cy="111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308080</xdr:colOff>
      <xdr:row>33</xdr:row>
      <xdr:rowOff>315602</xdr:rowOff>
    </xdr:from>
    <xdr:to>
      <xdr:col>17</xdr:col>
      <xdr:colOff>536118</xdr:colOff>
      <xdr:row>33</xdr:row>
      <xdr:rowOff>320193</xdr:rowOff>
    </xdr:to>
    <xdr:cxnSp macro="">
      <xdr:nvCxnSpPr>
        <xdr:cNvPr id="115" name="Straight Connector 19">
          <a:extLst>
            <a:ext uri="{FF2B5EF4-FFF2-40B4-BE49-F238E27FC236}">
              <a16:creationId xmlns:a16="http://schemas.microsoft.com/office/drawing/2014/main" id="{00000000-0008-0000-0500-000073000000}"/>
            </a:ext>
          </a:extLst>
        </xdr:cNvPr>
        <xdr:cNvCxnSpPr/>
      </xdr:nvCxnSpPr>
      <xdr:spPr>
        <a:xfrm>
          <a:off x="11422602" y="15171366"/>
          <a:ext cx="228038" cy="459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531911</xdr:colOff>
      <xdr:row>34</xdr:row>
      <xdr:rowOff>289210</xdr:rowOff>
    </xdr:from>
    <xdr:to>
      <xdr:col>18</xdr:col>
      <xdr:colOff>7522</xdr:colOff>
      <xdr:row>34</xdr:row>
      <xdr:rowOff>289235</xdr:rowOff>
    </xdr:to>
    <xdr:cxnSp macro="">
      <xdr:nvCxnSpPr>
        <xdr:cNvPr id="121" name="Straight Connector 19">
          <a:extLst>
            <a:ext uri="{FF2B5EF4-FFF2-40B4-BE49-F238E27FC236}">
              <a16:creationId xmlns:a16="http://schemas.microsoft.com/office/drawing/2014/main" id="{00000000-0008-0000-0500-000079000000}"/>
            </a:ext>
          </a:extLst>
        </xdr:cNvPr>
        <xdr:cNvCxnSpPr/>
      </xdr:nvCxnSpPr>
      <xdr:spPr>
        <a:xfrm flipV="1">
          <a:off x="11646433" y="15715261"/>
          <a:ext cx="110611" cy="2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572832</xdr:colOff>
      <xdr:row>35</xdr:row>
      <xdr:rowOff>309888</xdr:rowOff>
    </xdr:from>
    <xdr:to>
      <xdr:col>17</xdr:col>
      <xdr:colOff>628912</xdr:colOff>
      <xdr:row>35</xdr:row>
      <xdr:rowOff>312456</xdr:rowOff>
    </xdr:to>
    <xdr:cxnSp macro="">
      <xdr:nvCxnSpPr>
        <xdr:cNvPr id="124" name="Straight Connector 19">
          <a:extLst>
            <a:ext uri="{FF2B5EF4-FFF2-40B4-BE49-F238E27FC236}">
              <a16:creationId xmlns:a16="http://schemas.microsoft.com/office/drawing/2014/main" id="{00000000-0008-0000-0500-00007C000000}"/>
            </a:ext>
          </a:extLst>
        </xdr:cNvPr>
        <xdr:cNvCxnSpPr/>
      </xdr:nvCxnSpPr>
      <xdr:spPr>
        <a:xfrm>
          <a:off x="11687354" y="16306226"/>
          <a:ext cx="56080" cy="256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579035</xdr:colOff>
      <xdr:row>39</xdr:row>
      <xdr:rowOff>270987</xdr:rowOff>
    </xdr:from>
    <xdr:to>
      <xdr:col>18</xdr:col>
      <xdr:colOff>190096</xdr:colOff>
      <xdr:row>39</xdr:row>
      <xdr:rowOff>276852</xdr:rowOff>
    </xdr:to>
    <xdr:cxnSp macro="">
      <xdr:nvCxnSpPr>
        <xdr:cNvPr id="130" name="Straight Connector 19">
          <a:extLst>
            <a:ext uri="{FF2B5EF4-FFF2-40B4-BE49-F238E27FC236}">
              <a16:creationId xmlns:a16="http://schemas.microsoft.com/office/drawing/2014/main" id="{00000000-0008-0000-0500-000082000000}"/>
            </a:ext>
          </a:extLst>
        </xdr:cNvPr>
        <xdr:cNvCxnSpPr/>
      </xdr:nvCxnSpPr>
      <xdr:spPr>
        <a:xfrm flipV="1">
          <a:off x="11693557" y="18034809"/>
          <a:ext cx="246061" cy="586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148309</xdr:colOff>
      <xdr:row>40</xdr:row>
      <xdr:rowOff>278690</xdr:rowOff>
    </xdr:from>
    <xdr:to>
      <xdr:col>18</xdr:col>
      <xdr:colOff>258920</xdr:colOff>
      <xdr:row>40</xdr:row>
      <xdr:rowOff>278715</xdr:rowOff>
    </xdr:to>
    <xdr:cxnSp macro="">
      <xdr:nvCxnSpPr>
        <xdr:cNvPr id="133" name="Straight Connector 19">
          <a:extLst>
            <a:ext uri="{FF2B5EF4-FFF2-40B4-BE49-F238E27FC236}">
              <a16:creationId xmlns:a16="http://schemas.microsoft.com/office/drawing/2014/main" id="{00000000-0008-0000-0500-000085000000}"/>
            </a:ext>
          </a:extLst>
        </xdr:cNvPr>
        <xdr:cNvCxnSpPr/>
      </xdr:nvCxnSpPr>
      <xdr:spPr>
        <a:xfrm flipV="1">
          <a:off x="11897831" y="18612798"/>
          <a:ext cx="110611" cy="2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198775</xdr:colOff>
      <xdr:row>41</xdr:row>
      <xdr:rowOff>246063</xdr:rowOff>
    </xdr:from>
    <xdr:to>
      <xdr:col>18</xdr:col>
      <xdr:colOff>253877</xdr:colOff>
      <xdr:row>41</xdr:row>
      <xdr:rowOff>248061</xdr:rowOff>
    </xdr:to>
    <xdr:cxnSp macro="">
      <xdr:nvCxnSpPr>
        <xdr:cNvPr id="135" name="Straight Connector 19">
          <a:extLst>
            <a:ext uri="{FF2B5EF4-FFF2-40B4-BE49-F238E27FC236}">
              <a16:creationId xmlns:a16="http://schemas.microsoft.com/office/drawing/2014/main" id="{00000000-0008-0000-0500-000087000000}"/>
            </a:ext>
          </a:extLst>
        </xdr:cNvPr>
        <xdr:cNvCxnSpPr/>
      </xdr:nvCxnSpPr>
      <xdr:spPr>
        <a:xfrm flipV="1">
          <a:off x="11948297" y="19150458"/>
          <a:ext cx="55102" cy="199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160715</xdr:colOff>
      <xdr:row>45</xdr:row>
      <xdr:rowOff>303707</xdr:rowOff>
    </xdr:from>
    <xdr:to>
      <xdr:col>18</xdr:col>
      <xdr:colOff>306979</xdr:colOff>
      <xdr:row>45</xdr:row>
      <xdr:rowOff>303732</xdr:rowOff>
    </xdr:to>
    <xdr:cxnSp macro="">
      <xdr:nvCxnSpPr>
        <xdr:cNvPr id="145" name="Straight Connector 19">
          <a:extLst>
            <a:ext uri="{FF2B5EF4-FFF2-40B4-BE49-F238E27FC236}">
              <a16:creationId xmlns:a16="http://schemas.microsoft.com/office/drawing/2014/main" id="{00000000-0008-0000-0500-000091000000}"/>
            </a:ext>
          </a:extLst>
        </xdr:cNvPr>
        <xdr:cNvCxnSpPr/>
      </xdr:nvCxnSpPr>
      <xdr:spPr>
        <a:xfrm flipV="1">
          <a:off x="11910237" y="20975586"/>
          <a:ext cx="146264" cy="2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300515</xdr:colOff>
      <xdr:row>46</xdr:row>
      <xdr:rowOff>252647</xdr:rowOff>
    </xdr:from>
    <xdr:to>
      <xdr:col>18</xdr:col>
      <xdr:colOff>392268</xdr:colOff>
      <xdr:row>46</xdr:row>
      <xdr:rowOff>253646</xdr:rowOff>
    </xdr:to>
    <xdr:cxnSp macro="">
      <xdr:nvCxnSpPr>
        <xdr:cNvPr id="149" name="Straight Connector 19">
          <a:extLst>
            <a:ext uri="{FF2B5EF4-FFF2-40B4-BE49-F238E27FC236}">
              <a16:creationId xmlns:a16="http://schemas.microsoft.com/office/drawing/2014/main" id="{00000000-0008-0000-0500-000095000000}"/>
            </a:ext>
          </a:extLst>
        </xdr:cNvPr>
        <xdr:cNvCxnSpPr/>
      </xdr:nvCxnSpPr>
      <xdr:spPr>
        <a:xfrm flipV="1">
          <a:off x="12045102" y="21528060"/>
          <a:ext cx="91753" cy="999"/>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334039</xdr:colOff>
      <xdr:row>47</xdr:row>
      <xdr:rowOff>234762</xdr:rowOff>
    </xdr:from>
    <xdr:to>
      <xdr:col>18</xdr:col>
      <xdr:colOff>381985</xdr:colOff>
      <xdr:row>47</xdr:row>
      <xdr:rowOff>236331</xdr:rowOff>
    </xdr:to>
    <xdr:cxnSp macro="">
      <xdr:nvCxnSpPr>
        <xdr:cNvPr id="155" name="Straight Connector 19">
          <a:extLst>
            <a:ext uri="{FF2B5EF4-FFF2-40B4-BE49-F238E27FC236}">
              <a16:creationId xmlns:a16="http://schemas.microsoft.com/office/drawing/2014/main" id="{00000000-0008-0000-0500-00009B000000}"/>
            </a:ext>
          </a:extLst>
        </xdr:cNvPr>
        <xdr:cNvCxnSpPr/>
      </xdr:nvCxnSpPr>
      <xdr:spPr>
        <a:xfrm>
          <a:off x="12073050" y="22065858"/>
          <a:ext cx="47946" cy="1569"/>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256284</xdr:colOff>
      <xdr:row>49</xdr:row>
      <xdr:rowOff>320873</xdr:rowOff>
    </xdr:from>
    <xdr:to>
      <xdr:col>17</xdr:col>
      <xdr:colOff>531091</xdr:colOff>
      <xdr:row>49</xdr:row>
      <xdr:rowOff>323273</xdr:rowOff>
    </xdr:to>
    <xdr:cxnSp macro="">
      <xdr:nvCxnSpPr>
        <xdr:cNvPr id="166" name="Straight Connector 19">
          <a:extLst>
            <a:ext uri="{FF2B5EF4-FFF2-40B4-BE49-F238E27FC236}">
              <a16:creationId xmlns:a16="http://schemas.microsoft.com/office/drawing/2014/main" id="{00000000-0008-0000-0500-0000A6000000}"/>
            </a:ext>
          </a:extLst>
        </xdr:cNvPr>
        <xdr:cNvCxnSpPr/>
      </xdr:nvCxnSpPr>
      <xdr:spPr>
        <a:xfrm>
          <a:off x="11374557" y="22817191"/>
          <a:ext cx="274807" cy="240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283944</xdr:colOff>
      <xdr:row>51</xdr:row>
      <xdr:rowOff>294269</xdr:rowOff>
    </xdr:from>
    <xdr:to>
      <xdr:col>18</xdr:col>
      <xdr:colOff>575730</xdr:colOff>
      <xdr:row>51</xdr:row>
      <xdr:rowOff>300182</xdr:rowOff>
    </xdr:to>
    <xdr:cxnSp macro="">
      <xdr:nvCxnSpPr>
        <xdr:cNvPr id="169" name="Straight Connector 19">
          <a:extLst>
            <a:ext uri="{FF2B5EF4-FFF2-40B4-BE49-F238E27FC236}">
              <a16:creationId xmlns:a16="http://schemas.microsoft.com/office/drawing/2014/main" id="{00000000-0008-0000-0500-0000A9000000}"/>
            </a:ext>
          </a:extLst>
        </xdr:cNvPr>
        <xdr:cNvCxnSpPr/>
      </xdr:nvCxnSpPr>
      <xdr:spPr>
        <a:xfrm>
          <a:off x="12018537" y="23990610"/>
          <a:ext cx="291786" cy="591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498120</xdr:colOff>
      <xdr:row>52</xdr:row>
      <xdr:rowOff>244203</xdr:rowOff>
    </xdr:from>
    <xdr:to>
      <xdr:col>18</xdr:col>
      <xdr:colOff>587496</xdr:colOff>
      <xdr:row>52</xdr:row>
      <xdr:rowOff>247336</xdr:rowOff>
    </xdr:to>
    <xdr:cxnSp macro="">
      <xdr:nvCxnSpPr>
        <xdr:cNvPr id="176" name="Straight Connector 19">
          <a:extLst>
            <a:ext uri="{FF2B5EF4-FFF2-40B4-BE49-F238E27FC236}">
              <a16:creationId xmlns:a16="http://schemas.microsoft.com/office/drawing/2014/main" id="{00000000-0008-0000-0500-0000B0000000}"/>
            </a:ext>
          </a:extLst>
        </xdr:cNvPr>
        <xdr:cNvCxnSpPr/>
      </xdr:nvCxnSpPr>
      <xdr:spPr>
        <a:xfrm flipV="1">
          <a:off x="12232713" y="24513593"/>
          <a:ext cx="89376" cy="313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537681</xdr:colOff>
      <xdr:row>53</xdr:row>
      <xdr:rowOff>271262</xdr:rowOff>
    </xdr:from>
    <xdr:to>
      <xdr:col>18</xdr:col>
      <xdr:colOff>585627</xdr:colOff>
      <xdr:row>53</xdr:row>
      <xdr:rowOff>272831</xdr:rowOff>
    </xdr:to>
    <xdr:cxnSp macro="">
      <xdr:nvCxnSpPr>
        <xdr:cNvPr id="174" name="Straight Connector 19">
          <a:extLst>
            <a:ext uri="{FF2B5EF4-FFF2-40B4-BE49-F238E27FC236}">
              <a16:creationId xmlns:a16="http://schemas.microsoft.com/office/drawing/2014/main" id="{00000000-0008-0000-0500-0000AE000000}"/>
            </a:ext>
          </a:extLst>
        </xdr:cNvPr>
        <xdr:cNvCxnSpPr/>
      </xdr:nvCxnSpPr>
      <xdr:spPr>
        <a:xfrm>
          <a:off x="12272274" y="25113701"/>
          <a:ext cx="47946" cy="1569"/>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424927</xdr:colOff>
      <xdr:row>55</xdr:row>
      <xdr:rowOff>267696</xdr:rowOff>
    </xdr:from>
    <xdr:to>
      <xdr:col>17</xdr:col>
      <xdr:colOff>602353</xdr:colOff>
      <xdr:row>55</xdr:row>
      <xdr:rowOff>270809</xdr:rowOff>
    </xdr:to>
    <xdr:cxnSp macro="">
      <xdr:nvCxnSpPr>
        <xdr:cNvPr id="181" name="Straight Connector 19">
          <a:extLst>
            <a:ext uri="{FF2B5EF4-FFF2-40B4-BE49-F238E27FC236}">
              <a16:creationId xmlns:a16="http://schemas.microsoft.com/office/drawing/2014/main" id="{00000000-0008-0000-0500-0000B5000000}"/>
            </a:ext>
          </a:extLst>
        </xdr:cNvPr>
        <xdr:cNvCxnSpPr/>
      </xdr:nvCxnSpPr>
      <xdr:spPr>
        <a:xfrm flipV="1">
          <a:off x="11524520" y="25739972"/>
          <a:ext cx="177426" cy="311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1773</xdr:colOff>
      <xdr:row>56</xdr:row>
      <xdr:rowOff>271824</xdr:rowOff>
    </xdr:from>
    <xdr:to>
      <xdr:col>18</xdr:col>
      <xdr:colOff>198000</xdr:colOff>
      <xdr:row>56</xdr:row>
      <xdr:rowOff>275061</xdr:rowOff>
    </xdr:to>
    <xdr:cxnSp macro="">
      <xdr:nvCxnSpPr>
        <xdr:cNvPr id="183" name="Straight Connector 19">
          <a:extLst>
            <a:ext uri="{FF2B5EF4-FFF2-40B4-BE49-F238E27FC236}">
              <a16:creationId xmlns:a16="http://schemas.microsoft.com/office/drawing/2014/main" id="{00000000-0008-0000-0500-0000B7000000}"/>
            </a:ext>
          </a:extLst>
        </xdr:cNvPr>
        <xdr:cNvCxnSpPr/>
      </xdr:nvCxnSpPr>
      <xdr:spPr>
        <a:xfrm>
          <a:off x="11736366" y="26317149"/>
          <a:ext cx="196227" cy="323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558623</xdr:colOff>
      <xdr:row>57</xdr:row>
      <xdr:rowOff>289486</xdr:rowOff>
    </xdr:from>
    <xdr:to>
      <xdr:col>19</xdr:col>
      <xdr:colOff>126076</xdr:colOff>
      <xdr:row>57</xdr:row>
      <xdr:rowOff>292723</xdr:rowOff>
    </xdr:to>
    <xdr:cxnSp macro="">
      <xdr:nvCxnSpPr>
        <xdr:cNvPr id="185" name="Straight Connector 19">
          <a:extLst>
            <a:ext uri="{FF2B5EF4-FFF2-40B4-BE49-F238E27FC236}">
              <a16:creationId xmlns:a16="http://schemas.microsoft.com/office/drawing/2014/main" id="{00000000-0008-0000-0500-0000B9000000}"/>
            </a:ext>
          </a:extLst>
        </xdr:cNvPr>
        <xdr:cNvCxnSpPr/>
      </xdr:nvCxnSpPr>
      <xdr:spPr>
        <a:xfrm>
          <a:off x="12293216" y="26907860"/>
          <a:ext cx="202453" cy="323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106213</xdr:colOff>
      <xdr:row>58</xdr:row>
      <xdr:rowOff>280147</xdr:rowOff>
    </xdr:from>
    <xdr:to>
      <xdr:col>19</xdr:col>
      <xdr:colOff>195589</xdr:colOff>
      <xdr:row>58</xdr:row>
      <xdr:rowOff>283280</xdr:rowOff>
    </xdr:to>
    <xdr:cxnSp macro="">
      <xdr:nvCxnSpPr>
        <xdr:cNvPr id="187" name="Straight Connector 19">
          <a:extLst>
            <a:ext uri="{FF2B5EF4-FFF2-40B4-BE49-F238E27FC236}">
              <a16:creationId xmlns:a16="http://schemas.microsoft.com/office/drawing/2014/main" id="{00000000-0008-0000-0500-0000BB000000}"/>
            </a:ext>
          </a:extLst>
        </xdr:cNvPr>
        <xdr:cNvCxnSpPr/>
      </xdr:nvCxnSpPr>
      <xdr:spPr>
        <a:xfrm flipV="1">
          <a:off x="12475806" y="27471570"/>
          <a:ext cx="89376" cy="313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162166</xdr:colOff>
      <xdr:row>59</xdr:row>
      <xdr:rowOff>235657</xdr:rowOff>
    </xdr:from>
    <xdr:to>
      <xdr:col>19</xdr:col>
      <xdr:colOff>210112</xdr:colOff>
      <xdr:row>59</xdr:row>
      <xdr:rowOff>237226</xdr:rowOff>
    </xdr:to>
    <xdr:cxnSp macro="">
      <xdr:nvCxnSpPr>
        <xdr:cNvPr id="189" name="Straight Connector 19">
          <a:extLst>
            <a:ext uri="{FF2B5EF4-FFF2-40B4-BE49-F238E27FC236}">
              <a16:creationId xmlns:a16="http://schemas.microsoft.com/office/drawing/2014/main" id="{00000000-0008-0000-0500-0000BD000000}"/>
            </a:ext>
          </a:extLst>
        </xdr:cNvPr>
        <xdr:cNvCxnSpPr/>
      </xdr:nvCxnSpPr>
      <xdr:spPr>
        <a:xfrm>
          <a:off x="12531759" y="28000129"/>
          <a:ext cx="47946" cy="1569"/>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602506</xdr:colOff>
      <xdr:row>61</xdr:row>
      <xdr:rowOff>329820</xdr:rowOff>
    </xdr:from>
    <xdr:to>
      <xdr:col>18</xdr:col>
      <xdr:colOff>175529</xdr:colOff>
      <xdr:row>61</xdr:row>
      <xdr:rowOff>330406</xdr:rowOff>
    </xdr:to>
    <xdr:cxnSp macro="">
      <xdr:nvCxnSpPr>
        <xdr:cNvPr id="194" name="Straight Connector 19">
          <a:extLst>
            <a:ext uri="{FF2B5EF4-FFF2-40B4-BE49-F238E27FC236}">
              <a16:creationId xmlns:a16="http://schemas.microsoft.com/office/drawing/2014/main" id="{00000000-0008-0000-0500-0000C2000000}"/>
            </a:ext>
          </a:extLst>
        </xdr:cNvPr>
        <xdr:cNvCxnSpPr/>
      </xdr:nvCxnSpPr>
      <xdr:spPr>
        <a:xfrm>
          <a:off x="11702099" y="28724129"/>
          <a:ext cx="208023" cy="586"/>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174189</xdr:colOff>
      <xdr:row>62</xdr:row>
      <xdr:rowOff>266661</xdr:rowOff>
    </xdr:from>
    <xdr:to>
      <xdr:col>18</xdr:col>
      <xdr:colOff>314262</xdr:colOff>
      <xdr:row>62</xdr:row>
      <xdr:rowOff>269794</xdr:rowOff>
    </xdr:to>
    <xdr:cxnSp macro="">
      <xdr:nvCxnSpPr>
        <xdr:cNvPr id="201" name="Straight Connector 19">
          <a:extLst>
            <a:ext uri="{FF2B5EF4-FFF2-40B4-BE49-F238E27FC236}">
              <a16:creationId xmlns:a16="http://schemas.microsoft.com/office/drawing/2014/main" id="{00000000-0008-0000-0500-0000C9000000}"/>
            </a:ext>
          </a:extLst>
        </xdr:cNvPr>
        <xdr:cNvCxnSpPr/>
      </xdr:nvCxnSpPr>
      <xdr:spPr>
        <a:xfrm flipV="1">
          <a:off x="11908782" y="29234019"/>
          <a:ext cx="140073" cy="313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167004</xdr:colOff>
      <xdr:row>63</xdr:row>
      <xdr:rowOff>290396</xdr:rowOff>
    </xdr:from>
    <xdr:to>
      <xdr:col>19</xdr:col>
      <xdr:colOff>371708</xdr:colOff>
      <xdr:row>63</xdr:row>
      <xdr:rowOff>294268</xdr:rowOff>
    </xdr:to>
    <xdr:cxnSp macro="">
      <xdr:nvCxnSpPr>
        <xdr:cNvPr id="204" name="Straight Connector 19">
          <a:extLst>
            <a:ext uri="{FF2B5EF4-FFF2-40B4-BE49-F238E27FC236}">
              <a16:creationId xmlns:a16="http://schemas.microsoft.com/office/drawing/2014/main" id="{00000000-0008-0000-0500-0000CC000000}"/>
            </a:ext>
          </a:extLst>
        </xdr:cNvPr>
        <xdr:cNvCxnSpPr/>
      </xdr:nvCxnSpPr>
      <xdr:spPr>
        <a:xfrm>
          <a:off x="12536597" y="29830803"/>
          <a:ext cx="204704" cy="3872"/>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385450</xdr:colOff>
      <xdr:row>64</xdr:row>
      <xdr:rowOff>246797</xdr:rowOff>
    </xdr:from>
    <xdr:to>
      <xdr:col>19</xdr:col>
      <xdr:colOff>484808</xdr:colOff>
      <xdr:row>64</xdr:row>
      <xdr:rowOff>247046</xdr:rowOff>
    </xdr:to>
    <xdr:cxnSp macro="">
      <xdr:nvCxnSpPr>
        <xdr:cNvPr id="203" name="Straight Connector 19">
          <a:extLst>
            <a:ext uri="{FF2B5EF4-FFF2-40B4-BE49-F238E27FC236}">
              <a16:creationId xmlns:a16="http://schemas.microsoft.com/office/drawing/2014/main" id="{00000000-0008-0000-0500-0000CB000000}"/>
            </a:ext>
          </a:extLst>
        </xdr:cNvPr>
        <xdr:cNvCxnSpPr/>
      </xdr:nvCxnSpPr>
      <xdr:spPr>
        <a:xfrm flipV="1">
          <a:off x="12755043" y="30360252"/>
          <a:ext cx="99358" cy="249"/>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425004</xdr:colOff>
      <xdr:row>65</xdr:row>
      <xdr:rowOff>287360</xdr:rowOff>
    </xdr:from>
    <xdr:to>
      <xdr:col>19</xdr:col>
      <xdr:colOff>472950</xdr:colOff>
      <xdr:row>65</xdr:row>
      <xdr:rowOff>288929</xdr:rowOff>
    </xdr:to>
    <xdr:cxnSp macro="">
      <xdr:nvCxnSpPr>
        <xdr:cNvPr id="206" name="Straight Connector 19">
          <a:extLst>
            <a:ext uri="{FF2B5EF4-FFF2-40B4-BE49-F238E27FC236}">
              <a16:creationId xmlns:a16="http://schemas.microsoft.com/office/drawing/2014/main" id="{00000000-0008-0000-0500-0000CE000000}"/>
            </a:ext>
          </a:extLst>
        </xdr:cNvPr>
        <xdr:cNvCxnSpPr/>
      </xdr:nvCxnSpPr>
      <xdr:spPr>
        <a:xfrm>
          <a:off x="12794597" y="30973864"/>
          <a:ext cx="47946" cy="1569"/>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230054</xdr:colOff>
      <xdr:row>81</xdr:row>
      <xdr:rowOff>163331</xdr:rowOff>
    </xdr:from>
    <xdr:to>
      <xdr:col>19</xdr:col>
      <xdr:colOff>304636</xdr:colOff>
      <xdr:row>81</xdr:row>
      <xdr:rowOff>169681</xdr:rowOff>
    </xdr:to>
    <xdr:cxnSp macro="">
      <xdr:nvCxnSpPr>
        <xdr:cNvPr id="230" name="Straight Connector 19">
          <a:extLst>
            <a:ext uri="{FF2B5EF4-FFF2-40B4-BE49-F238E27FC236}">
              <a16:creationId xmlns:a16="http://schemas.microsoft.com/office/drawing/2014/main" id="{00000000-0008-0000-0500-0000E6000000}"/>
            </a:ext>
          </a:extLst>
        </xdr:cNvPr>
        <xdr:cNvCxnSpPr/>
      </xdr:nvCxnSpPr>
      <xdr:spPr>
        <a:xfrm flipV="1">
          <a:off x="12600248" y="40404610"/>
          <a:ext cx="74582" cy="635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285100</xdr:colOff>
      <xdr:row>82</xdr:row>
      <xdr:rowOff>211815</xdr:rowOff>
    </xdr:from>
    <xdr:to>
      <xdr:col>19</xdr:col>
      <xdr:colOff>325317</xdr:colOff>
      <xdr:row>82</xdr:row>
      <xdr:rowOff>212064</xdr:rowOff>
    </xdr:to>
    <xdr:cxnSp macro="">
      <xdr:nvCxnSpPr>
        <xdr:cNvPr id="232" name="Straight Connector 19">
          <a:extLst>
            <a:ext uri="{FF2B5EF4-FFF2-40B4-BE49-F238E27FC236}">
              <a16:creationId xmlns:a16="http://schemas.microsoft.com/office/drawing/2014/main" id="{00000000-0008-0000-0500-0000E8000000}"/>
            </a:ext>
          </a:extLst>
        </xdr:cNvPr>
        <xdr:cNvCxnSpPr/>
      </xdr:nvCxnSpPr>
      <xdr:spPr>
        <a:xfrm flipV="1">
          <a:off x="12655294" y="40817358"/>
          <a:ext cx="40217" cy="249"/>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310867</xdr:colOff>
      <xdr:row>83</xdr:row>
      <xdr:rowOff>188322</xdr:rowOff>
    </xdr:from>
    <xdr:to>
      <xdr:col>19</xdr:col>
      <xdr:colOff>340349</xdr:colOff>
      <xdr:row>83</xdr:row>
      <xdr:rowOff>190590</xdr:rowOff>
    </xdr:to>
    <xdr:cxnSp macro="">
      <xdr:nvCxnSpPr>
        <xdr:cNvPr id="235" name="Straight Connector 19">
          <a:extLst>
            <a:ext uri="{FF2B5EF4-FFF2-40B4-BE49-F238E27FC236}">
              <a16:creationId xmlns:a16="http://schemas.microsoft.com/office/drawing/2014/main" id="{00000000-0008-0000-0500-0000EB000000}"/>
            </a:ext>
          </a:extLst>
        </xdr:cNvPr>
        <xdr:cNvCxnSpPr/>
      </xdr:nvCxnSpPr>
      <xdr:spPr>
        <a:xfrm>
          <a:off x="12687092" y="41202294"/>
          <a:ext cx="29482" cy="226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432699</xdr:colOff>
      <xdr:row>71</xdr:row>
      <xdr:rowOff>696006</xdr:rowOff>
    </xdr:from>
    <xdr:to>
      <xdr:col>20</xdr:col>
      <xdr:colOff>0</xdr:colOff>
      <xdr:row>71</xdr:row>
      <xdr:rowOff>696006</xdr:rowOff>
    </xdr:to>
    <xdr:cxnSp macro="">
      <xdr:nvCxnSpPr>
        <xdr:cNvPr id="4" name="Straight Connector 19">
          <a:extLst>
            <a:ext uri="{FF2B5EF4-FFF2-40B4-BE49-F238E27FC236}">
              <a16:creationId xmlns:a16="http://schemas.microsoft.com/office/drawing/2014/main" id="{00000000-0008-0000-0500-000004000000}"/>
            </a:ext>
          </a:extLst>
        </xdr:cNvPr>
        <xdr:cNvCxnSpPr/>
      </xdr:nvCxnSpPr>
      <xdr:spPr>
        <a:xfrm>
          <a:off x="12817699" y="33471006"/>
          <a:ext cx="202301"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71</xdr:row>
      <xdr:rowOff>16565</xdr:rowOff>
    </xdr:from>
    <xdr:to>
      <xdr:col>16</xdr:col>
      <xdr:colOff>468820</xdr:colOff>
      <xdr:row>80</xdr:row>
      <xdr:rowOff>140805</xdr:rowOff>
    </xdr:to>
    <xdr:sp macro="" textlink="">
      <xdr:nvSpPr>
        <xdr:cNvPr id="5" name="TextBox 13">
          <a:extLst>
            <a:ext uri="{FF2B5EF4-FFF2-40B4-BE49-F238E27FC236}">
              <a16:creationId xmlns:a16="http://schemas.microsoft.com/office/drawing/2014/main" id="{00000000-0008-0000-0500-000005000000}"/>
            </a:ext>
          </a:extLst>
        </xdr:cNvPr>
        <xdr:cNvSpPr txBox="1"/>
      </xdr:nvSpPr>
      <xdr:spPr>
        <a:xfrm rot="16200000">
          <a:off x="14982825" y="35118040"/>
          <a:ext cx="466026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252946</xdr:colOff>
      <xdr:row>83</xdr:row>
      <xdr:rowOff>127889</xdr:rowOff>
    </xdr:from>
    <xdr:to>
      <xdr:col>16</xdr:col>
      <xdr:colOff>447803</xdr:colOff>
      <xdr:row>97</xdr:row>
      <xdr:rowOff>252129</xdr:rowOff>
    </xdr:to>
    <xdr:sp macro="" textlink="">
      <xdr:nvSpPr>
        <xdr:cNvPr id="16" name="TextBox 13">
          <a:extLst>
            <a:ext uri="{FF2B5EF4-FFF2-40B4-BE49-F238E27FC236}">
              <a16:creationId xmlns:a16="http://schemas.microsoft.com/office/drawing/2014/main" id="{00000000-0008-0000-0500-000010000000}"/>
            </a:ext>
          </a:extLst>
        </xdr:cNvPr>
        <xdr:cNvSpPr txBox="1"/>
      </xdr:nvSpPr>
      <xdr:spPr>
        <a:xfrm rot="16200000">
          <a:off x="8581052" y="43108791"/>
          <a:ext cx="4483565" cy="194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0</xdr:colOff>
      <xdr:row>6</xdr:row>
      <xdr:rowOff>274320</xdr:rowOff>
    </xdr:from>
    <xdr:to>
      <xdr:col>16</xdr:col>
      <xdr:colOff>375920</xdr:colOff>
      <xdr:row>6</xdr:row>
      <xdr:rowOff>279400</xdr:rowOff>
    </xdr:to>
    <xdr:cxnSp macro="">
      <xdr:nvCxnSpPr>
        <xdr:cNvPr id="21" name="Straight Connector 1">
          <a:extLst>
            <a:ext uri="{FF2B5EF4-FFF2-40B4-BE49-F238E27FC236}">
              <a16:creationId xmlns:a16="http://schemas.microsoft.com/office/drawing/2014/main" id="{4C0E4666-48F2-4B86-B7C8-B4A1429482F5}"/>
            </a:ext>
          </a:extLst>
        </xdr:cNvPr>
        <xdr:cNvCxnSpPr/>
      </xdr:nvCxnSpPr>
      <xdr:spPr>
        <a:xfrm>
          <a:off x="10480040" y="1798320"/>
          <a:ext cx="375920"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86360</xdr:colOff>
      <xdr:row>7</xdr:row>
      <xdr:rowOff>279400</xdr:rowOff>
    </xdr:from>
    <xdr:to>
      <xdr:col>16</xdr:col>
      <xdr:colOff>304800</xdr:colOff>
      <xdr:row>7</xdr:row>
      <xdr:rowOff>284480</xdr:rowOff>
    </xdr:to>
    <xdr:cxnSp macro="">
      <xdr:nvCxnSpPr>
        <xdr:cNvPr id="23" name="Straight Connector 1">
          <a:extLst>
            <a:ext uri="{FF2B5EF4-FFF2-40B4-BE49-F238E27FC236}">
              <a16:creationId xmlns:a16="http://schemas.microsoft.com/office/drawing/2014/main" id="{35BC9DE6-71FE-4A63-8BCA-12D9D069C2C8}"/>
            </a:ext>
          </a:extLst>
        </xdr:cNvPr>
        <xdr:cNvCxnSpPr/>
      </xdr:nvCxnSpPr>
      <xdr:spPr>
        <a:xfrm flipV="1">
          <a:off x="10566400" y="2377440"/>
          <a:ext cx="218440"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604520</xdr:colOff>
      <xdr:row>8</xdr:row>
      <xdr:rowOff>304800</xdr:rowOff>
    </xdr:from>
    <xdr:to>
      <xdr:col>16</xdr:col>
      <xdr:colOff>187960</xdr:colOff>
      <xdr:row>8</xdr:row>
      <xdr:rowOff>314960</xdr:rowOff>
    </xdr:to>
    <xdr:cxnSp macro="">
      <xdr:nvCxnSpPr>
        <xdr:cNvPr id="25" name="Straight Connector 1">
          <a:extLst>
            <a:ext uri="{FF2B5EF4-FFF2-40B4-BE49-F238E27FC236}">
              <a16:creationId xmlns:a16="http://schemas.microsoft.com/office/drawing/2014/main" id="{53AAEB60-3164-48E8-9E73-52A7BA2ACC26}"/>
            </a:ext>
          </a:extLst>
        </xdr:cNvPr>
        <xdr:cNvCxnSpPr/>
      </xdr:nvCxnSpPr>
      <xdr:spPr>
        <a:xfrm>
          <a:off x="9814560" y="2976880"/>
          <a:ext cx="853440" cy="1016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472440</xdr:colOff>
      <xdr:row>10</xdr:row>
      <xdr:rowOff>274320</xdr:rowOff>
    </xdr:from>
    <xdr:to>
      <xdr:col>16</xdr:col>
      <xdr:colOff>594614</xdr:colOff>
      <xdr:row>10</xdr:row>
      <xdr:rowOff>274320</xdr:rowOff>
    </xdr:to>
    <xdr:cxnSp macro="">
      <xdr:nvCxnSpPr>
        <xdr:cNvPr id="28" name="Straight Connector 19">
          <a:extLst>
            <a:ext uri="{FF2B5EF4-FFF2-40B4-BE49-F238E27FC236}">
              <a16:creationId xmlns:a16="http://schemas.microsoft.com/office/drawing/2014/main" id="{A690B38C-6BB6-4A3A-A41A-C354767DC0DE}"/>
            </a:ext>
          </a:extLst>
        </xdr:cNvPr>
        <xdr:cNvCxnSpPr/>
      </xdr:nvCxnSpPr>
      <xdr:spPr>
        <a:xfrm>
          <a:off x="10952480" y="4094480"/>
          <a:ext cx="12217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534458</xdr:colOff>
      <xdr:row>11</xdr:row>
      <xdr:rowOff>295890</xdr:rowOff>
    </xdr:from>
    <xdr:to>
      <xdr:col>16</xdr:col>
      <xdr:colOff>598430</xdr:colOff>
      <xdr:row>11</xdr:row>
      <xdr:rowOff>296333</xdr:rowOff>
    </xdr:to>
    <xdr:cxnSp macro="">
      <xdr:nvCxnSpPr>
        <xdr:cNvPr id="29" name="Straight Connector 19">
          <a:extLst>
            <a:ext uri="{FF2B5EF4-FFF2-40B4-BE49-F238E27FC236}">
              <a16:creationId xmlns:a16="http://schemas.microsoft.com/office/drawing/2014/main" id="{169D3D85-0032-495B-9CB9-EFAF292019D1}"/>
            </a:ext>
          </a:extLst>
        </xdr:cNvPr>
        <xdr:cNvCxnSpPr/>
      </xdr:nvCxnSpPr>
      <xdr:spPr>
        <a:xfrm flipV="1">
          <a:off x="11003646" y="4674398"/>
          <a:ext cx="63972" cy="44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259291</xdr:colOff>
      <xdr:row>14</xdr:row>
      <xdr:rowOff>317500</xdr:rowOff>
    </xdr:from>
    <xdr:to>
      <xdr:col>16</xdr:col>
      <xdr:colOff>369875</xdr:colOff>
      <xdr:row>14</xdr:row>
      <xdr:rowOff>319539</xdr:rowOff>
    </xdr:to>
    <xdr:cxnSp macro="">
      <xdr:nvCxnSpPr>
        <xdr:cNvPr id="33" name="Straight Connector 17">
          <a:extLst>
            <a:ext uri="{FF2B5EF4-FFF2-40B4-BE49-F238E27FC236}">
              <a16:creationId xmlns:a16="http://schemas.microsoft.com/office/drawing/2014/main" id="{F2F692F2-95DF-44DC-A7DD-A28F051A9C4E}"/>
            </a:ext>
          </a:extLst>
        </xdr:cNvPr>
        <xdr:cNvCxnSpPr/>
      </xdr:nvCxnSpPr>
      <xdr:spPr>
        <a:xfrm>
          <a:off x="10726208" y="5894917"/>
          <a:ext cx="110584" cy="2039"/>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492532</xdr:colOff>
      <xdr:row>15</xdr:row>
      <xdr:rowOff>284935</xdr:rowOff>
    </xdr:from>
    <xdr:to>
      <xdr:col>16</xdr:col>
      <xdr:colOff>556504</xdr:colOff>
      <xdr:row>15</xdr:row>
      <xdr:rowOff>285378</xdr:rowOff>
    </xdr:to>
    <xdr:cxnSp macro="">
      <xdr:nvCxnSpPr>
        <xdr:cNvPr id="36" name="Straight Connector 19">
          <a:extLst>
            <a:ext uri="{FF2B5EF4-FFF2-40B4-BE49-F238E27FC236}">
              <a16:creationId xmlns:a16="http://schemas.microsoft.com/office/drawing/2014/main" id="{7D978097-EEDC-4336-8B14-A5E6420A2F39}"/>
            </a:ext>
          </a:extLst>
        </xdr:cNvPr>
        <xdr:cNvCxnSpPr/>
      </xdr:nvCxnSpPr>
      <xdr:spPr>
        <a:xfrm flipV="1">
          <a:off x="10961891" y="6415127"/>
          <a:ext cx="63972" cy="44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588911</xdr:colOff>
      <xdr:row>16</xdr:row>
      <xdr:rowOff>246250</xdr:rowOff>
    </xdr:from>
    <xdr:to>
      <xdr:col>17</xdr:col>
      <xdr:colOff>103822</xdr:colOff>
      <xdr:row>16</xdr:row>
      <xdr:rowOff>246274</xdr:rowOff>
    </xdr:to>
    <xdr:cxnSp macro="">
      <xdr:nvCxnSpPr>
        <xdr:cNvPr id="37" name="Straight Connector 19">
          <a:extLst>
            <a:ext uri="{FF2B5EF4-FFF2-40B4-BE49-F238E27FC236}">
              <a16:creationId xmlns:a16="http://schemas.microsoft.com/office/drawing/2014/main" id="{2F7924A0-7B23-426A-9B61-AB3A4ED0EE3C}"/>
            </a:ext>
          </a:extLst>
        </xdr:cNvPr>
        <xdr:cNvCxnSpPr/>
      </xdr:nvCxnSpPr>
      <xdr:spPr>
        <a:xfrm>
          <a:off x="11062789" y="6972904"/>
          <a:ext cx="149911" cy="2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57947</xdr:colOff>
      <xdr:row>17</xdr:row>
      <xdr:rowOff>284905</xdr:rowOff>
    </xdr:from>
    <xdr:to>
      <xdr:col>17</xdr:col>
      <xdr:colOff>115894</xdr:colOff>
      <xdr:row>17</xdr:row>
      <xdr:rowOff>284905</xdr:rowOff>
    </xdr:to>
    <xdr:cxnSp macro="">
      <xdr:nvCxnSpPr>
        <xdr:cNvPr id="41" name="Straight Connector 19">
          <a:extLst>
            <a:ext uri="{FF2B5EF4-FFF2-40B4-BE49-F238E27FC236}">
              <a16:creationId xmlns:a16="http://schemas.microsoft.com/office/drawing/2014/main" id="{868A64F7-5F1F-4F87-AB29-ECE2414CBAF7}"/>
            </a:ext>
          </a:extLst>
        </xdr:cNvPr>
        <xdr:cNvCxnSpPr/>
      </xdr:nvCxnSpPr>
      <xdr:spPr>
        <a:xfrm>
          <a:off x="11166825" y="7583783"/>
          <a:ext cx="5794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474820</xdr:colOff>
      <xdr:row>20</xdr:row>
      <xdr:rowOff>251711</xdr:rowOff>
    </xdr:from>
    <xdr:to>
      <xdr:col>16</xdr:col>
      <xdr:colOff>577793</xdr:colOff>
      <xdr:row>20</xdr:row>
      <xdr:rowOff>251712</xdr:rowOff>
    </xdr:to>
    <xdr:cxnSp macro="">
      <xdr:nvCxnSpPr>
        <xdr:cNvPr id="46" name="Straight Connector 19">
          <a:extLst>
            <a:ext uri="{FF2B5EF4-FFF2-40B4-BE49-F238E27FC236}">
              <a16:creationId xmlns:a16="http://schemas.microsoft.com/office/drawing/2014/main" id="{AB09F23B-0271-4E79-B281-EF33A76290D8}"/>
            </a:ext>
          </a:extLst>
        </xdr:cNvPr>
        <xdr:cNvCxnSpPr/>
      </xdr:nvCxnSpPr>
      <xdr:spPr>
        <a:xfrm>
          <a:off x="10938018" y="8746981"/>
          <a:ext cx="102973" cy="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600676</xdr:colOff>
      <xdr:row>21</xdr:row>
      <xdr:rowOff>302054</xdr:rowOff>
    </xdr:from>
    <xdr:to>
      <xdr:col>17</xdr:col>
      <xdr:colOff>195648</xdr:colOff>
      <xdr:row>21</xdr:row>
      <xdr:rowOff>305486</xdr:rowOff>
    </xdr:to>
    <xdr:cxnSp macro="">
      <xdr:nvCxnSpPr>
        <xdr:cNvPr id="49" name="Straight Connector 19">
          <a:extLst>
            <a:ext uri="{FF2B5EF4-FFF2-40B4-BE49-F238E27FC236}">
              <a16:creationId xmlns:a16="http://schemas.microsoft.com/office/drawing/2014/main" id="{68A97FF4-FF61-45B5-A02E-34FD2ECE1B8B}"/>
            </a:ext>
          </a:extLst>
        </xdr:cNvPr>
        <xdr:cNvCxnSpPr/>
      </xdr:nvCxnSpPr>
      <xdr:spPr>
        <a:xfrm flipV="1">
          <a:off x="11076460" y="9391135"/>
          <a:ext cx="229972" cy="3432"/>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188784</xdr:colOff>
      <xdr:row>22</xdr:row>
      <xdr:rowOff>260865</xdr:rowOff>
    </xdr:from>
    <xdr:to>
      <xdr:col>17</xdr:col>
      <xdr:colOff>281459</xdr:colOff>
      <xdr:row>22</xdr:row>
      <xdr:rowOff>264299</xdr:rowOff>
    </xdr:to>
    <xdr:cxnSp macro="">
      <xdr:nvCxnSpPr>
        <xdr:cNvPr id="51" name="Straight Connector 19">
          <a:extLst>
            <a:ext uri="{FF2B5EF4-FFF2-40B4-BE49-F238E27FC236}">
              <a16:creationId xmlns:a16="http://schemas.microsoft.com/office/drawing/2014/main" id="{C755DF0D-06D1-4E4B-BE47-D74EDF19AA75}"/>
            </a:ext>
          </a:extLst>
        </xdr:cNvPr>
        <xdr:cNvCxnSpPr/>
      </xdr:nvCxnSpPr>
      <xdr:spPr>
        <a:xfrm>
          <a:off x="11299568" y="9923162"/>
          <a:ext cx="92675" cy="343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216244</xdr:colOff>
      <xdr:row>23</xdr:row>
      <xdr:rowOff>274595</xdr:rowOff>
    </xdr:from>
    <xdr:to>
      <xdr:col>17</xdr:col>
      <xdr:colOff>308919</xdr:colOff>
      <xdr:row>23</xdr:row>
      <xdr:rowOff>278029</xdr:rowOff>
    </xdr:to>
    <xdr:cxnSp macro="">
      <xdr:nvCxnSpPr>
        <xdr:cNvPr id="53" name="Straight Connector 19">
          <a:extLst>
            <a:ext uri="{FF2B5EF4-FFF2-40B4-BE49-F238E27FC236}">
              <a16:creationId xmlns:a16="http://schemas.microsoft.com/office/drawing/2014/main" id="{6BC09E7D-6DA0-4CCE-8348-57D2FBBFFF5D}"/>
            </a:ext>
          </a:extLst>
        </xdr:cNvPr>
        <xdr:cNvCxnSpPr/>
      </xdr:nvCxnSpPr>
      <xdr:spPr>
        <a:xfrm>
          <a:off x="11327028" y="10510109"/>
          <a:ext cx="92675" cy="343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568739</xdr:colOff>
      <xdr:row>26</xdr:row>
      <xdr:rowOff>309217</xdr:rowOff>
    </xdr:from>
    <xdr:to>
      <xdr:col>17</xdr:col>
      <xdr:colOff>55913</xdr:colOff>
      <xdr:row>26</xdr:row>
      <xdr:rowOff>309217</xdr:rowOff>
    </xdr:to>
    <xdr:cxnSp macro="">
      <xdr:nvCxnSpPr>
        <xdr:cNvPr id="55" name="Straight Connector 19">
          <a:extLst>
            <a:ext uri="{FF2B5EF4-FFF2-40B4-BE49-F238E27FC236}">
              <a16:creationId xmlns:a16="http://schemas.microsoft.com/office/drawing/2014/main" id="{AE5111E5-D764-45AB-85CD-814FE563F47D}"/>
            </a:ext>
          </a:extLst>
        </xdr:cNvPr>
        <xdr:cNvCxnSpPr/>
      </xdr:nvCxnSpPr>
      <xdr:spPr>
        <a:xfrm>
          <a:off x="11037956" y="11761304"/>
          <a:ext cx="12217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489479</xdr:colOff>
      <xdr:row>31</xdr:row>
      <xdr:rowOff>300963</xdr:rowOff>
    </xdr:from>
    <xdr:to>
      <xdr:col>16</xdr:col>
      <xdr:colOff>581025</xdr:colOff>
      <xdr:row>31</xdr:row>
      <xdr:rowOff>301625</xdr:rowOff>
    </xdr:to>
    <xdr:cxnSp macro="">
      <xdr:nvCxnSpPr>
        <xdr:cNvPr id="66" name="Straight Connector 19">
          <a:extLst>
            <a:ext uri="{FF2B5EF4-FFF2-40B4-BE49-F238E27FC236}">
              <a16:creationId xmlns:a16="http://schemas.microsoft.com/office/drawing/2014/main" id="{45A61842-AC24-440C-A896-7C7498F25072}"/>
            </a:ext>
          </a:extLst>
        </xdr:cNvPr>
        <xdr:cNvCxnSpPr/>
      </xdr:nvCxnSpPr>
      <xdr:spPr>
        <a:xfrm>
          <a:off x="10960629" y="14048713"/>
          <a:ext cx="91546" cy="662"/>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57489</xdr:colOff>
      <xdr:row>32</xdr:row>
      <xdr:rowOff>282222</xdr:rowOff>
    </xdr:from>
    <xdr:to>
      <xdr:col>17</xdr:col>
      <xdr:colOff>216893</xdr:colOff>
      <xdr:row>32</xdr:row>
      <xdr:rowOff>282222</xdr:rowOff>
    </xdr:to>
    <xdr:cxnSp macro="">
      <xdr:nvCxnSpPr>
        <xdr:cNvPr id="70" name="Straight Connector 19">
          <a:extLst>
            <a:ext uri="{FF2B5EF4-FFF2-40B4-BE49-F238E27FC236}">
              <a16:creationId xmlns:a16="http://schemas.microsoft.com/office/drawing/2014/main" id="{AE45C0FD-6DEF-4E47-9F7C-479B586B6D35}"/>
            </a:ext>
          </a:extLst>
        </xdr:cNvPr>
        <xdr:cNvCxnSpPr/>
      </xdr:nvCxnSpPr>
      <xdr:spPr>
        <a:xfrm>
          <a:off x="11158230" y="14623292"/>
          <a:ext cx="15940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578376</xdr:colOff>
      <xdr:row>37</xdr:row>
      <xdr:rowOff>270988</xdr:rowOff>
    </xdr:from>
    <xdr:to>
      <xdr:col>17</xdr:col>
      <xdr:colOff>157739</xdr:colOff>
      <xdr:row>37</xdr:row>
      <xdr:rowOff>275057</xdr:rowOff>
    </xdr:to>
    <xdr:cxnSp macro="">
      <xdr:nvCxnSpPr>
        <xdr:cNvPr id="72" name="Straight Connector 19">
          <a:extLst>
            <a:ext uri="{FF2B5EF4-FFF2-40B4-BE49-F238E27FC236}">
              <a16:creationId xmlns:a16="http://schemas.microsoft.com/office/drawing/2014/main" id="{A6BC317E-8E45-4C84-AB3A-710195F87F56}"/>
            </a:ext>
          </a:extLst>
        </xdr:cNvPr>
        <xdr:cNvCxnSpPr/>
      </xdr:nvCxnSpPr>
      <xdr:spPr>
        <a:xfrm flipV="1">
          <a:off x="11057898" y="16894236"/>
          <a:ext cx="214363" cy="4069"/>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93025</xdr:colOff>
      <xdr:row>38</xdr:row>
      <xdr:rowOff>275032</xdr:rowOff>
    </xdr:from>
    <xdr:to>
      <xdr:col>17</xdr:col>
      <xdr:colOff>307388</xdr:colOff>
      <xdr:row>38</xdr:row>
      <xdr:rowOff>279101</xdr:rowOff>
    </xdr:to>
    <xdr:cxnSp macro="">
      <xdr:nvCxnSpPr>
        <xdr:cNvPr id="74" name="Straight Connector 19">
          <a:extLst>
            <a:ext uri="{FF2B5EF4-FFF2-40B4-BE49-F238E27FC236}">
              <a16:creationId xmlns:a16="http://schemas.microsoft.com/office/drawing/2014/main" id="{B8A74C47-3CDA-4B2F-84F3-61193E62E689}"/>
            </a:ext>
          </a:extLst>
        </xdr:cNvPr>
        <xdr:cNvCxnSpPr/>
      </xdr:nvCxnSpPr>
      <xdr:spPr>
        <a:xfrm flipV="1">
          <a:off x="11207547" y="17468567"/>
          <a:ext cx="214363" cy="4069"/>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153694</xdr:colOff>
      <xdr:row>43</xdr:row>
      <xdr:rowOff>339745</xdr:rowOff>
    </xdr:from>
    <xdr:to>
      <xdr:col>17</xdr:col>
      <xdr:colOff>299958</xdr:colOff>
      <xdr:row>43</xdr:row>
      <xdr:rowOff>339770</xdr:rowOff>
    </xdr:to>
    <xdr:cxnSp macro="">
      <xdr:nvCxnSpPr>
        <xdr:cNvPr id="77" name="Straight Connector 19">
          <a:extLst>
            <a:ext uri="{FF2B5EF4-FFF2-40B4-BE49-F238E27FC236}">
              <a16:creationId xmlns:a16="http://schemas.microsoft.com/office/drawing/2014/main" id="{497EC792-EB57-494A-A21C-7FBB4FF2C983}"/>
            </a:ext>
          </a:extLst>
        </xdr:cNvPr>
        <xdr:cNvCxnSpPr/>
      </xdr:nvCxnSpPr>
      <xdr:spPr>
        <a:xfrm flipV="1">
          <a:off x="11268216" y="19871051"/>
          <a:ext cx="146264" cy="2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262899</xdr:colOff>
      <xdr:row>44</xdr:row>
      <xdr:rowOff>279077</xdr:rowOff>
    </xdr:from>
    <xdr:to>
      <xdr:col>17</xdr:col>
      <xdr:colOff>409163</xdr:colOff>
      <xdr:row>44</xdr:row>
      <xdr:rowOff>279102</xdr:rowOff>
    </xdr:to>
    <xdr:cxnSp macro="">
      <xdr:nvCxnSpPr>
        <xdr:cNvPr id="81" name="Straight Connector 19">
          <a:extLst>
            <a:ext uri="{FF2B5EF4-FFF2-40B4-BE49-F238E27FC236}">
              <a16:creationId xmlns:a16="http://schemas.microsoft.com/office/drawing/2014/main" id="{6DC01F39-AD81-4440-9C02-B086B5880AC1}"/>
            </a:ext>
          </a:extLst>
        </xdr:cNvPr>
        <xdr:cNvCxnSpPr/>
      </xdr:nvCxnSpPr>
      <xdr:spPr>
        <a:xfrm flipV="1">
          <a:off x="11377421" y="20380669"/>
          <a:ext cx="146264" cy="2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288636</xdr:colOff>
      <xdr:row>50</xdr:row>
      <xdr:rowOff>282863</xdr:rowOff>
    </xdr:from>
    <xdr:to>
      <xdr:col>17</xdr:col>
      <xdr:colOff>563443</xdr:colOff>
      <xdr:row>50</xdr:row>
      <xdr:rowOff>285263</xdr:rowOff>
    </xdr:to>
    <xdr:cxnSp macro="">
      <xdr:nvCxnSpPr>
        <xdr:cNvPr id="85" name="Straight Connector 19">
          <a:extLst>
            <a:ext uri="{FF2B5EF4-FFF2-40B4-BE49-F238E27FC236}">
              <a16:creationId xmlns:a16="http://schemas.microsoft.com/office/drawing/2014/main" id="{5455AF85-2AE3-4CDF-A00E-9CA36598B043}"/>
            </a:ext>
          </a:extLst>
        </xdr:cNvPr>
        <xdr:cNvCxnSpPr/>
      </xdr:nvCxnSpPr>
      <xdr:spPr>
        <a:xfrm>
          <a:off x="11406909" y="23350681"/>
          <a:ext cx="274807" cy="240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480122</xdr:colOff>
      <xdr:row>67</xdr:row>
      <xdr:rowOff>304594</xdr:rowOff>
    </xdr:from>
    <xdr:to>
      <xdr:col>17</xdr:col>
      <xdr:colOff>129066</xdr:colOff>
      <xdr:row>67</xdr:row>
      <xdr:rowOff>304594</xdr:rowOff>
    </xdr:to>
    <xdr:cxnSp macro="">
      <xdr:nvCxnSpPr>
        <xdr:cNvPr id="97" name="Straight Connector 19">
          <a:extLst>
            <a:ext uri="{FF2B5EF4-FFF2-40B4-BE49-F238E27FC236}">
              <a16:creationId xmlns:a16="http://schemas.microsoft.com/office/drawing/2014/main" id="{086EDBF3-E45C-40DB-A544-CDB964BDFD2A}"/>
            </a:ext>
          </a:extLst>
        </xdr:cNvPr>
        <xdr:cNvCxnSpPr/>
      </xdr:nvCxnSpPr>
      <xdr:spPr>
        <a:xfrm>
          <a:off x="10944715" y="31620935"/>
          <a:ext cx="28394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240164</xdr:colOff>
      <xdr:row>68</xdr:row>
      <xdr:rowOff>240165</xdr:rowOff>
    </xdr:from>
    <xdr:to>
      <xdr:col>16</xdr:col>
      <xdr:colOff>462156</xdr:colOff>
      <xdr:row>68</xdr:row>
      <xdr:rowOff>243656</xdr:rowOff>
    </xdr:to>
    <xdr:cxnSp macro="">
      <xdr:nvCxnSpPr>
        <xdr:cNvPr id="100" name="Straight Connector 2">
          <a:extLst>
            <a:ext uri="{FF2B5EF4-FFF2-40B4-BE49-F238E27FC236}">
              <a16:creationId xmlns:a16="http://schemas.microsoft.com/office/drawing/2014/main" id="{43C7FA0D-FF60-4CD0-8CEB-165FC87A4497}"/>
            </a:ext>
          </a:extLst>
        </xdr:cNvPr>
        <xdr:cNvCxnSpPr/>
      </xdr:nvCxnSpPr>
      <xdr:spPr>
        <a:xfrm>
          <a:off x="10704757" y="32129555"/>
          <a:ext cx="221992" cy="3491"/>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485284</xdr:colOff>
      <xdr:row>68</xdr:row>
      <xdr:rowOff>247805</xdr:rowOff>
    </xdr:from>
    <xdr:to>
      <xdr:col>17</xdr:col>
      <xdr:colOff>134228</xdr:colOff>
      <xdr:row>68</xdr:row>
      <xdr:rowOff>247805</xdr:rowOff>
    </xdr:to>
    <xdr:cxnSp macro="">
      <xdr:nvCxnSpPr>
        <xdr:cNvPr id="101" name="Straight Connector 19">
          <a:extLst>
            <a:ext uri="{FF2B5EF4-FFF2-40B4-BE49-F238E27FC236}">
              <a16:creationId xmlns:a16="http://schemas.microsoft.com/office/drawing/2014/main" id="{DC487094-F1AB-4919-8CF3-5E30F85B07F9}"/>
            </a:ext>
          </a:extLst>
        </xdr:cNvPr>
        <xdr:cNvCxnSpPr/>
      </xdr:nvCxnSpPr>
      <xdr:spPr>
        <a:xfrm>
          <a:off x="10949877" y="32137195"/>
          <a:ext cx="28394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570000</xdr:colOff>
      <xdr:row>72</xdr:row>
      <xdr:rowOff>240000</xdr:rowOff>
    </xdr:from>
    <xdr:to>
      <xdr:col>16</xdr:col>
      <xdr:colOff>189371</xdr:colOff>
      <xdr:row>72</xdr:row>
      <xdr:rowOff>243498</xdr:rowOff>
    </xdr:to>
    <xdr:cxnSp macro="">
      <xdr:nvCxnSpPr>
        <xdr:cNvPr id="107" name="Straight Connector 2">
          <a:extLst>
            <a:ext uri="{FF2B5EF4-FFF2-40B4-BE49-F238E27FC236}">
              <a16:creationId xmlns:a16="http://schemas.microsoft.com/office/drawing/2014/main" id="{9849D621-6075-4D2A-BF27-0C754F83DED8}"/>
            </a:ext>
          </a:extLst>
        </xdr:cNvPr>
        <xdr:cNvCxnSpPr/>
      </xdr:nvCxnSpPr>
      <xdr:spPr>
        <a:xfrm>
          <a:off x="10415000" y="34410000"/>
          <a:ext cx="254371" cy="3498"/>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380000</xdr:colOff>
      <xdr:row>73</xdr:row>
      <xdr:rowOff>700000</xdr:rowOff>
    </xdr:from>
    <xdr:to>
      <xdr:col>16</xdr:col>
      <xdr:colOff>470000</xdr:colOff>
      <xdr:row>73</xdr:row>
      <xdr:rowOff>700000</xdr:rowOff>
    </xdr:to>
    <xdr:cxnSp macro="">
      <xdr:nvCxnSpPr>
        <xdr:cNvPr id="110" name="Straight Connector 2">
          <a:extLst>
            <a:ext uri="{FF2B5EF4-FFF2-40B4-BE49-F238E27FC236}">
              <a16:creationId xmlns:a16="http://schemas.microsoft.com/office/drawing/2014/main" id="{F80B52DF-EA78-462B-A34A-87A632DBB93F}"/>
            </a:ext>
          </a:extLst>
        </xdr:cNvPr>
        <xdr:cNvCxnSpPr/>
      </xdr:nvCxnSpPr>
      <xdr:spPr>
        <a:xfrm>
          <a:off x="10225000" y="35310000"/>
          <a:ext cx="7250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475000</xdr:colOff>
      <xdr:row>73</xdr:row>
      <xdr:rowOff>701006</xdr:rowOff>
    </xdr:from>
    <xdr:to>
      <xdr:col>20</xdr:col>
      <xdr:colOff>0</xdr:colOff>
      <xdr:row>73</xdr:row>
      <xdr:rowOff>701006</xdr:rowOff>
    </xdr:to>
    <xdr:cxnSp macro="">
      <xdr:nvCxnSpPr>
        <xdr:cNvPr id="113" name="Straight Connector 19">
          <a:extLst>
            <a:ext uri="{FF2B5EF4-FFF2-40B4-BE49-F238E27FC236}">
              <a16:creationId xmlns:a16="http://schemas.microsoft.com/office/drawing/2014/main" id="{E2D5666C-A4F1-42A3-B1C6-B39964E852E4}"/>
            </a:ext>
          </a:extLst>
        </xdr:cNvPr>
        <xdr:cNvCxnSpPr/>
      </xdr:nvCxnSpPr>
      <xdr:spPr>
        <a:xfrm>
          <a:off x="10955000" y="35311006"/>
          <a:ext cx="20650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41639</xdr:colOff>
      <xdr:row>74</xdr:row>
      <xdr:rowOff>739098</xdr:rowOff>
    </xdr:from>
    <xdr:to>
      <xdr:col>16</xdr:col>
      <xdr:colOff>460744</xdr:colOff>
      <xdr:row>74</xdr:row>
      <xdr:rowOff>747232</xdr:rowOff>
    </xdr:to>
    <xdr:cxnSp macro="">
      <xdr:nvCxnSpPr>
        <xdr:cNvPr id="116" name="Straight Connector 2">
          <a:extLst>
            <a:ext uri="{FF2B5EF4-FFF2-40B4-BE49-F238E27FC236}">
              <a16:creationId xmlns:a16="http://schemas.microsoft.com/office/drawing/2014/main" id="{3E922D93-7B53-48ED-B933-254B34556517}"/>
            </a:ext>
          </a:extLst>
        </xdr:cNvPr>
        <xdr:cNvCxnSpPr/>
      </xdr:nvCxnSpPr>
      <xdr:spPr>
        <a:xfrm>
          <a:off x="9876755" y="37102447"/>
          <a:ext cx="1054105" cy="8134"/>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464911</xdr:colOff>
      <xdr:row>74</xdr:row>
      <xdr:rowOff>742723</xdr:rowOff>
    </xdr:from>
    <xdr:to>
      <xdr:col>19</xdr:col>
      <xdr:colOff>624911</xdr:colOff>
      <xdr:row>74</xdr:row>
      <xdr:rowOff>742723</xdr:rowOff>
    </xdr:to>
    <xdr:cxnSp macro="">
      <xdr:nvCxnSpPr>
        <xdr:cNvPr id="119" name="Straight Connector 19">
          <a:extLst>
            <a:ext uri="{FF2B5EF4-FFF2-40B4-BE49-F238E27FC236}">
              <a16:creationId xmlns:a16="http://schemas.microsoft.com/office/drawing/2014/main" id="{F69BC3C2-323D-4C8F-8529-5E06F17E5113}"/>
            </a:ext>
          </a:extLst>
        </xdr:cNvPr>
        <xdr:cNvCxnSpPr/>
      </xdr:nvCxnSpPr>
      <xdr:spPr>
        <a:xfrm>
          <a:off x="10936741" y="37090803"/>
          <a:ext cx="20650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337207</xdr:colOff>
      <xdr:row>77</xdr:row>
      <xdr:rowOff>538655</xdr:rowOff>
    </xdr:from>
    <xdr:to>
      <xdr:col>19</xdr:col>
      <xdr:colOff>511933</xdr:colOff>
      <xdr:row>77</xdr:row>
      <xdr:rowOff>543034</xdr:rowOff>
    </xdr:to>
    <xdr:cxnSp macro="">
      <xdr:nvCxnSpPr>
        <xdr:cNvPr id="120" name="Straight Connector 19">
          <a:extLst>
            <a:ext uri="{FF2B5EF4-FFF2-40B4-BE49-F238E27FC236}">
              <a16:creationId xmlns:a16="http://schemas.microsoft.com/office/drawing/2014/main" id="{A5272A9B-EB21-47F9-9655-4E3F869AC049}"/>
            </a:ext>
          </a:extLst>
        </xdr:cNvPr>
        <xdr:cNvCxnSpPr/>
      </xdr:nvCxnSpPr>
      <xdr:spPr>
        <a:xfrm flipV="1">
          <a:off x="12717517" y="39028414"/>
          <a:ext cx="174726" cy="4379"/>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6685</xdr:colOff>
      <xdr:row>85</xdr:row>
      <xdr:rowOff>264583</xdr:rowOff>
    </xdr:from>
    <xdr:to>
      <xdr:col>18</xdr:col>
      <xdr:colOff>211667</xdr:colOff>
      <xdr:row>85</xdr:row>
      <xdr:rowOff>267369</xdr:rowOff>
    </xdr:to>
    <xdr:cxnSp macro="">
      <xdr:nvCxnSpPr>
        <xdr:cNvPr id="123" name="Straight Connector 19">
          <a:extLst>
            <a:ext uri="{FF2B5EF4-FFF2-40B4-BE49-F238E27FC236}">
              <a16:creationId xmlns:a16="http://schemas.microsoft.com/office/drawing/2014/main" id="{60CA34D8-F845-441D-BFB0-788A309D4A2F}"/>
            </a:ext>
          </a:extLst>
        </xdr:cNvPr>
        <xdr:cNvCxnSpPr/>
      </xdr:nvCxnSpPr>
      <xdr:spPr>
        <a:xfrm flipV="1">
          <a:off x="11111044" y="41559936"/>
          <a:ext cx="839982" cy="2786"/>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111970</xdr:colOff>
      <xdr:row>88</xdr:row>
      <xdr:rowOff>274271</xdr:rowOff>
    </xdr:from>
    <xdr:to>
      <xdr:col>18</xdr:col>
      <xdr:colOff>535302</xdr:colOff>
      <xdr:row>88</xdr:row>
      <xdr:rowOff>276087</xdr:rowOff>
    </xdr:to>
    <xdr:cxnSp macro="">
      <xdr:nvCxnSpPr>
        <xdr:cNvPr id="129" name="Straight Connector 19">
          <a:extLst>
            <a:ext uri="{FF2B5EF4-FFF2-40B4-BE49-F238E27FC236}">
              <a16:creationId xmlns:a16="http://schemas.microsoft.com/office/drawing/2014/main" id="{088824F0-B918-4990-9363-F5A985BEC60F}"/>
            </a:ext>
          </a:extLst>
        </xdr:cNvPr>
        <xdr:cNvCxnSpPr/>
      </xdr:nvCxnSpPr>
      <xdr:spPr>
        <a:xfrm>
          <a:off x="11854430" y="42602565"/>
          <a:ext cx="423332" cy="1816"/>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413254</xdr:colOff>
      <xdr:row>91</xdr:row>
      <xdr:rowOff>206627</xdr:rowOff>
    </xdr:from>
    <xdr:to>
      <xdr:col>20</xdr:col>
      <xdr:colOff>5040</xdr:colOff>
      <xdr:row>91</xdr:row>
      <xdr:rowOff>206627</xdr:rowOff>
    </xdr:to>
    <xdr:cxnSp macro="">
      <xdr:nvCxnSpPr>
        <xdr:cNvPr id="2" name="Straight Connector 19">
          <a:extLst>
            <a:ext uri="{FF2B5EF4-FFF2-40B4-BE49-F238E27FC236}">
              <a16:creationId xmlns:a16="http://schemas.microsoft.com/office/drawing/2014/main" id="{689A048D-4146-414F-979E-C7A14D095685}"/>
            </a:ext>
          </a:extLst>
        </xdr:cNvPr>
        <xdr:cNvCxnSpPr/>
      </xdr:nvCxnSpPr>
      <xdr:spPr>
        <a:xfrm>
          <a:off x="12790714" y="43507579"/>
          <a:ext cx="226786"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358</xdr:colOff>
      <xdr:row>1</xdr:row>
      <xdr:rowOff>225112</xdr:rowOff>
    </xdr:from>
    <xdr:to>
      <xdr:col>17</xdr:col>
      <xdr:colOff>358</xdr:colOff>
      <xdr:row>102</xdr:row>
      <xdr:rowOff>161072</xdr:rowOff>
    </xdr:to>
    <xdr:cxnSp macro="">
      <xdr:nvCxnSpPr>
        <xdr:cNvPr id="19" name="Straight Connector 10">
          <a:extLst>
            <a:ext uri="{FF2B5EF4-FFF2-40B4-BE49-F238E27FC236}">
              <a16:creationId xmlns:a16="http://schemas.microsoft.com/office/drawing/2014/main" id="{732689C6-2F02-4287-A426-926615CD1759}"/>
            </a:ext>
          </a:extLst>
        </xdr:cNvPr>
        <xdr:cNvCxnSpPr/>
      </xdr:nvCxnSpPr>
      <xdr:spPr>
        <a:xfrm>
          <a:off x="11117330" y="296661"/>
          <a:ext cx="0" cy="470601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3122</xdr:colOff>
      <xdr:row>1</xdr:row>
      <xdr:rowOff>15240</xdr:rowOff>
    </xdr:from>
    <xdr:to>
      <xdr:col>19</xdr:col>
      <xdr:colOff>3122</xdr:colOff>
      <xdr:row>100</xdr:row>
      <xdr:rowOff>364435</xdr:rowOff>
    </xdr:to>
    <xdr:cxnSp macro="">
      <xdr:nvCxnSpPr>
        <xdr:cNvPr id="3" name="Straight Connector 27">
          <a:extLst>
            <a:ext uri="{FF2B5EF4-FFF2-40B4-BE49-F238E27FC236}">
              <a16:creationId xmlns:a16="http://schemas.microsoft.com/office/drawing/2014/main" id="{00000000-0008-0000-0600-000003000000}"/>
            </a:ext>
          </a:extLst>
        </xdr:cNvPr>
        <xdr:cNvCxnSpPr/>
      </xdr:nvCxnSpPr>
      <xdr:spPr>
        <a:xfrm>
          <a:off x="18912205" y="84455"/>
          <a:ext cx="0" cy="4581842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487699</xdr:colOff>
      <xdr:row>69</xdr:row>
      <xdr:rowOff>216647</xdr:rowOff>
    </xdr:from>
    <xdr:to>
      <xdr:col>19</xdr:col>
      <xdr:colOff>93382</xdr:colOff>
      <xdr:row>69</xdr:row>
      <xdr:rowOff>221006</xdr:rowOff>
    </xdr:to>
    <xdr:cxnSp macro="">
      <xdr:nvCxnSpPr>
        <xdr:cNvPr id="252" name="Straight Connector 19">
          <a:extLst>
            <a:ext uri="{FF2B5EF4-FFF2-40B4-BE49-F238E27FC236}">
              <a16:creationId xmlns:a16="http://schemas.microsoft.com/office/drawing/2014/main" id="{00000000-0008-0000-0600-0000FC000000}"/>
            </a:ext>
          </a:extLst>
        </xdr:cNvPr>
        <xdr:cNvCxnSpPr/>
      </xdr:nvCxnSpPr>
      <xdr:spPr>
        <a:xfrm flipV="1">
          <a:off x="16967817" y="32624059"/>
          <a:ext cx="1510683" cy="4359"/>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74369</xdr:colOff>
      <xdr:row>2</xdr:row>
      <xdr:rowOff>280316</xdr:rowOff>
    </xdr:from>
    <xdr:to>
      <xdr:col>14</xdr:col>
      <xdr:colOff>505811</xdr:colOff>
      <xdr:row>2</xdr:row>
      <xdr:rowOff>282841</xdr:rowOff>
    </xdr:to>
    <xdr:cxnSp macro="">
      <xdr:nvCxnSpPr>
        <xdr:cNvPr id="56" name="Straight Connector 1">
          <a:extLst>
            <a:ext uri="{FF2B5EF4-FFF2-40B4-BE49-F238E27FC236}">
              <a16:creationId xmlns:a16="http://schemas.microsoft.com/office/drawing/2014/main" id="{00000000-0008-0000-0600-000038000000}"/>
            </a:ext>
          </a:extLst>
        </xdr:cNvPr>
        <xdr:cNvCxnSpPr/>
      </xdr:nvCxnSpPr>
      <xdr:spPr>
        <a:xfrm>
          <a:off x="15704185" y="374015"/>
          <a:ext cx="4311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369794</xdr:colOff>
      <xdr:row>67</xdr:row>
      <xdr:rowOff>295088</xdr:rowOff>
    </xdr:from>
    <xdr:to>
      <xdr:col>16</xdr:col>
      <xdr:colOff>495255</xdr:colOff>
      <xdr:row>67</xdr:row>
      <xdr:rowOff>298316</xdr:rowOff>
    </xdr:to>
    <xdr:cxnSp macro="">
      <xdr:nvCxnSpPr>
        <xdr:cNvPr id="247" name="Straight Connector 2">
          <a:extLst>
            <a:ext uri="{FF2B5EF4-FFF2-40B4-BE49-F238E27FC236}">
              <a16:creationId xmlns:a16="http://schemas.microsoft.com/office/drawing/2014/main" id="{00000000-0008-0000-0600-0000F7000000}"/>
            </a:ext>
          </a:extLst>
        </xdr:cNvPr>
        <xdr:cNvCxnSpPr/>
      </xdr:nvCxnSpPr>
      <xdr:spPr>
        <a:xfrm>
          <a:off x="16849912" y="31578176"/>
          <a:ext cx="125461" cy="3228"/>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624417</xdr:colOff>
      <xdr:row>1</xdr:row>
      <xdr:rowOff>47171</xdr:rowOff>
    </xdr:from>
    <xdr:to>
      <xdr:col>13</xdr:col>
      <xdr:colOff>624417</xdr:colOff>
      <xdr:row>100</xdr:row>
      <xdr:rowOff>379620</xdr:rowOff>
    </xdr:to>
    <xdr:cxnSp macro="">
      <xdr:nvCxnSpPr>
        <xdr:cNvPr id="11" name="Straight Connector 6">
          <a:extLst>
            <a:ext uri="{FF2B5EF4-FFF2-40B4-BE49-F238E27FC236}">
              <a16:creationId xmlns:a16="http://schemas.microsoft.com/office/drawing/2014/main" id="{00000000-0008-0000-0600-000009000000}"/>
            </a:ext>
          </a:extLst>
        </xdr:cNvPr>
        <xdr:cNvCxnSpPr/>
      </xdr:nvCxnSpPr>
      <xdr:spPr>
        <a:xfrm>
          <a:off x="15218834" y="121254"/>
          <a:ext cx="0" cy="46708616"/>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605790</xdr:colOff>
      <xdr:row>1</xdr:row>
      <xdr:rowOff>15240</xdr:rowOff>
    </xdr:from>
    <xdr:to>
      <xdr:col>14</xdr:col>
      <xdr:colOff>605790</xdr:colOff>
      <xdr:row>100</xdr:row>
      <xdr:rowOff>372718</xdr:rowOff>
    </xdr:to>
    <xdr:cxnSp macro="">
      <xdr:nvCxnSpPr>
        <xdr:cNvPr id="10" name="Straight Connector 7">
          <a:extLst>
            <a:ext uri="{FF2B5EF4-FFF2-40B4-BE49-F238E27FC236}">
              <a16:creationId xmlns:a16="http://schemas.microsoft.com/office/drawing/2014/main" id="{00000000-0008-0000-0600-00000A000000}"/>
            </a:ext>
          </a:extLst>
        </xdr:cNvPr>
        <xdr:cNvCxnSpPr/>
      </xdr:nvCxnSpPr>
      <xdr:spPr>
        <a:xfrm>
          <a:off x="16235680" y="84455"/>
          <a:ext cx="0" cy="4582668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627636</xdr:colOff>
      <xdr:row>0</xdr:row>
      <xdr:rowOff>52668</xdr:rowOff>
    </xdr:from>
    <xdr:to>
      <xdr:col>15</xdr:col>
      <xdr:colOff>627636</xdr:colOff>
      <xdr:row>100</xdr:row>
      <xdr:rowOff>359400</xdr:rowOff>
    </xdr:to>
    <xdr:cxnSp macro="">
      <xdr:nvCxnSpPr>
        <xdr:cNvPr id="146" name="Straight Connector 8">
          <a:extLst>
            <a:ext uri="{FF2B5EF4-FFF2-40B4-BE49-F238E27FC236}">
              <a16:creationId xmlns:a16="http://schemas.microsoft.com/office/drawing/2014/main" id="{00000000-0008-0000-0600-000092000000}"/>
            </a:ext>
          </a:extLst>
        </xdr:cNvPr>
        <xdr:cNvCxnSpPr/>
      </xdr:nvCxnSpPr>
      <xdr:spPr>
        <a:xfrm>
          <a:off x="16472754" y="52668"/>
          <a:ext cx="0" cy="4682982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635000</xdr:colOff>
      <xdr:row>1</xdr:row>
      <xdr:rowOff>19050</xdr:rowOff>
    </xdr:from>
    <xdr:to>
      <xdr:col>16</xdr:col>
      <xdr:colOff>635000</xdr:colOff>
      <xdr:row>100</xdr:row>
      <xdr:rowOff>347870</xdr:rowOff>
    </xdr:to>
    <xdr:cxnSp macro="">
      <xdr:nvCxnSpPr>
        <xdr:cNvPr id="12" name="Straight Connector 9">
          <a:extLst>
            <a:ext uri="{FF2B5EF4-FFF2-40B4-BE49-F238E27FC236}">
              <a16:creationId xmlns:a16="http://schemas.microsoft.com/office/drawing/2014/main" id="{00000000-0008-0000-0600-00000C000000}"/>
            </a:ext>
          </a:extLst>
        </xdr:cNvPr>
        <xdr:cNvCxnSpPr/>
      </xdr:nvCxnSpPr>
      <xdr:spPr>
        <a:xfrm>
          <a:off x="17123655" y="88420"/>
          <a:ext cx="0" cy="46811887"/>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1</xdr:row>
      <xdr:rowOff>19050</xdr:rowOff>
    </xdr:from>
    <xdr:to>
      <xdr:col>18</xdr:col>
      <xdr:colOff>0</xdr:colOff>
      <xdr:row>100</xdr:row>
      <xdr:rowOff>323022</xdr:rowOff>
    </xdr:to>
    <xdr:cxnSp macro="">
      <xdr:nvCxnSpPr>
        <xdr:cNvPr id="13" name="Straight Connector 10">
          <a:extLst>
            <a:ext uri="{FF2B5EF4-FFF2-40B4-BE49-F238E27FC236}">
              <a16:creationId xmlns:a16="http://schemas.microsoft.com/office/drawing/2014/main" id="{00000000-0008-0000-0600-00000D000000}"/>
            </a:ext>
          </a:extLst>
        </xdr:cNvPr>
        <xdr:cNvCxnSpPr/>
      </xdr:nvCxnSpPr>
      <xdr:spPr>
        <a:xfrm>
          <a:off x="17756128" y="90667"/>
          <a:ext cx="0" cy="46864272"/>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487741</xdr:colOff>
      <xdr:row>1</xdr:row>
      <xdr:rowOff>57978</xdr:rowOff>
    </xdr:from>
    <xdr:to>
      <xdr:col>16</xdr:col>
      <xdr:colOff>487741</xdr:colOff>
      <xdr:row>102</xdr:row>
      <xdr:rowOff>8283</xdr:rowOff>
    </xdr:to>
    <xdr:cxnSp macro="">
      <xdr:nvCxnSpPr>
        <xdr:cNvPr id="143" name="Straight Connector 10">
          <a:extLst>
            <a:ext uri="{FF2B5EF4-FFF2-40B4-BE49-F238E27FC236}">
              <a16:creationId xmlns:a16="http://schemas.microsoft.com/office/drawing/2014/main" id="{00000000-0008-0000-0600-00008F000000}"/>
            </a:ext>
          </a:extLst>
        </xdr:cNvPr>
        <xdr:cNvCxnSpPr/>
      </xdr:nvCxnSpPr>
      <xdr:spPr>
        <a:xfrm>
          <a:off x="16976396" y="127348"/>
          <a:ext cx="0" cy="47212448"/>
        </a:xfrm>
        <a:prstGeom prst="line">
          <a:avLst/>
        </a:prstGeom>
        <a:ln w="1270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82</xdr:row>
      <xdr:rowOff>16565</xdr:rowOff>
    </xdr:from>
    <xdr:to>
      <xdr:col>16</xdr:col>
      <xdr:colOff>468820</xdr:colOff>
      <xdr:row>94</xdr:row>
      <xdr:rowOff>140805</xdr:rowOff>
    </xdr:to>
    <xdr:sp macro="" textlink="">
      <xdr:nvSpPr>
        <xdr:cNvPr id="15" name="TextBox 13">
          <a:extLst>
            <a:ext uri="{FF2B5EF4-FFF2-40B4-BE49-F238E27FC236}">
              <a16:creationId xmlns:a16="http://schemas.microsoft.com/office/drawing/2014/main" id="{00000000-0008-0000-0600-00000F000000}"/>
            </a:ext>
          </a:extLst>
        </xdr:cNvPr>
        <xdr:cNvSpPr txBox="1"/>
      </xdr:nvSpPr>
      <xdr:spPr>
        <a:xfrm rot="16200000">
          <a:off x="14939645" y="41222295"/>
          <a:ext cx="474662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14</xdr:col>
      <xdr:colOff>57207</xdr:colOff>
      <xdr:row>4</xdr:row>
      <xdr:rowOff>303199</xdr:rowOff>
    </xdr:from>
    <xdr:to>
      <xdr:col>16</xdr:col>
      <xdr:colOff>171823</xdr:colOff>
      <xdr:row>4</xdr:row>
      <xdr:rowOff>313765</xdr:rowOff>
    </xdr:to>
    <xdr:cxnSp macro="">
      <xdr:nvCxnSpPr>
        <xdr:cNvPr id="68" name="Straight Connector 15">
          <a:extLst>
            <a:ext uri="{FF2B5EF4-FFF2-40B4-BE49-F238E27FC236}">
              <a16:creationId xmlns:a16="http://schemas.microsoft.com/office/drawing/2014/main" id="{00000000-0008-0000-0600-000044000000}"/>
            </a:ext>
          </a:extLst>
        </xdr:cNvPr>
        <xdr:cNvCxnSpPr/>
      </xdr:nvCxnSpPr>
      <xdr:spPr>
        <a:xfrm>
          <a:off x="15267325" y="736493"/>
          <a:ext cx="1384616" cy="10566"/>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479835</xdr:colOff>
      <xdr:row>13</xdr:row>
      <xdr:rowOff>282737</xdr:rowOff>
    </xdr:from>
    <xdr:to>
      <xdr:col>16</xdr:col>
      <xdr:colOff>203941</xdr:colOff>
      <xdr:row>13</xdr:row>
      <xdr:rowOff>287399</xdr:rowOff>
    </xdr:to>
    <xdr:cxnSp macro="">
      <xdr:nvCxnSpPr>
        <xdr:cNvPr id="87" name="Straight Connector 17">
          <a:extLst>
            <a:ext uri="{FF2B5EF4-FFF2-40B4-BE49-F238E27FC236}">
              <a16:creationId xmlns:a16="http://schemas.microsoft.com/office/drawing/2014/main" id="{00000000-0008-0000-0600-000057000000}"/>
            </a:ext>
          </a:extLst>
        </xdr:cNvPr>
        <xdr:cNvCxnSpPr/>
      </xdr:nvCxnSpPr>
      <xdr:spPr>
        <a:xfrm flipV="1">
          <a:off x="15682755" y="5330292"/>
          <a:ext cx="994106" cy="4662"/>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173584</xdr:colOff>
      <xdr:row>19</xdr:row>
      <xdr:rowOff>308907</xdr:rowOff>
    </xdr:from>
    <xdr:to>
      <xdr:col>16</xdr:col>
      <xdr:colOff>345531</xdr:colOff>
      <xdr:row>19</xdr:row>
      <xdr:rowOff>308907</xdr:rowOff>
    </xdr:to>
    <xdr:cxnSp macro="">
      <xdr:nvCxnSpPr>
        <xdr:cNvPr id="99" name="Straight Connector 18">
          <a:extLst>
            <a:ext uri="{FF2B5EF4-FFF2-40B4-BE49-F238E27FC236}">
              <a16:creationId xmlns:a16="http://schemas.microsoft.com/office/drawing/2014/main" id="{00000000-0008-0000-0600-000063000000}"/>
            </a:ext>
          </a:extLst>
        </xdr:cNvPr>
        <xdr:cNvCxnSpPr/>
      </xdr:nvCxnSpPr>
      <xdr:spPr>
        <a:xfrm>
          <a:off x="16655975" y="8294722"/>
          <a:ext cx="17194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273162</xdr:colOff>
      <xdr:row>25</xdr:row>
      <xdr:rowOff>312178</xdr:rowOff>
    </xdr:from>
    <xdr:to>
      <xdr:col>16</xdr:col>
      <xdr:colOff>433679</xdr:colOff>
      <xdr:row>25</xdr:row>
      <xdr:rowOff>312178</xdr:rowOff>
    </xdr:to>
    <xdr:cxnSp macro="">
      <xdr:nvCxnSpPr>
        <xdr:cNvPr id="112" name="Straight Connector 19">
          <a:extLst>
            <a:ext uri="{FF2B5EF4-FFF2-40B4-BE49-F238E27FC236}">
              <a16:creationId xmlns:a16="http://schemas.microsoft.com/office/drawing/2014/main" id="{00000000-0008-0000-0600-000070000000}"/>
            </a:ext>
          </a:extLst>
        </xdr:cNvPr>
        <xdr:cNvCxnSpPr/>
      </xdr:nvCxnSpPr>
      <xdr:spPr>
        <a:xfrm>
          <a:off x="16752633" y="11235399"/>
          <a:ext cx="160517"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383359</xdr:colOff>
      <xdr:row>88</xdr:row>
      <xdr:rowOff>222152</xdr:rowOff>
    </xdr:from>
    <xdr:to>
      <xdr:col>16</xdr:col>
      <xdr:colOff>487268</xdr:colOff>
      <xdr:row>88</xdr:row>
      <xdr:rowOff>226270</xdr:rowOff>
    </xdr:to>
    <xdr:cxnSp macro="">
      <xdr:nvCxnSpPr>
        <xdr:cNvPr id="277" name="Straight Connector 2">
          <a:extLst>
            <a:ext uri="{FF2B5EF4-FFF2-40B4-BE49-F238E27FC236}">
              <a16:creationId xmlns:a16="http://schemas.microsoft.com/office/drawing/2014/main" id="{00000000-0008-0000-0600-000015010000}"/>
            </a:ext>
          </a:extLst>
        </xdr:cNvPr>
        <xdr:cNvCxnSpPr/>
      </xdr:nvCxnSpPr>
      <xdr:spPr>
        <a:xfrm>
          <a:off x="16857972" y="42765186"/>
          <a:ext cx="103909" cy="4118"/>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312046</xdr:colOff>
      <xdr:row>79</xdr:row>
      <xdr:rowOff>200413</xdr:rowOff>
    </xdr:from>
    <xdr:to>
      <xdr:col>18</xdr:col>
      <xdr:colOff>434220</xdr:colOff>
      <xdr:row>79</xdr:row>
      <xdr:rowOff>200413</xdr:rowOff>
    </xdr:to>
    <xdr:cxnSp macro="">
      <xdr:nvCxnSpPr>
        <xdr:cNvPr id="26" name="Straight Connector 19">
          <a:extLst>
            <a:ext uri="{FF2B5EF4-FFF2-40B4-BE49-F238E27FC236}">
              <a16:creationId xmlns:a16="http://schemas.microsoft.com/office/drawing/2014/main" id="{00000000-0008-0000-0600-00001A000000}"/>
            </a:ext>
          </a:extLst>
        </xdr:cNvPr>
        <xdr:cNvCxnSpPr/>
      </xdr:nvCxnSpPr>
      <xdr:spPr>
        <a:xfrm>
          <a:off x="18054248" y="39978627"/>
          <a:ext cx="12217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436023</xdr:colOff>
      <xdr:row>80</xdr:row>
      <xdr:rowOff>178944</xdr:rowOff>
    </xdr:from>
    <xdr:to>
      <xdr:col>18</xdr:col>
      <xdr:colOff>558197</xdr:colOff>
      <xdr:row>80</xdr:row>
      <xdr:rowOff>178944</xdr:rowOff>
    </xdr:to>
    <xdr:cxnSp macro="">
      <xdr:nvCxnSpPr>
        <xdr:cNvPr id="27" name="Straight Connector 19">
          <a:extLst>
            <a:ext uri="{FF2B5EF4-FFF2-40B4-BE49-F238E27FC236}">
              <a16:creationId xmlns:a16="http://schemas.microsoft.com/office/drawing/2014/main" id="{00000000-0008-0000-0600-00001B000000}"/>
            </a:ext>
          </a:extLst>
        </xdr:cNvPr>
        <xdr:cNvCxnSpPr/>
      </xdr:nvCxnSpPr>
      <xdr:spPr>
        <a:xfrm>
          <a:off x="18178225" y="40320015"/>
          <a:ext cx="12217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577430</xdr:colOff>
      <xdr:row>81</xdr:row>
      <xdr:rowOff>175033</xdr:rowOff>
    </xdr:from>
    <xdr:to>
      <xdr:col>19</xdr:col>
      <xdr:colOff>8079</xdr:colOff>
      <xdr:row>81</xdr:row>
      <xdr:rowOff>176828</xdr:rowOff>
    </xdr:to>
    <xdr:cxnSp macro="">
      <xdr:nvCxnSpPr>
        <xdr:cNvPr id="259" name="Straight Connector 19">
          <a:extLst>
            <a:ext uri="{FF2B5EF4-FFF2-40B4-BE49-F238E27FC236}">
              <a16:creationId xmlns:a16="http://schemas.microsoft.com/office/drawing/2014/main" id="{00000000-0008-0000-0600-000003010000}"/>
            </a:ext>
          </a:extLst>
        </xdr:cNvPr>
        <xdr:cNvCxnSpPr/>
      </xdr:nvCxnSpPr>
      <xdr:spPr>
        <a:xfrm>
          <a:off x="18319632" y="40678962"/>
          <a:ext cx="65649" cy="179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336418</xdr:colOff>
      <xdr:row>14</xdr:row>
      <xdr:rowOff>277028</xdr:rowOff>
    </xdr:from>
    <xdr:to>
      <xdr:col>16</xdr:col>
      <xdr:colOff>481640</xdr:colOff>
      <xdr:row>14</xdr:row>
      <xdr:rowOff>277028</xdr:rowOff>
    </xdr:to>
    <xdr:cxnSp macro="">
      <xdr:nvCxnSpPr>
        <xdr:cNvPr id="88" name="Straight Connector 33">
          <a:extLst>
            <a:ext uri="{FF2B5EF4-FFF2-40B4-BE49-F238E27FC236}">
              <a16:creationId xmlns:a16="http://schemas.microsoft.com/office/drawing/2014/main" id="{00000000-0008-0000-0600-000058000000}"/>
            </a:ext>
          </a:extLst>
        </xdr:cNvPr>
        <xdr:cNvCxnSpPr/>
      </xdr:nvCxnSpPr>
      <xdr:spPr>
        <a:xfrm>
          <a:off x="16818809" y="5899999"/>
          <a:ext cx="145222"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473462</xdr:colOff>
      <xdr:row>5</xdr:row>
      <xdr:rowOff>299652</xdr:rowOff>
    </xdr:from>
    <xdr:to>
      <xdr:col>16</xdr:col>
      <xdr:colOff>185552</xdr:colOff>
      <xdr:row>5</xdr:row>
      <xdr:rowOff>303213</xdr:rowOff>
    </xdr:to>
    <xdr:cxnSp macro="">
      <xdr:nvCxnSpPr>
        <xdr:cNvPr id="4" name="Straight Connector 57">
          <a:extLst>
            <a:ext uri="{FF2B5EF4-FFF2-40B4-BE49-F238E27FC236}">
              <a16:creationId xmlns:a16="http://schemas.microsoft.com/office/drawing/2014/main" id="{00000000-0008-0000-0600-000004000000}"/>
            </a:ext>
          </a:extLst>
        </xdr:cNvPr>
        <xdr:cNvCxnSpPr/>
      </xdr:nvCxnSpPr>
      <xdr:spPr>
        <a:xfrm>
          <a:off x="16318580" y="1308181"/>
          <a:ext cx="347090" cy="3561"/>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475646</xdr:colOff>
      <xdr:row>8</xdr:row>
      <xdr:rowOff>292148</xdr:rowOff>
    </xdr:from>
    <xdr:to>
      <xdr:col>15</xdr:col>
      <xdr:colOff>564855</xdr:colOff>
      <xdr:row>8</xdr:row>
      <xdr:rowOff>295349</xdr:rowOff>
    </xdr:to>
    <xdr:cxnSp macro="">
      <xdr:nvCxnSpPr>
        <xdr:cNvPr id="7" name="Straight Connector 63">
          <a:extLst>
            <a:ext uri="{FF2B5EF4-FFF2-40B4-BE49-F238E27FC236}">
              <a16:creationId xmlns:a16="http://schemas.microsoft.com/office/drawing/2014/main" id="{00000000-0008-0000-0600-000047000000}"/>
            </a:ext>
          </a:extLst>
        </xdr:cNvPr>
        <xdr:cNvCxnSpPr/>
      </xdr:nvCxnSpPr>
      <xdr:spPr>
        <a:xfrm>
          <a:off x="16321673" y="3013232"/>
          <a:ext cx="89209" cy="3201"/>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340113</xdr:colOff>
      <xdr:row>34</xdr:row>
      <xdr:rowOff>266505</xdr:rowOff>
    </xdr:from>
    <xdr:to>
      <xdr:col>17</xdr:col>
      <xdr:colOff>388343</xdr:colOff>
      <xdr:row>34</xdr:row>
      <xdr:rowOff>268817</xdr:rowOff>
    </xdr:to>
    <xdr:cxnSp macro="">
      <xdr:nvCxnSpPr>
        <xdr:cNvPr id="140" name="Straight Connector 19">
          <a:extLst>
            <a:ext uri="{FF2B5EF4-FFF2-40B4-BE49-F238E27FC236}">
              <a16:creationId xmlns:a16="http://schemas.microsoft.com/office/drawing/2014/main" id="{00000000-0008-0000-0600-00008C000000}"/>
            </a:ext>
          </a:extLst>
        </xdr:cNvPr>
        <xdr:cNvCxnSpPr/>
      </xdr:nvCxnSpPr>
      <xdr:spPr>
        <a:xfrm flipV="1">
          <a:off x="17457860" y="15809016"/>
          <a:ext cx="48230" cy="2312"/>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374562</xdr:colOff>
      <xdr:row>35</xdr:row>
      <xdr:rowOff>243075</xdr:rowOff>
    </xdr:from>
    <xdr:to>
      <xdr:col>17</xdr:col>
      <xdr:colOff>407274</xdr:colOff>
      <xdr:row>35</xdr:row>
      <xdr:rowOff>244862</xdr:rowOff>
    </xdr:to>
    <xdr:cxnSp macro="">
      <xdr:nvCxnSpPr>
        <xdr:cNvPr id="136" name="Straight Connector 19">
          <a:extLst>
            <a:ext uri="{FF2B5EF4-FFF2-40B4-BE49-F238E27FC236}">
              <a16:creationId xmlns:a16="http://schemas.microsoft.com/office/drawing/2014/main" id="{00000000-0008-0000-0600-000088000000}"/>
            </a:ext>
          </a:extLst>
        </xdr:cNvPr>
        <xdr:cNvCxnSpPr/>
      </xdr:nvCxnSpPr>
      <xdr:spPr>
        <a:xfrm>
          <a:off x="17487383" y="16315440"/>
          <a:ext cx="32712" cy="178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575171</xdr:colOff>
      <xdr:row>40</xdr:row>
      <xdr:rowOff>279014</xdr:rowOff>
    </xdr:from>
    <xdr:to>
      <xdr:col>18</xdr:col>
      <xdr:colOff>446</xdr:colOff>
      <xdr:row>40</xdr:row>
      <xdr:rowOff>279951</xdr:rowOff>
    </xdr:to>
    <xdr:cxnSp macro="">
      <xdr:nvCxnSpPr>
        <xdr:cNvPr id="154" name="Straight Connector 19">
          <a:extLst>
            <a:ext uri="{FF2B5EF4-FFF2-40B4-BE49-F238E27FC236}">
              <a16:creationId xmlns:a16="http://schemas.microsoft.com/office/drawing/2014/main" id="{00000000-0008-0000-0600-00009A000000}"/>
            </a:ext>
          </a:extLst>
        </xdr:cNvPr>
        <xdr:cNvCxnSpPr/>
      </xdr:nvCxnSpPr>
      <xdr:spPr>
        <a:xfrm flipV="1">
          <a:off x="17690112" y="18697771"/>
          <a:ext cx="60275" cy="93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602498</xdr:colOff>
      <xdr:row>41</xdr:row>
      <xdr:rowOff>273210</xdr:rowOff>
    </xdr:from>
    <xdr:to>
      <xdr:col>18</xdr:col>
      <xdr:colOff>2643</xdr:colOff>
      <xdr:row>41</xdr:row>
      <xdr:rowOff>273697</xdr:rowOff>
    </xdr:to>
    <xdr:cxnSp macro="">
      <xdr:nvCxnSpPr>
        <xdr:cNvPr id="160" name="Straight Connector 19">
          <a:extLst>
            <a:ext uri="{FF2B5EF4-FFF2-40B4-BE49-F238E27FC236}">
              <a16:creationId xmlns:a16="http://schemas.microsoft.com/office/drawing/2014/main" id="{00000000-0008-0000-0600-0000A0000000}"/>
            </a:ext>
          </a:extLst>
        </xdr:cNvPr>
        <xdr:cNvCxnSpPr/>
      </xdr:nvCxnSpPr>
      <xdr:spPr>
        <a:xfrm>
          <a:off x="17717439" y="19263092"/>
          <a:ext cx="35145" cy="48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581768</xdr:colOff>
      <xdr:row>45</xdr:row>
      <xdr:rowOff>290096</xdr:rowOff>
    </xdr:from>
    <xdr:to>
      <xdr:col>18</xdr:col>
      <xdr:colOff>102683</xdr:colOff>
      <xdr:row>45</xdr:row>
      <xdr:rowOff>291033</xdr:rowOff>
    </xdr:to>
    <xdr:cxnSp macro="">
      <xdr:nvCxnSpPr>
        <xdr:cNvPr id="167" name="Straight Connector 19">
          <a:extLst>
            <a:ext uri="{FF2B5EF4-FFF2-40B4-BE49-F238E27FC236}">
              <a16:creationId xmlns:a16="http://schemas.microsoft.com/office/drawing/2014/main" id="{00000000-0008-0000-0600-0000A7000000}"/>
            </a:ext>
          </a:extLst>
        </xdr:cNvPr>
        <xdr:cNvCxnSpPr/>
      </xdr:nvCxnSpPr>
      <xdr:spPr>
        <a:xfrm flipV="1">
          <a:off x="17696530" y="20983033"/>
          <a:ext cx="155915" cy="93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163474</xdr:colOff>
      <xdr:row>46</xdr:row>
      <xdr:rowOff>298286</xdr:rowOff>
    </xdr:from>
    <xdr:to>
      <xdr:col>18</xdr:col>
      <xdr:colOff>231510</xdr:colOff>
      <xdr:row>46</xdr:row>
      <xdr:rowOff>301120</xdr:rowOff>
    </xdr:to>
    <xdr:cxnSp macro="">
      <xdr:nvCxnSpPr>
        <xdr:cNvPr id="181" name="Straight Connector 19">
          <a:extLst>
            <a:ext uri="{FF2B5EF4-FFF2-40B4-BE49-F238E27FC236}">
              <a16:creationId xmlns:a16="http://schemas.microsoft.com/office/drawing/2014/main" id="{00000000-0008-0000-0600-0000B5000000}"/>
            </a:ext>
          </a:extLst>
        </xdr:cNvPr>
        <xdr:cNvCxnSpPr/>
      </xdr:nvCxnSpPr>
      <xdr:spPr>
        <a:xfrm>
          <a:off x="17913236" y="21560707"/>
          <a:ext cx="68036" cy="283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177760</xdr:colOff>
      <xdr:row>47</xdr:row>
      <xdr:rowOff>239608</xdr:rowOff>
    </xdr:from>
    <xdr:to>
      <xdr:col>18</xdr:col>
      <xdr:colOff>245796</xdr:colOff>
      <xdr:row>47</xdr:row>
      <xdr:rowOff>242442</xdr:rowOff>
    </xdr:to>
    <xdr:cxnSp macro="">
      <xdr:nvCxnSpPr>
        <xdr:cNvPr id="182" name="Straight Connector 19">
          <a:extLst>
            <a:ext uri="{FF2B5EF4-FFF2-40B4-BE49-F238E27FC236}">
              <a16:creationId xmlns:a16="http://schemas.microsoft.com/office/drawing/2014/main" id="{00000000-0008-0000-0600-0000B6000000}"/>
            </a:ext>
          </a:extLst>
        </xdr:cNvPr>
        <xdr:cNvCxnSpPr/>
      </xdr:nvCxnSpPr>
      <xdr:spPr>
        <a:xfrm>
          <a:off x="17927522" y="22071513"/>
          <a:ext cx="68036" cy="283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81455</xdr:colOff>
      <xdr:row>51</xdr:row>
      <xdr:rowOff>290286</xdr:rowOff>
    </xdr:from>
    <xdr:to>
      <xdr:col>18</xdr:col>
      <xdr:colOff>233254</xdr:colOff>
      <xdr:row>51</xdr:row>
      <xdr:rowOff>292139</xdr:rowOff>
    </xdr:to>
    <xdr:cxnSp macro="">
      <xdr:nvCxnSpPr>
        <xdr:cNvPr id="192" name="Straight Connector 19">
          <a:extLst>
            <a:ext uri="{FF2B5EF4-FFF2-40B4-BE49-F238E27FC236}">
              <a16:creationId xmlns:a16="http://schemas.microsoft.com/office/drawing/2014/main" id="{00000000-0008-0000-0600-0000C0000000}"/>
            </a:ext>
          </a:extLst>
        </xdr:cNvPr>
        <xdr:cNvCxnSpPr/>
      </xdr:nvCxnSpPr>
      <xdr:spPr>
        <a:xfrm flipV="1">
          <a:off x="17834241" y="23966715"/>
          <a:ext cx="151799" cy="185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299086</xdr:colOff>
      <xdr:row>52</xdr:row>
      <xdr:rowOff>283329</xdr:rowOff>
    </xdr:from>
    <xdr:to>
      <xdr:col>18</xdr:col>
      <xdr:colOff>360945</xdr:colOff>
      <xdr:row>52</xdr:row>
      <xdr:rowOff>285224</xdr:rowOff>
    </xdr:to>
    <xdr:cxnSp macro="">
      <xdr:nvCxnSpPr>
        <xdr:cNvPr id="197" name="Straight Connector 19">
          <a:extLst>
            <a:ext uri="{FF2B5EF4-FFF2-40B4-BE49-F238E27FC236}">
              <a16:creationId xmlns:a16="http://schemas.microsoft.com/office/drawing/2014/main" id="{00000000-0008-0000-0600-0000C5000000}"/>
            </a:ext>
          </a:extLst>
        </xdr:cNvPr>
        <xdr:cNvCxnSpPr/>
      </xdr:nvCxnSpPr>
      <xdr:spPr>
        <a:xfrm>
          <a:off x="18050968" y="24549233"/>
          <a:ext cx="61859" cy="189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311238</xdr:colOff>
      <xdr:row>53</xdr:row>
      <xdr:rowOff>274319</xdr:rowOff>
    </xdr:from>
    <xdr:to>
      <xdr:col>18</xdr:col>
      <xdr:colOff>341115</xdr:colOff>
      <xdr:row>53</xdr:row>
      <xdr:rowOff>275255</xdr:rowOff>
    </xdr:to>
    <xdr:cxnSp macro="">
      <xdr:nvCxnSpPr>
        <xdr:cNvPr id="199" name="Straight Connector 19">
          <a:extLst>
            <a:ext uri="{FF2B5EF4-FFF2-40B4-BE49-F238E27FC236}">
              <a16:creationId xmlns:a16="http://schemas.microsoft.com/office/drawing/2014/main" id="{00000000-0008-0000-0600-0000C7000000}"/>
            </a:ext>
          </a:extLst>
        </xdr:cNvPr>
        <xdr:cNvCxnSpPr/>
      </xdr:nvCxnSpPr>
      <xdr:spPr>
        <a:xfrm flipV="1">
          <a:off x="18058165" y="25092236"/>
          <a:ext cx="29877" cy="936"/>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517328</xdr:colOff>
      <xdr:row>55</xdr:row>
      <xdr:rowOff>269991</xdr:rowOff>
    </xdr:from>
    <xdr:to>
      <xdr:col>18</xdr:col>
      <xdr:colOff>81034</xdr:colOff>
      <xdr:row>55</xdr:row>
      <xdr:rowOff>272528</xdr:rowOff>
    </xdr:to>
    <xdr:cxnSp macro="">
      <xdr:nvCxnSpPr>
        <xdr:cNvPr id="206" name="Straight Connector 19">
          <a:extLst>
            <a:ext uri="{FF2B5EF4-FFF2-40B4-BE49-F238E27FC236}">
              <a16:creationId xmlns:a16="http://schemas.microsoft.com/office/drawing/2014/main" id="{00000000-0008-0000-0600-0000CE000000}"/>
            </a:ext>
          </a:extLst>
        </xdr:cNvPr>
        <xdr:cNvCxnSpPr/>
      </xdr:nvCxnSpPr>
      <xdr:spPr>
        <a:xfrm flipV="1">
          <a:off x="17626831" y="25733097"/>
          <a:ext cx="198706" cy="253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72317</xdr:colOff>
      <xdr:row>56</xdr:row>
      <xdr:rowOff>268199</xdr:rowOff>
    </xdr:from>
    <xdr:to>
      <xdr:col>18</xdr:col>
      <xdr:colOff>220870</xdr:colOff>
      <xdr:row>56</xdr:row>
      <xdr:rowOff>270411</xdr:rowOff>
    </xdr:to>
    <xdr:cxnSp macro="">
      <xdr:nvCxnSpPr>
        <xdr:cNvPr id="209" name="Straight Connector 19">
          <a:extLst>
            <a:ext uri="{FF2B5EF4-FFF2-40B4-BE49-F238E27FC236}">
              <a16:creationId xmlns:a16="http://schemas.microsoft.com/office/drawing/2014/main" id="{00000000-0008-0000-0600-0000D1000000}"/>
            </a:ext>
          </a:extLst>
        </xdr:cNvPr>
        <xdr:cNvCxnSpPr/>
      </xdr:nvCxnSpPr>
      <xdr:spPr>
        <a:xfrm flipV="1">
          <a:off x="17816820" y="26303199"/>
          <a:ext cx="148553" cy="2212"/>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266298</xdr:colOff>
      <xdr:row>57</xdr:row>
      <xdr:rowOff>310533</xdr:rowOff>
    </xdr:from>
    <xdr:to>
      <xdr:col>18</xdr:col>
      <xdr:colOff>362199</xdr:colOff>
      <xdr:row>57</xdr:row>
      <xdr:rowOff>312077</xdr:rowOff>
    </xdr:to>
    <xdr:cxnSp macro="">
      <xdr:nvCxnSpPr>
        <xdr:cNvPr id="214" name="Straight Connector 19">
          <a:extLst>
            <a:ext uri="{FF2B5EF4-FFF2-40B4-BE49-F238E27FC236}">
              <a16:creationId xmlns:a16="http://schemas.microsoft.com/office/drawing/2014/main" id="{00000000-0008-0000-0600-0000D6000000}"/>
            </a:ext>
          </a:extLst>
        </xdr:cNvPr>
        <xdr:cNvCxnSpPr/>
      </xdr:nvCxnSpPr>
      <xdr:spPr>
        <a:xfrm>
          <a:off x="18017434" y="26893942"/>
          <a:ext cx="95901" cy="154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329855</xdr:colOff>
      <xdr:row>58</xdr:row>
      <xdr:rowOff>271392</xdr:rowOff>
    </xdr:from>
    <xdr:to>
      <xdr:col>18</xdr:col>
      <xdr:colOff>396894</xdr:colOff>
      <xdr:row>58</xdr:row>
      <xdr:rowOff>271809</xdr:rowOff>
    </xdr:to>
    <xdr:cxnSp macro="">
      <xdr:nvCxnSpPr>
        <xdr:cNvPr id="218" name="Straight Connector 19">
          <a:extLst>
            <a:ext uri="{FF2B5EF4-FFF2-40B4-BE49-F238E27FC236}">
              <a16:creationId xmlns:a16="http://schemas.microsoft.com/office/drawing/2014/main" id="{00000000-0008-0000-0600-0000DA000000}"/>
            </a:ext>
          </a:extLst>
        </xdr:cNvPr>
        <xdr:cNvCxnSpPr/>
      </xdr:nvCxnSpPr>
      <xdr:spPr>
        <a:xfrm>
          <a:off x="18080991" y="27425660"/>
          <a:ext cx="67039" cy="41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359599</xdr:colOff>
      <xdr:row>59</xdr:row>
      <xdr:rowOff>295352</xdr:rowOff>
    </xdr:from>
    <xdr:to>
      <xdr:col>18</xdr:col>
      <xdr:colOff>393436</xdr:colOff>
      <xdr:row>59</xdr:row>
      <xdr:rowOff>296515</xdr:rowOff>
    </xdr:to>
    <xdr:cxnSp macro="">
      <xdr:nvCxnSpPr>
        <xdr:cNvPr id="220" name="Straight Connector 19">
          <a:extLst>
            <a:ext uri="{FF2B5EF4-FFF2-40B4-BE49-F238E27FC236}">
              <a16:creationId xmlns:a16="http://schemas.microsoft.com/office/drawing/2014/main" id="{00000000-0008-0000-0600-0000DC000000}"/>
            </a:ext>
          </a:extLst>
        </xdr:cNvPr>
        <xdr:cNvCxnSpPr/>
      </xdr:nvCxnSpPr>
      <xdr:spPr>
        <a:xfrm flipV="1">
          <a:off x="18110735" y="28020478"/>
          <a:ext cx="33837" cy="116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64862</xdr:colOff>
      <xdr:row>61</xdr:row>
      <xdr:rowOff>259303</xdr:rowOff>
    </xdr:from>
    <xdr:to>
      <xdr:col>18</xdr:col>
      <xdr:colOff>214016</xdr:colOff>
      <xdr:row>61</xdr:row>
      <xdr:rowOff>260350</xdr:rowOff>
    </xdr:to>
    <xdr:cxnSp macro="">
      <xdr:nvCxnSpPr>
        <xdr:cNvPr id="224" name="Straight Connector 19">
          <a:extLst>
            <a:ext uri="{FF2B5EF4-FFF2-40B4-BE49-F238E27FC236}">
              <a16:creationId xmlns:a16="http://schemas.microsoft.com/office/drawing/2014/main" id="{00000000-0008-0000-0600-0000E0000000}"/>
            </a:ext>
          </a:extLst>
        </xdr:cNvPr>
        <xdr:cNvCxnSpPr/>
      </xdr:nvCxnSpPr>
      <xdr:spPr>
        <a:xfrm>
          <a:off x="17820990" y="28710168"/>
          <a:ext cx="149154" cy="104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219327</xdr:colOff>
      <xdr:row>62</xdr:row>
      <xdr:rowOff>274428</xdr:rowOff>
    </xdr:from>
    <xdr:to>
      <xdr:col>18</xdr:col>
      <xdr:colOff>368481</xdr:colOff>
      <xdr:row>62</xdr:row>
      <xdr:rowOff>275475</xdr:rowOff>
    </xdr:to>
    <xdr:cxnSp macro="">
      <xdr:nvCxnSpPr>
        <xdr:cNvPr id="227" name="Straight Connector 19">
          <a:extLst>
            <a:ext uri="{FF2B5EF4-FFF2-40B4-BE49-F238E27FC236}">
              <a16:creationId xmlns:a16="http://schemas.microsoft.com/office/drawing/2014/main" id="{00000000-0008-0000-0600-0000E3000000}"/>
            </a:ext>
          </a:extLst>
        </xdr:cNvPr>
        <xdr:cNvCxnSpPr/>
      </xdr:nvCxnSpPr>
      <xdr:spPr>
        <a:xfrm>
          <a:off x="17975455" y="29298225"/>
          <a:ext cx="149154" cy="104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383324</xdr:colOff>
      <xdr:row>63</xdr:row>
      <xdr:rowOff>307096</xdr:rowOff>
    </xdr:from>
    <xdr:to>
      <xdr:col>18</xdr:col>
      <xdr:colOff>492665</xdr:colOff>
      <xdr:row>63</xdr:row>
      <xdr:rowOff>307243</xdr:rowOff>
    </xdr:to>
    <xdr:cxnSp macro="">
      <xdr:nvCxnSpPr>
        <xdr:cNvPr id="231" name="Straight Connector 19">
          <a:extLst>
            <a:ext uri="{FF2B5EF4-FFF2-40B4-BE49-F238E27FC236}">
              <a16:creationId xmlns:a16="http://schemas.microsoft.com/office/drawing/2014/main" id="{00000000-0008-0000-0600-0000E7000000}"/>
            </a:ext>
          </a:extLst>
        </xdr:cNvPr>
        <xdr:cNvCxnSpPr/>
      </xdr:nvCxnSpPr>
      <xdr:spPr>
        <a:xfrm>
          <a:off x="18139452" y="29903825"/>
          <a:ext cx="109341" cy="14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492827</xdr:colOff>
      <xdr:row>64</xdr:row>
      <xdr:rowOff>314081</xdr:rowOff>
    </xdr:from>
    <xdr:to>
      <xdr:col>18</xdr:col>
      <xdr:colOff>563799</xdr:colOff>
      <xdr:row>64</xdr:row>
      <xdr:rowOff>315939</xdr:rowOff>
    </xdr:to>
    <xdr:cxnSp macro="">
      <xdr:nvCxnSpPr>
        <xdr:cNvPr id="235" name="Straight Connector 19">
          <a:extLst>
            <a:ext uri="{FF2B5EF4-FFF2-40B4-BE49-F238E27FC236}">
              <a16:creationId xmlns:a16="http://schemas.microsoft.com/office/drawing/2014/main" id="{00000000-0008-0000-0600-0000EB000000}"/>
            </a:ext>
          </a:extLst>
        </xdr:cNvPr>
        <xdr:cNvCxnSpPr/>
      </xdr:nvCxnSpPr>
      <xdr:spPr>
        <a:xfrm>
          <a:off x="18248955" y="30483743"/>
          <a:ext cx="70972" cy="185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539359</xdr:colOff>
      <xdr:row>65</xdr:row>
      <xdr:rowOff>309501</xdr:rowOff>
    </xdr:from>
    <xdr:to>
      <xdr:col>18</xdr:col>
      <xdr:colOff>580634</xdr:colOff>
      <xdr:row>65</xdr:row>
      <xdr:rowOff>311089</xdr:rowOff>
    </xdr:to>
    <xdr:cxnSp macro="">
      <xdr:nvCxnSpPr>
        <xdr:cNvPr id="240" name="Straight Connector 19">
          <a:extLst>
            <a:ext uri="{FF2B5EF4-FFF2-40B4-BE49-F238E27FC236}">
              <a16:creationId xmlns:a16="http://schemas.microsoft.com/office/drawing/2014/main" id="{00000000-0008-0000-0600-0000F0000000}"/>
            </a:ext>
          </a:extLst>
        </xdr:cNvPr>
        <xdr:cNvCxnSpPr/>
      </xdr:nvCxnSpPr>
      <xdr:spPr>
        <a:xfrm>
          <a:off x="18288021" y="31022059"/>
          <a:ext cx="41275" cy="158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5061</xdr:colOff>
      <xdr:row>82</xdr:row>
      <xdr:rowOff>185787</xdr:rowOff>
    </xdr:from>
    <xdr:to>
      <xdr:col>19</xdr:col>
      <xdr:colOff>53397</xdr:colOff>
      <xdr:row>82</xdr:row>
      <xdr:rowOff>187325</xdr:rowOff>
    </xdr:to>
    <xdr:cxnSp macro="">
      <xdr:nvCxnSpPr>
        <xdr:cNvPr id="264" name="Straight Connector 19">
          <a:extLst>
            <a:ext uri="{FF2B5EF4-FFF2-40B4-BE49-F238E27FC236}">
              <a16:creationId xmlns:a16="http://schemas.microsoft.com/office/drawing/2014/main" id="{00000000-0008-0000-0600-000008010000}"/>
            </a:ext>
          </a:extLst>
        </xdr:cNvPr>
        <xdr:cNvCxnSpPr/>
      </xdr:nvCxnSpPr>
      <xdr:spPr>
        <a:xfrm>
          <a:off x="18389085" y="40934202"/>
          <a:ext cx="48336" cy="153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631426</xdr:colOff>
      <xdr:row>83</xdr:row>
      <xdr:rowOff>191751</xdr:rowOff>
    </xdr:from>
    <xdr:to>
      <xdr:col>19</xdr:col>
      <xdr:colOff>44762</xdr:colOff>
      <xdr:row>83</xdr:row>
      <xdr:rowOff>193289</xdr:rowOff>
    </xdr:to>
    <xdr:cxnSp macro="">
      <xdr:nvCxnSpPr>
        <xdr:cNvPr id="271" name="Straight Connector 19">
          <a:extLst>
            <a:ext uri="{FF2B5EF4-FFF2-40B4-BE49-F238E27FC236}">
              <a16:creationId xmlns:a16="http://schemas.microsoft.com/office/drawing/2014/main" id="{00000000-0008-0000-0600-00000F010000}"/>
            </a:ext>
          </a:extLst>
        </xdr:cNvPr>
        <xdr:cNvCxnSpPr/>
      </xdr:nvCxnSpPr>
      <xdr:spPr>
        <a:xfrm>
          <a:off x="18380450" y="41300257"/>
          <a:ext cx="48336" cy="153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292081</xdr:colOff>
      <xdr:row>86</xdr:row>
      <xdr:rowOff>304570</xdr:rowOff>
    </xdr:from>
    <xdr:to>
      <xdr:col>20</xdr:col>
      <xdr:colOff>18676</xdr:colOff>
      <xdr:row>86</xdr:row>
      <xdr:rowOff>304570</xdr:rowOff>
    </xdr:to>
    <xdr:cxnSp macro="">
      <xdr:nvCxnSpPr>
        <xdr:cNvPr id="284" name="Straight Connector 19">
          <a:extLst>
            <a:ext uri="{FF2B5EF4-FFF2-40B4-BE49-F238E27FC236}">
              <a16:creationId xmlns:a16="http://schemas.microsoft.com/office/drawing/2014/main" id="{00000000-0008-0000-0600-00001C010000}"/>
            </a:ext>
          </a:extLst>
        </xdr:cNvPr>
        <xdr:cNvCxnSpPr/>
      </xdr:nvCxnSpPr>
      <xdr:spPr>
        <a:xfrm>
          <a:off x="18674397" y="42079166"/>
          <a:ext cx="36159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539993</xdr:colOff>
      <xdr:row>71</xdr:row>
      <xdr:rowOff>624418</xdr:rowOff>
    </xdr:from>
    <xdr:to>
      <xdr:col>20</xdr:col>
      <xdr:colOff>0</xdr:colOff>
      <xdr:row>71</xdr:row>
      <xdr:rowOff>624418</xdr:rowOff>
    </xdr:to>
    <xdr:cxnSp macro="">
      <xdr:nvCxnSpPr>
        <xdr:cNvPr id="5" name="Straight Connector 19">
          <a:extLst>
            <a:ext uri="{FF2B5EF4-FFF2-40B4-BE49-F238E27FC236}">
              <a16:creationId xmlns:a16="http://schemas.microsoft.com/office/drawing/2014/main" id="{00000000-0008-0000-0600-000005000000}"/>
            </a:ext>
          </a:extLst>
        </xdr:cNvPr>
        <xdr:cNvCxnSpPr/>
      </xdr:nvCxnSpPr>
      <xdr:spPr>
        <a:xfrm>
          <a:off x="18290111" y="33793830"/>
          <a:ext cx="73000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71</xdr:row>
      <xdr:rowOff>16565</xdr:rowOff>
    </xdr:from>
    <xdr:to>
      <xdr:col>16</xdr:col>
      <xdr:colOff>468820</xdr:colOff>
      <xdr:row>80</xdr:row>
      <xdr:rowOff>140805</xdr:rowOff>
    </xdr:to>
    <xdr:sp macro="" textlink="">
      <xdr:nvSpPr>
        <xdr:cNvPr id="6" name="TextBox 13">
          <a:extLst>
            <a:ext uri="{FF2B5EF4-FFF2-40B4-BE49-F238E27FC236}">
              <a16:creationId xmlns:a16="http://schemas.microsoft.com/office/drawing/2014/main" id="{00000000-0008-0000-0600-000006000000}"/>
            </a:ext>
          </a:extLst>
        </xdr:cNvPr>
        <xdr:cNvSpPr txBox="1"/>
      </xdr:nvSpPr>
      <xdr:spPr>
        <a:xfrm rot="16200000">
          <a:off x="14982825" y="35175190"/>
          <a:ext cx="466026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273963</xdr:colOff>
      <xdr:row>81</xdr:row>
      <xdr:rowOff>16565</xdr:rowOff>
    </xdr:from>
    <xdr:to>
      <xdr:col>16</xdr:col>
      <xdr:colOff>468820</xdr:colOff>
      <xdr:row>94</xdr:row>
      <xdr:rowOff>140805</xdr:rowOff>
    </xdr:to>
    <xdr:sp macro="" textlink="">
      <xdr:nvSpPr>
        <xdr:cNvPr id="8" name="TextBox 13">
          <a:extLst>
            <a:ext uri="{FF2B5EF4-FFF2-40B4-BE49-F238E27FC236}">
              <a16:creationId xmlns:a16="http://schemas.microsoft.com/office/drawing/2014/main" id="{00000000-0008-0000-0600-000008000000}"/>
            </a:ext>
          </a:extLst>
        </xdr:cNvPr>
        <xdr:cNvSpPr txBox="1"/>
      </xdr:nvSpPr>
      <xdr:spPr>
        <a:xfrm rot="16200000">
          <a:off x="14756130" y="41038780"/>
          <a:ext cx="511365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127000</xdr:colOff>
      <xdr:row>6</xdr:row>
      <xdr:rowOff>351118</xdr:rowOff>
    </xdr:from>
    <xdr:to>
      <xdr:col>16</xdr:col>
      <xdr:colOff>474090</xdr:colOff>
      <xdr:row>6</xdr:row>
      <xdr:rowOff>354679</xdr:rowOff>
    </xdr:to>
    <xdr:cxnSp macro="">
      <xdr:nvCxnSpPr>
        <xdr:cNvPr id="17" name="Straight Connector 57">
          <a:extLst>
            <a:ext uri="{FF2B5EF4-FFF2-40B4-BE49-F238E27FC236}">
              <a16:creationId xmlns:a16="http://schemas.microsoft.com/office/drawing/2014/main" id="{98295906-33A1-45EE-96A8-E1529CF5B47F}"/>
            </a:ext>
          </a:extLst>
        </xdr:cNvPr>
        <xdr:cNvCxnSpPr/>
      </xdr:nvCxnSpPr>
      <xdr:spPr>
        <a:xfrm>
          <a:off x="16607118" y="1934883"/>
          <a:ext cx="347090" cy="3561"/>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160421</xdr:colOff>
      <xdr:row>7</xdr:row>
      <xdr:rowOff>280736</xdr:rowOff>
    </xdr:from>
    <xdr:to>
      <xdr:col>16</xdr:col>
      <xdr:colOff>429267</xdr:colOff>
      <xdr:row>7</xdr:row>
      <xdr:rowOff>287443</xdr:rowOff>
    </xdr:to>
    <xdr:cxnSp macro="">
      <xdr:nvCxnSpPr>
        <xdr:cNvPr id="18" name="Straight Connector 57">
          <a:extLst>
            <a:ext uri="{FF2B5EF4-FFF2-40B4-BE49-F238E27FC236}">
              <a16:creationId xmlns:a16="http://schemas.microsoft.com/office/drawing/2014/main" id="{A030BDBA-2C56-4815-B2D2-7F569133D31D}"/>
            </a:ext>
          </a:extLst>
        </xdr:cNvPr>
        <xdr:cNvCxnSpPr/>
      </xdr:nvCxnSpPr>
      <xdr:spPr>
        <a:xfrm>
          <a:off x="16633658" y="2426368"/>
          <a:ext cx="268846" cy="6707"/>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541193</xdr:colOff>
      <xdr:row>9</xdr:row>
      <xdr:rowOff>328324</xdr:rowOff>
    </xdr:from>
    <xdr:to>
      <xdr:col>16</xdr:col>
      <xdr:colOff>591705</xdr:colOff>
      <xdr:row>9</xdr:row>
      <xdr:rowOff>329260</xdr:rowOff>
    </xdr:to>
    <xdr:cxnSp macro="">
      <xdr:nvCxnSpPr>
        <xdr:cNvPr id="22" name="Straight Connector 19">
          <a:extLst>
            <a:ext uri="{FF2B5EF4-FFF2-40B4-BE49-F238E27FC236}">
              <a16:creationId xmlns:a16="http://schemas.microsoft.com/office/drawing/2014/main" id="{5EB1C559-1FF2-4F3B-BE89-DE6B4A359696}"/>
            </a:ext>
          </a:extLst>
        </xdr:cNvPr>
        <xdr:cNvCxnSpPr/>
      </xdr:nvCxnSpPr>
      <xdr:spPr>
        <a:xfrm flipV="1">
          <a:off x="17025937" y="3607955"/>
          <a:ext cx="50512" cy="936"/>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554252</xdr:colOff>
      <xdr:row>10</xdr:row>
      <xdr:rowOff>298107</xdr:rowOff>
    </xdr:from>
    <xdr:to>
      <xdr:col>16</xdr:col>
      <xdr:colOff>604764</xdr:colOff>
      <xdr:row>10</xdr:row>
      <xdr:rowOff>299043</xdr:rowOff>
    </xdr:to>
    <xdr:cxnSp macro="">
      <xdr:nvCxnSpPr>
        <xdr:cNvPr id="24" name="Straight Connector 19">
          <a:extLst>
            <a:ext uri="{FF2B5EF4-FFF2-40B4-BE49-F238E27FC236}">
              <a16:creationId xmlns:a16="http://schemas.microsoft.com/office/drawing/2014/main" id="{13C9DE73-FD2B-4018-A3D6-354380684FEE}"/>
            </a:ext>
          </a:extLst>
        </xdr:cNvPr>
        <xdr:cNvCxnSpPr/>
      </xdr:nvCxnSpPr>
      <xdr:spPr>
        <a:xfrm flipV="1">
          <a:off x="17032502" y="4158907"/>
          <a:ext cx="50512" cy="936"/>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556401</xdr:colOff>
      <xdr:row>11</xdr:row>
      <xdr:rowOff>283372</xdr:rowOff>
    </xdr:from>
    <xdr:to>
      <xdr:col>16</xdr:col>
      <xdr:colOff>606913</xdr:colOff>
      <xdr:row>11</xdr:row>
      <xdr:rowOff>284308</xdr:rowOff>
    </xdr:to>
    <xdr:cxnSp macro="">
      <xdr:nvCxnSpPr>
        <xdr:cNvPr id="25" name="Straight Connector 19">
          <a:extLst>
            <a:ext uri="{FF2B5EF4-FFF2-40B4-BE49-F238E27FC236}">
              <a16:creationId xmlns:a16="http://schemas.microsoft.com/office/drawing/2014/main" id="{E1D88ED9-66E2-4B76-9CC3-BAB06FDDB04D}"/>
            </a:ext>
          </a:extLst>
        </xdr:cNvPr>
        <xdr:cNvCxnSpPr/>
      </xdr:nvCxnSpPr>
      <xdr:spPr>
        <a:xfrm flipV="1">
          <a:off x="17037443" y="4711825"/>
          <a:ext cx="50512" cy="936"/>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492355</xdr:colOff>
      <xdr:row>14</xdr:row>
      <xdr:rowOff>273786</xdr:rowOff>
    </xdr:from>
    <xdr:to>
      <xdr:col>16</xdr:col>
      <xdr:colOff>559076</xdr:colOff>
      <xdr:row>14</xdr:row>
      <xdr:rowOff>276087</xdr:rowOff>
    </xdr:to>
    <xdr:cxnSp macro="">
      <xdr:nvCxnSpPr>
        <xdr:cNvPr id="29" name="Straight Connector 19">
          <a:extLst>
            <a:ext uri="{FF2B5EF4-FFF2-40B4-BE49-F238E27FC236}">
              <a16:creationId xmlns:a16="http://schemas.microsoft.com/office/drawing/2014/main" id="{CD702C13-52EC-4FE7-9ADB-55F7FB006E4B}"/>
            </a:ext>
          </a:extLst>
        </xdr:cNvPr>
        <xdr:cNvCxnSpPr/>
      </xdr:nvCxnSpPr>
      <xdr:spPr>
        <a:xfrm>
          <a:off x="16974746" y="5896757"/>
          <a:ext cx="66721" cy="230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543866</xdr:colOff>
      <xdr:row>15</xdr:row>
      <xdr:rowOff>311621</xdr:rowOff>
    </xdr:from>
    <xdr:to>
      <xdr:col>16</xdr:col>
      <xdr:colOff>610587</xdr:colOff>
      <xdr:row>15</xdr:row>
      <xdr:rowOff>313922</xdr:rowOff>
    </xdr:to>
    <xdr:cxnSp macro="">
      <xdr:nvCxnSpPr>
        <xdr:cNvPr id="33" name="Straight Connector 19">
          <a:extLst>
            <a:ext uri="{FF2B5EF4-FFF2-40B4-BE49-F238E27FC236}">
              <a16:creationId xmlns:a16="http://schemas.microsoft.com/office/drawing/2014/main" id="{FF375128-FE32-4D8B-8362-7E9841D7EEB1}"/>
            </a:ext>
          </a:extLst>
        </xdr:cNvPr>
        <xdr:cNvCxnSpPr/>
      </xdr:nvCxnSpPr>
      <xdr:spPr>
        <a:xfrm>
          <a:off x="17024468" y="6502871"/>
          <a:ext cx="66721" cy="230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58697</xdr:colOff>
      <xdr:row>16</xdr:row>
      <xdr:rowOff>250798</xdr:rowOff>
    </xdr:from>
    <xdr:to>
      <xdr:col>17</xdr:col>
      <xdr:colOff>125418</xdr:colOff>
      <xdr:row>16</xdr:row>
      <xdr:rowOff>253099</xdr:rowOff>
    </xdr:to>
    <xdr:cxnSp macro="">
      <xdr:nvCxnSpPr>
        <xdr:cNvPr id="34" name="Straight Connector 19">
          <a:extLst>
            <a:ext uri="{FF2B5EF4-FFF2-40B4-BE49-F238E27FC236}">
              <a16:creationId xmlns:a16="http://schemas.microsoft.com/office/drawing/2014/main" id="{D875B3BC-AA0D-443A-A4E0-91E42D00B42F}"/>
            </a:ext>
          </a:extLst>
        </xdr:cNvPr>
        <xdr:cNvCxnSpPr/>
      </xdr:nvCxnSpPr>
      <xdr:spPr>
        <a:xfrm>
          <a:off x="17182352" y="7022353"/>
          <a:ext cx="66721" cy="230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74448</xdr:colOff>
      <xdr:row>17</xdr:row>
      <xdr:rowOff>254000</xdr:rowOff>
    </xdr:from>
    <xdr:to>
      <xdr:col>17</xdr:col>
      <xdr:colOff>141169</xdr:colOff>
      <xdr:row>17</xdr:row>
      <xdr:rowOff>256301</xdr:rowOff>
    </xdr:to>
    <xdr:cxnSp macro="">
      <xdr:nvCxnSpPr>
        <xdr:cNvPr id="35" name="Straight Connector 19">
          <a:extLst>
            <a:ext uri="{FF2B5EF4-FFF2-40B4-BE49-F238E27FC236}">
              <a16:creationId xmlns:a16="http://schemas.microsoft.com/office/drawing/2014/main" id="{70A9F3DA-68F5-4AA2-AED9-4799CADF4329}"/>
            </a:ext>
          </a:extLst>
        </xdr:cNvPr>
        <xdr:cNvCxnSpPr/>
      </xdr:nvCxnSpPr>
      <xdr:spPr>
        <a:xfrm>
          <a:off x="17193172" y="7628759"/>
          <a:ext cx="66721" cy="230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531202</xdr:colOff>
      <xdr:row>20</xdr:row>
      <xdr:rowOff>259495</xdr:rowOff>
    </xdr:from>
    <xdr:to>
      <xdr:col>16</xdr:col>
      <xdr:colOff>597923</xdr:colOff>
      <xdr:row>20</xdr:row>
      <xdr:rowOff>261796</xdr:rowOff>
    </xdr:to>
    <xdr:cxnSp macro="">
      <xdr:nvCxnSpPr>
        <xdr:cNvPr id="36" name="Straight Connector 19">
          <a:extLst>
            <a:ext uri="{FF2B5EF4-FFF2-40B4-BE49-F238E27FC236}">
              <a16:creationId xmlns:a16="http://schemas.microsoft.com/office/drawing/2014/main" id="{361D4744-36E4-4EE8-B165-E70FA431CBF4}"/>
            </a:ext>
          </a:extLst>
        </xdr:cNvPr>
        <xdr:cNvCxnSpPr/>
      </xdr:nvCxnSpPr>
      <xdr:spPr>
        <a:xfrm>
          <a:off x="17007620" y="8801466"/>
          <a:ext cx="66721" cy="230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58058</xdr:colOff>
      <xdr:row>21</xdr:row>
      <xdr:rowOff>240206</xdr:rowOff>
    </xdr:from>
    <xdr:to>
      <xdr:col>17</xdr:col>
      <xdr:colOff>214045</xdr:colOff>
      <xdr:row>21</xdr:row>
      <xdr:rowOff>243214</xdr:rowOff>
    </xdr:to>
    <xdr:cxnSp macro="">
      <xdr:nvCxnSpPr>
        <xdr:cNvPr id="37" name="Straight Connector 19">
          <a:extLst>
            <a:ext uri="{FF2B5EF4-FFF2-40B4-BE49-F238E27FC236}">
              <a16:creationId xmlns:a16="http://schemas.microsoft.com/office/drawing/2014/main" id="{B78A075A-DBA0-42A0-ABCE-2803CB82BD0C}"/>
            </a:ext>
          </a:extLst>
        </xdr:cNvPr>
        <xdr:cNvCxnSpPr/>
      </xdr:nvCxnSpPr>
      <xdr:spPr>
        <a:xfrm flipV="1">
          <a:off x="17167384" y="9346629"/>
          <a:ext cx="155987" cy="300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195146</xdr:colOff>
      <xdr:row>22</xdr:row>
      <xdr:rowOff>309756</xdr:rowOff>
    </xdr:from>
    <xdr:to>
      <xdr:col>17</xdr:col>
      <xdr:colOff>261867</xdr:colOff>
      <xdr:row>22</xdr:row>
      <xdr:rowOff>312057</xdr:rowOff>
    </xdr:to>
    <xdr:cxnSp macro="">
      <xdr:nvCxnSpPr>
        <xdr:cNvPr id="39" name="Straight Connector 19">
          <a:extLst>
            <a:ext uri="{FF2B5EF4-FFF2-40B4-BE49-F238E27FC236}">
              <a16:creationId xmlns:a16="http://schemas.microsoft.com/office/drawing/2014/main" id="{C64643E7-4E14-44B7-AFC6-221613769BFC}"/>
            </a:ext>
          </a:extLst>
        </xdr:cNvPr>
        <xdr:cNvCxnSpPr/>
      </xdr:nvCxnSpPr>
      <xdr:spPr>
        <a:xfrm>
          <a:off x="17306073" y="10020610"/>
          <a:ext cx="66721" cy="230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201490</xdr:colOff>
      <xdr:row>23</xdr:row>
      <xdr:rowOff>268654</xdr:rowOff>
    </xdr:from>
    <xdr:to>
      <xdr:col>17</xdr:col>
      <xdr:colOff>268211</xdr:colOff>
      <xdr:row>23</xdr:row>
      <xdr:rowOff>270955</xdr:rowOff>
    </xdr:to>
    <xdr:cxnSp macro="">
      <xdr:nvCxnSpPr>
        <xdr:cNvPr id="40" name="Straight Connector 19">
          <a:extLst>
            <a:ext uri="{FF2B5EF4-FFF2-40B4-BE49-F238E27FC236}">
              <a16:creationId xmlns:a16="http://schemas.microsoft.com/office/drawing/2014/main" id="{4CF26608-2243-4FC8-8E5F-8477652DD28D}"/>
            </a:ext>
          </a:extLst>
        </xdr:cNvPr>
        <xdr:cNvCxnSpPr/>
      </xdr:nvCxnSpPr>
      <xdr:spPr>
        <a:xfrm>
          <a:off x="17315961" y="10562981"/>
          <a:ext cx="66721" cy="230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593066</xdr:colOff>
      <xdr:row>26</xdr:row>
      <xdr:rowOff>281556</xdr:rowOff>
    </xdr:from>
    <xdr:to>
      <xdr:col>17</xdr:col>
      <xdr:colOff>155755</xdr:colOff>
      <xdr:row>26</xdr:row>
      <xdr:rowOff>281557</xdr:rowOff>
    </xdr:to>
    <xdr:cxnSp macro="">
      <xdr:nvCxnSpPr>
        <xdr:cNvPr id="41" name="Straight Connector 19">
          <a:extLst>
            <a:ext uri="{FF2B5EF4-FFF2-40B4-BE49-F238E27FC236}">
              <a16:creationId xmlns:a16="http://schemas.microsoft.com/office/drawing/2014/main" id="{75AF6389-67A2-499B-A9A5-7DD8E8B17E90}"/>
            </a:ext>
          </a:extLst>
        </xdr:cNvPr>
        <xdr:cNvCxnSpPr/>
      </xdr:nvCxnSpPr>
      <xdr:spPr>
        <a:xfrm>
          <a:off x="17073113" y="11753490"/>
          <a:ext cx="197689" cy="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163742</xdr:colOff>
      <xdr:row>27</xdr:row>
      <xdr:rowOff>299528</xdr:rowOff>
    </xdr:from>
    <xdr:to>
      <xdr:col>17</xdr:col>
      <xdr:colOff>319729</xdr:colOff>
      <xdr:row>27</xdr:row>
      <xdr:rowOff>302536</xdr:rowOff>
    </xdr:to>
    <xdr:cxnSp macro="">
      <xdr:nvCxnSpPr>
        <xdr:cNvPr id="43" name="Straight Connector 19">
          <a:extLst>
            <a:ext uri="{FF2B5EF4-FFF2-40B4-BE49-F238E27FC236}">
              <a16:creationId xmlns:a16="http://schemas.microsoft.com/office/drawing/2014/main" id="{8343A24C-3B5D-4E73-9A59-A4A8523C3E16}"/>
            </a:ext>
          </a:extLst>
        </xdr:cNvPr>
        <xdr:cNvCxnSpPr/>
      </xdr:nvCxnSpPr>
      <xdr:spPr>
        <a:xfrm flipV="1">
          <a:off x="17284780" y="12316603"/>
          <a:ext cx="155987" cy="3008"/>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294268</xdr:colOff>
      <xdr:row>28</xdr:row>
      <xdr:rowOff>305884</xdr:rowOff>
    </xdr:from>
    <xdr:to>
      <xdr:col>17</xdr:col>
      <xdr:colOff>360989</xdr:colOff>
      <xdr:row>28</xdr:row>
      <xdr:rowOff>308185</xdr:rowOff>
    </xdr:to>
    <xdr:cxnSp macro="">
      <xdr:nvCxnSpPr>
        <xdr:cNvPr id="44" name="Straight Connector 19">
          <a:extLst>
            <a:ext uri="{FF2B5EF4-FFF2-40B4-BE49-F238E27FC236}">
              <a16:creationId xmlns:a16="http://schemas.microsoft.com/office/drawing/2014/main" id="{AC6BB81B-9F71-44C3-AF2A-76D5EADD0CAA}"/>
            </a:ext>
          </a:extLst>
        </xdr:cNvPr>
        <xdr:cNvCxnSpPr/>
      </xdr:nvCxnSpPr>
      <xdr:spPr>
        <a:xfrm>
          <a:off x="17408292" y="12947805"/>
          <a:ext cx="66721" cy="230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290396</xdr:colOff>
      <xdr:row>29</xdr:row>
      <xdr:rowOff>212958</xdr:rowOff>
    </xdr:from>
    <xdr:to>
      <xdr:col>17</xdr:col>
      <xdr:colOff>357117</xdr:colOff>
      <xdr:row>29</xdr:row>
      <xdr:rowOff>215259</xdr:rowOff>
    </xdr:to>
    <xdr:cxnSp macro="">
      <xdr:nvCxnSpPr>
        <xdr:cNvPr id="45" name="Straight Connector 19">
          <a:extLst>
            <a:ext uri="{FF2B5EF4-FFF2-40B4-BE49-F238E27FC236}">
              <a16:creationId xmlns:a16="http://schemas.microsoft.com/office/drawing/2014/main" id="{C502D92B-499E-4BDA-A611-7A2FA3182F30}"/>
            </a:ext>
          </a:extLst>
        </xdr:cNvPr>
        <xdr:cNvCxnSpPr/>
      </xdr:nvCxnSpPr>
      <xdr:spPr>
        <a:xfrm>
          <a:off x="17404420" y="13427928"/>
          <a:ext cx="66721" cy="230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564006</xdr:colOff>
      <xdr:row>31</xdr:row>
      <xdr:rowOff>299751</xdr:rowOff>
    </xdr:from>
    <xdr:to>
      <xdr:col>17</xdr:col>
      <xdr:colOff>51273</xdr:colOff>
      <xdr:row>31</xdr:row>
      <xdr:rowOff>299751</xdr:rowOff>
    </xdr:to>
    <xdr:cxnSp macro="">
      <xdr:nvCxnSpPr>
        <xdr:cNvPr id="46" name="Straight Connector 19">
          <a:extLst>
            <a:ext uri="{FF2B5EF4-FFF2-40B4-BE49-F238E27FC236}">
              <a16:creationId xmlns:a16="http://schemas.microsoft.com/office/drawing/2014/main" id="{800C0586-F788-4516-A004-DB0F95E5466F}"/>
            </a:ext>
          </a:extLst>
        </xdr:cNvPr>
        <xdr:cNvCxnSpPr/>
      </xdr:nvCxnSpPr>
      <xdr:spPr>
        <a:xfrm>
          <a:off x="17038509" y="14104099"/>
          <a:ext cx="12226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103961</xdr:colOff>
      <xdr:row>32</xdr:row>
      <xdr:rowOff>261305</xdr:rowOff>
    </xdr:from>
    <xdr:to>
      <xdr:col>17</xdr:col>
      <xdr:colOff>226228</xdr:colOff>
      <xdr:row>32</xdr:row>
      <xdr:rowOff>261305</xdr:rowOff>
    </xdr:to>
    <xdr:cxnSp macro="">
      <xdr:nvCxnSpPr>
        <xdr:cNvPr id="48" name="Straight Connector 19">
          <a:extLst>
            <a:ext uri="{FF2B5EF4-FFF2-40B4-BE49-F238E27FC236}">
              <a16:creationId xmlns:a16="http://schemas.microsoft.com/office/drawing/2014/main" id="{25E5E488-98B0-4E18-A2BD-ADC3C8122E8C}"/>
            </a:ext>
          </a:extLst>
        </xdr:cNvPr>
        <xdr:cNvCxnSpPr/>
      </xdr:nvCxnSpPr>
      <xdr:spPr>
        <a:xfrm>
          <a:off x="17218054" y="14605000"/>
          <a:ext cx="12226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245463</xdr:colOff>
      <xdr:row>33</xdr:row>
      <xdr:rowOff>272143</xdr:rowOff>
    </xdr:from>
    <xdr:to>
      <xdr:col>17</xdr:col>
      <xdr:colOff>367730</xdr:colOff>
      <xdr:row>33</xdr:row>
      <xdr:rowOff>272143</xdr:rowOff>
    </xdr:to>
    <xdr:cxnSp macro="">
      <xdr:nvCxnSpPr>
        <xdr:cNvPr id="49" name="Straight Connector 19">
          <a:extLst>
            <a:ext uri="{FF2B5EF4-FFF2-40B4-BE49-F238E27FC236}">
              <a16:creationId xmlns:a16="http://schemas.microsoft.com/office/drawing/2014/main" id="{5C4592CC-DC1D-40D6-8A3E-CC4032CCE3DF}"/>
            </a:ext>
          </a:extLst>
        </xdr:cNvPr>
        <xdr:cNvCxnSpPr/>
      </xdr:nvCxnSpPr>
      <xdr:spPr>
        <a:xfrm>
          <a:off x="17369118" y="15213319"/>
          <a:ext cx="12226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125905</xdr:colOff>
      <xdr:row>37</xdr:row>
      <xdr:rowOff>229914</xdr:rowOff>
    </xdr:from>
    <xdr:to>
      <xdr:col>17</xdr:col>
      <xdr:colOff>248172</xdr:colOff>
      <xdr:row>37</xdr:row>
      <xdr:rowOff>229914</xdr:rowOff>
    </xdr:to>
    <xdr:cxnSp macro="">
      <xdr:nvCxnSpPr>
        <xdr:cNvPr id="50" name="Straight Connector 19">
          <a:extLst>
            <a:ext uri="{FF2B5EF4-FFF2-40B4-BE49-F238E27FC236}">
              <a16:creationId xmlns:a16="http://schemas.microsoft.com/office/drawing/2014/main" id="{2FCE8B36-C20A-446A-AD90-4223AFC9B1B3}"/>
            </a:ext>
          </a:extLst>
        </xdr:cNvPr>
        <xdr:cNvCxnSpPr/>
      </xdr:nvCxnSpPr>
      <xdr:spPr>
        <a:xfrm>
          <a:off x="17243534" y="16876767"/>
          <a:ext cx="12226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202543</xdr:colOff>
      <xdr:row>38</xdr:row>
      <xdr:rowOff>251810</xdr:rowOff>
    </xdr:from>
    <xdr:to>
      <xdr:col>17</xdr:col>
      <xdr:colOff>324810</xdr:colOff>
      <xdr:row>38</xdr:row>
      <xdr:rowOff>251810</xdr:rowOff>
    </xdr:to>
    <xdr:cxnSp macro="">
      <xdr:nvCxnSpPr>
        <xdr:cNvPr id="51" name="Straight Connector 19">
          <a:extLst>
            <a:ext uri="{FF2B5EF4-FFF2-40B4-BE49-F238E27FC236}">
              <a16:creationId xmlns:a16="http://schemas.microsoft.com/office/drawing/2014/main" id="{C7466361-FA25-4CFB-9D0E-35D8A1A8872F}"/>
            </a:ext>
          </a:extLst>
        </xdr:cNvPr>
        <xdr:cNvCxnSpPr/>
      </xdr:nvCxnSpPr>
      <xdr:spPr>
        <a:xfrm>
          <a:off x="17320172" y="17467974"/>
          <a:ext cx="12226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383190</xdr:colOff>
      <xdr:row>39</xdr:row>
      <xdr:rowOff>273707</xdr:rowOff>
    </xdr:from>
    <xdr:to>
      <xdr:col>17</xdr:col>
      <xdr:colOff>505457</xdr:colOff>
      <xdr:row>39</xdr:row>
      <xdr:rowOff>273707</xdr:rowOff>
    </xdr:to>
    <xdr:cxnSp macro="">
      <xdr:nvCxnSpPr>
        <xdr:cNvPr id="52" name="Straight Connector 19">
          <a:extLst>
            <a:ext uri="{FF2B5EF4-FFF2-40B4-BE49-F238E27FC236}">
              <a16:creationId xmlns:a16="http://schemas.microsoft.com/office/drawing/2014/main" id="{40496392-FD56-4A77-9528-2E007039AD35}"/>
            </a:ext>
          </a:extLst>
        </xdr:cNvPr>
        <xdr:cNvCxnSpPr/>
      </xdr:nvCxnSpPr>
      <xdr:spPr>
        <a:xfrm>
          <a:off x="17500819" y="18059181"/>
          <a:ext cx="122267"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176622</xdr:colOff>
      <xdr:row>43</xdr:row>
      <xdr:rowOff>243907</xdr:rowOff>
    </xdr:from>
    <xdr:to>
      <xdr:col>17</xdr:col>
      <xdr:colOff>378477</xdr:colOff>
      <xdr:row>43</xdr:row>
      <xdr:rowOff>243908</xdr:rowOff>
    </xdr:to>
    <xdr:cxnSp macro="">
      <xdr:nvCxnSpPr>
        <xdr:cNvPr id="53" name="Straight Connector 19">
          <a:extLst>
            <a:ext uri="{FF2B5EF4-FFF2-40B4-BE49-F238E27FC236}">
              <a16:creationId xmlns:a16="http://schemas.microsoft.com/office/drawing/2014/main" id="{81FB1CE4-0808-4493-AF70-45465F2E46C8}"/>
            </a:ext>
          </a:extLst>
        </xdr:cNvPr>
        <xdr:cNvCxnSpPr/>
      </xdr:nvCxnSpPr>
      <xdr:spPr>
        <a:xfrm flipV="1">
          <a:off x="17296390" y="19903675"/>
          <a:ext cx="201855" cy="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259366</xdr:colOff>
      <xdr:row>44</xdr:row>
      <xdr:rowOff>295141</xdr:rowOff>
    </xdr:from>
    <xdr:to>
      <xdr:col>17</xdr:col>
      <xdr:colOff>461221</xdr:colOff>
      <xdr:row>44</xdr:row>
      <xdr:rowOff>295142</xdr:rowOff>
    </xdr:to>
    <xdr:cxnSp macro="">
      <xdr:nvCxnSpPr>
        <xdr:cNvPr id="55" name="Straight Connector 19">
          <a:extLst>
            <a:ext uri="{FF2B5EF4-FFF2-40B4-BE49-F238E27FC236}">
              <a16:creationId xmlns:a16="http://schemas.microsoft.com/office/drawing/2014/main" id="{F270DE5D-D11B-4E49-93F9-C7A36E45EA40}"/>
            </a:ext>
          </a:extLst>
        </xdr:cNvPr>
        <xdr:cNvCxnSpPr/>
      </xdr:nvCxnSpPr>
      <xdr:spPr>
        <a:xfrm flipV="1">
          <a:off x="17386479" y="20507817"/>
          <a:ext cx="201855" cy="1"/>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327742</xdr:colOff>
      <xdr:row>49</xdr:row>
      <xdr:rowOff>317500</xdr:rowOff>
    </xdr:from>
    <xdr:to>
      <xdr:col>17</xdr:col>
      <xdr:colOff>526448</xdr:colOff>
      <xdr:row>49</xdr:row>
      <xdr:rowOff>320037</xdr:rowOff>
    </xdr:to>
    <xdr:cxnSp macro="">
      <xdr:nvCxnSpPr>
        <xdr:cNvPr id="57" name="Straight Connector 19">
          <a:extLst>
            <a:ext uri="{FF2B5EF4-FFF2-40B4-BE49-F238E27FC236}">
              <a16:creationId xmlns:a16="http://schemas.microsoft.com/office/drawing/2014/main" id="{ED170091-A880-4F5F-89DD-FBF6EC16EA3F}"/>
            </a:ext>
          </a:extLst>
        </xdr:cNvPr>
        <xdr:cNvCxnSpPr/>
      </xdr:nvCxnSpPr>
      <xdr:spPr>
        <a:xfrm flipV="1">
          <a:off x="17442016" y="22982903"/>
          <a:ext cx="198706" cy="2537"/>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476250</xdr:colOff>
      <xdr:row>50</xdr:row>
      <xdr:rowOff>285750</xdr:rowOff>
    </xdr:from>
    <xdr:to>
      <xdr:col>17</xdr:col>
      <xdr:colOff>628049</xdr:colOff>
      <xdr:row>50</xdr:row>
      <xdr:rowOff>287603</xdr:rowOff>
    </xdr:to>
    <xdr:cxnSp macro="">
      <xdr:nvCxnSpPr>
        <xdr:cNvPr id="58" name="Straight Connector 19">
          <a:extLst>
            <a:ext uri="{FF2B5EF4-FFF2-40B4-BE49-F238E27FC236}">
              <a16:creationId xmlns:a16="http://schemas.microsoft.com/office/drawing/2014/main" id="{6410B5B8-0C70-4343-AC5C-8EE166F6A4AE}"/>
            </a:ext>
          </a:extLst>
        </xdr:cNvPr>
        <xdr:cNvCxnSpPr/>
      </xdr:nvCxnSpPr>
      <xdr:spPr>
        <a:xfrm flipV="1">
          <a:off x="17580429" y="23417893"/>
          <a:ext cx="151799" cy="185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485588</xdr:colOff>
      <xdr:row>67</xdr:row>
      <xdr:rowOff>298824</xdr:rowOff>
    </xdr:from>
    <xdr:to>
      <xdr:col>17</xdr:col>
      <xdr:colOff>127000</xdr:colOff>
      <xdr:row>67</xdr:row>
      <xdr:rowOff>306294</xdr:rowOff>
    </xdr:to>
    <xdr:cxnSp macro="">
      <xdr:nvCxnSpPr>
        <xdr:cNvPr id="63" name="Straight Connector 19">
          <a:extLst>
            <a:ext uri="{FF2B5EF4-FFF2-40B4-BE49-F238E27FC236}">
              <a16:creationId xmlns:a16="http://schemas.microsoft.com/office/drawing/2014/main" id="{A257BF0F-6A59-4ADD-ACA5-2EBAF3F0D01B}"/>
            </a:ext>
          </a:extLst>
        </xdr:cNvPr>
        <xdr:cNvCxnSpPr/>
      </xdr:nvCxnSpPr>
      <xdr:spPr>
        <a:xfrm>
          <a:off x="16965706" y="31581912"/>
          <a:ext cx="276412" cy="74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362324</xdr:colOff>
      <xdr:row>68</xdr:row>
      <xdr:rowOff>272677</xdr:rowOff>
    </xdr:from>
    <xdr:to>
      <xdr:col>16</xdr:col>
      <xdr:colOff>487785</xdr:colOff>
      <xdr:row>68</xdr:row>
      <xdr:rowOff>275905</xdr:rowOff>
    </xdr:to>
    <xdr:cxnSp macro="">
      <xdr:nvCxnSpPr>
        <xdr:cNvPr id="65" name="Straight Connector 2">
          <a:extLst>
            <a:ext uri="{FF2B5EF4-FFF2-40B4-BE49-F238E27FC236}">
              <a16:creationId xmlns:a16="http://schemas.microsoft.com/office/drawing/2014/main" id="{BF281403-7A4B-46EC-94E2-5744D7076E86}"/>
            </a:ext>
          </a:extLst>
        </xdr:cNvPr>
        <xdr:cNvCxnSpPr/>
      </xdr:nvCxnSpPr>
      <xdr:spPr>
        <a:xfrm>
          <a:off x="16842442" y="32127265"/>
          <a:ext cx="125461" cy="3228"/>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481852</xdr:colOff>
      <xdr:row>68</xdr:row>
      <xdr:rowOff>276412</xdr:rowOff>
    </xdr:from>
    <xdr:to>
      <xdr:col>17</xdr:col>
      <xdr:colOff>123264</xdr:colOff>
      <xdr:row>68</xdr:row>
      <xdr:rowOff>283882</xdr:rowOff>
    </xdr:to>
    <xdr:cxnSp macro="">
      <xdr:nvCxnSpPr>
        <xdr:cNvPr id="67" name="Straight Connector 19">
          <a:extLst>
            <a:ext uri="{FF2B5EF4-FFF2-40B4-BE49-F238E27FC236}">
              <a16:creationId xmlns:a16="http://schemas.microsoft.com/office/drawing/2014/main" id="{77026AEB-8C59-4A10-8099-5363F266750F}"/>
            </a:ext>
          </a:extLst>
        </xdr:cNvPr>
        <xdr:cNvCxnSpPr/>
      </xdr:nvCxnSpPr>
      <xdr:spPr>
        <a:xfrm>
          <a:off x="16961970" y="32131000"/>
          <a:ext cx="276412" cy="74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366059</xdr:colOff>
      <xdr:row>69</xdr:row>
      <xdr:rowOff>216647</xdr:rowOff>
    </xdr:from>
    <xdr:to>
      <xdr:col>16</xdr:col>
      <xdr:colOff>491520</xdr:colOff>
      <xdr:row>69</xdr:row>
      <xdr:rowOff>219875</xdr:rowOff>
    </xdr:to>
    <xdr:cxnSp macro="">
      <xdr:nvCxnSpPr>
        <xdr:cNvPr id="69" name="Straight Connector 2">
          <a:extLst>
            <a:ext uri="{FF2B5EF4-FFF2-40B4-BE49-F238E27FC236}">
              <a16:creationId xmlns:a16="http://schemas.microsoft.com/office/drawing/2014/main" id="{6FB422BB-2559-4877-80AE-AAF44B65BD1B}"/>
            </a:ext>
          </a:extLst>
        </xdr:cNvPr>
        <xdr:cNvCxnSpPr/>
      </xdr:nvCxnSpPr>
      <xdr:spPr>
        <a:xfrm>
          <a:off x="16846177" y="32624059"/>
          <a:ext cx="125461" cy="3228"/>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577645</xdr:colOff>
      <xdr:row>72</xdr:row>
      <xdr:rowOff>225323</xdr:rowOff>
    </xdr:from>
    <xdr:to>
      <xdr:col>16</xdr:col>
      <xdr:colOff>151580</xdr:colOff>
      <xdr:row>72</xdr:row>
      <xdr:rowOff>237613</xdr:rowOff>
    </xdr:to>
    <xdr:cxnSp macro="">
      <xdr:nvCxnSpPr>
        <xdr:cNvPr id="72" name="Straight Connector 2">
          <a:extLst>
            <a:ext uri="{FF2B5EF4-FFF2-40B4-BE49-F238E27FC236}">
              <a16:creationId xmlns:a16="http://schemas.microsoft.com/office/drawing/2014/main" id="{6CE6C660-2729-4D3C-B47F-C2C59B64892E}"/>
            </a:ext>
          </a:extLst>
        </xdr:cNvPr>
        <xdr:cNvCxnSpPr/>
      </xdr:nvCxnSpPr>
      <xdr:spPr>
        <a:xfrm>
          <a:off x="16419871" y="34671000"/>
          <a:ext cx="208935" cy="1229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507627</xdr:colOff>
      <xdr:row>73</xdr:row>
      <xdr:rowOff>911075</xdr:rowOff>
    </xdr:from>
    <xdr:to>
      <xdr:col>16</xdr:col>
      <xdr:colOff>482958</xdr:colOff>
      <xdr:row>73</xdr:row>
      <xdr:rowOff>916726</xdr:rowOff>
    </xdr:to>
    <xdr:cxnSp macro="">
      <xdr:nvCxnSpPr>
        <xdr:cNvPr id="74" name="Straight Connector 2">
          <a:extLst>
            <a:ext uri="{FF2B5EF4-FFF2-40B4-BE49-F238E27FC236}">
              <a16:creationId xmlns:a16="http://schemas.microsoft.com/office/drawing/2014/main" id="{E0FBC00D-66A3-4F6B-BFD6-92CDD0037E8E}"/>
            </a:ext>
          </a:extLst>
        </xdr:cNvPr>
        <xdr:cNvCxnSpPr/>
      </xdr:nvCxnSpPr>
      <xdr:spPr>
        <a:xfrm>
          <a:off x="16355796" y="35746638"/>
          <a:ext cx="610331" cy="5651"/>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474015</xdr:colOff>
      <xdr:row>73</xdr:row>
      <xdr:rowOff>921197</xdr:rowOff>
    </xdr:from>
    <xdr:to>
      <xdr:col>20</xdr:col>
      <xdr:colOff>0</xdr:colOff>
      <xdr:row>73</xdr:row>
      <xdr:rowOff>921197</xdr:rowOff>
    </xdr:to>
    <xdr:cxnSp macro="">
      <xdr:nvCxnSpPr>
        <xdr:cNvPr id="76" name="Straight Connector 19">
          <a:extLst>
            <a:ext uri="{FF2B5EF4-FFF2-40B4-BE49-F238E27FC236}">
              <a16:creationId xmlns:a16="http://schemas.microsoft.com/office/drawing/2014/main" id="{F5AD51E8-F453-454C-92AD-02EEAED14071}"/>
            </a:ext>
          </a:extLst>
        </xdr:cNvPr>
        <xdr:cNvCxnSpPr/>
      </xdr:nvCxnSpPr>
      <xdr:spPr>
        <a:xfrm>
          <a:off x="16957184" y="35756760"/>
          <a:ext cx="20659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91065</xdr:colOff>
      <xdr:row>77</xdr:row>
      <xdr:rowOff>467636</xdr:rowOff>
    </xdr:from>
    <xdr:to>
      <xdr:col>19</xdr:col>
      <xdr:colOff>213239</xdr:colOff>
      <xdr:row>77</xdr:row>
      <xdr:rowOff>467636</xdr:rowOff>
    </xdr:to>
    <xdr:cxnSp macro="">
      <xdr:nvCxnSpPr>
        <xdr:cNvPr id="79" name="Straight Connector 19">
          <a:extLst>
            <a:ext uri="{FF2B5EF4-FFF2-40B4-BE49-F238E27FC236}">
              <a16:creationId xmlns:a16="http://schemas.microsoft.com/office/drawing/2014/main" id="{441F309C-0A71-4CC0-8DFF-60494DC2104D}"/>
            </a:ext>
          </a:extLst>
        </xdr:cNvPr>
        <xdr:cNvCxnSpPr/>
      </xdr:nvCxnSpPr>
      <xdr:spPr>
        <a:xfrm>
          <a:off x="18471608" y="38860524"/>
          <a:ext cx="122174"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7938</xdr:colOff>
      <xdr:row>85</xdr:row>
      <xdr:rowOff>230188</xdr:rowOff>
    </xdr:from>
    <xdr:to>
      <xdr:col>18</xdr:col>
      <xdr:colOff>276606</xdr:colOff>
      <xdr:row>85</xdr:row>
      <xdr:rowOff>240562</xdr:rowOff>
    </xdr:to>
    <xdr:cxnSp macro="">
      <xdr:nvCxnSpPr>
        <xdr:cNvPr id="81" name="Straight Connector 19">
          <a:extLst>
            <a:ext uri="{FF2B5EF4-FFF2-40B4-BE49-F238E27FC236}">
              <a16:creationId xmlns:a16="http://schemas.microsoft.com/office/drawing/2014/main" id="{FF0971C9-6B03-407E-A66E-2C70CEEAC612}"/>
            </a:ext>
          </a:extLst>
        </xdr:cNvPr>
        <xdr:cNvCxnSpPr/>
      </xdr:nvCxnSpPr>
      <xdr:spPr>
        <a:xfrm flipV="1">
          <a:off x="17121188" y="41656001"/>
          <a:ext cx="903668" cy="10374"/>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480919</xdr:colOff>
      <xdr:row>88</xdr:row>
      <xdr:rowOff>224117</xdr:rowOff>
    </xdr:from>
    <xdr:to>
      <xdr:col>17</xdr:col>
      <xdr:colOff>207514</xdr:colOff>
      <xdr:row>88</xdr:row>
      <xdr:rowOff>224117</xdr:rowOff>
    </xdr:to>
    <xdr:cxnSp macro="">
      <xdr:nvCxnSpPr>
        <xdr:cNvPr id="86" name="Straight Connector 19">
          <a:extLst>
            <a:ext uri="{FF2B5EF4-FFF2-40B4-BE49-F238E27FC236}">
              <a16:creationId xmlns:a16="http://schemas.microsoft.com/office/drawing/2014/main" id="{6F2B56A3-5F34-44C2-BCE7-B0A3E66CC68E}"/>
            </a:ext>
          </a:extLst>
        </xdr:cNvPr>
        <xdr:cNvCxnSpPr/>
      </xdr:nvCxnSpPr>
      <xdr:spPr>
        <a:xfrm>
          <a:off x="16958235" y="42633713"/>
          <a:ext cx="36159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135405</xdr:colOff>
      <xdr:row>89</xdr:row>
      <xdr:rowOff>210111</xdr:rowOff>
    </xdr:from>
    <xdr:to>
      <xdr:col>17</xdr:col>
      <xdr:colOff>497000</xdr:colOff>
      <xdr:row>89</xdr:row>
      <xdr:rowOff>210111</xdr:rowOff>
    </xdr:to>
    <xdr:cxnSp macro="">
      <xdr:nvCxnSpPr>
        <xdr:cNvPr id="89" name="Straight Connector 19">
          <a:extLst>
            <a:ext uri="{FF2B5EF4-FFF2-40B4-BE49-F238E27FC236}">
              <a16:creationId xmlns:a16="http://schemas.microsoft.com/office/drawing/2014/main" id="{B5C3FF65-E759-430E-A85C-675FFE711F1C}"/>
            </a:ext>
          </a:extLst>
        </xdr:cNvPr>
        <xdr:cNvCxnSpPr/>
      </xdr:nvCxnSpPr>
      <xdr:spPr>
        <a:xfrm>
          <a:off x="17247721" y="43077280"/>
          <a:ext cx="36159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572745</xdr:colOff>
      <xdr:row>91</xdr:row>
      <xdr:rowOff>174314</xdr:rowOff>
    </xdr:from>
    <xdr:to>
      <xdr:col>20</xdr:col>
      <xdr:colOff>0</xdr:colOff>
      <xdr:row>91</xdr:row>
      <xdr:rowOff>174314</xdr:rowOff>
    </xdr:to>
    <xdr:cxnSp macro="">
      <xdr:nvCxnSpPr>
        <xdr:cNvPr id="90" name="Straight Connector 19">
          <a:extLst>
            <a:ext uri="{FF2B5EF4-FFF2-40B4-BE49-F238E27FC236}">
              <a16:creationId xmlns:a16="http://schemas.microsoft.com/office/drawing/2014/main" id="{92CC14DA-F107-4DB7-BD1F-53C28BE8B860}"/>
            </a:ext>
          </a:extLst>
        </xdr:cNvPr>
        <xdr:cNvCxnSpPr/>
      </xdr:nvCxnSpPr>
      <xdr:spPr>
        <a:xfrm>
          <a:off x="18315392" y="43684265"/>
          <a:ext cx="6972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273922</xdr:colOff>
      <xdr:row>92</xdr:row>
      <xdr:rowOff>168089</xdr:rowOff>
    </xdr:from>
    <xdr:to>
      <xdr:col>20</xdr:col>
      <xdr:colOff>0</xdr:colOff>
      <xdr:row>92</xdr:row>
      <xdr:rowOff>168089</xdr:rowOff>
    </xdr:to>
    <xdr:cxnSp macro="">
      <xdr:nvCxnSpPr>
        <xdr:cNvPr id="93" name="Straight Connector 19">
          <a:extLst>
            <a:ext uri="{FF2B5EF4-FFF2-40B4-BE49-F238E27FC236}">
              <a16:creationId xmlns:a16="http://schemas.microsoft.com/office/drawing/2014/main" id="{9455F297-6CAA-432C-98E0-7BF6B4B4BADB}"/>
            </a:ext>
          </a:extLst>
        </xdr:cNvPr>
        <xdr:cNvCxnSpPr/>
      </xdr:nvCxnSpPr>
      <xdr:spPr>
        <a:xfrm>
          <a:off x="18651569" y="44039118"/>
          <a:ext cx="361078"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429559</xdr:colOff>
      <xdr:row>93</xdr:row>
      <xdr:rowOff>180540</xdr:rowOff>
    </xdr:from>
    <xdr:to>
      <xdr:col>20</xdr:col>
      <xdr:colOff>0</xdr:colOff>
      <xdr:row>93</xdr:row>
      <xdr:rowOff>180540</xdr:rowOff>
    </xdr:to>
    <xdr:cxnSp macro="">
      <xdr:nvCxnSpPr>
        <xdr:cNvPr id="95" name="Straight Connector 19">
          <a:extLst>
            <a:ext uri="{FF2B5EF4-FFF2-40B4-BE49-F238E27FC236}">
              <a16:creationId xmlns:a16="http://schemas.microsoft.com/office/drawing/2014/main" id="{AEE3E4AC-2254-4812-8DDD-EF1CD2FC815E}"/>
            </a:ext>
          </a:extLst>
        </xdr:cNvPr>
        <xdr:cNvCxnSpPr/>
      </xdr:nvCxnSpPr>
      <xdr:spPr>
        <a:xfrm>
          <a:off x="18807206" y="44412648"/>
          <a:ext cx="205441"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aster%20Shee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L42"/>
  <sheetViews>
    <sheetView showGridLines="0" zoomScale="140" zoomScaleNormal="140" workbookViewId="0">
      <pane ySplit="2" topLeftCell="A11" activePane="bottomLeft" state="frozen"/>
      <selection pane="bottomLeft" activeCell="K17" sqref="K17"/>
    </sheetView>
  </sheetViews>
  <sheetFormatPr defaultColWidth="9" defaultRowHeight="13.5" x14ac:dyDescent="0.15"/>
  <cols>
    <col min="1" max="1" width="0.75" customWidth="1"/>
    <col min="2" max="2" width="5.625" customWidth="1"/>
    <col min="3" max="3" width="32.375" customWidth="1"/>
    <col min="4" max="10" width="9.125" customWidth="1"/>
    <col min="11" max="11" width="42.75" style="5" customWidth="1"/>
  </cols>
  <sheetData>
    <row r="1" spans="2:11" ht="5.45" customHeight="1" x14ac:dyDescent="0.15"/>
    <row r="2" spans="2:11" ht="24" customHeight="1" x14ac:dyDescent="0.15">
      <c r="B2" s="396" t="s">
        <v>0</v>
      </c>
      <c r="C2" s="11" t="s">
        <v>1</v>
      </c>
      <c r="D2" s="13">
        <v>46113</v>
      </c>
      <c r="E2" s="13">
        <v>46143</v>
      </c>
      <c r="F2" s="13">
        <v>46174</v>
      </c>
      <c r="G2" s="13">
        <v>46204</v>
      </c>
      <c r="H2" s="13">
        <v>46235</v>
      </c>
      <c r="I2" s="13">
        <v>46266</v>
      </c>
      <c r="J2" s="13">
        <v>46296</v>
      </c>
      <c r="K2" s="14" t="s">
        <v>2</v>
      </c>
    </row>
    <row r="3" spans="2:11" ht="45" customHeight="1" x14ac:dyDescent="0.15">
      <c r="B3" s="397"/>
      <c r="C3" s="399" t="s">
        <v>3</v>
      </c>
      <c r="D3" s="400"/>
      <c r="E3" s="400"/>
      <c r="F3" s="400"/>
      <c r="G3" s="400"/>
      <c r="H3" s="400"/>
      <c r="I3" s="400"/>
      <c r="J3" s="400"/>
      <c r="K3" s="22" t="s">
        <v>4</v>
      </c>
    </row>
    <row r="4" spans="2:11" ht="45" customHeight="1" x14ac:dyDescent="0.15">
      <c r="B4" s="397"/>
      <c r="C4" s="393" t="s">
        <v>5</v>
      </c>
      <c r="D4" s="394"/>
      <c r="E4" s="394"/>
      <c r="F4" s="394"/>
      <c r="G4" s="394"/>
      <c r="H4" s="394"/>
      <c r="I4" s="394"/>
      <c r="J4" s="395"/>
      <c r="K4" s="22" t="s">
        <v>6</v>
      </c>
    </row>
    <row r="5" spans="2:11" ht="45" customHeight="1" x14ac:dyDescent="0.15">
      <c r="B5" s="397"/>
      <c r="C5" s="393" t="s">
        <v>7</v>
      </c>
      <c r="D5" s="394"/>
      <c r="E5" s="394"/>
      <c r="F5" s="394"/>
      <c r="G5" s="394"/>
      <c r="H5" s="394"/>
      <c r="I5" s="394"/>
      <c r="J5" s="395"/>
      <c r="K5" s="22" t="s">
        <v>8</v>
      </c>
    </row>
    <row r="6" spans="2:11" ht="45" customHeight="1" x14ac:dyDescent="0.15">
      <c r="B6" s="397"/>
      <c r="C6" s="83" t="s">
        <v>9</v>
      </c>
      <c r="D6" s="84"/>
      <c r="E6" s="84"/>
      <c r="F6" s="84"/>
      <c r="G6" s="84"/>
      <c r="H6" s="84"/>
      <c r="I6" s="84"/>
      <c r="J6" s="85"/>
      <c r="K6" s="22" t="s">
        <v>10</v>
      </c>
    </row>
    <row r="7" spans="2:11" ht="45" customHeight="1" x14ac:dyDescent="0.15">
      <c r="B7" s="397"/>
      <c r="C7" s="393" t="s">
        <v>11</v>
      </c>
      <c r="D7" s="394"/>
      <c r="E7" s="394"/>
      <c r="F7" s="394"/>
      <c r="G7" s="394"/>
      <c r="H7" s="394"/>
      <c r="I7" s="394"/>
      <c r="J7" s="395"/>
      <c r="K7" s="22" t="s">
        <v>12</v>
      </c>
    </row>
    <row r="8" spans="2:11" ht="45" customHeight="1" x14ac:dyDescent="0.15">
      <c r="B8" s="397"/>
      <c r="C8" s="393" t="s">
        <v>13</v>
      </c>
      <c r="D8" s="394"/>
      <c r="E8" s="394"/>
      <c r="F8" s="394"/>
      <c r="G8" s="394"/>
      <c r="H8" s="394"/>
      <c r="I8" s="394"/>
      <c r="J8" s="395"/>
      <c r="K8" s="22" t="s">
        <v>14</v>
      </c>
    </row>
    <row r="9" spans="2:11" ht="45" customHeight="1" x14ac:dyDescent="0.15">
      <c r="B9" s="397"/>
      <c r="C9" s="393" t="s">
        <v>15</v>
      </c>
      <c r="D9" s="394"/>
      <c r="E9" s="394"/>
      <c r="F9" s="394"/>
      <c r="G9" s="394"/>
      <c r="H9" s="394"/>
      <c r="I9" s="394"/>
      <c r="J9" s="395"/>
      <c r="K9" s="22" t="s">
        <v>14</v>
      </c>
    </row>
    <row r="10" spans="2:11" ht="45" customHeight="1" x14ac:dyDescent="0.15">
      <c r="B10" s="397"/>
      <c r="C10" s="393" t="s">
        <v>16</v>
      </c>
      <c r="D10" s="394"/>
      <c r="E10" s="394"/>
      <c r="F10" s="394"/>
      <c r="G10" s="394"/>
      <c r="H10" s="394"/>
      <c r="I10" s="394"/>
      <c r="J10" s="395"/>
      <c r="K10" s="22" t="s">
        <v>14</v>
      </c>
    </row>
    <row r="11" spans="2:11" ht="45" customHeight="1" x14ac:dyDescent="0.15">
      <c r="B11" s="397"/>
      <c r="C11" s="393" t="s">
        <v>17</v>
      </c>
      <c r="D11" s="394"/>
      <c r="E11" s="394"/>
      <c r="F11" s="394"/>
      <c r="G11" s="394"/>
      <c r="H11" s="394"/>
      <c r="I11" s="394"/>
      <c r="J11" s="395"/>
      <c r="K11" s="22" t="s">
        <v>18</v>
      </c>
    </row>
    <row r="12" spans="2:11" ht="45" customHeight="1" x14ac:dyDescent="0.15">
      <c r="B12" s="397"/>
      <c r="C12" s="393" t="s">
        <v>19</v>
      </c>
      <c r="D12" s="394"/>
      <c r="E12" s="394"/>
      <c r="F12" s="394"/>
      <c r="G12" s="394"/>
      <c r="H12" s="394"/>
      <c r="I12" s="394"/>
      <c r="J12" s="395"/>
      <c r="K12" s="22" t="s">
        <v>18</v>
      </c>
    </row>
    <row r="13" spans="2:11" ht="45" customHeight="1" x14ac:dyDescent="0.15">
      <c r="B13" s="397"/>
      <c r="C13" s="393" t="s">
        <v>20</v>
      </c>
      <c r="D13" s="394"/>
      <c r="E13" s="394"/>
      <c r="F13" s="394"/>
      <c r="G13" s="394"/>
      <c r="H13" s="394"/>
      <c r="I13" s="394"/>
      <c r="J13" s="395"/>
      <c r="K13" s="22" t="s">
        <v>18</v>
      </c>
    </row>
    <row r="14" spans="2:11" ht="45" customHeight="1" x14ac:dyDescent="0.15">
      <c r="B14" s="397"/>
      <c r="C14" s="393" t="s">
        <v>21</v>
      </c>
      <c r="D14" s="394"/>
      <c r="E14" s="394"/>
      <c r="F14" s="394"/>
      <c r="G14" s="394"/>
      <c r="H14" s="394"/>
      <c r="I14" s="394"/>
      <c r="J14" s="395"/>
      <c r="K14" s="22" t="s">
        <v>22</v>
      </c>
    </row>
    <row r="15" spans="2:11" ht="45" customHeight="1" x14ac:dyDescent="0.15">
      <c r="B15" s="397"/>
      <c r="C15" s="393" t="s">
        <v>23</v>
      </c>
      <c r="D15" s="394"/>
      <c r="E15" s="394"/>
      <c r="F15" s="394"/>
      <c r="G15" s="394"/>
      <c r="H15" s="394"/>
      <c r="I15" s="394"/>
      <c r="J15" s="395"/>
      <c r="K15" s="22" t="s">
        <v>24</v>
      </c>
    </row>
    <row r="16" spans="2:11" ht="45" customHeight="1" x14ac:dyDescent="0.15">
      <c r="B16" s="397"/>
      <c r="C16" s="393" t="s">
        <v>25</v>
      </c>
      <c r="D16" s="394"/>
      <c r="E16" s="394"/>
      <c r="F16" s="394"/>
      <c r="G16" s="394"/>
      <c r="H16" s="394"/>
      <c r="I16" s="394"/>
      <c r="J16" s="395"/>
      <c r="K16" s="22" t="s">
        <v>26</v>
      </c>
    </row>
    <row r="17" spans="2:12" ht="45" customHeight="1" x14ac:dyDescent="0.15">
      <c r="B17" s="397"/>
      <c r="C17" s="83" t="s">
        <v>27</v>
      </c>
      <c r="D17" s="84"/>
      <c r="E17" s="84"/>
      <c r="F17" s="84"/>
      <c r="G17" s="84"/>
      <c r="H17" s="84"/>
      <c r="I17" s="84"/>
      <c r="J17" s="85"/>
      <c r="K17" s="86" t="s">
        <v>28</v>
      </c>
    </row>
    <row r="18" spans="2:12" ht="45" customHeight="1" x14ac:dyDescent="0.15">
      <c r="B18" s="397"/>
      <c r="C18" s="399" t="s">
        <v>29</v>
      </c>
      <c r="D18" s="399"/>
      <c r="E18" s="399"/>
      <c r="F18" s="399"/>
      <c r="G18" s="399"/>
      <c r="H18" s="399"/>
      <c r="I18" s="399"/>
      <c r="J18" s="399"/>
      <c r="K18" s="22" t="s">
        <v>30</v>
      </c>
      <c r="L18" s="2"/>
    </row>
    <row r="19" spans="2:12" ht="43.5" customHeight="1" x14ac:dyDescent="0.15">
      <c r="B19" s="397"/>
      <c r="C19" s="399" t="s">
        <v>31</v>
      </c>
      <c r="D19" s="399"/>
      <c r="E19" s="399"/>
      <c r="F19" s="399"/>
      <c r="G19" s="399"/>
      <c r="H19" s="399"/>
      <c r="I19" s="399"/>
      <c r="J19" s="399"/>
      <c r="K19" s="22" t="s">
        <v>30</v>
      </c>
      <c r="L19" s="2"/>
    </row>
    <row r="20" spans="2:12" ht="36" customHeight="1" x14ac:dyDescent="0.15">
      <c r="B20" s="397"/>
      <c r="C20" s="393" t="s">
        <v>32</v>
      </c>
      <c r="D20" s="394"/>
      <c r="E20" s="394"/>
      <c r="F20" s="394"/>
      <c r="G20" s="394"/>
      <c r="H20" s="394"/>
      <c r="I20" s="394"/>
      <c r="J20" s="395"/>
      <c r="K20" s="22" t="s">
        <v>33</v>
      </c>
      <c r="L20" s="2"/>
    </row>
    <row r="21" spans="2:12" ht="36" customHeight="1" x14ac:dyDescent="0.15">
      <c r="B21" s="397"/>
      <c r="C21" s="393" t="s">
        <v>34</v>
      </c>
      <c r="D21" s="394"/>
      <c r="E21" s="394"/>
      <c r="F21" s="394"/>
      <c r="G21" s="394"/>
      <c r="H21" s="394"/>
      <c r="I21" s="394"/>
      <c r="J21" s="395"/>
      <c r="K21" s="22" t="s">
        <v>35</v>
      </c>
      <c r="L21" s="2"/>
    </row>
    <row r="22" spans="2:12" ht="28.9" customHeight="1" x14ac:dyDescent="0.15">
      <c r="B22" s="397"/>
      <c r="C22" s="83" t="s">
        <v>36</v>
      </c>
      <c r="D22" s="84"/>
      <c r="E22" s="84"/>
      <c r="F22" s="84"/>
      <c r="G22" s="84"/>
      <c r="H22" s="84"/>
      <c r="I22" s="84"/>
      <c r="J22" s="85"/>
      <c r="K22" s="22" t="s">
        <v>37</v>
      </c>
      <c r="L22" s="2"/>
    </row>
    <row r="23" spans="2:12" ht="28.9" customHeight="1" x14ac:dyDescent="0.15">
      <c r="B23" s="397"/>
      <c r="C23" s="83" t="s">
        <v>38</v>
      </c>
      <c r="D23" s="84"/>
      <c r="E23" s="84"/>
      <c r="F23" s="84"/>
      <c r="G23" s="84"/>
      <c r="H23" s="84"/>
      <c r="I23" s="84"/>
      <c r="J23" s="85"/>
      <c r="K23" s="22" t="s">
        <v>39</v>
      </c>
      <c r="L23" s="2"/>
    </row>
    <row r="24" spans="2:12" ht="28.9" customHeight="1" x14ac:dyDescent="0.15">
      <c r="B24" s="397"/>
      <c r="C24" s="83" t="s">
        <v>40</v>
      </c>
      <c r="D24" s="84"/>
      <c r="E24" s="84"/>
      <c r="F24" s="84"/>
      <c r="G24" s="84"/>
      <c r="H24" s="84"/>
      <c r="I24" s="84"/>
      <c r="J24" s="85"/>
      <c r="K24" s="22" t="s">
        <v>37</v>
      </c>
      <c r="L24" s="2"/>
    </row>
    <row r="25" spans="2:12" ht="28.9" customHeight="1" x14ac:dyDescent="0.15">
      <c r="B25" s="397"/>
      <c r="C25" s="83" t="s">
        <v>41</v>
      </c>
      <c r="D25" s="84"/>
      <c r="E25" s="84"/>
      <c r="F25" s="84"/>
      <c r="G25" s="84"/>
      <c r="H25" s="84"/>
      <c r="I25" s="84"/>
      <c r="J25" s="85"/>
      <c r="K25" s="22" t="s">
        <v>42</v>
      </c>
      <c r="L25" s="2"/>
    </row>
    <row r="26" spans="2:12" ht="28.9" customHeight="1" x14ac:dyDescent="0.15">
      <c r="B26" s="397"/>
      <c r="C26" s="83" t="s">
        <v>43</v>
      </c>
      <c r="D26" s="84"/>
      <c r="E26" s="84"/>
      <c r="F26" s="84"/>
      <c r="G26" s="84"/>
      <c r="H26" s="84"/>
      <c r="I26" s="84"/>
      <c r="J26" s="85"/>
      <c r="K26" s="22" t="s">
        <v>42</v>
      </c>
      <c r="L26" s="2"/>
    </row>
    <row r="27" spans="2:12" ht="28.9" customHeight="1" x14ac:dyDescent="0.15">
      <c r="B27" s="397"/>
      <c r="C27" s="83" t="s">
        <v>44</v>
      </c>
      <c r="D27" s="84"/>
      <c r="E27" s="84"/>
      <c r="F27" s="84"/>
      <c r="G27" s="84"/>
      <c r="H27" s="84"/>
      <c r="I27" s="84"/>
      <c r="J27" s="85"/>
      <c r="K27" s="22" t="s">
        <v>45</v>
      </c>
      <c r="L27" s="2"/>
    </row>
    <row r="28" spans="2:12" ht="28.9" customHeight="1" x14ac:dyDescent="0.15">
      <c r="B28" s="397"/>
      <c r="C28" s="83" t="s">
        <v>46</v>
      </c>
      <c r="D28" s="84"/>
      <c r="E28" s="84"/>
      <c r="F28" s="84"/>
      <c r="G28" s="84"/>
      <c r="H28" s="84"/>
      <c r="I28" s="84"/>
      <c r="J28" s="85"/>
      <c r="K28" s="22" t="s">
        <v>45</v>
      </c>
      <c r="L28" s="2"/>
    </row>
    <row r="29" spans="2:12" ht="28.9" customHeight="1" x14ac:dyDescent="0.15">
      <c r="B29" s="397"/>
      <c r="C29" s="87" t="s">
        <v>47</v>
      </c>
      <c r="D29" s="84"/>
      <c r="E29" s="84"/>
      <c r="F29" s="84"/>
      <c r="G29" s="84"/>
      <c r="H29" s="84"/>
      <c r="I29" s="84"/>
      <c r="J29" s="85"/>
      <c r="K29" s="22"/>
      <c r="L29" s="2"/>
    </row>
    <row r="30" spans="2:12" ht="28.9" customHeight="1" x14ac:dyDescent="0.15">
      <c r="B30" s="397"/>
      <c r="C30" s="87" t="s">
        <v>48</v>
      </c>
      <c r="D30" s="84"/>
      <c r="E30" s="84"/>
      <c r="F30" s="84"/>
      <c r="G30" s="84"/>
      <c r="H30" s="84"/>
      <c r="I30" s="84"/>
      <c r="J30" s="85"/>
      <c r="K30" s="22"/>
      <c r="L30" s="2"/>
    </row>
    <row r="31" spans="2:12" ht="36" customHeight="1" x14ac:dyDescent="0.15">
      <c r="B31" s="397"/>
      <c r="C31" s="393" t="s">
        <v>49</v>
      </c>
      <c r="D31" s="394"/>
      <c r="E31" s="394"/>
      <c r="F31" s="394"/>
      <c r="G31" s="394"/>
      <c r="H31" s="394"/>
      <c r="I31" s="394"/>
      <c r="J31" s="395"/>
      <c r="K31" s="22" t="s">
        <v>50</v>
      </c>
      <c r="L31" s="2"/>
    </row>
    <row r="32" spans="2:12" ht="36" customHeight="1" x14ac:dyDescent="0.15">
      <c r="B32" s="398"/>
      <c r="C32" s="393" t="s">
        <v>51</v>
      </c>
      <c r="D32" s="394"/>
      <c r="E32" s="394"/>
      <c r="F32" s="394"/>
      <c r="G32" s="394"/>
      <c r="H32" s="394"/>
      <c r="I32" s="394"/>
      <c r="J32" s="395"/>
      <c r="K32" s="22"/>
      <c r="L32" s="2"/>
    </row>
    <row r="33" spans="4:11" x14ac:dyDescent="0.15">
      <c r="D33" s="2"/>
      <c r="E33" s="2"/>
      <c r="F33" s="2"/>
      <c r="G33" s="2"/>
      <c r="H33" s="2"/>
      <c r="I33" s="2"/>
      <c r="J33" s="2"/>
      <c r="K33" s="88"/>
    </row>
    <row r="34" spans="4:11" x14ac:dyDescent="0.15">
      <c r="D34" s="2"/>
      <c r="E34" s="2"/>
      <c r="F34" s="2"/>
      <c r="G34" s="2"/>
      <c r="H34" s="2"/>
      <c r="I34" s="2"/>
      <c r="J34" s="2"/>
      <c r="K34" s="88"/>
    </row>
    <row r="35" spans="4:11" x14ac:dyDescent="0.15">
      <c r="D35" s="2"/>
      <c r="E35" s="2"/>
      <c r="F35" s="2"/>
      <c r="G35" s="2"/>
      <c r="H35" s="2"/>
      <c r="J35" s="2"/>
      <c r="K35" s="88"/>
    </row>
    <row r="36" spans="4:11" x14ac:dyDescent="0.15">
      <c r="D36" s="2"/>
      <c r="E36" s="2"/>
      <c r="F36" s="2"/>
      <c r="G36" s="2"/>
      <c r="H36" s="2"/>
      <c r="I36" s="2"/>
      <c r="J36" s="2"/>
      <c r="K36" s="88"/>
    </row>
    <row r="37" spans="4:11" x14ac:dyDescent="0.15">
      <c r="D37" s="2"/>
      <c r="E37" s="2"/>
      <c r="F37" s="2"/>
      <c r="G37" s="2"/>
      <c r="H37" s="2"/>
      <c r="I37" s="2"/>
      <c r="J37" s="2"/>
      <c r="K37" s="88"/>
    </row>
    <row r="38" spans="4:11" x14ac:dyDescent="0.15">
      <c r="D38" s="2"/>
      <c r="E38" s="2"/>
      <c r="F38" s="2"/>
      <c r="G38" s="2"/>
      <c r="H38" s="2"/>
      <c r="I38" s="2"/>
      <c r="J38" s="2"/>
      <c r="K38" s="88"/>
    </row>
    <row r="39" spans="4:11" x14ac:dyDescent="0.15">
      <c r="D39" s="2"/>
      <c r="E39" s="2"/>
      <c r="F39" s="2"/>
      <c r="G39" s="2"/>
      <c r="H39" s="2"/>
      <c r="I39" s="2"/>
      <c r="J39" s="2"/>
      <c r="K39" s="88"/>
    </row>
    <row r="42" spans="4:11" x14ac:dyDescent="0.15">
      <c r="D42" s="2"/>
      <c r="E42" s="2"/>
      <c r="F42" s="2"/>
      <c r="G42" s="2"/>
      <c r="H42" s="2"/>
      <c r="I42" s="2"/>
      <c r="J42" s="2"/>
      <c r="K42" s="88"/>
    </row>
  </sheetData>
  <mergeCells count="20">
    <mergeCell ref="B2:B32"/>
    <mergeCell ref="C14:J14"/>
    <mergeCell ref="C15:J15"/>
    <mergeCell ref="C16:J16"/>
    <mergeCell ref="C18:J18"/>
    <mergeCell ref="C19:J19"/>
    <mergeCell ref="C9:J9"/>
    <mergeCell ref="C10:J10"/>
    <mergeCell ref="C11:J11"/>
    <mergeCell ref="C12:J12"/>
    <mergeCell ref="C13:J13"/>
    <mergeCell ref="C3:J3"/>
    <mergeCell ref="C4:J4"/>
    <mergeCell ref="C5:J5"/>
    <mergeCell ref="C7:J7"/>
    <mergeCell ref="C8:J8"/>
    <mergeCell ref="C20:J20"/>
    <mergeCell ref="C21:J21"/>
    <mergeCell ref="C31:J31"/>
    <mergeCell ref="C32:J32"/>
  </mergeCell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C27"/>
  <sheetViews>
    <sheetView view="pageBreakPreview" topLeftCell="A5" zoomScale="115" zoomScaleNormal="145" zoomScaleSheetLayoutView="115" workbookViewId="0">
      <selection activeCell="M7" sqref="M7:M9"/>
    </sheetView>
  </sheetViews>
  <sheetFormatPr defaultColWidth="9" defaultRowHeight="13.5" x14ac:dyDescent="0.15"/>
  <cols>
    <col min="1" max="1" width="9.625" customWidth="1"/>
    <col min="2" max="2" width="10.25" hidden="1" customWidth="1"/>
    <col min="3" max="3" width="13.25" customWidth="1"/>
    <col min="4" max="8" width="4.75" customWidth="1"/>
    <col min="9" max="9" width="3" customWidth="1"/>
    <col min="10" max="10" width="11.75" customWidth="1"/>
    <col min="11" max="11" width="14.75" hidden="1" customWidth="1"/>
    <col min="12" max="12" width="14.75" customWidth="1"/>
    <col min="13" max="17" width="4.75" customWidth="1"/>
    <col min="18" max="18" width="3" customWidth="1"/>
    <col min="19" max="19" width="11.75" customWidth="1"/>
    <col min="20" max="20" width="14.75" hidden="1" customWidth="1"/>
    <col min="21" max="21" width="14.75" customWidth="1"/>
    <col min="22" max="26" width="4.75" customWidth="1"/>
    <col min="27" max="27" width="1.25" customWidth="1"/>
    <col min="29" max="29" width="10.875" customWidth="1"/>
    <col min="30" max="30" width="1.375" customWidth="1"/>
  </cols>
  <sheetData>
    <row r="1" spans="1:29" ht="18" customHeight="1" x14ac:dyDescent="0.15">
      <c r="A1" s="353">
        <v>0</v>
      </c>
      <c r="B1" s="76" t="s">
        <v>52</v>
      </c>
      <c r="C1" s="352" t="s">
        <v>52</v>
      </c>
      <c r="D1" s="401" t="s">
        <v>53</v>
      </c>
      <c r="E1" s="402"/>
      <c r="F1" s="402"/>
      <c r="G1" s="402"/>
      <c r="H1" s="402"/>
      <c r="I1" s="402"/>
      <c r="J1" s="402"/>
      <c r="K1" s="402"/>
      <c r="L1" s="402"/>
      <c r="M1" s="402"/>
      <c r="N1" s="402"/>
      <c r="O1" s="402"/>
      <c r="P1" s="402"/>
      <c r="Q1" s="402"/>
      <c r="R1" s="402"/>
      <c r="S1" s="402"/>
      <c r="T1" s="402"/>
      <c r="U1" s="402"/>
      <c r="V1" s="402"/>
      <c r="W1" s="402"/>
      <c r="X1" s="402"/>
      <c r="Y1" s="402"/>
      <c r="Z1" s="403"/>
    </row>
    <row r="2" spans="1:29" ht="18" customHeight="1" x14ac:dyDescent="0.15">
      <c r="A2" s="353">
        <v>0.5</v>
      </c>
      <c r="B2" s="76" t="s">
        <v>54</v>
      </c>
      <c r="C2" s="352" t="s">
        <v>54</v>
      </c>
      <c r="D2" s="404"/>
      <c r="E2" s="405"/>
      <c r="F2" s="405"/>
      <c r="G2" s="405"/>
      <c r="H2" s="405"/>
      <c r="I2" s="405"/>
      <c r="J2" s="405"/>
      <c r="K2" s="405"/>
      <c r="L2" s="405"/>
      <c r="M2" s="405"/>
      <c r="N2" s="405"/>
      <c r="O2" s="405"/>
      <c r="P2" s="405"/>
      <c r="Q2" s="405"/>
      <c r="R2" s="405"/>
      <c r="S2" s="405"/>
      <c r="T2" s="405"/>
      <c r="U2" s="405"/>
      <c r="V2" s="405"/>
      <c r="W2" s="405"/>
      <c r="X2" s="405"/>
      <c r="Y2" s="405"/>
      <c r="Z2" s="406"/>
    </row>
    <row r="3" spans="1:29" ht="18" customHeight="1" x14ac:dyDescent="0.15">
      <c r="A3" s="353">
        <v>1</v>
      </c>
      <c r="B3" s="76" t="s">
        <v>55</v>
      </c>
      <c r="C3" s="352" t="s">
        <v>55</v>
      </c>
      <c r="D3" s="404"/>
      <c r="E3" s="405"/>
      <c r="F3" s="405"/>
      <c r="G3" s="405"/>
      <c r="H3" s="405"/>
      <c r="I3" s="405"/>
      <c r="J3" s="405"/>
      <c r="K3" s="405"/>
      <c r="L3" s="405"/>
      <c r="M3" s="405"/>
      <c r="N3" s="405"/>
      <c r="O3" s="405"/>
      <c r="P3" s="405"/>
      <c r="Q3" s="405"/>
      <c r="R3" s="405"/>
      <c r="S3" s="405"/>
      <c r="T3" s="405"/>
      <c r="U3" s="405"/>
      <c r="V3" s="405"/>
      <c r="W3" s="405"/>
      <c r="X3" s="405"/>
      <c r="Y3" s="405"/>
      <c r="Z3" s="406"/>
    </row>
    <row r="4" spans="1:29" ht="15" customHeight="1" x14ac:dyDescent="0.15">
      <c r="A4" s="77"/>
      <c r="B4" s="78"/>
      <c r="C4" s="79"/>
      <c r="D4" s="407"/>
      <c r="E4" s="407"/>
      <c r="F4" s="407"/>
      <c r="G4" s="407"/>
      <c r="H4" s="407"/>
      <c r="I4" s="407"/>
      <c r="J4" s="407"/>
      <c r="K4" s="407"/>
      <c r="L4" s="407"/>
      <c r="M4" s="407"/>
      <c r="N4" s="407"/>
      <c r="O4" s="407"/>
      <c r="P4" s="407"/>
      <c r="Q4" s="407"/>
      <c r="R4" s="407"/>
      <c r="S4" s="407"/>
      <c r="T4" s="407"/>
      <c r="U4" s="407"/>
      <c r="V4" s="407"/>
      <c r="W4" s="407"/>
      <c r="X4" s="407"/>
      <c r="Y4" s="407"/>
      <c r="Z4" s="408"/>
    </row>
    <row r="5" spans="1:29" ht="35.1" customHeight="1" x14ac:dyDescent="0.15">
      <c r="A5" s="418" t="s">
        <v>56</v>
      </c>
      <c r="B5" s="418"/>
      <c r="C5" s="418"/>
      <c r="D5" s="418"/>
      <c r="E5" s="418"/>
      <c r="F5" s="418"/>
      <c r="G5" s="418"/>
      <c r="H5" s="418"/>
      <c r="I5" s="423"/>
      <c r="J5" s="418" t="s">
        <v>57</v>
      </c>
      <c r="K5" s="418"/>
      <c r="L5" s="418"/>
      <c r="M5" s="418"/>
      <c r="N5" s="418"/>
      <c r="O5" s="418"/>
      <c r="P5" s="418"/>
      <c r="Q5" s="418"/>
      <c r="R5" s="423"/>
      <c r="S5" s="418" t="s">
        <v>58</v>
      </c>
      <c r="T5" s="418"/>
      <c r="U5" s="418"/>
      <c r="V5" s="418"/>
      <c r="W5" s="418"/>
      <c r="X5" s="418"/>
      <c r="Y5" s="418"/>
      <c r="Z5" s="418"/>
    </row>
    <row r="6" spans="1:29" s="2" customFormat="1" ht="89.25" x14ac:dyDescent="0.15">
      <c r="A6" s="343" t="s">
        <v>59</v>
      </c>
      <c r="B6" s="344" t="s">
        <v>60</v>
      </c>
      <c r="C6" s="345" t="s">
        <v>61</v>
      </c>
      <c r="D6" s="346" t="s">
        <v>62</v>
      </c>
      <c r="E6" s="346" t="s">
        <v>63</v>
      </c>
      <c r="F6" s="346" t="s">
        <v>64</v>
      </c>
      <c r="G6" s="346" t="s">
        <v>65</v>
      </c>
      <c r="H6" s="346" t="s">
        <v>66</v>
      </c>
      <c r="I6" s="424"/>
      <c r="J6" s="343" t="s">
        <v>59</v>
      </c>
      <c r="K6" s="344" t="s">
        <v>60</v>
      </c>
      <c r="L6" s="345" t="s">
        <v>61</v>
      </c>
      <c r="M6" s="346" t="s">
        <v>62</v>
      </c>
      <c r="N6" s="346" t="s">
        <v>63</v>
      </c>
      <c r="O6" s="346" t="s">
        <v>64</v>
      </c>
      <c r="P6" s="346" t="s">
        <v>65</v>
      </c>
      <c r="Q6" s="346" t="s">
        <v>66</v>
      </c>
      <c r="R6" s="424"/>
      <c r="S6" s="343" t="s">
        <v>59</v>
      </c>
      <c r="T6" s="344" t="s">
        <v>60</v>
      </c>
      <c r="U6" s="345" t="s">
        <v>61</v>
      </c>
      <c r="V6" s="346" t="s">
        <v>62</v>
      </c>
      <c r="W6" s="346" t="s">
        <v>63</v>
      </c>
      <c r="X6" s="346" t="s">
        <v>64</v>
      </c>
      <c r="Y6" s="346" t="s">
        <v>65</v>
      </c>
      <c r="Z6" s="346" t="s">
        <v>66</v>
      </c>
      <c r="AC6" s="2" t="s">
        <v>67</v>
      </c>
    </row>
    <row r="7" spans="1:29" ht="20.100000000000001" customHeight="1" x14ac:dyDescent="0.15">
      <c r="A7" s="347" t="s">
        <v>68</v>
      </c>
      <c r="B7" s="80" cm="1">
        <f t="array" aca="1" ref="B7" ca="1">IFERROR(AVERAGE(_xlfn._xlws.FILTER(IF(TODAY()&lt;'MADINAH Migration Plan-'!$E$2:$E$205,0,IF(TODAY()&gt;='MADINAH Migration Plan-'!$F$2:$F$205,1,NETWORKDAYS.INTL('MADINAH Migration Plan-'!$E$2:$E$205,TODAY(),"0000011")/NETWORKDAYS.INTL('MADINAH Migration Plan-'!$E$2:$E$205,'MADINAH Migration Plan-'!$F$2:$F$205,"0000011"))),('MADINAH Migration Plan-'!$Y$2:$Y$205=$A7)*('MADINAH Migration Plan-'!$E$2:$E$205&lt;&gt;"")*('MADINAH Migration Plan-'!$F$2:$F$205&lt;&gt;""))),0)</f>
        <v>0</v>
      </c>
      <c r="C7" s="348">
        <f t="shared" ref="C7:C16" si="0">AVERAGE(D7:H7)</f>
        <v>0.2</v>
      </c>
      <c r="D7" s="81" cm="1">
        <f t="array" ref="D7">IFERROR(INDEX('MADINAH Migration Plan-'!$K:$K,MATCH(1,('MADINAH Migration Plan-'!$Y:$Y=$A7)*('MADINAH Migration Plan-'!$X:$X=D$6),0)),0)</f>
        <v>1</v>
      </c>
      <c r="E7" s="81" cm="1">
        <f t="array" ref="E7">IFERROR(INDEX('MADINAH Migration Plan-'!$K:$K,MATCH(1,('MADINAH Migration Plan-'!$Y:$Y=$A7)*('MADINAH Migration Plan-'!$X:$X=E$6),0)),0)</f>
        <v>0</v>
      </c>
      <c r="F7" s="81" cm="1">
        <f t="array" ref="F7">IFERROR(INDEX('MADINAH Migration Plan-'!$K:$K,MATCH(1,('MADINAH Migration Plan-'!$Y:$Y=$A7)*('MADINAH Migration Plan-'!$X:$X=F$6),0)),0)</f>
        <v>0</v>
      </c>
      <c r="G7" s="81" cm="1">
        <f t="array" ref="G7">IFERROR(INDEX('MADINAH Migration Plan-'!$K:$K,MATCH(1,('MADINAH Migration Plan-'!$Y:$Y=$A7)*('MADINAH Migration Plan-'!$X:$X=G$6),0)),0)</f>
        <v>0</v>
      </c>
      <c r="H7" s="81" cm="1">
        <f t="array" ref="H7">IFERROR(INDEX('MADINAH Migration Plan-'!$K:$K,MATCH(1,('MADINAH Migration Plan-'!$Y:$Y=$A7)*('MADINAH Migration Plan-'!$X:$X=H$6),0)),0)</f>
        <v>0</v>
      </c>
      <c r="I7" s="424"/>
      <c r="J7" s="347" t="s">
        <v>68</v>
      </c>
      <c r="K7" s="350" cm="1">
        <f t="array" aca="1" ref="K7" ca="1">IFERROR(AVERAGE(_xlfn._xlws.FILTER(IF(TODAY()&lt;'Jeddah Migration Plan'!$E$2:$E$207,0,IF(TODAY()&gt;='Jeddah Migration Plan'!$F$2:$F$207,1,NETWORKDAYS.INTL('Jeddah Migration Plan'!$E$2:$E$207,TODAY(),"0000011")/NETWORKDAYS.INTL('Jeddah Migration Plan'!$E$2:$E$207,'Jeddah Migration Plan'!$F$2:$F$207,"0000011"))),('Jeddah Migration Plan'!$Y$2:$Y$207=$J7)*('Jeddah Migration Plan'!$E$2:$E$207&lt;&gt;"")*('Jeddah Migration Plan'!$F$2:$F$207&lt;&gt;""))),0)</f>
        <v>0</v>
      </c>
      <c r="L7" s="348">
        <f t="shared" ref="L7:L16" si="1">AVERAGE(M7:Q7)</f>
        <v>0.18</v>
      </c>
      <c r="M7" s="81" cm="1">
        <f t="array" ref="M7">IFERROR(INDEX('Jeddah Migration Plan'!$K:$K,MATCH(1,('Jeddah Migration Plan'!$Y:$Y=$J7)*('Jeddah Migration Plan'!$X:$X=M$6),0)),0)</f>
        <v>0.9</v>
      </c>
      <c r="N7" s="81" cm="1">
        <f t="array" ref="N7">IFERROR(INDEX('Jeddah Migration Plan'!$K:$K,MATCH(1,('Jeddah Migration Plan'!$Y:$Y=$J7)*('Jeddah Migration Plan'!$X:$X=N$6),0)),0)</f>
        <v>0</v>
      </c>
      <c r="O7" s="81" cm="1">
        <f t="array" ref="O7">IFERROR(INDEX('Jeddah Migration Plan'!$K:$K,MATCH(1,('Jeddah Migration Plan'!$Y:$Y=$J7)*('Jeddah Migration Plan'!$X:$X=O$6),0)),0)</f>
        <v>0</v>
      </c>
      <c r="P7" s="81" cm="1">
        <f t="array" ref="P7">IFERROR(INDEX('Jeddah Migration Plan'!$K:$K,MATCH(1,('Jeddah Migration Plan'!$Y:$Y=$J7)*('Jeddah Migration Plan'!$X:$X=P$6),0)),0)</f>
        <v>0</v>
      </c>
      <c r="Q7" s="81" cm="1">
        <f t="array" ref="Q7">IFERROR(INDEX('Jeddah Migration Plan'!$K:$K,MATCH(1,('Jeddah Migration Plan'!$Y:$Y=$J7)*('Jeddah Migration Plan'!$X:$X=Q$6),0)),0)</f>
        <v>0</v>
      </c>
      <c r="R7" s="424"/>
      <c r="S7" s="347" t="s">
        <v>68</v>
      </c>
      <c r="T7" s="350" cm="1">
        <f t="array" aca="1" ref="T7" ca="1">IFERROR(AVERAGE(_xlfn._xlws.FILTER(IF(TODAY()&lt;'Makkah Migration Plan'!$E$2:$E$204,0,IF(TODAY()&gt;='Makkah Migration Plan'!$F$2:$F$204,1,NETWORKDAYS.INTL('Makkah Migration Plan'!$E$2:$E$204,TODAY(),"0000011")/NETWORKDAYS.INTL('Makkah Migration Plan'!$E$2:$E$204,'Makkah Migration Plan'!$F$2:$F$204,"0000011"))),('Makkah Migration Plan'!$Y$2:$Y$204=$S7)*('Makkah Migration Plan'!$E$2:$E$204&lt;&gt;"")*('Makkah Migration Plan'!$F$2:$F$204&lt;&gt;""))),0)</f>
        <v>0</v>
      </c>
      <c r="U7" s="348">
        <f t="shared" ref="U7:U16" si="2">AVERAGE(V7:Z7)</f>
        <v>0.18</v>
      </c>
      <c r="V7" s="81" cm="1">
        <f t="array" ref="V7">IFERROR(INDEX('Makkah Migration Plan'!$K:$K,MATCH(1,('Makkah Migration Plan'!$Y:$Y=$S20)*('Makkah Migration Plan'!$X:$X=V$19),0)),0)</f>
        <v>0.9</v>
      </c>
      <c r="W7" s="81" cm="1">
        <f t="array" ref="W7">IFERROR(INDEX('Makkah Migration Plan'!$K:$K,MATCH(1,('Makkah Migration Plan'!$Y:$Y=$S20)*('Makkah Migration Plan'!$X:$X=W$19),0)),0)</f>
        <v>0</v>
      </c>
      <c r="X7" s="81" cm="1">
        <f t="array" ref="X7">IFERROR(INDEX('Makkah Migration Plan'!$K:$K,MATCH(1,('Makkah Migration Plan'!$Y:$Y=$S20)*('Makkah Migration Plan'!$X:$X=X$19),0)),0)</f>
        <v>0</v>
      </c>
      <c r="Y7" s="81" cm="1">
        <f t="array" ref="Y7">IFERROR(INDEX('Makkah Migration Plan'!$K:$K,MATCH(1,('Makkah Migration Plan'!$Y:$Y=$S20)*('Makkah Migration Plan'!$X:$X=Y$19),0)),0)</f>
        <v>0</v>
      </c>
      <c r="Z7" s="81" cm="1">
        <f t="array" ref="Z7">IFERROR(INDEX('Makkah Migration Plan'!$K:$K,MATCH(1,('Makkah Migration Plan'!$Y:$Y=$S20)*('Makkah Migration Plan'!$X:$X=Z$19),0)),0)</f>
        <v>0</v>
      </c>
    </row>
    <row r="8" spans="1:29" ht="20.100000000000001" customHeight="1" x14ac:dyDescent="0.15">
      <c r="A8" s="347" t="s">
        <v>69</v>
      </c>
      <c r="B8" s="80" cm="1">
        <f t="array" aca="1" ref="B8" ca="1">IFERROR(AVERAGE(_xlfn._xlws.FILTER(IF(TODAY()&lt;'MADINAH Migration Plan-'!$E$2:$E$205,0,IF(TODAY()&gt;='MADINAH Migration Plan-'!$F$2:$F$205,1,NETWORKDAYS.INTL('MADINAH Migration Plan-'!$E$2:$E$205,TODAY(),"0000011")/NETWORKDAYS.INTL('MADINAH Migration Plan-'!$E$2:$E$205,'MADINAH Migration Plan-'!$F$2:$F$205,"0000011"))),('MADINAH Migration Plan-'!$Y$2:$Y$205=$A8)*('MADINAH Migration Plan-'!$E$2:$E$205&lt;&gt;"")*('MADINAH Migration Plan-'!$F$2:$F$205&lt;&gt;""))),0)</f>
        <v>0.2</v>
      </c>
      <c r="C8" s="348">
        <f t="shared" si="0"/>
        <v>0.2</v>
      </c>
      <c r="D8" s="81" cm="1">
        <f t="array" ref="D8">IFERROR(INDEX('MADINAH Migration Plan-'!$K:$K,MATCH(1,('MADINAH Migration Plan-'!$Y:$Y=$A8)*('MADINAH Migration Plan-'!$X:$X=D$6),0)),0)</f>
        <v>1</v>
      </c>
      <c r="E8" s="81" cm="1">
        <f t="array" ref="E8">IFERROR(INDEX('MADINAH Migration Plan-'!$K:$K,MATCH(1,('MADINAH Migration Plan-'!$Y:$Y=$A8)*('MADINAH Migration Plan-'!$X:$X=E$6),0)),0)</f>
        <v>0</v>
      </c>
      <c r="F8" s="81" cm="1">
        <f t="array" ref="F8">IFERROR(INDEX('MADINAH Migration Plan-'!$K:$K,MATCH(1,('MADINAH Migration Plan-'!$Y:$Y=$A8)*('MADINAH Migration Plan-'!$X:$X=F$6),0)),0)</f>
        <v>0</v>
      </c>
      <c r="G8" s="81" cm="1">
        <f t="array" ref="G8">IFERROR(INDEX('MADINAH Migration Plan-'!$K:$K,MATCH(1,('MADINAH Migration Plan-'!$Y:$Y=$A8)*('MADINAH Migration Plan-'!$X:$X=G$6),0)),0)</f>
        <v>0</v>
      </c>
      <c r="H8" s="81" cm="1">
        <f t="array" ref="H8">IFERROR(INDEX('MADINAH Migration Plan-'!$K:$K,MATCH(1,('MADINAH Migration Plan-'!$Y:$Y=$A8)*('MADINAH Migration Plan-'!$X:$X=H$6),0)),0)</f>
        <v>0</v>
      </c>
      <c r="I8" s="424"/>
      <c r="J8" s="347" t="s">
        <v>69</v>
      </c>
      <c r="K8" s="350" cm="1">
        <f t="array" aca="1" ref="K8" ca="1">IFERROR(AVERAGE(_xlfn._xlws.FILTER(IF(TODAY()&lt;'Jeddah Migration Plan'!$E$2:$E$207,0,IF(TODAY()&gt;='Jeddah Migration Plan'!$F$2:$F$207,1,NETWORKDAYS.INTL('Jeddah Migration Plan'!$E$2:$E$207,TODAY(),"0000011")/NETWORKDAYS.INTL('Jeddah Migration Plan'!$E$2:$E$207,'Jeddah Migration Plan'!$F$2:$F$207,"0000011"))),('Jeddah Migration Plan'!$Y$2:$Y$207=$J8)*('Jeddah Migration Plan'!$E$2:$E$207&lt;&gt;"")*('Jeddah Migration Plan'!$F$2:$F$207&lt;&gt;""))),0)</f>
        <v>0</v>
      </c>
      <c r="L8" s="348">
        <f t="shared" si="1"/>
        <v>0.18</v>
      </c>
      <c r="M8" s="81" cm="1">
        <f t="array" ref="M8">IFERROR(INDEX('Jeddah Migration Plan'!$K:$K,MATCH(1,('Jeddah Migration Plan'!$Y:$Y=$J8)*('Jeddah Migration Plan'!$X:$X=M$6),0)),0)</f>
        <v>0.9</v>
      </c>
      <c r="N8" s="81" cm="1">
        <f t="array" ref="N8">IFERROR(INDEX('Jeddah Migration Plan'!$K:$K,MATCH(1,('Jeddah Migration Plan'!$Y:$Y=$J8)*('Jeddah Migration Plan'!$X:$X=N$6),0)),0)</f>
        <v>0</v>
      </c>
      <c r="O8" s="81" cm="1">
        <f t="array" ref="O8">IFERROR(INDEX('Jeddah Migration Plan'!$K:$K,MATCH(1,('Jeddah Migration Plan'!$Y:$Y=$J8)*('Jeddah Migration Plan'!$X:$X=O$6),0)),0)</f>
        <v>0</v>
      </c>
      <c r="P8" s="81" cm="1">
        <f t="array" ref="P8">IFERROR(INDEX('Jeddah Migration Plan'!$K:$K,MATCH(1,('Jeddah Migration Plan'!$Y:$Y=$J8)*('Jeddah Migration Plan'!$X:$X=P$6),0)),0)</f>
        <v>0</v>
      </c>
      <c r="Q8" s="81" cm="1">
        <f t="array" ref="Q8">IFERROR(INDEX('Jeddah Migration Plan'!$K:$K,MATCH(1,('Jeddah Migration Plan'!$Y:$Y=$J8)*('Jeddah Migration Plan'!$X:$X=Q$6),0)),0)</f>
        <v>0</v>
      </c>
      <c r="R8" s="424"/>
      <c r="S8" s="347" t="s">
        <v>69</v>
      </c>
      <c r="T8" s="350" cm="1">
        <f t="array" aca="1" ref="T8" ca="1">IFERROR(AVERAGE(_xlfn._xlws.FILTER(IF(TODAY()&lt;'Makkah Migration Plan'!$E$2:$E$204,0,IF(TODAY()&gt;='Makkah Migration Plan'!$F$2:$F$204,1,NETWORKDAYS.INTL('Makkah Migration Plan'!$E$2:$E$204,TODAY(),"0000011")/NETWORKDAYS.INTL('Makkah Migration Plan'!$E$2:$E$204,'Makkah Migration Plan'!$F$2:$F$204,"0000011"))),('Makkah Migration Plan'!$Y$2:$Y$204=$S8)*('Makkah Migration Plan'!$E$2:$E$204&lt;&gt;"")*('Makkah Migration Plan'!$F$2:$F$204&lt;&gt;""))),0)</f>
        <v>0</v>
      </c>
      <c r="U8" s="348">
        <f t="shared" si="2"/>
        <v>0.18</v>
      </c>
      <c r="V8" s="81" cm="1">
        <f t="array" ref="V8">IFERROR(INDEX('Makkah Migration Plan'!$K:$K,MATCH(1,('Makkah Migration Plan'!$Y:$Y=$S21)*('Makkah Migration Plan'!$X:$X=V$19),0)),0)</f>
        <v>0.9</v>
      </c>
      <c r="W8" s="81" cm="1">
        <f t="array" ref="W8">IFERROR(INDEX('Makkah Migration Plan'!$K:$K,MATCH(1,('Makkah Migration Plan'!$Y:$Y=$S21)*('Makkah Migration Plan'!$X:$X=W$19),0)),0)</f>
        <v>0</v>
      </c>
      <c r="X8" s="81" cm="1">
        <f t="array" ref="X8">IFERROR(INDEX('Makkah Migration Plan'!$K:$K,MATCH(1,('Makkah Migration Plan'!$Y:$Y=$S21)*('Makkah Migration Plan'!$X:$X=X$19),0)),0)</f>
        <v>0</v>
      </c>
      <c r="Y8" s="81" cm="1">
        <f t="array" ref="Y8">IFERROR(INDEX('Makkah Migration Plan'!$K:$K,MATCH(1,('Makkah Migration Plan'!$Y:$Y=$S21)*('Makkah Migration Plan'!$X:$X=Y$19),0)),0)</f>
        <v>0</v>
      </c>
      <c r="Z8" s="81" cm="1">
        <f t="array" ref="Z8">IFERROR(INDEX('Makkah Migration Plan'!$K:$K,MATCH(1,('Makkah Migration Plan'!$Y:$Y=$S21)*('Makkah Migration Plan'!$X:$X=Z$19),0)),0)</f>
        <v>0</v>
      </c>
    </row>
    <row r="9" spans="1:29" ht="20.100000000000001" customHeight="1" x14ac:dyDescent="0.15">
      <c r="A9" s="347" t="s">
        <v>70</v>
      </c>
      <c r="B9" s="82" cm="1">
        <f t="array" aca="1" ref="B9" ca="1">IFERROR(AVERAGE(_xlfn._xlws.FILTER(IF(TODAY()&lt;'MADINAH Migration Plan-'!$E$2:$E$205,0,IF(TODAY()&gt;='MADINAH Migration Plan-'!$F$2:$F$205,1,NETWORKDAYS.INTL('MADINAH Migration Plan-'!$E$2:$E$205,TODAY(),"0000011")/NETWORKDAYS.INTL('MADINAH Migration Plan-'!$E$2:$E$205,'MADINAH Migration Plan-'!$F$2:$F$205,"0000011"))),('MADINAH Migration Plan-'!$Y$2:$Y$205=$A9)*('MADINAH Migration Plan-'!$E$2:$E$205&lt;&gt;"")*('MADINAH Migration Plan-'!$F$2:$F$205&lt;&gt;""))),0)</f>
        <v>0.2</v>
      </c>
      <c r="C9" s="349">
        <f t="shared" si="0"/>
        <v>0.18</v>
      </c>
      <c r="D9" s="81" cm="1">
        <f t="array" ref="D9">IFERROR(INDEX('MADINAH Migration Plan-'!$K:$K,MATCH(1,('MADINAH Migration Plan-'!$Y:$Y=$A9)*('MADINAH Migration Plan-'!$X:$X=D$6),0)),0)</f>
        <v>0.9</v>
      </c>
      <c r="E9" s="81" cm="1">
        <f t="array" ref="E9">IFERROR(INDEX('MADINAH Migration Plan-'!$K:$K,MATCH(1,('MADINAH Migration Plan-'!$Y:$Y=$A9)*('MADINAH Migration Plan-'!$X:$X=E$6),0)),0)</f>
        <v>0</v>
      </c>
      <c r="F9" s="81" cm="1">
        <f t="array" ref="F9">IFERROR(INDEX('MADINAH Migration Plan-'!$K:$K,MATCH(1,('MADINAH Migration Plan-'!$Y:$Y=$A9)*('MADINAH Migration Plan-'!$X:$X=F$6),0)),0)</f>
        <v>0</v>
      </c>
      <c r="G9" s="81" cm="1">
        <f t="array" ref="G9">IFERROR(INDEX('MADINAH Migration Plan-'!$K:$K,MATCH(1,('MADINAH Migration Plan-'!$Y:$Y=$A9)*('MADINAH Migration Plan-'!$X:$X=G$6),0)),0)</f>
        <v>0</v>
      </c>
      <c r="H9" s="81" cm="1">
        <f t="array" ref="H9">IFERROR(INDEX('MADINAH Migration Plan-'!$K:$K,MATCH(1,('MADINAH Migration Plan-'!$Y:$Y=$A9)*('MADINAH Migration Plan-'!$X:$X=H$6),0)),0)</f>
        <v>0</v>
      </c>
      <c r="I9" s="424"/>
      <c r="J9" s="347" t="s">
        <v>70</v>
      </c>
      <c r="K9" s="350" cm="1">
        <f t="array" aca="1" ref="K9" ca="1">IFERROR(AVERAGE(_xlfn._xlws.FILTER(IF(TODAY()&lt;'Jeddah Migration Plan'!$E$2:$E$207,0,IF(TODAY()&gt;='Jeddah Migration Plan'!$F$2:$F$207,1,NETWORKDAYS.INTL('Jeddah Migration Plan'!$E$2:$E$207,TODAY(),"0000011")/NETWORKDAYS.INTL('Jeddah Migration Plan'!$E$2:$E$207,'Jeddah Migration Plan'!$F$2:$F$207,"0000011"))),('Jeddah Migration Plan'!$Y$2:$Y$207=$J9)*('Jeddah Migration Plan'!$E$2:$E$207&lt;&gt;"")*('Jeddah Migration Plan'!$F$2:$F$207&lt;&gt;""))),0)</f>
        <v>0</v>
      </c>
      <c r="L9" s="349">
        <f t="shared" si="1"/>
        <v>8.3999999999999991E-2</v>
      </c>
      <c r="M9" s="81" cm="1">
        <f t="array" ref="M9">IFERROR(INDEX('Jeddah Migration Plan'!$K:$K,MATCH(1,('Jeddah Migration Plan'!$Y:$Y=$J9)*('Jeddah Migration Plan'!$X:$X=M$6),0)),0)</f>
        <v>0.42</v>
      </c>
      <c r="N9" s="81" cm="1">
        <f t="array" ref="N9">IFERROR(INDEX('Jeddah Migration Plan'!$K:$K,MATCH(1,('Jeddah Migration Plan'!$Y:$Y=$J9)*('Jeddah Migration Plan'!$X:$X=N$6),0)),0)</f>
        <v>0</v>
      </c>
      <c r="O9" s="81" cm="1">
        <f t="array" ref="O9">IFERROR(INDEX('Jeddah Migration Plan'!$K:$K,MATCH(1,('Jeddah Migration Plan'!$Y:$Y=$J9)*('Jeddah Migration Plan'!$X:$X=O$6),0)),0)</f>
        <v>0</v>
      </c>
      <c r="P9" s="81" cm="1">
        <f t="array" ref="P9">IFERROR(INDEX('Jeddah Migration Plan'!$K:$K,MATCH(1,('Jeddah Migration Plan'!$Y:$Y=$J9)*('Jeddah Migration Plan'!$X:$X=P$6),0)),0)</f>
        <v>0</v>
      </c>
      <c r="Q9" s="81" cm="1">
        <f t="array" ref="Q9">IFERROR(INDEX('Jeddah Migration Plan'!$K:$K,MATCH(1,('Jeddah Migration Plan'!$Y:$Y=$J9)*('Jeddah Migration Plan'!$X:$X=Q$6),0)),0)</f>
        <v>0</v>
      </c>
      <c r="R9" s="424"/>
      <c r="S9" s="347" t="s">
        <v>70</v>
      </c>
      <c r="T9" s="350" cm="1">
        <f t="array" aca="1" ref="T9" ca="1">IFERROR(AVERAGE(_xlfn._xlws.FILTER(IF(TODAY()&lt;'Makkah Migration Plan'!$E$2:$E$204,0,IF(TODAY()&gt;='Makkah Migration Plan'!$F$2:$F$204,1,NETWORKDAYS.INTL('Makkah Migration Plan'!$E$2:$E$204,TODAY(),"0000011")/NETWORKDAYS.INTL('Makkah Migration Plan'!$E$2:$E$204,'Makkah Migration Plan'!$F$2:$F$204,"0000011"))),('Makkah Migration Plan'!$Y$2:$Y$204=$S9)*('Makkah Migration Plan'!$E$2:$E$204&lt;&gt;"")*('Makkah Migration Plan'!$F$2:$F$204&lt;&gt;""))),0)</f>
        <v>0</v>
      </c>
      <c r="U9" s="349">
        <f t="shared" si="2"/>
        <v>0.186</v>
      </c>
      <c r="V9" s="81" cm="1">
        <f t="array" ref="V9">IFERROR(INDEX('Makkah Migration Plan'!$K:$K,MATCH(1,('Makkah Migration Plan'!$Y:$Y=$S22)*('Makkah Migration Plan'!$X:$X=V$19),0)),0)</f>
        <v>0.93</v>
      </c>
      <c r="W9" s="81" cm="1">
        <f t="array" ref="W9">IFERROR(INDEX('Makkah Migration Plan'!$K:$K,MATCH(1,('Makkah Migration Plan'!$Y:$Y=$S22)*('Makkah Migration Plan'!$X:$X=W$19),0)),0)</f>
        <v>0</v>
      </c>
      <c r="X9" s="81" cm="1">
        <f t="array" ref="X9">IFERROR(INDEX('Makkah Migration Plan'!$K:$K,MATCH(1,('Makkah Migration Plan'!$Y:$Y=$S22)*('Makkah Migration Plan'!$X:$X=X$19),0)),0)</f>
        <v>0</v>
      </c>
      <c r="Y9" s="81" cm="1">
        <f t="array" ref="Y9">IFERROR(INDEX('Makkah Migration Plan'!$K:$K,MATCH(1,('Makkah Migration Plan'!$Y:$Y=$S22)*('Makkah Migration Plan'!$X:$X=Y$19),0)),0)</f>
        <v>0</v>
      </c>
      <c r="Z9" s="81" cm="1">
        <f t="array" ref="Z9">IFERROR(INDEX('Makkah Migration Plan'!$K:$K,MATCH(1,('Makkah Migration Plan'!$Y:$Y=$S22)*('Makkah Migration Plan'!$X:$X=Z$19),0)),0)</f>
        <v>0</v>
      </c>
    </row>
    <row r="10" spans="1:29" ht="20.100000000000001" customHeight="1" x14ac:dyDescent="0.15">
      <c r="A10" s="347" t="s">
        <v>71</v>
      </c>
      <c r="B10" s="82" cm="1">
        <f t="array" aca="1" ref="B10" ca="1">IFERROR(AVERAGE(_xlfn._xlws.FILTER(IF(TODAY()&lt;'MADINAH Migration Plan-'!$E$2:$E$205,0,IF(TODAY()&gt;='MADINAH Migration Plan-'!$F$2:$F$205,1,NETWORKDAYS.INTL('MADINAH Migration Plan-'!$E$2:$E$205,TODAY(),"0000011")/NETWORKDAYS.INTL('MADINAH Migration Plan-'!$E$2:$E$205,'MADINAH Migration Plan-'!$F$2:$F$205,"0000011"))),('MADINAH Migration Plan-'!$Y$2:$Y$205=$A10)*('MADINAH Migration Plan-'!$E$2:$E$205&lt;&gt;"")*('MADINAH Migration Plan-'!$F$2:$F$205&lt;&gt;""))),0)</f>
        <v>0</v>
      </c>
      <c r="C10" s="348">
        <f t="shared" si="0"/>
        <v>0</v>
      </c>
      <c r="D10" s="81" cm="1">
        <f t="array" ref="D10">IFERROR(INDEX('MADINAH Migration Plan-'!$K:$K,MATCH(1,('MADINAH Migration Plan-'!$Y:$Y=$A10)*('MADINAH Migration Plan-'!$X:$X=D$6),0)),0)</f>
        <v>0</v>
      </c>
      <c r="E10" s="81" cm="1">
        <f t="array" ref="E10">IFERROR(INDEX('MADINAH Migration Plan-'!$K:$K,MATCH(1,('MADINAH Migration Plan-'!$Y:$Y=$A10)*('MADINAH Migration Plan-'!$X:$X=E$6),0)),0)</f>
        <v>0</v>
      </c>
      <c r="F10" s="81" cm="1">
        <f t="array" ref="F10">IFERROR(INDEX('MADINAH Migration Plan-'!$K:$K,MATCH(1,('MADINAH Migration Plan-'!$Y:$Y=$A10)*('MADINAH Migration Plan-'!$X:$X=F$6),0)),0)</f>
        <v>0</v>
      </c>
      <c r="G10" s="81" cm="1">
        <f t="array" ref="G10">IFERROR(INDEX('MADINAH Migration Plan-'!$K:$K,MATCH(1,('MADINAH Migration Plan-'!$Y:$Y=$A10)*('MADINAH Migration Plan-'!$X:$X=G$6),0)),0)</f>
        <v>0</v>
      </c>
      <c r="H10" s="81" cm="1">
        <f t="array" ref="H10">IFERROR(INDEX('MADINAH Migration Plan-'!$K:$K,MATCH(1,('MADINAH Migration Plan-'!$Y:$Y=$A10)*('MADINAH Migration Plan-'!$X:$X=H$6),0)),0)</f>
        <v>0</v>
      </c>
      <c r="I10" s="424"/>
      <c r="J10" s="347" t="s">
        <v>71</v>
      </c>
      <c r="K10" s="350" cm="1">
        <f t="array" aca="1" ref="K10" ca="1">IFERROR(AVERAGE(_xlfn._xlws.FILTER(IF(TODAY()&lt;'Jeddah Migration Plan'!$E$2:$E$207,0,IF(TODAY()&gt;='Jeddah Migration Plan'!$F$2:$F$207,1,NETWORKDAYS.INTL('Jeddah Migration Plan'!$E$2:$E$207,TODAY(),"0000011")/NETWORKDAYS.INTL('Jeddah Migration Plan'!$E$2:$E$207,'Jeddah Migration Plan'!$F$2:$F$207,"0000011"))),('Jeddah Migration Plan'!$Y$2:$Y$207=$J10)*('Jeddah Migration Plan'!$E$2:$E$207&lt;&gt;"")*('Jeddah Migration Plan'!$F$2:$F$207&lt;&gt;""))),0)</f>
        <v>0</v>
      </c>
      <c r="L10" s="348">
        <f t="shared" si="1"/>
        <v>0</v>
      </c>
      <c r="M10" s="81" cm="1">
        <f t="array" ref="M10">IFERROR(INDEX('Jeddah Migration Plan'!$K:$K,MATCH(1,('Jeddah Migration Plan'!$Y:$Y=$J10)*('Jeddah Migration Plan'!$X:$X=M$6),0)),0)</f>
        <v>0</v>
      </c>
      <c r="N10" s="81" cm="1">
        <f t="array" ref="N10">IFERROR(INDEX('Jeddah Migration Plan'!$K:$K,MATCH(1,('Jeddah Migration Plan'!$Y:$Y=$J10)*('Jeddah Migration Plan'!$X:$X=N$6),0)),0)</f>
        <v>0</v>
      </c>
      <c r="O10" s="81" cm="1">
        <f t="array" ref="O10">IFERROR(INDEX('Jeddah Migration Plan'!$K:$K,MATCH(1,('Jeddah Migration Plan'!$Y:$Y=$J10)*('Jeddah Migration Plan'!$X:$X=O$6),0)),0)</f>
        <v>0</v>
      </c>
      <c r="P10" s="81" cm="1">
        <f t="array" ref="P10">IFERROR(INDEX('Jeddah Migration Plan'!$K:$K,MATCH(1,('Jeddah Migration Plan'!$Y:$Y=$J10)*('Jeddah Migration Plan'!$X:$X=P$6),0)),0)</f>
        <v>0</v>
      </c>
      <c r="Q10" s="81" cm="1">
        <f t="array" ref="Q10">IFERROR(INDEX('Jeddah Migration Plan'!$K:$K,MATCH(1,('Jeddah Migration Plan'!$Y:$Y=$J10)*('Jeddah Migration Plan'!$X:$X=Q$6),0)),0)</f>
        <v>0</v>
      </c>
      <c r="R10" s="424"/>
      <c r="S10" s="347" t="s">
        <v>71</v>
      </c>
      <c r="T10" s="350" cm="1">
        <f t="array" aca="1" ref="T10" ca="1">IFERROR(AVERAGE(_xlfn._xlws.FILTER(IF(TODAY()&lt;'Makkah Migration Plan'!$E$2:$E$204,0,IF(TODAY()&gt;='Makkah Migration Plan'!$F$2:$F$204,1,NETWORKDAYS.INTL('Makkah Migration Plan'!$E$2:$E$204,TODAY(),"0000011")/NETWORKDAYS.INTL('Makkah Migration Plan'!$E$2:$E$204,'Makkah Migration Plan'!$F$2:$F$204,"0000011"))),('Makkah Migration Plan'!$Y$2:$Y$204=$S10)*('Makkah Migration Plan'!$E$2:$E$204&lt;&gt;"")*('Makkah Migration Plan'!$F$2:$F$204&lt;&gt;""))),0)</f>
        <v>0</v>
      </c>
      <c r="U10" s="348">
        <f t="shared" si="2"/>
        <v>0</v>
      </c>
      <c r="V10" s="81" cm="1">
        <f t="array" ref="V10">IFERROR(INDEX('Makkah Migration Plan'!$K:$K,MATCH(1,('Makkah Migration Plan'!$Y:$Y=$S23)*('Makkah Migration Plan'!$X:$X=V$19),0)),0)</f>
        <v>0</v>
      </c>
      <c r="W10" s="81" cm="1">
        <f t="array" ref="W10">IFERROR(INDEX('Makkah Migration Plan'!$K:$K,MATCH(1,('Makkah Migration Plan'!$Y:$Y=$S23)*('Makkah Migration Plan'!$X:$X=W$19),0)),0)</f>
        <v>0</v>
      </c>
      <c r="X10" s="81" cm="1">
        <f t="array" ref="X10">IFERROR(INDEX('Makkah Migration Plan'!$K:$K,MATCH(1,('Makkah Migration Plan'!$Y:$Y=$S23)*('Makkah Migration Plan'!$X:$X=X$19),0)),0)</f>
        <v>0</v>
      </c>
      <c r="Y10" s="81" cm="1">
        <f t="array" ref="Y10">IFERROR(INDEX('Makkah Migration Plan'!$K:$K,MATCH(1,('Makkah Migration Plan'!$Y:$Y=$S23)*('Makkah Migration Plan'!$X:$X=Y$19),0)),0)</f>
        <v>0</v>
      </c>
      <c r="Z10" s="81" cm="1">
        <f t="array" ref="Z10">IFERROR(INDEX('Makkah Migration Plan'!$K:$K,MATCH(1,('Makkah Migration Plan'!$Y:$Y=$S23)*('Makkah Migration Plan'!$X:$X=Z$19),0)),0)</f>
        <v>0</v>
      </c>
    </row>
    <row r="11" spans="1:29" ht="20.100000000000001" customHeight="1" x14ac:dyDescent="0.15">
      <c r="A11" s="347" t="s">
        <v>72</v>
      </c>
      <c r="B11" s="82" cm="1">
        <f t="array" aca="1" ref="B11" ca="1">IFERROR(AVERAGE(_xlfn._xlws.FILTER(IF(TODAY()&lt;'MADINAH Migration Plan-'!$E$2:$E$205,0,IF(TODAY()&gt;='MADINAH Migration Plan-'!$F$2:$F$205,1,NETWORKDAYS.INTL('MADINAH Migration Plan-'!$E$2:$E$205,TODAY(),"0000011")/NETWORKDAYS.INTL('MADINAH Migration Plan-'!$E$2:$E$205,'MADINAH Migration Plan-'!$F$2:$F$205,"0000011"))),('MADINAH Migration Plan-'!$Y$2:$Y$205=$A11)*('MADINAH Migration Plan-'!$E$2:$E$205&lt;&gt;"")*('MADINAH Migration Plan-'!$F$2:$F$205&lt;&gt;""))),0)</f>
        <v>0</v>
      </c>
      <c r="C11" s="348">
        <f t="shared" si="0"/>
        <v>0</v>
      </c>
      <c r="D11" s="81" cm="1">
        <f t="array" ref="D11">IFERROR(INDEX('MADINAH Migration Plan-'!$K:$K,MATCH(1,('MADINAH Migration Plan-'!$Y:$Y=$A11)*('MADINAH Migration Plan-'!$X:$X=D$6),0)),0)</f>
        <v>0</v>
      </c>
      <c r="E11" s="81" cm="1">
        <f t="array" ref="E11">IFERROR(INDEX('MADINAH Migration Plan-'!$K:$K,MATCH(1,('MADINAH Migration Plan-'!$Y:$Y=$A11)*('MADINAH Migration Plan-'!$X:$X=E$6),0)),0)</f>
        <v>0</v>
      </c>
      <c r="F11" s="81" cm="1">
        <f t="array" ref="F11">IFERROR(INDEX('MADINAH Migration Plan-'!$K:$K,MATCH(1,('MADINAH Migration Plan-'!$Y:$Y=$A11)*('MADINAH Migration Plan-'!$X:$X=F$6),0)),0)</f>
        <v>0</v>
      </c>
      <c r="G11" s="81" cm="1">
        <f t="array" ref="G11">IFERROR(INDEX('MADINAH Migration Plan-'!$K:$K,MATCH(1,('MADINAH Migration Plan-'!$Y:$Y=$A11)*('MADINAH Migration Plan-'!$X:$X=G$6),0)),0)</f>
        <v>0</v>
      </c>
      <c r="H11" s="81" cm="1">
        <f t="array" ref="H11">IFERROR(INDEX('MADINAH Migration Plan-'!$K:$K,MATCH(1,('MADINAH Migration Plan-'!$Y:$Y=$A11)*('MADINAH Migration Plan-'!$X:$X=H$6),0)),0)</f>
        <v>0</v>
      </c>
      <c r="I11" s="424"/>
      <c r="J11" s="347" t="s">
        <v>72</v>
      </c>
      <c r="K11" s="350" cm="1">
        <f t="array" aca="1" ref="K11" ca="1">IFERROR(AVERAGE(_xlfn._xlws.FILTER(IF(TODAY()&lt;'Jeddah Migration Plan'!$E$2:$E$207,0,IF(TODAY()&gt;='Jeddah Migration Plan'!$F$2:$F$207,1,NETWORKDAYS.INTL('Jeddah Migration Plan'!$E$2:$E$207,TODAY(),"0000011")/NETWORKDAYS.INTL('Jeddah Migration Plan'!$E$2:$E$207,'Jeddah Migration Plan'!$F$2:$F$207,"0000011"))),('Jeddah Migration Plan'!$Y$2:$Y$207=$J11)*('Jeddah Migration Plan'!$E$2:$E$207&lt;&gt;"")*('Jeddah Migration Plan'!$F$2:$F$207&lt;&gt;""))),0)</f>
        <v>0</v>
      </c>
      <c r="L11" s="348">
        <f t="shared" si="1"/>
        <v>0</v>
      </c>
      <c r="M11" s="81" cm="1">
        <f t="array" ref="M11">IFERROR(INDEX('Jeddah Migration Plan'!$K:$K,MATCH(1,('Jeddah Migration Plan'!$Y:$Y=$J11)*('Jeddah Migration Plan'!$X:$X=M$6),0)),0)</f>
        <v>0</v>
      </c>
      <c r="N11" s="81" cm="1">
        <f t="array" ref="N11">IFERROR(INDEX('Jeddah Migration Plan'!$K:$K,MATCH(1,('Jeddah Migration Plan'!$Y:$Y=$J11)*('Jeddah Migration Plan'!$X:$X=N$6),0)),0)</f>
        <v>0</v>
      </c>
      <c r="O11" s="81" cm="1">
        <f t="array" ref="O11">IFERROR(INDEX('Jeddah Migration Plan'!$K:$K,MATCH(1,('Jeddah Migration Plan'!$Y:$Y=$J11)*('Jeddah Migration Plan'!$X:$X=O$6),0)),0)</f>
        <v>0</v>
      </c>
      <c r="P11" s="81" cm="1">
        <f t="array" ref="P11">IFERROR(INDEX('Jeddah Migration Plan'!$K:$K,MATCH(1,('Jeddah Migration Plan'!$Y:$Y=$J11)*('Jeddah Migration Plan'!$X:$X=P$6),0)),0)</f>
        <v>0</v>
      </c>
      <c r="Q11" s="81" cm="1">
        <f t="array" ref="Q11">IFERROR(INDEX('Jeddah Migration Plan'!$K:$K,MATCH(1,('Jeddah Migration Plan'!$Y:$Y=$J11)*('Jeddah Migration Plan'!$X:$X=Q$6),0)),0)</f>
        <v>0</v>
      </c>
      <c r="R11" s="424"/>
      <c r="S11" s="347" t="s">
        <v>72</v>
      </c>
      <c r="T11" s="350" cm="1">
        <f t="array" aca="1" ref="T11" ca="1">IFERROR(AVERAGE(_xlfn._xlws.FILTER(IF(TODAY()&lt;'Makkah Migration Plan'!$E$2:$E$204,0,IF(TODAY()&gt;='Makkah Migration Plan'!$F$2:$F$204,1,NETWORKDAYS.INTL('Makkah Migration Plan'!$E$2:$E$204,TODAY(),"0000011")/NETWORKDAYS.INTL('Makkah Migration Plan'!$E$2:$E$204,'Makkah Migration Plan'!$F$2:$F$204,"0000011"))),('Makkah Migration Plan'!$Y$2:$Y$204=$S11)*('Makkah Migration Plan'!$E$2:$E$204&lt;&gt;"")*('Makkah Migration Plan'!$F$2:$F$204&lt;&gt;""))),0)</f>
        <v>0</v>
      </c>
      <c r="U11" s="348">
        <f t="shared" si="2"/>
        <v>0</v>
      </c>
      <c r="V11" s="81" cm="1">
        <f t="array" ref="V11">IFERROR(INDEX('Makkah Migration Plan'!$K:$K,MATCH(1,('Makkah Migration Plan'!$Y:$Y=$S24)*('Makkah Migration Plan'!$X:$X=V$19),0)),0)</f>
        <v>0</v>
      </c>
      <c r="W11" s="81" cm="1">
        <f t="array" ref="W11">IFERROR(INDEX('Makkah Migration Plan'!$K:$K,MATCH(1,('Makkah Migration Plan'!$Y:$Y=$S24)*('Makkah Migration Plan'!$X:$X=W$19),0)),0)</f>
        <v>0</v>
      </c>
      <c r="X11" s="81" cm="1">
        <f t="array" ref="X11">IFERROR(INDEX('Makkah Migration Plan'!$K:$K,MATCH(1,('Makkah Migration Plan'!$Y:$Y=$S24)*('Makkah Migration Plan'!$X:$X=X$19),0)),0)</f>
        <v>0</v>
      </c>
      <c r="Y11" s="81" cm="1">
        <f t="array" ref="Y11">IFERROR(INDEX('Makkah Migration Plan'!$K:$K,MATCH(1,('Makkah Migration Plan'!$Y:$Y=$S24)*('Makkah Migration Plan'!$X:$X=Y$19),0)),0)</f>
        <v>0</v>
      </c>
      <c r="Z11" s="81" cm="1">
        <f t="array" ref="Z11">IFERROR(INDEX('Makkah Migration Plan'!$K:$K,MATCH(1,('Makkah Migration Plan'!$Y:$Y=$S24)*('Makkah Migration Plan'!$X:$X=Z$19),0)),0)</f>
        <v>0</v>
      </c>
    </row>
    <row r="12" spans="1:29" ht="20.100000000000001" customHeight="1" x14ac:dyDescent="0.15">
      <c r="A12" s="347" t="s">
        <v>73</v>
      </c>
      <c r="B12" s="82" cm="1">
        <f t="array" aca="1" ref="B12" ca="1">IFERROR(AVERAGE(_xlfn._xlws.FILTER(IF(TODAY()&lt;'MADINAH Migration Plan-'!$E$2:$E$205,0,IF(TODAY()&gt;='MADINAH Migration Plan-'!$F$2:$F$205,1,NETWORKDAYS.INTL('MADINAH Migration Plan-'!$E$2:$E$205,TODAY(),"0000011")/NETWORKDAYS.INTL('MADINAH Migration Plan-'!$E$2:$E$205,'MADINAH Migration Plan-'!$F$2:$F$205,"0000011"))),('MADINAH Migration Plan-'!$Y$2:$Y$205=$A12)*('MADINAH Migration Plan-'!$E$2:$E$205&lt;&gt;"")*('MADINAH Migration Plan-'!$F$2:$F$205&lt;&gt;""))),0)</f>
        <v>0</v>
      </c>
      <c r="C12" s="348">
        <f t="shared" si="0"/>
        <v>0</v>
      </c>
      <c r="D12" s="81" cm="1">
        <f t="array" ref="D12">IFERROR(INDEX('MADINAH Migration Plan-'!$K:$K,MATCH(1,('MADINAH Migration Plan-'!$Y:$Y=$A12)*('MADINAH Migration Plan-'!$X:$X=D$6),0)),0)</f>
        <v>0</v>
      </c>
      <c r="E12" s="81" cm="1">
        <f t="array" ref="E12">IFERROR(INDEX('MADINAH Migration Plan-'!$K:$K,MATCH(1,('MADINAH Migration Plan-'!$Y:$Y=$A12)*('MADINAH Migration Plan-'!$X:$X=E$6),0)),0)</f>
        <v>0</v>
      </c>
      <c r="F12" s="81" cm="1">
        <f t="array" ref="F12">IFERROR(INDEX('MADINAH Migration Plan-'!$K:$K,MATCH(1,('MADINAH Migration Plan-'!$Y:$Y=$A12)*('MADINAH Migration Plan-'!$X:$X=F$6),0)),0)</f>
        <v>0</v>
      </c>
      <c r="G12" s="81" cm="1">
        <f t="array" ref="G12">IFERROR(INDEX('MADINAH Migration Plan-'!$K:$K,MATCH(1,('MADINAH Migration Plan-'!$Y:$Y=$A12)*('MADINAH Migration Plan-'!$X:$X=G$6),0)),0)</f>
        <v>0</v>
      </c>
      <c r="H12" s="81" cm="1">
        <f t="array" ref="H12">IFERROR(INDEX('MADINAH Migration Plan-'!$K:$K,MATCH(1,('MADINAH Migration Plan-'!$Y:$Y=$A12)*('MADINAH Migration Plan-'!$X:$X=H$6),0)),0)</f>
        <v>0</v>
      </c>
      <c r="I12" s="424"/>
      <c r="J12" s="347" t="s">
        <v>73</v>
      </c>
      <c r="K12" s="350" cm="1">
        <f t="array" aca="1" ref="K12" ca="1">IFERROR(AVERAGE(_xlfn._xlws.FILTER(IF(TODAY()&lt;'Jeddah Migration Plan'!$E$2:$E$207,0,IF(TODAY()&gt;='Jeddah Migration Plan'!$F$2:$F$207,1,NETWORKDAYS.INTL('Jeddah Migration Plan'!$E$2:$E$207,TODAY(),"0000011")/NETWORKDAYS.INTL('Jeddah Migration Plan'!$E$2:$E$207,'Jeddah Migration Plan'!$F$2:$F$207,"0000011"))),('Jeddah Migration Plan'!$Y$2:$Y$207=$J12)*('Jeddah Migration Plan'!$E$2:$E$207&lt;&gt;"")*('Jeddah Migration Plan'!$F$2:$F$207&lt;&gt;""))),0)</f>
        <v>0</v>
      </c>
      <c r="L12" s="348">
        <f t="shared" si="1"/>
        <v>0</v>
      </c>
      <c r="M12" s="81" cm="1">
        <f t="array" ref="M12">IFERROR(INDEX('Jeddah Migration Plan'!$K:$K,MATCH(1,('Jeddah Migration Plan'!$Y:$Y=$J12)*('Jeddah Migration Plan'!$X:$X=M$6),0)),0)</f>
        <v>0</v>
      </c>
      <c r="N12" s="81" cm="1">
        <f t="array" ref="N12">IFERROR(INDEX('Jeddah Migration Plan'!$K:$K,MATCH(1,('Jeddah Migration Plan'!$Y:$Y=$J12)*('Jeddah Migration Plan'!$X:$X=N$6),0)),0)</f>
        <v>0</v>
      </c>
      <c r="O12" s="81" cm="1">
        <f t="array" ref="O12">IFERROR(INDEX('Jeddah Migration Plan'!$K:$K,MATCH(1,('Jeddah Migration Plan'!$Y:$Y=$J12)*('Jeddah Migration Plan'!$X:$X=O$6),0)),0)</f>
        <v>0</v>
      </c>
      <c r="P12" s="81" cm="1">
        <f t="array" ref="P12">IFERROR(INDEX('Jeddah Migration Plan'!$K:$K,MATCH(1,('Jeddah Migration Plan'!$Y:$Y=$J12)*('Jeddah Migration Plan'!$X:$X=P$6),0)),0)</f>
        <v>0</v>
      </c>
      <c r="Q12" s="81" cm="1">
        <f t="array" ref="Q12">IFERROR(INDEX('Jeddah Migration Plan'!$K:$K,MATCH(1,('Jeddah Migration Plan'!$Y:$Y=$J12)*('Jeddah Migration Plan'!$X:$X=Q$6),0)),0)</f>
        <v>0</v>
      </c>
      <c r="R12" s="424"/>
      <c r="S12" s="347" t="s">
        <v>73</v>
      </c>
      <c r="T12" s="350" cm="1">
        <f t="array" aca="1" ref="T12" ca="1">IFERROR(AVERAGE(_xlfn._xlws.FILTER(IF(TODAY()&lt;'Makkah Migration Plan'!$E$2:$E$204,0,IF(TODAY()&gt;='Makkah Migration Plan'!$F$2:$F$204,1,NETWORKDAYS.INTL('Makkah Migration Plan'!$E$2:$E$204,TODAY(),"0000011")/NETWORKDAYS.INTL('Makkah Migration Plan'!$E$2:$E$204,'Makkah Migration Plan'!$F$2:$F$204,"0000011"))),('Makkah Migration Plan'!$Y$2:$Y$204=$S12)*('Makkah Migration Plan'!$E$2:$E$204&lt;&gt;"")*('Makkah Migration Plan'!$F$2:$F$204&lt;&gt;""))),0)</f>
        <v>0</v>
      </c>
      <c r="U12" s="348">
        <f t="shared" si="2"/>
        <v>0</v>
      </c>
      <c r="V12" s="81" cm="1">
        <f t="array" ref="V12">IFERROR(INDEX('Makkah Migration Plan'!$K:$K,MATCH(1,('Makkah Migration Plan'!$Y:$Y=$S25)*('Makkah Migration Plan'!$X:$X=V$19),0)),0)</f>
        <v>0</v>
      </c>
      <c r="W12" s="81" cm="1">
        <f t="array" ref="W12">IFERROR(INDEX('Makkah Migration Plan'!$K:$K,MATCH(1,('Makkah Migration Plan'!$Y:$Y=$S25)*('Makkah Migration Plan'!$X:$X=W$19),0)),0)</f>
        <v>0</v>
      </c>
      <c r="X12" s="81" cm="1">
        <f t="array" ref="X12">IFERROR(INDEX('Makkah Migration Plan'!$K:$K,MATCH(1,('Makkah Migration Plan'!$Y:$Y=$S25)*('Makkah Migration Plan'!$X:$X=X$19),0)),0)</f>
        <v>0</v>
      </c>
      <c r="Y12" s="81" cm="1">
        <f t="array" ref="Y12">IFERROR(INDEX('Makkah Migration Plan'!$K:$K,MATCH(1,('Makkah Migration Plan'!$Y:$Y=$S25)*('Makkah Migration Plan'!$X:$X=Y$19),0)),0)</f>
        <v>0</v>
      </c>
      <c r="Z12" s="81" cm="1">
        <f t="array" ref="Z12">IFERROR(INDEX('Makkah Migration Plan'!$K:$K,MATCH(1,('Makkah Migration Plan'!$Y:$Y=$S25)*('Makkah Migration Plan'!$X:$X=Z$19),0)),0)</f>
        <v>0</v>
      </c>
    </row>
    <row r="13" spans="1:29" ht="20.100000000000001" customHeight="1" x14ac:dyDescent="0.15">
      <c r="A13" s="347" t="s">
        <v>74</v>
      </c>
      <c r="B13" s="82" cm="1">
        <f t="array" aca="1" ref="B13" ca="1">IFERROR(AVERAGE(_xlfn._xlws.FILTER(IF(TODAY()&lt;'MADINAH Migration Plan-'!$E$2:$E$205,0,IF(TODAY()&gt;='MADINAH Migration Plan-'!$F$2:$F$205,1,NETWORKDAYS.INTL('MADINAH Migration Plan-'!$E$2:$E$205,TODAY(),"0000011")/NETWORKDAYS.INTL('MADINAH Migration Plan-'!$E$2:$E$205,'MADINAH Migration Plan-'!$F$2:$F$205,"0000011"))),('MADINAH Migration Plan-'!$Y$2:$Y$205=$A13)*('MADINAH Migration Plan-'!$E$2:$E$205&lt;&gt;"")*('MADINAH Migration Plan-'!$F$2:$F$205&lt;&gt;""))),0)</f>
        <v>0</v>
      </c>
      <c r="C13" s="348">
        <f t="shared" si="0"/>
        <v>0</v>
      </c>
      <c r="D13" s="81" cm="1">
        <f t="array" ref="D13">IFERROR(INDEX('MADINAH Migration Plan-'!$K:$K,MATCH(1,('MADINAH Migration Plan-'!$Y:$Y=$A13)*('MADINAH Migration Plan-'!$X:$X=D$6),0)),0)</f>
        <v>0</v>
      </c>
      <c r="E13" s="81" cm="1">
        <f t="array" ref="E13">IFERROR(INDEX('MADINAH Migration Plan-'!$K:$K,MATCH(1,('MADINAH Migration Plan-'!$Y:$Y=$A13)*('MADINAH Migration Plan-'!$X:$X=E$6),0)),0)</f>
        <v>0</v>
      </c>
      <c r="F13" s="81" cm="1">
        <f t="array" ref="F13">IFERROR(INDEX('MADINAH Migration Plan-'!$K:$K,MATCH(1,('MADINAH Migration Plan-'!$Y:$Y=$A13)*('MADINAH Migration Plan-'!$X:$X=F$6),0)),0)</f>
        <v>0</v>
      </c>
      <c r="G13" s="81" cm="1">
        <f t="array" ref="G13">IFERROR(INDEX('MADINAH Migration Plan-'!$K:$K,MATCH(1,('MADINAH Migration Plan-'!$Y:$Y=$A13)*('MADINAH Migration Plan-'!$X:$X=G$6),0)),0)</f>
        <v>0</v>
      </c>
      <c r="H13" s="81" cm="1">
        <f t="array" ref="H13">IFERROR(INDEX('MADINAH Migration Plan-'!$K:$K,MATCH(1,('MADINAH Migration Plan-'!$Y:$Y=$A13)*('MADINAH Migration Plan-'!$X:$X=H$6),0)),0)</f>
        <v>0</v>
      </c>
      <c r="I13" s="424"/>
      <c r="J13" s="347" t="s">
        <v>74</v>
      </c>
      <c r="K13" s="350" cm="1">
        <f t="array" aca="1" ref="K13" ca="1">IFERROR(AVERAGE(_xlfn._xlws.FILTER(IF(TODAY()&lt;'Jeddah Migration Plan'!$E$2:$E$207,0,IF(TODAY()&gt;='Jeddah Migration Plan'!$F$2:$F$207,1,NETWORKDAYS.INTL('Jeddah Migration Plan'!$E$2:$E$207,TODAY(),"0000011")/NETWORKDAYS.INTL('Jeddah Migration Plan'!$E$2:$E$207,'Jeddah Migration Plan'!$F$2:$F$207,"0000011"))),('Jeddah Migration Plan'!$Y$2:$Y$207=$J13)*('Jeddah Migration Plan'!$E$2:$E$207&lt;&gt;"")*('Jeddah Migration Plan'!$F$2:$F$207&lt;&gt;""))),0)</f>
        <v>0</v>
      </c>
      <c r="L13" s="348">
        <f t="shared" si="1"/>
        <v>0</v>
      </c>
      <c r="M13" s="81" cm="1">
        <f t="array" ref="M13">IFERROR(INDEX('Jeddah Migration Plan'!$K:$K,MATCH(1,('Jeddah Migration Plan'!$Y:$Y=$J13)*('Jeddah Migration Plan'!$X:$X=M$6),0)),0)</f>
        <v>0</v>
      </c>
      <c r="N13" s="81" cm="1">
        <f t="array" ref="N13">IFERROR(INDEX('Jeddah Migration Plan'!$K:$K,MATCH(1,('Jeddah Migration Plan'!$Y:$Y=$J13)*('Jeddah Migration Plan'!$X:$X=N$6),0)),0)</f>
        <v>0</v>
      </c>
      <c r="O13" s="81" cm="1">
        <f t="array" ref="O13">IFERROR(INDEX('Jeddah Migration Plan'!$K:$K,MATCH(1,('Jeddah Migration Plan'!$Y:$Y=$J13)*('Jeddah Migration Plan'!$X:$X=O$6),0)),0)</f>
        <v>0</v>
      </c>
      <c r="P13" s="81" cm="1">
        <f t="array" ref="P13">IFERROR(INDEX('Jeddah Migration Plan'!$K:$K,MATCH(1,('Jeddah Migration Plan'!$Y:$Y=$J13)*('Jeddah Migration Plan'!$X:$X=P$6),0)),0)</f>
        <v>0</v>
      </c>
      <c r="Q13" s="81" cm="1">
        <f t="array" ref="Q13">IFERROR(INDEX('Jeddah Migration Plan'!$K:$K,MATCH(1,('Jeddah Migration Plan'!$Y:$Y=$J13)*('Jeddah Migration Plan'!$X:$X=Q$6),0)),0)</f>
        <v>0</v>
      </c>
      <c r="R13" s="424"/>
      <c r="S13" s="347" t="s">
        <v>74</v>
      </c>
      <c r="T13" s="350" cm="1">
        <f t="array" aca="1" ref="T13" ca="1">IFERROR(AVERAGE(_xlfn._xlws.FILTER(IF(TODAY()&lt;'Makkah Migration Plan'!$E$2:$E$204,0,IF(TODAY()&gt;='Makkah Migration Plan'!$F$2:$F$204,1,NETWORKDAYS.INTL('Makkah Migration Plan'!$E$2:$E$204,TODAY(),"0000011")/NETWORKDAYS.INTL('Makkah Migration Plan'!$E$2:$E$204,'Makkah Migration Plan'!$F$2:$F$204,"0000011"))),('Makkah Migration Plan'!$Y$2:$Y$204=$S13)*('Makkah Migration Plan'!$E$2:$E$204&lt;&gt;"")*('Makkah Migration Plan'!$F$2:$F$204&lt;&gt;""))),0)</f>
        <v>0</v>
      </c>
      <c r="U13" s="348">
        <f t="shared" si="2"/>
        <v>0</v>
      </c>
      <c r="V13" s="81" cm="1">
        <f t="array" ref="V13">IFERROR(INDEX('Makkah Migration Plan'!$K:$K,MATCH(1,('Makkah Migration Plan'!$Y:$Y=$S26)*('Makkah Migration Plan'!$X:$X=V$19),0)),0)</f>
        <v>0</v>
      </c>
      <c r="W13" s="81" cm="1">
        <f t="array" ref="W13">IFERROR(INDEX('Makkah Migration Plan'!$K:$K,MATCH(1,('Makkah Migration Plan'!$Y:$Y=$S26)*('Makkah Migration Plan'!$X:$X=W$19),0)),0)</f>
        <v>0</v>
      </c>
      <c r="X13" s="81" cm="1">
        <f t="array" ref="X13">IFERROR(INDEX('Makkah Migration Plan'!$K:$K,MATCH(1,('Makkah Migration Plan'!$Y:$Y=$S26)*('Makkah Migration Plan'!$X:$X=X$19),0)),0)</f>
        <v>0</v>
      </c>
      <c r="Y13" s="81" cm="1">
        <f t="array" ref="Y13">IFERROR(INDEX('Makkah Migration Plan'!$K:$K,MATCH(1,('Makkah Migration Plan'!$Y:$Y=$S26)*('Makkah Migration Plan'!$X:$X=Y$19),0)),0)</f>
        <v>0</v>
      </c>
      <c r="Z13" s="81" cm="1">
        <f t="array" ref="Z13">IFERROR(INDEX('Makkah Migration Plan'!$K:$K,MATCH(1,('Makkah Migration Plan'!$Y:$Y=$S26)*('Makkah Migration Plan'!$X:$X=Z$19),0)),0)</f>
        <v>0</v>
      </c>
    </row>
    <row r="14" spans="1:29" ht="20.100000000000001" customHeight="1" x14ac:dyDescent="0.15">
      <c r="A14" s="347" t="s">
        <v>75</v>
      </c>
      <c r="B14" s="82" cm="1">
        <f t="array" aca="1" ref="B14" ca="1">IFERROR(AVERAGE(_xlfn._xlws.FILTER(IF(TODAY()&lt;'MADINAH Migration Plan-'!$E$2:$E$205,0,IF(TODAY()&gt;='MADINAH Migration Plan-'!$F$2:$F$205,1,NETWORKDAYS.INTL('MADINAH Migration Plan-'!$E$2:$E$205,TODAY(),"0000011")/NETWORKDAYS.INTL('MADINAH Migration Plan-'!$E$2:$E$205,'MADINAH Migration Plan-'!$F$2:$F$205,"0000011"))),('MADINAH Migration Plan-'!$Y$2:$Y$205=$A14)*('MADINAH Migration Plan-'!$E$2:$E$205&lt;&gt;"")*('MADINAH Migration Plan-'!$F$2:$F$205&lt;&gt;""))),0)</f>
        <v>0</v>
      </c>
      <c r="C14" s="348">
        <f t="shared" si="0"/>
        <v>0</v>
      </c>
      <c r="D14" s="81" cm="1">
        <f t="array" ref="D14">IFERROR(INDEX('MADINAH Migration Plan-'!$K:$K,MATCH(1,('MADINAH Migration Plan-'!$Y:$Y=$A14)*('MADINAH Migration Plan-'!$X:$X=D$6),0)),0)</f>
        <v>0</v>
      </c>
      <c r="E14" s="81" cm="1">
        <f t="array" ref="E14">IFERROR(INDEX('MADINAH Migration Plan-'!$K:$K,MATCH(1,('MADINAH Migration Plan-'!$Y:$Y=$A14)*('MADINAH Migration Plan-'!$X:$X=E$6),0)),0)</f>
        <v>0</v>
      </c>
      <c r="F14" s="81" cm="1">
        <f t="array" ref="F14">IFERROR(INDEX('MADINAH Migration Plan-'!$K:$K,MATCH(1,('MADINAH Migration Plan-'!$Y:$Y=$A14)*('MADINAH Migration Plan-'!$X:$X=F$6),0)),0)</f>
        <v>0</v>
      </c>
      <c r="G14" s="81" cm="1">
        <f t="array" ref="G14">IFERROR(INDEX('MADINAH Migration Plan-'!$K:$K,MATCH(1,('MADINAH Migration Plan-'!$Y:$Y=$A14)*('MADINAH Migration Plan-'!$X:$X=G$6),0)),0)</f>
        <v>0</v>
      </c>
      <c r="H14" s="81" cm="1">
        <f t="array" ref="H14">IFERROR(INDEX('MADINAH Migration Plan-'!$K:$K,MATCH(1,('MADINAH Migration Plan-'!$Y:$Y=$A14)*('MADINAH Migration Plan-'!$X:$X=H$6),0)),0)</f>
        <v>0</v>
      </c>
      <c r="I14" s="424"/>
      <c r="J14" s="347" t="s">
        <v>75</v>
      </c>
      <c r="K14" s="350" cm="1">
        <f t="array" aca="1" ref="K14" ca="1">IFERROR(AVERAGE(_xlfn._xlws.FILTER(IF(TODAY()&lt;'Jeddah Migration Plan'!$E$2:$E$207,0,IF(TODAY()&gt;='Jeddah Migration Plan'!$F$2:$F$207,1,NETWORKDAYS.INTL('Jeddah Migration Plan'!$E$2:$E$207,TODAY(),"0000011")/NETWORKDAYS.INTL('Jeddah Migration Plan'!$E$2:$E$207,'Jeddah Migration Plan'!$F$2:$F$207,"0000011"))),('Jeddah Migration Plan'!$Y$2:$Y$207=$J14)*('Jeddah Migration Plan'!$E$2:$E$207&lt;&gt;"")*('Jeddah Migration Plan'!$F$2:$F$207&lt;&gt;""))),0)</f>
        <v>0</v>
      </c>
      <c r="L14" s="348">
        <f t="shared" si="1"/>
        <v>0</v>
      </c>
      <c r="M14" s="81" cm="1">
        <f t="array" ref="M14">IFERROR(INDEX('Jeddah Migration Plan'!$K:$K,MATCH(1,('Jeddah Migration Plan'!$Y:$Y=$J14)*('Jeddah Migration Plan'!$X:$X=M$6),0)),0)</f>
        <v>0</v>
      </c>
      <c r="N14" s="81" cm="1">
        <f t="array" ref="N14">IFERROR(INDEX('Jeddah Migration Plan'!$K:$K,MATCH(1,('Jeddah Migration Plan'!$Y:$Y=$J14)*('Jeddah Migration Plan'!$X:$X=N$6),0)),0)</f>
        <v>0</v>
      </c>
      <c r="O14" s="81" cm="1">
        <f t="array" ref="O14">IFERROR(INDEX('Jeddah Migration Plan'!$K:$K,MATCH(1,('Jeddah Migration Plan'!$Y:$Y=$J14)*('Jeddah Migration Plan'!$X:$X=O$6),0)),0)</f>
        <v>0</v>
      </c>
      <c r="P14" s="81" cm="1">
        <f t="array" ref="P14">IFERROR(INDEX('Jeddah Migration Plan'!$K:$K,MATCH(1,('Jeddah Migration Plan'!$Y:$Y=$J14)*('Jeddah Migration Plan'!$X:$X=P$6),0)),0)</f>
        <v>0</v>
      </c>
      <c r="Q14" s="81" cm="1">
        <f t="array" ref="Q14">IFERROR(INDEX('Jeddah Migration Plan'!$K:$K,MATCH(1,('Jeddah Migration Plan'!$Y:$Y=$J14)*('Jeddah Migration Plan'!$X:$X=Q$6),0)),0)</f>
        <v>0</v>
      </c>
      <c r="R14" s="424"/>
      <c r="S14" s="347" t="s">
        <v>75</v>
      </c>
      <c r="T14" s="350" cm="1">
        <f t="array" aca="1" ref="T14" ca="1">IFERROR(AVERAGE(_xlfn._xlws.FILTER(IF(TODAY()&lt;'Makkah Migration Plan'!$E$2:$E$204,0,IF(TODAY()&gt;='Makkah Migration Plan'!$F$2:$F$204,1,NETWORKDAYS.INTL('Makkah Migration Plan'!$E$2:$E$204,TODAY(),"0000011")/NETWORKDAYS.INTL('Makkah Migration Plan'!$E$2:$E$204,'Makkah Migration Plan'!$F$2:$F$204,"0000011"))),('Makkah Migration Plan'!$Y$2:$Y$204=$S14)*('Makkah Migration Plan'!$E$2:$E$204&lt;&gt;"")*('Makkah Migration Plan'!$F$2:$F$204&lt;&gt;""))),0)</f>
        <v>0</v>
      </c>
      <c r="U14" s="348">
        <f t="shared" si="2"/>
        <v>0</v>
      </c>
      <c r="V14" s="81" cm="1">
        <f t="array" ref="V14">IFERROR(INDEX('Makkah Migration Plan'!$K:$K,MATCH(1,('Makkah Migration Plan'!$Y:$Y=$S27)*('Makkah Migration Plan'!$X:$X=V$19),0)),0)</f>
        <v>0</v>
      </c>
      <c r="W14" s="81" cm="1">
        <f t="array" ref="W14">IFERROR(INDEX('Makkah Migration Plan'!$K:$K,MATCH(1,('Makkah Migration Plan'!$Y:$Y=$S27)*('Makkah Migration Plan'!$X:$X=W$19),0)),0)</f>
        <v>0</v>
      </c>
      <c r="X14" s="81" cm="1">
        <f t="array" ref="X14">IFERROR(INDEX('Makkah Migration Plan'!$K:$K,MATCH(1,('Makkah Migration Plan'!$Y:$Y=$S27)*('Makkah Migration Plan'!$X:$X=X$19),0)),0)</f>
        <v>0</v>
      </c>
      <c r="Y14" s="81" cm="1">
        <f t="array" ref="Y14">IFERROR(INDEX('Makkah Migration Plan'!$K:$K,MATCH(1,('Makkah Migration Plan'!$Y:$Y=$S27)*('Makkah Migration Plan'!$X:$X=Y$19),0)),0)</f>
        <v>0</v>
      </c>
      <c r="Z14" s="81" cm="1">
        <f t="array" ref="Z14">IFERROR(INDEX('Makkah Migration Plan'!$K:$K,MATCH(1,('Makkah Migration Plan'!$Y:$Y=$S27)*('Makkah Migration Plan'!$X:$X=Z$19),0)),0)</f>
        <v>0</v>
      </c>
    </row>
    <row r="15" spans="1:29" ht="20.100000000000001" customHeight="1" x14ac:dyDescent="0.15">
      <c r="A15" s="347" t="s">
        <v>76</v>
      </c>
      <c r="B15" s="82" cm="1">
        <f t="array" aca="1" ref="B15" ca="1">IFERROR(AVERAGE(_xlfn._xlws.FILTER(IF(TODAY()&lt;'MADINAH Migration Plan-'!$E$2:$E$205,0,IF(TODAY()&gt;='MADINAH Migration Plan-'!$F$2:$F$205,1,NETWORKDAYS.INTL('MADINAH Migration Plan-'!$E$2:$E$205,TODAY(),"0000011")/NETWORKDAYS.INTL('MADINAH Migration Plan-'!$E$2:$E$205,'MADINAH Migration Plan-'!$F$2:$F$205,"0000011"))),('MADINAH Migration Plan-'!$Y$2:$Y$205=$A15)*('MADINAH Migration Plan-'!$E$2:$E$205&lt;&gt;"")*('MADINAH Migration Plan-'!$F$2:$F$205&lt;&gt;""))),0)</f>
        <v>0</v>
      </c>
      <c r="C15" s="348">
        <f t="shared" si="0"/>
        <v>0</v>
      </c>
      <c r="D15" s="81" cm="1">
        <f t="array" ref="D15">IFERROR(INDEX('MADINAH Migration Plan-'!$K:$K,MATCH(1,('MADINAH Migration Plan-'!$Y:$Y=$A15)*('MADINAH Migration Plan-'!$X:$X=D$6),0)),0)</f>
        <v>0</v>
      </c>
      <c r="E15" s="81" cm="1">
        <f t="array" ref="E15">IFERROR(INDEX('MADINAH Migration Plan-'!$K:$K,MATCH(1,('MADINAH Migration Plan-'!$Y:$Y=$A15)*('MADINAH Migration Plan-'!$X:$X=E$6),0)),0)</f>
        <v>0</v>
      </c>
      <c r="F15" s="81" cm="1">
        <f t="array" ref="F15">IFERROR(INDEX('MADINAH Migration Plan-'!$K:$K,MATCH(1,('MADINAH Migration Plan-'!$Y:$Y=$A15)*('MADINAH Migration Plan-'!$X:$X=F$6),0)),0)</f>
        <v>0</v>
      </c>
      <c r="G15" s="81" cm="1">
        <f t="array" ref="G15">IFERROR(INDEX('MADINAH Migration Plan-'!$K:$K,MATCH(1,('MADINAH Migration Plan-'!$Y:$Y=$A15)*('MADINAH Migration Plan-'!$X:$X=G$6),0)),0)</f>
        <v>0</v>
      </c>
      <c r="H15" s="81" cm="1">
        <f t="array" ref="H15">IFERROR(INDEX('MADINAH Migration Plan-'!$K:$K,MATCH(1,('MADINAH Migration Plan-'!$Y:$Y=$A15)*('MADINAH Migration Plan-'!$X:$X=H$6),0)),0)</f>
        <v>0</v>
      </c>
      <c r="I15" s="424"/>
      <c r="J15" s="347" t="s">
        <v>76</v>
      </c>
      <c r="K15" s="350" cm="1">
        <f t="array" aca="1" ref="K15" ca="1">IFERROR(AVERAGE(_xlfn._xlws.FILTER(IF(TODAY()&lt;'Jeddah Migration Plan'!$E$2:$E$207,0,IF(TODAY()&gt;='Jeddah Migration Plan'!$F$2:$F$207,1,NETWORKDAYS.INTL('Jeddah Migration Plan'!$E$2:$E$207,TODAY(),"0000011")/NETWORKDAYS.INTL('Jeddah Migration Plan'!$E$2:$E$207,'Jeddah Migration Plan'!$F$2:$F$207,"0000011"))),('Jeddah Migration Plan'!$Y$2:$Y$207=$J15)*('Jeddah Migration Plan'!$E$2:$E$207&lt;&gt;"")*('Jeddah Migration Plan'!$F$2:$F$207&lt;&gt;""))),0)</f>
        <v>0</v>
      </c>
      <c r="L15" s="348">
        <f t="shared" si="1"/>
        <v>0</v>
      </c>
      <c r="M15" s="81" cm="1">
        <f t="array" ref="M15">IFERROR(INDEX('Jeddah Migration Plan'!$K:$K,MATCH(1,('Jeddah Migration Plan'!$Y:$Y=$J15)*('Jeddah Migration Plan'!$X:$X=M$6),0)),0)</f>
        <v>0</v>
      </c>
      <c r="N15" s="81" cm="1">
        <f t="array" ref="N15">IFERROR(INDEX('Jeddah Migration Plan'!$K:$K,MATCH(1,('Jeddah Migration Plan'!$Y:$Y=$J15)*('Jeddah Migration Plan'!$X:$X=N$6),0)),0)</f>
        <v>0</v>
      </c>
      <c r="O15" s="81" cm="1">
        <f t="array" ref="O15">IFERROR(INDEX('Jeddah Migration Plan'!$K:$K,MATCH(1,('Jeddah Migration Plan'!$Y:$Y=$J15)*('Jeddah Migration Plan'!$X:$X=O$6),0)),0)</f>
        <v>0</v>
      </c>
      <c r="P15" s="81" cm="1">
        <f t="array" ref="P15">IFERROR(INDEX('Jeddah Migration Plan'!$K:$K,MATCH(1,('Jeddah Migration Plan'!$Y:$Y=$J15)*('Jeddah Migration Plan'!$X:$X=P$6),0)),0)</f>
        <v>0</v>
      </c>
      <c r="Q15" s="81" cm="1">
        <f t="array" ref="Q15">IFERROR(INDEX('Jeddah Migration Plan'!$K:$K,MATCH(1,('Jeddah Migration Plan'!$Y:$Y=$J15)*('Jeddah Migration Plan'!$X:$X=Q$6),0)),0)</f>
        <v>0</v>
      </c>
      <c r="R15" s="424"/>
      <c r="S15" s="347" t="s">
        <v>76</v>
      </c>
      <c r="T15" s="350" cm="1">
        <f t="array" aca="1" ref="T15" ca="1">IFERROR(AVERAGE(_xlfn._xlws.FILTER(IF(TODAY()&lt;'Makkah Migration Plan'!$E$2:$E$204,0,IF(TODAY()&gt;='Makkah Migration Plan'!$F$2:$F$204,1,NETWORKDAYS.INTL('Makkah Migration Plan'!$E$2:$E$204,TODAY(),"0000011")/NETWORKDAYS.INTL('Makkah Migration Plan'!$E$2:$E$204,'Makkah Migration Plan'!$F$2:$F$204,"0000011"))),('Makkah Migration Plan'!$Y$2:$Y$204=$S15)*('Makkah Migration Plan'!$E$2:$E$204&lt;&gt;"")*('Makkah Migration Plan'!$F$2:$F$204&lt;&gt;""))),0)</f>
        <v>0</v>
      </c>
      <c r="U15" s="348">
        <f t="shared" si="2"/>
        <v>0</v>
      </c>
      <c r="V15" s="81" cm="1">
        <f t="array" ref="V15">IFERROR(INDEX('Makkah Migration Plan'!$K:$K,MATCH(1,('Makkah Migration Plan'!$Y:$Y=$S28)*('Makkah Migration Plan'!$X:$X=V$19),0)),0)</f>
        <v>0</v>
      </c>
      <c r="W15" s="81" cm="1">
        <f t="array" ref="W15">IFERROR(INDEX('Makkah Migration Plan'!$K:$K,MATCH(1,('Makkah Migration Plan'!$Y:$Y=$S28)*('Makkah Migration Plan'!$X:$X=W$19),0)),0)</f>
        <v>0</v>
      </c>
      <c r="X15" s="81" cm="1">
        <f t="array" ref="X15">IFERROR(INDEX('Makkah Migration Plan'!$K:$K,MATCH(1,('Makkah Migration Plan'!$Y:$Y=$S28)*('Makkah Migration Plan'!$X:$X=X$19),0)),0)</f>
        <v>0</v>
      </c>
      <c r="Y15" s="81" cm="1">
        <f t="array" ref="Y15">IFERROR(INDEX('Makkah Migration Plan'!$K:$K,MATCH(1,('Makkah Migration Plan'!$Y:$Y=$S28)*('Makkah Migration Plan'!$X:$X=Y$19),0)),0)</f>
        <v>0</v>
      </c>
      <c r="Z15" s="81" cm="1">
        <f t="array" ref="Z15">IFERROR(INDEX('Makkah Migration Plan'!$K:$K,MATCH(1,('Makkah Migration Plan'!$Y:$Y=$S28)*('Makkah Migration Plan'!$X:$X=Z$19),0)),0)</f>
        <v>0</v>
      </c>
    </row>
    <row r="16" spans="1:29" ht="20.100000000000001" customHeight="1" x14ac:dyDescent="0.15">
      <c r="A16" s="347" t="s">
        <v>77</v>
      </c>
      <c r="B16" s="82" cm="1">
        <f t="array" aca="1" ref="B16" ca="1">IFERROR(AVERAGE(_xlfn._xlws.FILTER(IF(TODAY()&lt;'MADINAH Migration Plan-'!$E$2:$E$205,0,IF(TODAY()&gt;='MADINAH Migration Plan-'!$F$2:$F$205,1,NETWORKDAYS.INTL('MADINAH Migration Plan-'!$E$2:$E$205,TODAY(),"0000011")/NETWORKDAYS.INTL('MADINAH Migration Plan-'!$E$2:$E$205,'MADINAH Migration Plan-'!$F$2:$F$205,"0000011"))),('MADINAH Migration Plan-'!$Y$2:$Y$205=$A16)*('MADINAH Migration Plan-'!$E$2:$E$205&lt;&gt;"")*('MADINAH Migration Plan-'!$F$2:$F$205&lt;&gt;""))),0)</f>
        <v>0</v>
      </c>
      <c r="C16" s="348">
        <f t="shared" si="0"/>
        <v>0</v>
      </c>
      <c r="D16" s="81" cm="1">
        <f t="array" ref="D16">IFERROR(INDEX('MADINAH Migration Plan-'!$K:$K,MATCH(1,('MADINAH Migration Plan-'!$Y:$Y=$A16)*('MADINAH Migration Plan-'!$X:$X=D$6),0)),0)</f>
        <v>0</v>
      </c>
      <c r="E16" s="81" cm="1">
        <f t="array" ref="E16">IFERROR(INDEX('MADINAH Migration Plan-'!$K:$K,MATCH(1,('MADINAH Migration Plan-'!$Y:$Y=$A16)*('MADINAH Migration Plan-'!$X:$X=E$6),0)),0)</f>
        <v>0</v>
      </c>
      <c r="F16" s="81" cm="1">
        <f t="array" ref="F16">IFERROR(INDEX('MADINAH Migration Plan-'!$K:$K,MATCH(1,('MADINAH Migration Plan-'!$Y:$Y=$A16)*('MADINAH Migration Plan-'!$X:$X=F$6),0)),0)</f>
        <v>0</v>
      </c>
      <c r="G16" s="81" cm="1">
        <f t="array" ref="G16">IFERROR(INDEX('MADINAH Migration Plan-'!$K:$K,MATCH(1,('MADINAH Migration Plan-'!$Y:$Y=$A16)*('MADINAH Migration Plan-'!$X:$X=G$6),0)),0)</f>
        <v>0</v>
      </c>
      <c r="H16" s="81" cm="1">
        <f t="array" ref="H16">IFERROR(INDEX('MADINAH Migration Plan-'!$K:$K,MATCH(1,('MADINAH Migration Plan-'!$Y:$Y=$A16)*('MADINAH Migration Plan-'!$X:$X=H$6),0)),0)</f>
        <v>0</v>
      </c>
      <c r="I16" s="425"/>
      <c r="J16" s="347" t="s">
        <v>77</v>
      </c>
      <c r="K16" s="350" cm="1">
        <f t="array" aca="1" ref="K16" ca="1">IFERROR(AVERAGE(_xlfn._xlws.FILTER(IF(TODAY()&lt;'Jeddah Migration Plan'!$E$2:$E$207,0,IF(TODAY()&gt;='Jeddah Migration Plan'!$F$2:$F$207,1,NETWORKDAYS.INTL('Jeddah Migration Plan'!$E$2:$E$207,TODAY(),"0000011")/NETWORKDAYS.INTL('Jeddah Migration Plan'!$E$2:$E$207,'Jeddah Migration Plan'!$F$2:$F$207,"0000011"))),('Jeddah Migration Plan'!$Y$2:$Y$207=$J16)*('Jeddah Migration Plan'!$E$2:$E$207&lt;&gt;"")*('Jeddah Migration Plan'!$F$2:$F$207&lt;&gt;""))),0)</f>
        <v>0</v>
      </c>
      <c r="L16" s="348">
        <f t="shared" si="1"/>
        <v>0</v>
      </c>
      <c r="M16" s="81" cm="1">
        <f t="array" ref="M16">IFERROR(INDEX('Jeddah Migration Plan'!$K:$K,MATCH(1,('Jeddah Migration Plan'!$Y:$Y=$J16)*('Jeddah Migration Plan'!$X:$X=M$6),0)),0)</f>
        <v>0</v>
      </c>
      <c r="N16" s="81" cm="1">
        <f t="array" ref="N16">IFERROR(INDEX('Jeddah Migration Plan'!$K:$K,MATCH(1,('Jeddah Migration Plan'!$Y:$Y=$J16)*('Jeddah Migration Plan'!$X:$X=N$6),0)),0)</f>
        <v>0</v>
      </c>
      <c r="O16" s="81" cm="1">
        <f t="array" ref="O16">IFERROR(INDEX('Jeddah Migration Plan'!$K:$K,MATCH(1,('Jeddah Migration Plan'!$Y:$Y=$J16)*('Jeddah Migration Plan'!$X:$X=O$6),0)),0)</f>
        <v>0</v>
      </c>
      <c r="P16" s="81" cm="1">
        <f t="array" ref="P16">IFERROR(INDEX('Jeddah Migration Plan'!$K:$K,MATCH(1,('Jeddah Migration Plan'!$Y:$Y=$J16)*('Jeddah Migration Plan'!$X:$X=P$6),0)),0)</f>
        <v>0</v>
      </c>
      <c r="Q16" s="81" cm="1">
        <f t="array" ref="Q16">IFERROR(INDEX('Jeddah Migration Plan'!$K:$K,MATCH(1,('Jeddah Migration Plan'!$Y:$Y=$J16)*('Jeddah Migration Plan'!$X:$X=Q$6),0)),0)</f>
        <v>0</v>
      </c>
      <c r="R16" s="425"/>
      <c r="S16" s="347" t="s">
        <v>77</v>
      </c>
      <c r="T16" s="350" cm="1">
        <f t="array" aca="1" ref="T16" ca="1">IFERROR(AVERAGE(_xlfn._xlws.FILTER(IF(TODAY()&lt;'Makkah Migration Plan'!$E$2:$E$204,0,IF(TODAY()&gt;='Makkah Migration Plan'!$F$2:$F$204,1,NETWORKDAYS.INTL('Makkah Migration Plan'!$E$2:$E$204,TODAY(),"0000011")/NETWORKDAYS.INTL('Makkah Migration Plan'!$E$2:$E$204,'Makkah Migration Plan'!$F$2:$F$204,"0000011"))),('Makkah Migration Plan'!$Y$2:$Y$204=$S16)*('Makkah Migration Plan'!$E$2:$E$204&lt;&gt;"")*('Makkah Migration Plan'!$F$2:$F$204&lt;&gt;""))),0)</f>
        <v>0</v>
      </c>
      <c r="U16" s="348">
        <f t="shared" si="2"/>
        <v>0</v>
      </c>
      <c r="V16" s="81" cm="1">
        <f t="array" ref="V16">IFERROR(INDEX('Makkah Migration Plan'!$K:$K,MATCH(1,('Makkah Migration Plan'!$Y:$Y=$S29)*('Makkah Migration Plan'!$X:$X=V$19),0)),0)</f>
        <v>0</v>
      </c>
      <c r="W16" s="81" cm="1">
        <f t="array" ref="W16">IFERROR(INDEX('Makkah Migration Plan'!$K:$K,MATCH(1,('Makkah Migration Plan'!$Y:$Y=$S29)*('Makkah Migration Plan'!$X:$X=W$19),0)),0)</f>
        <v>0</v>
      </c>
      <c r="X16" s="81" cm="1">
        <f t="array" ref="X16">IFERROR(INDEX('Makkah Migration Plan'!$K:$K,MATCH(1,('Makkah Migration Plan'!$Y:$Y=$S29)*('Makkah Migration Plan'!$X:$X=X$19),0)),0)</f>
        <v>0</v>
      </c>
      <c r="Y16" s="81" cm="1">
        <f t="array" ref="Y16">IFERROR(INDEX('Makkah Migration Plan'!$K:$K,MATCH(1,('Makkah Migration Plan'!$Y:$Y=$S29)*('Makkah Migration Plan'!$X:$X=Y$19),0)),0)</f>
        <v>0</v>
      </c>
      <c r="Z16" s="81" cm="1">
        <f t="array" ref="Z16">IFERROR(INDEX('Makkah Migration Plan'!$K:$K,MATCH(1,('Makkah Migration Plan'!$Y:$Y=$S29)*('Makkah Migration Plan'!$X:$X=Z$19),0)),0)</f>
        <v>0</v>
      </c>
    </row>
    <row r="17" spans="1:26" x14ac:dyDescent="0.15">
      <c r="A17" s="419"/>
      <c r="B17" s="420"/>
      <c r="C17" s="420"/>
      <c r="D17" s="420"/>
      <c r="E17" s="420"/>
      <c r="F17" s="420"/>
      <c r="G17" s="420"/>
      <c r="H17" s="420"/>
      <c r="I17" s="421"/>
      <c r="J17" s="421"/>
      <c r="K17" s="421"/>
      <c r="L17" s="421"/>
      <c r="M17" s="421"/>
      <c r="N17" s="421"/>
      <c r="O17" s="421"/>
      <c r="P17" s="421"/>
      <c r="Q17" s="421"/>
      <c r="R17" s="421"/>
      <c r="S17" s="421"/>
      <c r="T17" s="421"/>
      <c r="U17" s="421"/>
      <c r="V17" s="421"/>
      <c r="W17" s="421"/>
      <c r="X17" s="421"/>
      <c r="Y17" s="421"/>
      <c r="Z17" s="422"/>
    </row>
    <row r="18" spans="1:26" ht="35.1" customHeight="1" x14ac:dyDescent="0.15">
      <c r="A18" s="418" t="s">
        <v>78</v>
      </c>
      <c r="B18" s="418"/>
      <c r="C18" s="418"/>
      <c r="D18" s="418"/>
      <c r="E18" s="418"/>
      <c r="F18" s="418"/>
      <c r="G18" s="418"/>
      <c r="H18" s="418"/>
      <c r="I18" s="409"/>
      <c r="J18" s="410"/>
      <c r="K18" s="410"/>
      <c r="L18" s="410"/>
      <c r="M18" s="410"/>
      <c r="N18" s="410"/>
      <c r="O18" s="410"/>
      <c r="P18" s="410"/>
      <c r="Q18" s="410"/>
      <c r="R18" s="411"/>
      <c r="S18" s="418" t="s">
        <v>79</v>
      </c>
      <c r="T18" s="418"/>
      <c r="U18" s="418"/>
      <c r="V18" s="418"/>
      <c r="W18" s="418"/>
      <c r="X18" s="418"/>
      <c r="Y18" s="418"/>
      <c r="Z18" s="418"/>
    </row>
    <row r="19" spans="1:26" ht="86.25" customHeight="1" x14ac:dyDescent="0.15">
      <c r="A19" s="343" t="s">
        <v>59</v>
      </c>
      <c r="B19" s="344" t="s">
        <v>60</v>
      </c>
      <c r="C19" s="345" t="s">
        <v>61</v>
      </c>
      <c r="D19" s="346" t="s">
        <v>62</v>
      </c>
      <c r="E19" s="346" t="s">
        <v>63</v>
      </c>
      <c r="F19" s="346" t="s">
        <v>64</v>
      </c>
      <c r="G19" s="346" t="s">
        <v>65</v>
      </c>
      <c r="H19" s="346" t="s">
        <v>66</v>
      </c>
      <c r="I19" s="412"/>
      <c r="J19" s="413"/>
      <c r="K19" s="413"/>
      <c r="L19" s="413"/>
      <c r="M19" s="413"/>
      <c r="N19" s="413"/>
      <c r="O19" s="413"/>
      <c r="P19" s="413"/>
      <c r="Q19" s="413"/>
      <c r="R19" s="414"/>
      <c r="S19" s="343" t="s">
        <v>59</v>
      </c>
      <c r="T19" s="344" t="s">
        <v>60</v>
      </c>
      <c r="U19" s="345" t="s">
        <v>61</v>
      </c>
      <c r="V19" s="346" t="s">
        <v>62</v>
      </c>
      <c r="W19" s="346" t="s">
        <v>63</v>
      </c>
      <c r="X19" s="346" t="s">
        <v>64</v>
      </c>
      <c r="Y19" s="346" t="s">
        <v>65</v>
      </c>
      <c r="Z19" s="346" t="s">
        <v>66</v>
      </c>
    </row>
    <row r="20" spans="1:26" ht="20.100000000000001" customHeight="1" x14ac:dyDescent="0.15">
      <c r="A20" s="347" t="s">
        <v>68</v>
      </c>
      <c r="B20" s="351" cm="1">
        <f t="array" aca="1" ref="B20" ca="1">IFERROR(AVERAGE(_xlfn._xlws.FILTER(IF(TODAY()&lt;'ABHA Migration Plan'!$E$2:$E$205,0,IF(TODAY()&gt;='ABHA Migration Plan'!$F$2:$F$205,1,NETWORKDAYS.INTL('ABHA Migration Plan'!$E$2:$E$205,TODAY(),"0000011")/NETWORKDAYS.INTL('ABHA Migration Plan'!$E$2:$E$205,'ABHA Migration Plan'!$F$2:$F$205,"0000011"))),('ABHA Migration Plan'!$Y$2:$Y$205=$A20)*('ABHA Migration Plan'!$E$2:$E$205&lt;&gt;"")*('ABHA Migration Plan'!$F$2:$F$205&lt;&gt;""))),0)</f>
        <v>0.4</v>
      </c>
      <c r="C20" s="348">
        <f t="shared" ref="C20:C27" si="3">AVERAGE(D20:H20)</f>
        <v>0.3</v>
      </c>
      <c r="D20" s="81" cm="1">
        <f t="array" ref="D20">IFERROR(INDEX('ABHA Migration Plan'!$K:$K,MATCH(1,('ABHA Migration Plan'!$Y:$Y=$A20)*('ABHA Migration Plan'!$X:$X=D$19),0)),0)</f>
        <v>1</v>
      </c>
      <c r="E20" s="81" cm="1">
        <f t="array" ref="E20">IFERROR(INDEX('ABHA Migration Plan'!$K:$K,MATCH(1,('ABHA Migration Plan'!$Y:$Y=$A20)*('ABHA Migration Plan'!$X:$X=E$19),0)),0)</f>
        <v>0.5</v>
      </c>
      <c r="F20" s="81" cm="1">
        <f t="array" ref="F20">IFERROR(INDEX('ABHA Migration Plan'!$K:$K,MATCH(1,('ABHA Migration Plan'!$Y:$Y=$A20)*('ABHA Migration Plan'!$X:$X=F$19),0)),0)</f>
        <v>0</v>
      </c>
      <c r="G20" s="81" cm="1">
        <f t="array" ref="G20">IFERROR(INDEX('ABHA Migration Plan'!$K:$K,MATCH(1,('ABHA Migration Plan'!$Y:$Y=$A20)*('ABHA Migration Plan'!$X:$X=G$19),0)),0)</f>
        <v>0</v>
      </c>
      <c r="H20" s="81" cm="1">
        <f t="array" ref="H20">IFERROR(INDEX('ABHA Migration Plan'!$K:$K,MATCH(1,('ABHA Migration Plan'!$Y:$Y=$A20)*('ABHA Migration Plan'!$X:$X=H$19),0)),0)</f>
        <v>0</v>
      </c>
      <c r="I20" s="412"/>
      <c r="J20" s="413"/>
      <c r="K20" s="413"/>
      <c r="L20" s="413"/>
      <c r="M20" s="413"/>
      <c r="N20" s="413"/>
      <c r="O20" s="413"/>
      <c r="P20" s="413"/>
      <c r="Q20" s="413"/>
      <c r="R20" s="414"/>
      <c r="S20" s="347" t="s">
        <v>68</v>
      </c>
      <c r="T20" s="351" cm="1">
        <f t="array" aca="1" ref="T20" ca="1">IFERROR(AVERAGE(_xlfn._xlws.FILTER(IF(TODAY()&lt;'Jizan Migration Plan'!$E$2:$E$205,0,IF(TODAY()&gt;='Jizan Migration Plan'!$F$2:$F$205,1,NETWORKDAYS.INTL('Jizan Migration Plan'!$E$2:$E$205,TODAY(),"0000011")/NETWORKDAYS.INTL('Jizan Migration Plan'!$E$2:$E$205,'Jizan Migration Plan'!$F$2:$F$205,"0000011"))),('Jizan Migration Plan'!$Y$2:$Y$205=$S20)*('Jizan Migration Plan'!$E$2:$E$205&lt;&gt;"")*('Jizan Migration Plan'!$F$2:$F$205&lt;&gt;""))),0)</f>
        <v>0.4</v>
      </c>
      <c r="U20" s="348">
        <f t="shared" ref="U20:U27" si="4">AVERAGE(V20:Z20)</f>
        <v>0.3</v>
      </c>
      <c r="V20" s="81" cm="1">
        <f t="array" ref="V20">IFERROR(INDEX('Jizan Migration Plan'!$K:$K,MATCH(1,('Jizan Migration Plan'!$Y:$Y=$S20)*('Jizan Migration Plan'!$X:$X=V$19),0)),0)</f>
        <v>1</v>
      </c>
      <c r="W20" s="81" cm="1">
        <f t="array" ref="W20">IFERROR(INDEX('Jizan Migration Plan'!$K:$K,MATCH(1,('Jizan Migration Plan'!$Y:$Y=$S20)*('Jizan Migration Plan'!$X:$X=W$19),0)),0)</f>
        <v>0.5</v>
      </c>
      <c r="X20" s="81" cm="1">
        <f t="array" ref="X20">IFERROR(INDEX('Jizan Migration Plan'!$K:$K,MATCH(1,('Jizan Migration Plan'!$Y:$Y=$S20)*('Jizan Migration Plan'!$X:$X=X$19),0)),0)</f>
        <v>0</v>
      </c>
      <c r="Y20" s="81" cm="1">
        <f t="array" ref="Y20">IFERROR(INDEX('Jizan Migration Plan'!$K:$K,MATCH(1,('Jizan Migration Plan'!$Y:$Y=$S20)*('Jizan Migration Plan'!$X:$X=Y$19),0)),0)</f>
        <v>0</v>
      </c>
      <c r="Z20" s="81" cm="1">
        <f t="array" ref="Z20">IFERROR(INDEX('Jizan Migration Plan'!$K:$K,MATCH(1,('Jizan Migration Plan'!$Y:$Y=$S20)*('Jizan Migration Plan'!$X:$X=Z$19),0)),0)</f>
        <v>0</v>
      </c>
    </row>
    <row r="21" spans="1:26" ht="20.100000000000001" customHeight="1" x14ac:dyDescent="0.15">
      <c r="A21" s="347" t="s">
        <v>69</v>
      </c>
      <c r="B21" s="351" cm="1">
        <f t="array" aca="1" ref="B21" ca="1">IFERROR(AVERAGE(_xlfn._xlws.FILTER(IF(TODAY()&lt;'ABHA Migration Plan'!$E$2:$E$205,0,IF(TODAY()&gt;='ABHA Migration Plan'!$F$2:$F$205,1,NETWORKDAYS.INTL('ABHA Migration Plan'!$E$2:$E$205,TODAY(),"0000011")/NETWORKDAYS.INTL('ABHA Migration Plan'!$E$2:$E$205,'ABHA Migration Plan'!$F$2:$F$205,"0000011"))),('ABHA Migration Plan'!$Y$2:$Y$205=$A21)*('ABHA Migration Plan'!$E$2:$E$205&lt;&gt;"")*('ABHA Migration Plan'!$F$2:$F$205&lt;&gt;""))),0)</f>
        <v>0.4</v>
      </c>
      <c r="C21" s="348">
        <f t="shared" si="3"/>
        <v>0.24</v>
      </c>
      <c r="D21" s="81" cm="1">
        <f t="array" ref="D21">IFERROR(INDEX('ABHA Migration Plan'!$K:$K,MATCH(1,('ABHA Migration Plan'!$Y:$Y=$A21)*('ABHA Migration Plan'!$X:$X=D$19),0)),0)</f>
        <v>1</v>
      </c>
      <c r="E21" s="81" cm="1">
        <f t="array" ref="E21">IFERROR(INDEX('ABHA Migration Plan'!$K:$K,MATCH(1,('ABHA Migration Plan'!$Y:$Y=$A21)*('ABHA Migration Plan'!$X:$X=E$19),0)),0)</f>
        <v>0.2</v>
      </c>
      <c r="F21" s="81" cm="1">
        <f t="array" ref="F21">IFERROR(INDEX('ABHA Migration Plan'!$K:$K,MATCH(1,('ABHA Migration Plan'!$Y:$Y=$A21)*('ABHA Migration Plan'!$X:$X=F$19),0)),0)</f>
        <v>0</v>
      </c>
      <c r="G21" s="81" cm="1">
        <f t="array" ref="G21">IFERROR(INDEX('ABHA Migration Plan'!$K:$K,MATCH(1,('ABHA Migration Plan'!$Y:$Y=$A21)*('ABHA Migration Plan'!$X:$X=G$19),0)),0)</f>
        <v>0</v>
      </c>
      <c r="H21" s="81" cm="1">
        <f t="array" ref="H21">IFERROR(INDEX('ABHA Migration Plan'!$K:$K,MATCH(1,('ABHA Migration Plan'!$Y:$Y=$A21)*('ABHA Migration Plan'!$X:$X=H$19),0)),0)</f>
        <v>0</v>
      </c>
      <c r="I21" s="412"/>
      <c r="J21" s="413"/>
      <c r="K21" s="413"/>
      <c r="L21" s="413"/>
      <c r="M21" s="413"/>
      <c r="N21" s="413"/>
      <c r="O21" s="413"/>
      <c r="P21" s="413"/>
      <c r="Q21" s="413"/>
      <c r="R21" s="414"/>
      <c r="S21" s="347" t="s">
        <v>69</v>
      </c>
      <c r="T21" s="350" cm="1">
        <f t="array" aca="1" ref="T21" ca="1">IFERROR(AVERAGE(_xlfn._xlws.FILTER(IF(TODAY()&lt;'Jizan Migration Plan'!$E$2:$E$205,0,IF(TODAY()&gt;='Jizan Migration Plan'!$F$2:$F$205,1,NETWORKDAYS.INTL('Jizan Migration Plan'!$E$2:$E$205,TODAY(),"0000011")/NETWORKDAYS.INTL('Jizan Migration Plan'!$E$2:$E$205,'Jizan Migration Plan'!$F$2:$F$205,"0000011"))),('Jizan Migration Plan'!$Y$2:$Y$205=$S21)*('Jizan Migration Plan'!$E$2:$E$205&lt;&gt;"")*('Jizan Migration Plan'!$F$2:$F$205&lt;&gt;""))),0)</f>
        <v>0</v>
      </c>
      <c r="U21" s="348">
        <f t="shared" si="4"/>
        <v>0.24</v>
      </c>
      <c r="V21" s="81" cm="1">
        <f t="array" ref="V21">IFERROR(INDEX('Jizan Migration Plan'!$K:$K,MATCH(1,('Jizan Migration Plan'!$Y:$Y=$S21)*('Jizan Migration Plan'!$X:$X=V$19),0)),0)</f>
        <v>1</v>
      </c>
      <c r="W21" s="81" cm="1">
        <f t="array" ref="W21">IFERROR(INDEX('Jizan Migration Plan'!$K:$K,MATCH(1,('Jizan Migration Plan'!$Y:$Y=$S21)*('Jizan Migration Plan'!$X:$X=W$19),0)),0)</f>
        <v>0.2</v>
      </c>
      <c r="X21" s="81" cm="1">
        <f t="array" ref="X21">IFERROR(INDEX('Jizan Migration Plan'!$K:$K,MATCH(1,('Jizan Migration Plan'!$Y:$Y=$S21)*('Jizan Migration Plan'!$X:$X=X$19),0)),0)</f>
        <v>0</v>
      </c>
      <c r="Y21" s="81" cm="1">
        <f t="array" ref="Y21">IFERROR(INDEX('Jizan Migration Plan'!$K:$K,MATCH(1,('Jizan Migration Plan'!$Y:$Y=$S21)*('Jizan Migration Plan'!$X:$X=Y$19),0)),0)</f>
        <v>0</v>
      </c>
      <c r="Z21" s="81" cm="1">
        <f t="array" ref="Z21">IFERROR(INDEX('Jizan Migration Plan'!$K:$K,MATCH(1,('Jizan Migration Plan'!$Y:$Y=$S21)*('Jizan Migration Plan'!$X:$X=Z$19),0)),0)</f>
        <v>0</v>
      </c>
    </row>
    <row r="22" spans="1:26" ht="20.100000000000001" customHeight="1" x14ac:dyDescent="0.15">
      <c r="A22" s="347" t="s">
        <v>70</v>
      </c>
      <c r="B22" s="350" cm="1">
        <f t="array" aca="1" ref="B22" ca="1">IFERROR(AVERAGE(_xlfn._xlws.FILTER(IF(TODAY()&lt;'ABHA Migration Plan'!$E$2:$E$205,0,IF(TODAY()&gt;='ABHA Migration Plan'!$F$2:$F$205,1,NETWORKDAYS.INTL('ABHA Migration Plan'!$E$2:$E$205,TODAY(),"0000011")/NETWORKDAYS.INTL('ABHA Migration Plan'!$E$2:$E$205,'ABHA Migration Plan'!$F$2:$F$205,"0000011"))),('ABHA Migration Plan'!$Y$2:$Y$205=$A22)*('ABHA Migration Plan'!$E$2:$E$205&lt;&gt;"")*('ABHA Migration Plan'!$F$2:$F$205&lt;&gt;""))),0)</f>
        <v>0.2</v>
      </c>
      <c r="C22" s="349">
        <f t="shared" si="3"/>
        <v>0.2</v>
      </c>
      <c r="D22" s="81" cm="1">
        <f t="array" ref="D22">IFERROR(INDEX('ABHA Migration Plan'!$K:$K,MATCH(1,('ABHA Migration Plan'!$Y:$Y=$A22)*('ABHA Migration Plan'!$X:$X=D$19),0)),0)</f>
        <v>1</v>
      </c>
      <c r="E22" s="81" cm="1">
        <f t="array" ref="E22">IFERROR(INDEX('ABHA Migration Plan'!$K:$K,MATCH(1,('ABHA Migration Plan'!$Y:$Y=$A22)*('ABHA Migration Plan'!$X:$X=E$19),0)),0)</f>
        <v>0</v>
      </c>
      <c r="F22" s="81" cm="1">
        <f t="array" ref="F22">IFERROR(INDEX('ABHA Migration Plan'!$K:$K,MATCH(1,('ABHA Migration Plan'!$Y:$Y=$A22)*('ABHA Migration Plan'!$X:$X=F$19),0)),0)</f>
        <v>0</v>
      </c>
      <c r="G22" s="81" cm="1">
        <f t="array" ref="G22">IFERROR(INDEX('ABHA Migration Plan'!$K:$K,MATCH(1,('ABHA Migration Plan'!$Y:$Y=$A22)*('ABHA Migration Plan'!$X:$X=G$19),0)),0)</f>
        <v>0</v>
      </c>
      <c r="H22" s="81" cm="1">
        <f t="array" ref="H22">IFERROR(INDEX('ABHA Migration Plan'!$K:$K,MATCH(1,('ABHA Migration Plan'!$Y:$Y=$A22)*('ABHA Migration Plan'!$X:$X=H$19),0)),0)</f>
        <v>0</v>
      </c>
      <c r="I22" s="412"/>
      <c r="J22" s="413"/>
      <c r="K22" s="413"/>
      <c r="L22" s="413"/>
      <c r="M22" s="413"/>
      <c r="N22" s="413"/>
      <c r="O22" s="413"/>
      <c r="P22" s="413"/>
      <c r="Q22" s="413"/>
      <c r="R22" s="414"/>
      <c r="S22" s="347" t="s">
        <v>70</v>
      </c>
      <c r="T22" s="350" cm="1">
        <f t="array" aca="1" ref="T22" ca="1">IFERROR(AVERAGE(_xlfn._xlws.FILTER(IF(TODAY()&lt;'Jizan Migration Plan'!$E$2:$E$205,0,IF(TODAY()&gt;='Jizan Migration Plan'!$F$2:$F$205,1,NETWORKDAYS.INTL('Jizan Migration Plan'!$E$2:$E$205,TODAY(),"0000011")/NETWORKDAYS.INTL('Jizan Migration Plan'!$E$2:$E$205,'Jizan Migration Plan'!$F$2:$F$205,"0000011"))),('Jizan Migration Plan'!$Y$2:$Y$205=$S22)*('Jizan Migration Plan'!$E$2:$E$205&lt;&gt;"")*('Jizan Migration Plan'!$F$2:$F$205&lt;&gt;""))),0)</f>
        <v>0.2</v>
      </c>
      <c r="U22" s="349">
        <f t="shared" si="4"/>
        <v>0.18</v>
      </c>
      <c r="V22" s="81" cm="1">
        <f t="array" ref="V22">IFERROR(INDEX('Jizan Migration Plan'!$K:$K,MATCH(1,('Jizan Migration Plan'!$Y:$Y=$S22)*('Jizan Migration Plan'!$X:$X=V$19),0)),0)</f>
        <v>0.9</v>
      </c>
      <c r="W22" s="81" cm="1">
        <f t="array" ref="W22">IFERROR(INDEX('Jizan Migration Plan'!$K:$K,MATCH(1,('Jizan Migration Plan'!$Y:$Y=$S22)*('Jizan Migration Plan'!$X:$X=W$19),0)),0)</f>
        <v>0</v>
      </c>
      <c r="X22" s="81" cm="1">
        <f t="array" ref="X22">IFERROR(INDEX('Jizan Migration Plan'!$K:$K,MATCH(1,('Jizan Migration Plan'!$Y:$Y=$S22)*('Jizan Migration Plan'!$X:$X=X$19),0)),0)</f>
        <v>0</v>
      </c>
      <c r="Y22" s="81" cm="1">
        <f t="array" ref="Y22">IFERROR(INDEX('Jizan Migration Plan'!$K:$K,MATCH(1,('Jizan Migration Plan'!$Y:$Y=$S22)*('Jizan Migration Plan'!$X:$X=Y$19),0)),0)</f>
        <v>0</v>
      </c>
      <c r="Z22" s="81" cm="1">
        <f t="array" ref="Z22">IFERROR(INDEX('Jizan Migration Plan'!$K:$K,MATCH(1,('Jizan Migration Plan'!$Y:$Y=$S22)*('Jizan Migration Plan'!$X:$X=Z$19),0)),0)</f>
        <v>0</v>
      </c>
    </row>
    <row r="23" spans="1:26" ht="20.100000000000001" customHeight="1" x14ac:dyDescent="0.15">
      <c r="A23" s="347" t="s">
        <v>71</v>
      </c>
      <c r="B23" s="350" cm="1">
        <f t="array" aca="1" ref="B23" ca="1">IFERROR(AVERAGE(_xlfn._xlws.FILTER(IF(TODAY()&lt;'ABHA Migration Plan'!$E$2:$E$205,0,IF(TODAY()&gt;='ABHA Migration Plan'!$F$2:$F$205,1,NETWORKDAYS.INTL('ABHA Migration Plan'!$E$2:$E$205,TODAY(),"0000011")/NETWORKDAYS.INTL('ABHA Migration Plan'!$E$2:$E$205,'ABHA Migration Plan'!$F$2:$F$205,"0000011"))),('ABHA Migration Plan'!$Y$2:$Y$205=$A23)*('ABHA Migration Plan'!$E$2:$E$205&lt;&gt;"")*('ABHA Migration Plan'!$F$2:$F$205&lt;&gt;""))),0)</f>
        <v>0.2</v>
      </c>
      <c r="C23" s="349">
        <f t="shared" si="3"/>
        <v>0.18</v>
      </c>
      <c r="D23" s="81" cm="1">
        <f t="array" ref="D23">IFERROR(INDEX('ABHA Migration Plan'!$K:$K,MATCH(1,('ABHA Migration Plan'!$Y:$Y=$A23)*('ABHA Migration Plan'!$X:$X=D$19),0)),0)</f>
        <v>0.9</v>
      </c>
      <c r="E23" s="81" cm="1">
        <f t="array" ref="E23">IFERROR(INDEX('ABHA Migration Plan'!$K:$K,MATCH(1,('ABHA Migration Plan'!$Y:$Y=$A23)*('ABHA Migration Plan'!$X:$X=E$19),0)),0)</f>
        <v>0</v>
      </c>
      <c r="F23" s="81" cm="1">
        <f t="array" ref="F23">IFERROR(INDEX('ABHA Migration Plan'!$K:$K,MATCH(1,('ABHA Migration Plan'!$Y:$Y=$A23)*('ABHA Migration Plan'!$X:$X=F$19),0)),0)</f>
        <v>0</v>
      </c>
      <c r="G23" s="81" cm="1">
        <f t="array" ref="G23">IFERROR(INDEX('ABHA Migration Plan'!$K:$K,MATCH(1,('ABHA Migration Plan'!$Y:$Y=$A23)*('ABHA Migration Plan'!$X:$X=G$19),0)),0)</f>
        <v>0</v>
      </c>
      <c r="H23" s="81" cm="1">
        <f t="array" ref="H23">IFERROR(INDEX('ABHA Migration Plan'!$K:$K,MATCH(1,('ABHA Migration Plan'!$Y:$Y=$A23)*('ABHA Migration Plan'!$X:$X=H$19),0)),0)</f>
        <v>0</v>
      </c>
      <c r="I23" s="412"/>
      <c r="J23" s="413"/>
      <c r="K23" s="413"/>
      <c r="L23" s="413"/>
      <c r="M23" s="413"/>
      <c r="N23" s="413"/>
      <c r="O23" s="413"/>
      <c r="P23" s="413"/>
      <c r="Q23" s="413"/>
      <c r="R23" s="414"/>
      <c r="S23" s="347" t="s">
        <v>71</v>
      </c>
      <c r="T23" s="350" cm="1">
        <f t="array" aca="1" ref="T23" ca="1">IFERROR(AVERAGE(_xlfn._xlws.FILTER(IF(TODAY()&lt;'Jizan Migration Plan'!$E$2:$E$205,0,IF(TODAY()&gt;='Jizan Migration Plan'!$F$2:$F$205,1,NETWORKDAYS.INTL('Jizan Migration Plan'!$E$2:$E$205,TODAY(),"0000011")/NETWORKDAYS.INTL('Jizan Migration Plan'!$E$2:$E$205,'Jizan Migration Plan'!$F$2:$F$205,"0000011"))),('Jizan Migration Plan'!$Y$2:$Y$205=$S23)*('Jizan Migration Plan'!$E$2:$E$205&lt;&gt;"")*('Jizan Migration Plan'!$F$2:$F$205&lt;&gt;""))),0)</f>
        <v>0</v>
      </c>
      <c r="U23" s="348">
        <f t="shared" si="4"/>
        <v>0</v>
      </c>
      <c r="V23" s="81" cm="1">
        <f t="array" ref="V23">IFERROR(INDEX('Jizan Migration Plan'!$K:$K,MATCH(1,('Jizan Migration Plan'!$Y:$Y=$S23)*('Jizan Migration Plan'!$X:$X=V$19),0)),0)</f>
        <v>0</v>
      </c>
      <c r="W23" s="81" cm="1">
        <f t="array" ref="W23">IFERROR(INDEX('Jizan Migration Plan'!$K:$K,MATCH(1,('Jizan Migration Plan'!$Y:$Y=$S23)*('Jizan Migration Plan'!$X:$X=W$19),0)),0)</f>
        <v>0</v>
      </c>
      <c r="X23" s="81" cm="1">
        <f t="array" ref="X23">IFERROR(INDEX('Jizan Migration Plan'!$K:$K,MATCH(1,('Jizan Migration Plan'!$Y:$Y=$S23)*('Jizan Migration Plan'!$X:$X=X$19),0)),0)</f>
        <v>0</v>
      </c>
      <c r="Y23" s="81" cm="1">
        <f t="array" ref="Y23">IFERROR(INDEX('Jizan Migration Plan'!$K:$K,MATCH(1,('Jizan Migration Plan'!$Y:$Y=$S23)*('Jizan Migration Plan'!$X:$X=Y$19),0)),0)</f>
        <v>0</v>
      </c>
      <c r="Z23" s="81" cm="1">
        <f t="array" ref="Z23">IFERROR(INDEX('Jizan Migration Plan'!$K:$K,MATCH(1,('Jizan Migration Plan'!$Y:$Y=$S23)*('Jizan Migration Plan'!$X:$X=Z$19),0)),0)</f>
        <v>0</v>
      </c>
    </row>
    <row r="24" spans="1:26" ht="20.100000000000001" customHeight="1" x14ac:dyDescent="0.15">
      <c r="A24" s="347" t="s">
        <v>72</v>
      </c>
      <c r="B24" s="350" cm="1">
        <f t="array" aca="1" ref="B24" ca="1">IFERROR(AVERAGE(_xlfn._xlws.FILTER(IF(TODAY()&lt;'ABHA Migration Plan'!$E$2:$E$205,0,IF(TODAY()&gt;='ABHA Migration Plan'!$F$2:$F$205,1,NETWORKDAYS.INTL('ABHA Migration Plan'!$E$2:$E$205,TODAY(),"0000011")/NETWORKDAYS.INTL('ABHA Migration Plan'!$E$2:$E$205,'ABHA Migration Plan'!$F$2:$F$205,"0000011"))),('ABHA Migration Plan'!$Y$2:$Y$205=$A24)*('ABHA Migration Plan'!$E$2:$E$205&lt;&gt;"")*('ABHA Migration Plan'!$F$2:$F$205&lt;&gt;""))),0)</f>
        <v>0</v>
      </c>
      <c r="C24" s="348">
        <f t="shared" si="3"/>
        <v>0</v>
      </c>
      <c r="D24" s="81" cm="1">
        <f t="array" ref="D24">IFERROR(INDEX('ABHA Migration Plan'!$K:$K,MATCH(1,('ABHA Migration Plan'!$Y:$Y=$A24)*('ABHA Migration Plan'!$X:$X=D$19),0)),0)</f>
        <v>0</v>
      </c>
      <c r="E24" s="81" cm="1">
        <f t="array" ref="E24">IFERROR(INDEX('ABHA Migration Plan'!$K:$K,MATCH(1,('ABHA Migration Plan'!$Y:$Y=$A24)*('ABHA Migration Plan'!$X:$X=E$19),0)),0)</f>
        <v>0</v>
      </c>
      <c r="F24" s="81" cm="1">
        <f t="array" ref="F24">IFERROR(INDEX('ABHA Migration Plan'!$K:$K,MATCH(1,('ABHA Migration Plan'!$Y:$Y=$A24)*('ABHA Migration Plan'!$X:$X=F$19),0)),0)</f>
        <v>0</v>
      </c>
      <c r="G24" s="81" cm="1">
        <f t="array" ref="G24">IFERROR(INDEX('ABHA Migration Plan'!$K:$K,MATCH(1,('ABHA Migration Plan'!$Y:$Y=$A24)*('ABHA Migration Plan'!$X:$X=G$19),0)),0)</f>
        <v>0</v>
      </c>
      <c r="H24" s="81" cm="1">
        <f t="array" ref="H24">IFERROR(INDEX('ABHA Migration Plan'!$K:$K,MATCH(1,('ABHA Migration Plan'!$Y:$Y=$A24)*('ABHA Migration Plan'!$X:$X=H$19),0)),0)</f>
        <v>0</v>
      </c>
      <c r="I24" s="412"/>
      <c r="J24" s="413"/>
      <c r="K24" s="413"/>
      <c r="L24" s="413"/>
      <c r="M24" s="413"/>
      <c r="N24" s="413"/>
      <c r="O24" s="413"/>
      <c r="P24" s="413"/>
      <c r="Q24" s="413"/>
      <c r="R24" s="414"/>
      <c r="S24" s="347" t="s">
        <v>72</v>
      </c>
      <c r="T24" s="350" cm="1">
        <f t="array" aca="1" ref="T24" ca="1">IFERROR(AVERAGE(_xlfn._xlws.FILTER(IF(TODAY()&lt;'Jizan Migration Plan'!$E$2:$E$205,0,IF(TODAY()&gt;='Jizan Migration Plan'!$F$2:$F$205,1,NETWORKDAYS.INTL('Jizan Migration Plan'!$E$2:$E$205,TODAY(),"0000011")/NETWORKDAYS.INTL('Jizan Migration Plan'!$E$2:$E$205,'Jizan Migration Plan'!$F$2:$F$205,"0000011"))),('Jizan Migration Plan'!$Y$2:$Y$205=$S24)*('Jizan Migration Plan'!$E$2:$E$205&lt;&gt;"")*('Jizan Migration Plan'!$F$2:$F$205&lt;&gt;""))),0)</f>
        <v>0</v>
      </c>
      <c r="U24" s="348">
        <f t="shared" si="4"/>
        <v>0</v>
      </c>
      <c r="V24" s="81" cm="1">
        <f t="array" ref="V24">IFERROR(INDEX('Jizan Migration Plan'!$K:$K,MATCH(1,('Jizan Migration Plan'!$Y:$Y=$S24)*('Jizan Migration Plan'!$X:$X=V$19),0)),0)</f>
        <v>0</v>
      </c>
      <c r="W24" s="81" cm="1">
        <f t="array" ref="W24">IFERROR(INDEX('Jizan Migration Plan'!$K:$K,MATCH(1,('Jizan Migration Plan'!$Y:$Y=$S24)*('Jizan Migration Plan'!$X:$X=W$19),0)),0)</f>
        <v>0</v>
      </c>
      <c r="X24" s="81" cm="1">
        <f t="array" ref="X24">IFERROR(INDEX('Jizan Migration Plan'!$K:$K,MATCH(1,('Jizan Migration Plan'!$Y:$Y=$S24)*('Jizan Migration Plan'!$X:$X=X$19),0)),0)</f>
        <v>0</v>
      </c>
      <c r="Y24" s="81" cm="1">
        <f t="array" ref="Y24">IFERROR(INDEX('Jizan Migration Plan'!$K:$K,MATCH(1,('Jizan Migration Plan'!$Y:$Y=$S24)*('Jizan Migration Plan'!$X:$X=Y$19),0)),0)</f>
        <v>0</v>
      </c>
      <c r="Z24" s="81" cm="1">
        <f t="array" ref="Z24">IFERROR(INDEX('Jizan Migration Plan'!$K:$K,MATCH(1,('Jizan Migration Plan'!$Y:$Y=$S24)*('Jizan Migration Plan'!$X:$X=Z$19),0)),0)</f>
        <v>0</v>
      </c>
    </row>
    <row r="25" spans="1:26" ht="20.100000000000001" customHeight="1" x14ac:dyDescent="0.15">
      <c r="A25" s="347" t="s">
        <v>73</v>
      </c>
      <c r="B25" s="350" cm="1">
        <f t="array" aca="1" ref="B25" ca="1">IFERROR(AVERAGE(_xlfn._xlws.FILTER(IF(TODAY()&lt;'ABHA Migration Plan'!$E$2:$E$205,0,IF(TODAY()&gt;='ABHA Migration Plan'!$F$2:$F$205,1,NETWORKDAYS.INTL('ABHA Migration Plan'!$E$2:$E$205,TODAY(),"0000011")/NETWORKDAYS.INTL('ABHA Migration Plan'!$E$2:$E$205,'ABHA Migration Plan'!$F$2:$F$205,"0000011"))),('ABHA Migration Plan'!$Y$2:$Y$205=$A25)*('ABHA Migration Plan'!$E$2:$E$205&lt;&gt;"")*('ABHA Migration Plan'!$F$2:$F$205&lt;&gt;""))),0)</f>
        <v>0</v>
      </c>
      <c r="C25" s="348">
        <f t="shared" si="3"/>
        <v>0</v>
      </c>
      <c r="D25" s="81" cm="1">
        <f t="array" ref="D25">IFERROR(INDEX('ABHA Migration Plan'!$K:$K,MATCH(1,('ABHA Migration Plan'!$Y:$Y=$A25)*('ABHA Migration Plan'!$X:$X=D$19),0)),0)</f>
        <v>0</v>
      </c>
      <c r="E25" s="81" cm="1">
        <f t="array" ref="E25">IFERROR(INDEX('ABHA Migration Plan'!$K:$K,MATCH(1,('ABHA Migration Plan'!$Y:$Y=$A25)*('ABHA Migration Plan'!$X:$X=E$19),0)),0)</f>
        <v>0</v>
      </c>
      <c r="F25" s="81" cm="1">
        <f t="array" ref="F25">IFERROR(INDEX('ABHA Migration Plan'!$K:$K,MATCH(1,('ABHA Migration Plan'!$Y:$Y=$A25)*('ABHA Migration Plan'!$X:$X=F$19),0)),0)</f>
        <v>0</v>
      </c>
      <c r="G25" s="81" cm="1">
        <f t="array" ref="G25">IFERROR(INDEX('ABHA Migration Plan'!$K:$K,MATCH(1,('ABHA Migration Plan'!$Y:$Y=$A25)*('ABHA Migration Plan'!$X:$X=G$19),0)),0)</f>
        <v>0</v>
      </c>
      <c r="H25" s="81" cm="1">
        <f t="array" ref="H25">IFERROR(INDEX('ABHA Migration Plan'!$K:$K,MATCH(1,('ABHA Migration Plan'!$Y:$Y=$A25)*('ABHA Migration Plan'!$X:$X=H$19),0)),0)</f>
        <v>0</v>
      </c>
      <c r="I25" s="412"/>
      <c r="J25" s="413"/>
      <c r="K25" s="413"/>
      <c r="L25" s="413"/>
      <c r="M25" s="413"/>
      <c r="N25" s="413"/>
      <c r="O25" s="413"/>
      <c r="P25" s="413"/>
      <c r="Q25" s="413"/>
      <c r="R25" s="414"/>
      <c r="S25" s="347" t="s">
        <v>73</v>
      </c>
      <c r="T25" s="350" cm="1">
        <f t="array" aca="1" ref="T25" ca="1">IFERROR(AVERAGE(_xlfn._xlws.FILTER(IF(TODAY()&lt;'Jizan Migration Plan'!$E$2:$E$205,0,IF(TODAY()&gt;='Jizan Migration Plan'!$F$2:$F$205,1,NETWORKDAYS.INTL('Jizan Migration Plan'!$E$2:$E$205,TODAY(),"0000011")/NETWORKDAYS.INTL('Jizan Migration Plan'!$E$2:$E$205,'Jizan Migration Plan'!$F$2:$F$205,"0000011"))),('Jizan Migration Plan'!$Y$2:$Y$205=$S25)*('Jizan Migration Plan'!$E$2:$E$205&lt;&gt;"")*('Jizan Migration Plan'!$F$2:$F$205&lt;&gt;""))),0)</f>
        <v>0</v>
      </c>
      <c r="U25" s="348">
        <f t="shared" si="4"/>
        <v>0</v>
      </c>
      <c r="V25" s="81" cm="1">
        <f t="array" ref="V25">IFERROR(INDEX('Jizan Migration Plan'!$K:$K,MATCH(1,('Jizan Migration Plan'!$Y:$Y=$S25)*('Jizan Migration Plan'!$X:$X=V$19),0)),0)</f>
        <v>0</v>
      </c>
      <c r="W25" s="81" cm="1">
        <f t="array" ref="W25">IFERROR(INDEX('Jizan Migration Plan'!$K:$K,MATCH(1,('Jizan Migration Plan'!$Y:$Y=$S25)*('Jizan Migration Plan'!$X:$X=W$19),0)),0)</f>
        <v>0</v>
      </c>
      <c r="X25" s="81" cm="1">
        <f t="array" ref="X25">IFERROR(INDEX('Jizan Migration Plan'!$K:$K,MATCH(1,('Jizan Migration Plan'!$Y:$Y=$S25)*('Jizan Migration Plan'!$X:$X=X$19),0)),0)</f>
        <v>0</v>
      </c>
      <c r="Y25" s="81" cm="1">
        <f t="array" ref="Y25">IFERROR(INDEX('Jizan Migration Plan'!$K:$K,MATCH(1,('Jizan Migration Plan'!$Y:$Y=$S25)*('Jizan Migration Plan'!$X:$X=Y$19),0)),0)</f>
        <v>0</v>
      </c>
      <c r="Z25" s="81" cm="1">
        <f t="array" ref="Z25">IFERROR(INDEX('Jizan Migration Plan'!$K:$K,MATCH(1,('Jizan Migration Plan'!$Y:$Y=$S25)*('Jizan Migration Plan'!$X:$X=Z$19),0)),0)</f>
        <v>0</v>
      </c>
    </row>
    <row r="26" spans="1:26" ht="20.100000000000001" customHeight="1" x14ac:dyDescent="0.15">
      <c r="A26" s="347" t="s">
        <v>74</v>
      </c>
      <c r="B26" s="350" cm="1">
        <f t="array" aca="1" ref="B26" ca="1">IFERROR(AVERAGE(_xlfn._xlws.FILTER(IF(TODAY()&lt;'ABHA Migration Plan'!$E$2:$E$205,0,IF(TODAY()&gt;='ABHA Migration Plan'!$F$2:$F$205,1,NETWORKDAYS.INTL('ABHA Migration Plan'!$E$2:$E$205,TODAY(),"0000011")/NETWORKDAYS.INTL('ABHA Migration Plan'!$E$2:$E$205,'ABHA Migration Plan'!$F$2:$F$205,"0000011"))),('ABHA Migration Plan'!$Y$2:$Y$205=$A26)*('ABHA Migration Plan'!$E$2:$E$205&lt;&gt;"")*('ABHA Migration Plan'!$F$2:$F$205&lt;&gt;""))),0)</f>
        <v>0</v>
      </c>
      <c r="C26" s="348">
        <f t="shared" si="3"/>
        <v>0</v>
      </c>
      <c r="D26" s="81" cm="1">
        <f t="array" ref="D26">IFERROR(INDEX('ABHA Migration Plan'!$K:$K,MATCH(1,('ABHA Migration Plan'!$Y:$Y=$A26)*('ABHA Migration Plan'!$X:$X=D$19),0)),0)</f>
        <v>0</v>
      </c>
      <c r="E26" s="81" cm="1">
        <f t="array" ref="E26">IFERROR(INDEX('ABHA Migration Plan'!$K:$K,MATCH(1,('ABHA Migration Plan'!$Y:$Y=$A26)*('ABHA Migration Plan'!$X:$X=E$19),0)),0)</f>
        <v>0</v>
      </c>
      <c r="F26" s="81" cm="1">
        <f t="array" ref="F26">IFERROR(INDEX('ABHA Migration Plan'!$K:$K,MATCH(1,('ABHA Migration Plan'!$Y:$Y=$A26)*('ABHA Migration Plan'!$X:$X=F$19),0)),0)</f>
        <v>0</v>
      </c>
      <c r="G26" s="81" cm="1">
        <f t="array" ref="G26">IFERROR(INDEX('ABHA Migration Plan'!$K:$K,MATCH(1,('ABHA Migration Plan'!$Y:$Y=$A26)*('ABHA Migration Plan'!$X:$X=G$19),0)),0)</f>
        <v>0</v>
      </c>
      <c r="H26" s="81" cm="1">
        <f t="array" ref="H26">IFERROR(INDEX('ABHA Migration Plan'!$K:$K,MATCH(1,('ABHA Migration Plan'!$Y:$Y=$A26)*('ABHA Migration Plan'!$X:$X=H$19),0)),0)</f>
        <v>0</v>
      </c>
      <c r="I26" s="412"/>
      <c r="J26" s="413"/>
      <c r="K26" s="413"/>
      <c r="L26" s="413"/>
      <c r="M26" s="413"/>
      <c r="N26" s="413"/>
      <c r="O26" s="413"/>
      <c r="P26" s="413"/>
      <c r="Q26" s="413"/>
      <c r="R26" s="414"/>
      <c r="S26" s="347" t="s">
        <v>74</v>
      </c>
      <c r="T26" s="350" cm="1">
        <f t="array" aca="1" ref="T26" ca="1">IFERROR(AVERAGE(_xlfn._xlws.FILTER(IF(TODAY()&lt;'Jizan Migration Plan'!$E$2:$E$205,0,IF(TODAY()&gt;='Jizan Migration Plan'!$F$2:$F$205,1,NETWORKDAYS.INTL('Jizan Migration Plan'!$E$2:$E$205,TODAY(),"0000011")/NETWORKDAYS.INTL('Jizan Migration Plan'!$E$2:$E$205,'Jizan Migration Plan'!$F$2:$F$205,"0000011"))),('Jizan Migration Plan'!$Y$2:$Y$205=$S26)*('Jizan Migration Plan'!$E$2:$E$205&lt;&gt;"")*('Jizan Migration Plan'!$F$2:$F$205&lt;&gt;""))),0)</f>
        <v>0</v>
      </c>
      <c r="U26" s="348">
        <f t="shared" si="4"/>
        <v>0</v>
      </c>
      <c r="V26" s="81" cm="1">
        <f t="array" ref="V26">IFERROR(INDEX('Jizan Migration Plan'!$K:$K,MATCH(1,('Jizan Migration Plan'!$Y:$Y=$S26)*('Jizan Migration Plan'!$X:$X=V$19),0)),0)</f>
        <v>0</v>
      </c>
      <c r="W26" s="81" cm="1">
        <f t="array" ref="W26">IFERROR(INDEX('Jizan Migration Plan'!$K:$K,MATCH(1,('Jizan Migration Plan'!$Y:$Y=$S26)*('Jizan Migration Plan'!$X:$X=W$19),0)),0)</f>
        <v>0</v>
      </c>
      <c r="X26" s="81" cm="1">
        <f t="array" ref="X26">IFERROR(INDEX('Jizan Migration Plan'!$K:$K,MATCH(1,('Jizan Migration Plan'!$Y:$Y=$S26)*('Jizan Migration Plan'!$X:$X=X$19),0)),0)</f>
        <v>0</v>
      </c>
      <c r="Y26" s="81" cm="1">
        <f t="array" ref="Y26">IFERROR(INDEX('Jizan Migration Plan'!$K:$K,MATCH(1,('Jizan Migration Plan'!$Y:$Y=$S26)*('Jizan Migration Plan'!$X:$X=Y$19),0)),0)</f>
        <v>0</v>
      </c>
      <c r="Z26" s="81" cm="1">
        <f t="array" ref="Z26">IFERROR(INDEX('Jizan Migration Plan'!$K:$K,MATCH(1,('Jizan Migration Plan'!$Y:$Y=$S26)*('Jizan Migration Plan'!$X:$X=Z$19),0)),0)</f>
        <v>0</v>
      </c>
    </row>
    <row r="27" spans="1:26" ht="20.100000000000001" customHeight="1" x14ac:dyDescent="0.15">
      <c r="A27" s="347" t="s">
        <v>75</v>
      </c>
      <c r="B27" s="350" cm="1">
        <f t="array" aca="1" ref="B27" ca="1">IFERROR(AVERAGE(_xlfn._xlws.FILTER(IF(TODAY()&lt;'ABHA Migration Plan'!$E$2:$E$205,0,IF(TODAY()&gt;='ABHA Migration Plan'!$F$2:$F$205,1,NETWORKDAYS.INTL('ABHA Migration Plan'!$E$2:$E$205,TODAY(),"0000011")/NETWORKDAYS.INTL('ABHA Migration Plan'!$E$2:$E$205,'ABHA Migration Plan'!$F$2:$F$205,"0000011"))),('ABHA Migration Plan'!$Y$2:$Y$205=$A27)*('ABHA Migration Plan'!$E$2:$E$205&lt;&gt;"")*('ABHA Migration Plan'!$F$2:$F$205&lt;&gt;""))),0)</f>
        <v>0</v>
      </c>
      <c r="C27" s="348">
        <f t="shared" si="3"/>
        <v>0</v>
      </c>
      <c r="D27" s="81" cm="1">
        <f t="array" ref="D27">IFERROR(INDEX('ABHA Migration Plan'!$K:$K,MATCH(1,('ABHA Migration Plan'!$Y:$Y=$A27)*('ABHA Migration Plan'!$X:$X=D$19),0)),0)</f>
        <v>0</v>
      </c>
      <c r="E27" s="81" cm="1">
        <f t="array" ref="E27">IFERROR(INDEX('ABHA Migration Plan'!$K:$K,MATCH(1,('ABHA Migration Plan'!$Y:$Y=$A27)*('ABHA Migration Plan'!$X:$X=E$19),0)),0)</f>
        <v>0</v>
      </c>
      <c r="F27" s="81" cm="1">
        <f t="array" ref="F27">IFERROR(INDEX('ABHA Migration Plan'!$K:$K,MATCH(1,('ABHA Migration Plan'!$Y:$Y=$A27)*('ABHA Migration Plan'!$X:$X=F$19),0)),0)</f>
        <v>0</v>
      </c>
      <c r="G27" s="81" cm="1">
        <f t="array" ref="G27">IFERROR(INDEX('ABHA Migration Plan'!$K:$K,MATCH(1,('ABHA Migration Plan'!$Y:$Y=$A27)*('ABHA Migration Plan'!$X:$X=G$19),0)),0)</f>
        <v>0</v>
      </c>
      <c r="H27" s="81" cm="1">
        <f t="array" ref="H27">IFERROR(INDEX('ABHA Migration Plan'!$K:$K,MATCH(1,('ABHA Migration Plan'!$Y:$Y=$A27)*('ABHA Migration Plan'!$X:$X=H$19),0)),0)</f>
        <v>0</v>
      </c>
      <c r="I27" s="415"/>
      <c r="J27" s="416"/>
      <c r="K27" s="416"/>
      <c r="L27" s="416"/>
      <c r="M27" s="416"/>
      <c r="N27" s="416"/>
      <c r="O27" s="416"/>
      <c r="P27" s="416"/>
      <c r="Q27" s="416"/>
      <c r="R27" s="417"/>
      <c r="S27" s="347" t="s">
        <v>75</v>
      </c>
      <c r="T27" s="350" cm="1">
        <f t="array" aca="1" ref="T27" ca="1">IFERROR(AVERAGE(_xlfn._xlws.FILTER(IF(TODAY()&lt;'Jizan Migration Plan'!$E$2:$E$205,0,IF(TODAY()&gt;='Jizan Migration Plan'!$F$2:$F$205,1,NETWORKDAYS.INTL('Jizan Migration Plan'!$E$2:$E$205,TODAY(),"0000011")/NETWORKDAYS.INTL('Jizan Migration Plan'!$E$2:$E$205,'Jizan Migration Plan'!$F$2:$F$205,"0000011"))),('Jizan Migration Plan'!$Y$2:$Y$205=$S27)*('Jizan Migration Plan'!$E$2:$E$205&lt;&gt;"")*('Jizan Migration Plan'!$F$2:$F$205&lt;&gt;""))),0)</f>
        <v>0</v>
      </c>
      <c r="U27" s="348">
        <f t="shared" si="4"/>
        <v>0</v>
      </c>
      <c r="V27" s="81" cm="1">
        <f t="array" ref="V27">IFERROR(INDEX('Jizan Migration Plan'!$K:$K,MATCH(1,('Jizan Migration Plan'!$Y:$Y=$S27)*('Jizan Migration Plan'!$X:$X=V$19),0)),0)</f>
        <v>0</v>
      </c>
      <c r="W27" s="81" cm="1">
        <f t="array" ref="W27">IFERROR(INDEX('Jizan Migration Plan'!$K:$K,MATCH(1,('Jizan Migration Plan'!$Y:$Y=$S27)*('Jizan Migration Plan'!$X:$X=W$19),0)),0)</f>
        <v>0</v>
      </c>
      <c r="X27" s="81" cm="1">
        <f t="array" ref="X27">IFERROR(INDEX('Jizan Migration Plan'!$K:$K,MATCH(1,('Jizan Migration Plan'!$Y:$Y=$S27)*('Jizan Migration Plan'!$X:$X=X$19),0)),0)</f>
        <v>0</v>
      </c>
      <c r="Y27" s="81" cm="1">
        <f t="array" ref="Y27">IFERROR(INDEX('Jizan Migration Plan'!$K:$K,MATCH(1,('Jizan Migration Plan'!$Y:$Y=$S27)*('Jizan Migration Plan'!$X:$X=Y$19),0)),0)</f>
        <v>0</v>
      </c>
      <c r="Z27" s="81" cm="1">
        <f t="array" ref="Z27">IFERROR(INDEX('Jizan Migration Plan'!$K:$K,MATCH(1,('Jizan Migration Plan'!$Y:$Y=$S27)*('Jizan Migration Plan'!$X:$X=Z$19),0)),0)</f>
        <v>0</v>
      </c>
    </row>
  </sheetData>
  <mergeCells count="10">
    <mergeCell ref="D1:Z4"/>
    <mergeCell ref="I18:R27"/>
    <mergeCell ref="A5:H5"/>
    <mergeCell ref="J5:Q5"/>
    <mergeCell ref="S5:Z5"/>
    <mergeCell ref="A17:Z17"/>
    <mergeCell ref="A18:H18"/>
    <mergeCell ref="S18:Z18"/>
    <mergeCell ref="I5:I16"/>
    <mergeCell ref="R5:R16"/>
  </mergeCells>
  <conditionalFormatting sqref="B1:B3">
    <cfRule type="dataBar" priority="2">
      <dataBar>
        <cfvo type="formula" val="0"/>
        <cfvo type="formula" val="1"/>
        <color rgb="FF63C384"/>
      </dataBar>
      <extLst>
        <ext xmlns:x14="http://schemas.microsoft.com/office/spreadsheetml/2009/9/main" uri="{B025F937-C7B1-47D3-B67F-A62EFF666E3E}">
          <x14:id>{1A4EBAAB-F64E-4A35-9B70-541CE97CB2FF}</x14:id>
        </ext>
      </extLst>
    </cfRule>
  </conditionalFormatting>
  <conditionalFormatting sqref="B7:B16">
    <cfRule type="dataBar" priority="59">
      <dataBar>
        <cfvo type="formula" val="0"/>
        <cfvo type="formula" val="1"/>
        <color rgb="FF008AEF"/>
      </dataBar>
      <extLst>
        <ext xmlns:x14="http://schemas.microsoft.com/office/spreadsheetml/2009/9/main" uri="{B025F937-C7B1-47D3-B67F-A62EFF666E3E}">
          <x14:id>{B70AAFB4-DAFC-4339-ACE0-7370E48CD356}</x14:id>
        </ext>
      </extLst>
    </cfRule>
  </conditionalFormatting>
  <conditionalFormatting sqref="B20:B27">
    <cfRule type="dataBar" priority="12">
      <dataBar>
        <cfvo type="formula" val="0"/>
        <cfvo type="formula" val="1"/>
        <color rgb="FF008AEF"/>
      </dataBar>
      <extLst>
        <ext xmlns:x14="http://schemas.microsoft.com/office/spreadsheetml/2009/9/main" uri="{B025F937-C7B1-47D3-B67F-A62EFF666E3E}">
          <x14:id>{1FA382AF-F2A7-4C0E-8B00-153B20F2E5D0}</x14:id>
        </ext>
      </extLst>
    </cfRule>
  </conditionalFormatting>
  <conditionalFormatting sqref="C1:C3">
    <cfRule type="dataBar" priority="1">
      <dataBar>
        <cfvo type="formula" val="0"/>
        <cfvo type="formula" val="1"/>
        <color rgb="FF63C384"/>
      </dataBar>
      <extLst>
        <ext xmlns:x14="http://schemas.microsoft.com/office/spreadsheetml/2009/9/main" uri="{B025F937-C7B1-47D3-B67F-A62EFF666E3E}">
          <x14:id>{E3BCF1BA-2914-43CA-8F01-82454BCF86DD}</x14:id>
        </ext>
      </extLst>
    </cfRule>
  </conditionalFormatting>
  <conditionalFormatting sqref="C7:C16">
    <cfRule type="dataBar" priority="58">
      <dataBar>
        <cfvo type="formula" val="0"/>
        <cfvo type="formula" val="1"/>
        <color rgb="FF63C384"/>
      </dataBar>
      <extLst>
        <ext xmlns:x14="http://schemas.microsoft.com/office/spreadsheetml/2009/9/main" uri="{B025F937-C7B1-47D3-B67F-A62EFF666E3E}">
          <x14:id>{D0723EB5-9F21-45E6-8DF7-3673AC81311E}</x14:id>
        </ext>
      </extLst>
    </cfRule>
  </conditionalFormatting>
  <conditionalFormatting sqref="C20:C27">
    <cfRule type="dataBar" priority="5">
      <dataBar>
        <cfvo type="formula" val="0"/>
        <cfvo type="formula" val="1"/>
        <color rgb="FF63C384"/>
      </dataBar>
      <extLst>
        <ext xmlns:x14="http://schemas.microsoft.com/office/spreadsheetml/2009/9/main" uri="{B025F937-C7B1-47D3-B67F-A62EFF666E3E}">
          <x14:id>{FCC840EB-7529-4F27-B205-4DBEA574EBA2}</x14:id>
        </ext>
      </extLst>
    </cfRule>
  </conditionalFormatting>
  <conditionalFormatting sqref="K7:K16">
    <cfRule type="dataBar" priority="18">
      <dataBar>
        <cfvo type="formula" val="0"/>
        <cfvo type="formula" val="1"/>
        <color rgb="FF008AEF"/>
      </dataBar>
      <extLst>
        <ext xmlns:x14="http://schemas.microsoft.com/office/spreadsheetml/2009/9/main" uri="{B025F937-C7B1-47D3-B67F-A62EFF666E3E}">
          <x14:id>{49F089C9-7799-4BFF-9007-98987D5D8B71}</x14:id>
        </ext>
      </extLst>
    </cfRule>
  </conditionalFormatting>
  <conditionalFormatting sqref="L7:L16">
    <cfRule type="dataBar" priority="7">
      <dataBar>
        <cfvo type="formula" val="0"/>
        <cfvo type="formula" val="1"/>
        <color rgb="FF63C384"/>
      </dataBar>
      <extLst>
        <ext xmlns:x14="http://schemas.microsoft.com/office/spreadsheetml/2009/9/main" uri="{B025F937-C7B1-47D3-B67F-A62EFF666E3E}">
          <x14:id>{9E627517-ADA8-4713-8AFB-D06976925A09}</x14:id>
        </ext>
      </extLst>
    </cfRule>
  </conditionalFormatting>
  <conditionalFormatting sqref="T7:T16">
    <cfRule type="dataBar" priority="15">
      <dataBar>
        <cfvo type="formula" val="0"/>
        <cfvo type="formula" val="1"/>
        <color rgb="FF008AEF"/>
      </dataBar>
      <extLst>
        <ext xmlns:x14="http://schemas.microsoft.com/office/spreadsheetml/2009/9/main" uri="{B025F937-C7B1-47D3-B67F-A62EFF666E3E}">
          <x14:id>{7F7B5DC3-C98F-4A45-8251-4E8BD6DE0ED1}</x14:id>
        </ext>
      </extLst>
    </cfRule>
  </conditionalFormatting>
  <conditionalFormatting sqref="T20:T27">
    <cfRule type="dataBar" priority="9">
      <dataBar>
        <cfvo type="formula" val="0"/>
        <cfvo type="formula" val="1"/>
        <color rgb="FF008AEF"/>
      </dataBar>
      <extLst>
        <ext xmlns:x14="http://schemas.microsoft.com/office/spreadsheetml/2009/9/main" uri="{B025F937-C7B1-47D3-B67F-A62EFF666E3E}">
          <x14:id>{C02E0428-B8D8-4FF9-9102-7741EF32C696}</x14:id>
        </ext>
      </extLst>
    </cfRule>
  </conditionalFormatting>
  <conditionalFormatting sqref="U7:U16">
    <cfRule type="dataBar" priority="6">
      <dataBar>
        <cfvo type="formula" val="0"/>
        <cfvo type="formula" val="1"/>
        <color rgb="FF63C384"/>
      </dataBar>
      <extLst>
        <ext xmlns:x14="http://schemas.microsoft.com/office/spreadsheetml/2009/9/main" uri="{B025F937-C7B1-47D3-B67F-A62EFF666E3E}">
          <x14:id>{38C42189-E030-48AA-A75C-176BDB258D2D}</x14:id>
        </ext>
      </extLst>
    </cfRule>
  </conditionalFormatting>
  <conditionalFormatting sqref="U20:U27">
    <cfRule type="dataBar" priority="4">
      <dataBar>
        <cfvo type="formula" val="0"/>
        <cfvo type="formula" val="1"/>
        <color rgb="FF63C384"/>
      </dataBar>
      <extLst>
        <ext xmlns:x14="http://schemas.microsoft.com/office/spreadsheetml/2009/9/main" uri="{B025F937-C7B1-47D3-B67F-A62EFF666E3E}">
          <x14:id>{8146BD5E-1242-4964-9978-0074EDE54D79}</x14:id>
        </ext>
      </extLst>
    </cfRule>
  </conditionalFormatting>
  <printOptions horizontalCentered="1" verticalCentered="1"/>
  <pageMargins left="0.25" right="0.25" top="0.75" bottom="0.75" header="0.3" footer="0.3"/>
  <pageSetup paperSize="8" orientation="landscape" r:id="rId1"/>
  <extLst>
    <ext xmlns:x14="http://schemas.microsoft.com/office/spreadsheetml/2009/9/main" uri="{78C0D931-6437-407d-A8EE-F0AAD7539E65}">
      <x14:conditionalFormattings>
        <x14:conditionalFormatting xmlns:xm="http://schemas.microsoft.com/office/excel/2006/main">
          <x14:cfRule type="iconSet" priority="3" id="{C1648629-D519-4CBF-8F11-BB886003DCFC}">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A1:A3</xm:sqref>
        </x14:conditionalFormatting>
        <x14:conditionalFormatting xmlns:xm="http://schemas.microsoft.com/office/excel/2006/main">
          <x14:cfRule type="dataBar" id="{1A4EBAAB-F64E-4A35-9B70-541CE97CB2FF}">
            <x14:dataBar minLength="0" maxLength="100" gradient="0" direction="leftToRight">
              <x14:cfvo type="formula">
                <xm:f>0</xm:f>
              </x14:cfvo>
              <x14:cfvo type="formula">
                <xm:f>1</xm:f>
              </x14:cfvo>
              <x14:negativeFillColor rgb="FFFF0000"/>
              <x14:axisColor rgb="FF000000"/>
            </x14:dataBar>
          </x14:cfRule>
          <xm:sqref>B1:B3</xm:sqref>
        </x14:conditionalFormatting>
        <x14:conditionalFormatting xmlns:xm="http://schemas.microsoft.com/office/excel/2006/main">
          <x14:cfRule type="dataBar" id="{B70AAFB4-DAFC-4339-ACE0-7370E48CD356}">
            <x14:dataBar minLength="0" maxLength="100" gradient="0" direction="rightToLeft">
              <x14:cfvo type="formula">
                <xm:f>0</xm:f>
              </x14:cfvo>
              <x14:cfvo type="formula">
                <xm:f>1</xm:f>
              </x14:cfvo>
              <x14:negativeFillColor rgb="FFFF0000"/>
              <x14:axisColor rgb="FF000000"/>
            </x14:dataBar>
          </x14:cfRule>
          <xm:sqref>B7:B16</xm:sqref>
        </x14:conditionalFormatting>
        <x14:conditionalFormatting xmlns:xm="http://schemas.microsoft.com/office/excel/2006/main">
          <x14:cfRule type="dataBar" id="{1FA382AF-F2A7-4C0E-8B00-153B20F2E5D0}">
            <x14:dataBar minLength="0" maxLength="100" gradient="0" direction="rightToLeft">
              <x14:cfvo type="formula">
                <xm:f>0</xm:f>
              </x14:cfvo>
              <x14:cfvo type="formula">
                <xm:f>1</xm:f>
              </x14:cfvo>
              <x14:negativeFillColor rgb="FFFF0000"/>
              <x14:axisColor rgb="FF000000"/>
            </x14:dataBar>
          </x14:cfRule>
          <xm:sqref>B20:B27</xm:sqref>
        </x14:conditionalFormatting>
        <x14:conditionalFormatting xmlns:xm="http://schemas.microsoft.com/office/excel/2006/main">
          <x14:cfRule type="dataBar" id="{E3BCF1BA-2914-43CA-8F01-82454BCF86DD}">
            <x14:dataBar minLength="0" maxLength="100" gradient="0" direction="leftToRight">
              <x14:cfvo type="formula">
                <xm:f>0</xm:f>
              </x14:cfvo>
              <x14:cfvo type="formula">
                <xm:f>1</xm:f>
              </x14:cfvo>
              <x14:negativeFillColor rgb="FFFF0000"/>
              <x14:axisColor rgb="FF000000"/>
            </x14:dataBar>
          </x14:cfRule>
          <xm:sqref>C1:C3</xm:sqref>
        </x14:conditionalFormatting>
        <x14:conditionalFormatting xmlns:xm="http://schemas.microsoft.com/office/excel/2006/main">
          <x14:cfRule type="dataBar" id="{D0723EB5-9F21-45E6-8DF7-3673AC81311E}">
            <x14:dataBar minLength="0" maxLength="100" gradient="0" direction="leftToRight">
              <x14:cfvo type="formula">
                <xm:f>0</xm:f>
              </x14:cfvo>
              <x14:cfvo type="formula">
                <xm:f>1</xm:f>
              </x14:cfvo>
              <x14:negativeFillColor rgb="FFFF0000"/>
              <x14:axisColor rgb="FF000000"/>
            </x14:dataBar>
          </x14:cfRule>
          <xm:sqref>C7:C16</xm:sqref>
        </x14:conditionalFormatting>
        <x14:conditionalFormatting xmlns:xm="http://schemas.microsoft.com/office/excel/2006/main">
          <x14:cfRule type="dataBar" id="{FCC840EB-7529-4F27-B205-4DBEA574EBA2}">
            <x14:dataBar minLength="0" maxLength="100" gradient="0" direction="leftToRight">
              <x14:cfvo type="formula">
                <xm:f>0</xm:f>
              </x14:cfvo>
              <x14:cfvo type="formula">
                <xm:f>1</xm:f>
              </x14:cfvo>
              <x14:negativeFillColor rgb="FFFF0000"/>
              <x14:axisColor rgb="FF000000"/>
            </x14:dataBar>
          </x14:cfRule>
          <xm:sqref>C20:C27</xm:sqref>
        </x14:conditionalFormatting>
        <x14:conditionalFormatting xmlns:xm="http://schemas.microsoft.com/office/excel/2006/main">
          <x14:cfRule type="iconSet" priority="99" id="{510209BA-B544-4E2F-8DF4-E463EF01F1C6}">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D7:H16</xm:sqref>
        </x14:conditionalFormatting>
        <x14:conditionalFormatting xmlns:xm="http://schemas.microsoft.com/office/excel/2006/main">
          <x14:cfRule type="iconSet" priority="13" id="{C6F0528A-D78D-4D45-BBF8-A2DAD206D523}">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D20:H27</xm:sqref>
        </x14:conditionalFormatting>
        <x14:conditionalFormatting xmlns:xm="http://schemas.microsoft.com/office/excel/2006/main">
          <x14:cfRule type="dataBar" id="{49F089C9-7799-4BFF-9007-98987D5D8B71}">
            <x14:dataBar minLength="0" maxLength="100" gradient="0" direction="rightToLeft">
              <x14:cfvo type="formula">
                <xm:f>0</xm:f>
              </x14:cfvo>
              <x14:cfvo type="formula">
                <xm:f>1</xm:f>
              </x14:cfvo>
              <x14:negativeFillColor rgb="FFFF0000"/>
              <x14:axisColor rgb="FF000000"/>
            </x14:dataBar>
          </x14:cfRule>
          <xm:sqref>K7:K16</xm:sqref>
        </x14:conditionalFormatting>
        <x14:conditionalFormatting xmlns:xm="http://schemas.microsoft.com/office/excel/2006/main">
          <x14:cfRule type="dataBar" id="{9E627517-ADA8-4713-8AFB-D06976925A09}">
            <x14:dataBar minLength="0" maxLength="100" gradient="0" direction="leftToRight">
              <x14:cfvo type="formula">
                <xm:f>0</xm:f>
              </x14:cfvo>
              <x14:cfvo type="formula">
                <xm:f>1</xm:f>
              </x14:cfvo>
              <x14:negativeFillColor rgb="FFFF0000"/>
              <x14:axisColor rgb="FF000000"/>
            </x14:dataBar>
          </x14:cfRule>
          <xm:sqref>L7:L16</xm:sqref>
        </x14:conditionalFormatting>
        <x14:conditionalFormatting xmlns:xm="http://schemas.microsoft.com/office/excel/2006/main">
          <x14:cfRule type="iconSet" priority="19" id="{853241E4-E09F-4C00-A795-CD1CD8FB3C0D}">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M7:Q16</xm:sqref>
        </x14:conditionalFormatting>
        <x14:conditionalFormatting xmlns:xm="http://schemas.microsoft.com/office/excel/2006/main">
          <x14:cfRule type="dataBar" id="{7F7B5DC3-C98F-4A45-8251-4E8BD6DE0ED1}">
            <x14:dataBar minLength="0" maxLength="100" gradient="0" direction="rightToLeft">
              <x14:cfvo type="formula">
                <xm:f>0</xm:f>
              </x14:cfvo>
              <x14:cfvo type="formula">
                <xm:f>1</xm:f>
              </x14:cfvo>
              <x14:negativeFillColor rgb="FFFF0000"/>
              <x14:axisColor rgb="FF000000"/>
            </x14:dataBar>
          </x14:cfRule>
          <xm:sqref>T7:T16</xm:sqref>
        </x14:conditionalFormatting>
        <x14:conditionalFormatting xmlns:xm="http://schemas.microsoft.com/office/excel/2006/main">
          <x14:cfRule type="dataBar" id="{C02E0428-B8D8-4FF9-9102-7741EF32C696}">
            <x14:dataBar minLength="0" maxLength="100" gradient="0" direction="rightToLeft">
              <x14:cfvo type="formula">
                <xm:f>0</xm:f>
              </x14:cfvo>
              <x14:cfvo type="formula">
                <xm:f>1</xm:f>
              </x14:cfvo>
              <x14:negativeFillColor rgb="FFFF0000"/>
              <x14:axisColor rgb="FF000000"/>
            </x14:dataBar>
          </x14:cfRule>
          <xm:sqref>T20:T27</xm:sqref>
        </x14:conditionalFormatting>
        <x14:conditionalFormatting xmlns:xm="http://schemas.microsoft.com/office/excel/2006/main">
          <x14:cfRule type="dataBar" id="{38C42189-E030-48AA-A75C-176BDB258D2D}">
            <x14:dataBar minLength="0" maxLength="100" gradient="0" direction="leftToRight">
              <x14:cfvo type="formula">
                <xm:f>0</xm:f>
              </x14:cfvo>
              <x14:cfvo type="formula">
                <xm:f>1</xm:f>
              </x14:cfvo>
              <x14:negativeFillColor rgb="FFFF0000"/>
              <x14:axisColor rgb="FF000000"/>
            </x14:dataBar>
          </x14:cfRule>
          <xm:sqref>U7:U16</xm:sqref>
        </x14:conditionalFormatting>
        <x14:conditionalFormatting xmlns:xm="http://schemas.microsoft.com/office/excel/2006/main">
          <x14:cfRule type="dataBar" id="{8146BD5E-1242-4964-9978-0074EDE54D79}">
            <x14:dataBar minLength="0" maxLength="100" gradient="0" direction="leftToRight">
              <x14:cfvo type="formula">
                <xm:f>0</xm:f>
              </x14:cfvo>
              <x14:cfvo type="formula">
                <xm:f>1</xm:f>
              </x14:cfvo>
              <x14:negativeFillColor rgb="FFFF0000"/>
              <x14:axisColor rgb="FF000000"/>
            </x14:dataBar>
          </x14:cfRule>
          <xm:sqref>U20:U27</xm:sqref>
        </x14:conditionalFormatting>
        <x14:conditionalFormatting xmlns:xm="http://schemas.microsoft.com/office/excel/2006/main">
          <x14:cfRule type="iconSet" priority="16" id="{298FF736-D19A-4325-8F8A-0C1144BE5DB5}">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V7:Z16</xm:sqref>
        </x14:conditionalFormatting>
        <x14:conditionalFormatting xmlns:xm="http://schemas.microsoft.com/office/excel/2006/main">
          <x14:cfRule type="iconSet" priority="10" id="{0B277568-46F8-47AF-8566-238BE3B80774}">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V20:Z27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840F-1384-49DB-967D-B10E29E75FC7}">
  <sheetPr>
    <pageSetUpPr fitToPage="1"/>
  </sheetPr>
  <dimension ref="A1:Q20"/>
  <sheetViews>
    <sheetView topLeftCell="A4" zoomScale="70" zoomScaleNormal="70" workbookViewId="0">
      <selection activeCell="A14" sqref="A14"/>
    </sheetView>
  </sheetViews>
  <sheetFormatPr defaultColWidth="9" defaultRowHeight="13.5" x14ac:dyDescent="0.15"/>
  <cols>
    <col min="1" max="1" width="29.625" style="2" customWidth="1"/>
    <col min="2" max="2" width="1.375" style="2" customWidth="1"/>
    <col min="3" max="3" width="23.25" style="2" customWidth="1"/>
    <col min="4" max="4" width="23.25" customWidth="1"/>
    <col min="5" max="5" width="1.125" customWidth="1"/>
    <col min="6" max="6" width="23.25" style="2" customWidth="1"/>
    <col min="7" max="7" width="23.25" customWidth="1"/>
    <col min="8" max="8" width="1.125" customWidth="1"/>
    <col min="9" max="9" width="23.25" style="2" customWidth="1"/>
    <col min="10" max="10" width="23.25" customWidth="1"/>
    <col min="11" max="11" width="1.5" customWidth="1"/>
    <col min="12" max="12" width="23.25" style="2" customWidth="1"/>
    <col min="13" max="13" width="23.25" customWidth="1"/>
    <col min="14" max="14" width="2.75" customWidth="1"/>
    <col min="15" max="15" width="23.25" style="2" customWidth="1"/>
    <col min="16" max="16" width="23.25" customWidth="1"/>
    <col min="17" max="17" width="2.75" customWidth="1"/>
    <col min="18" max="18" width="9" customWidth="1"/>
  </cols>
  <sheetData>
    <row r="1" spans="1:17" ht="14.25" thickBot="1" x14ac:dyDescent="0.2"/>
    <row r="2" spans="1:17" ht="13.5" customHeight="1" x14ac:dyDescent="0.15">
      <c r="C2" s="432" t="s">
        <v>80</v>
      </c>
      <c r="D2" s="433"/>
      <c r="E2" s="433"/>
      <c r="F2" s="433"/>
      <c r="G2" s="433"/>
      <c r="H2" s="433"/>
      <c r="I2" s="433"/>
      <c r="J2" s="434"/>
      <c r="L2" s="441" t="s">
        <v>81</v>
      </c>
      <c r="M2" s="442"/>
      <c r="N2" s="442"/>
      <c r="O2" s="442"/>
      <c r="P2" s="443"/>
    </row>
    <row r="3" spans="1:17" ht="13.5" customHeight="1" x14ac:dyDescent="0.15">
      <c r="C3" s="435"/>
      <c r="D3" s="436"/>
      <c r="E3" s="436"/>
      <c r="F3" s="436"/>
      <c r="G3" s="436"/>
      <c r="H3" s="436"/>
      <c r="I3" s="436"/>
      <c r="J3" s="437"/>
      <c r="L3" s="444"/>
      <c r="M3" s="445"/>
      <c r="N3" s="445"/>
      <c r="O3" s="445"/>
      <c r="P3" s="446"/>
    </row>
    <row r="4" spans="1:17" ht="15" customHeight="1" x14ac:dyDescent="0.15">
      <c r="A4"/>
      <c r="B4"/>
      <c r="C4" s="435"/>
      <c r="D4" s="436"/>
      <c r="E4" s="436"/>
      <c r="F4" s="436"/>
      <c r="G4" s="436"/>
      <c r="H4" s="436"/>
      <c r="I4" s="436"/>
      <c r="J4" s="437"/>
      <c r="L4" s="444"/>
      <c r="M4" s="445"/>
      <c r="N4" s="445"/>
      <c r="O4" s="445"/>
      <c r="P4" s="446"/>
    </row>
    <row r="5" spans="1:17" ht="15" customHeight="1" x14ac:dyDescent="0.15">
      <c r="A5"/>
      <c r="B5"/>
      <c r="C5" s="435"/>
      <c r="D5" s="436"/>
      <c r="E5" s="436"/>
      <c r="F5" s="436"/>
      <c r="G5" s="436"/>
      <c r="H5" s="436"/>
      <c r="I5" s="436"/>
      <c r="J5" s="437"/>
      <c r="L5" s="444"/>
      <c r="M5" s="445"/>
      <c r="N5" s="445"/>
      <c r="O5" s="445"/>
      <c r="P5" s="446"/>
    </row>
    <row r="6" spans="1:17" ht="15" customHeight="1" thickBot="1" x14ac:dyDescent="0.2">
      <c r="A6"/>
      <c r="B6"/>
      <c r="C6" s="438"/>
      <c r="D6" s="439"/>
      <c r="E6" s="439"/>
      <c r="F6" s="439"/>
      <c r="G6" s="439"/>
      <c r="H6" s="439"/>
      <c r="I6" s="439"/>
      <c r="J6" s="440"/>
      <c r="L6" s="447"/>
      <c r="M6" s="448"/>
      <c r="N6" s="448"/>
      <c r="O6" s="448"/>
      <c r="P6" s="449"/>
    </row>
    <row r="7" spans="1:17" ht="8.25" customHeight="1" thickBot="1" x14ac:dyDescent="0.2">
      <c r="A7"/>
      <c r="B7"/>
      <c r="C7"/>
      <c r="F7"/>
      <c r="I7"/>
      <c r="L7"/>
      <c r="O7"/>
    </row>
    <row r="8" spans="1:17" ht="34.5" customHeight="1" x14ac:dyDescent="0.4">
      <c r="A8" s="426"/>
      <c r="B8" s="89"/>
      <c r="C8" s="428" t="s">
        <v>82</v>
      </c>
      <c r="D8" s="429"/>
      <c r="E8" s="372"/>
      <c r="F8" s="428" t="s">
        <v>83</v>
      </c>
      <c r="G8" s="429"/>
      <c r="H8" s="372"/>
      <c r="I8" s="428" t="s">
        <v>84</v>
      </c>
      <c r="J8" s="429"/>
      <c r="K8" s="372"/>
      <c r="L8" s="430" t="s">
        <v>85</v>
      </c>
      <c r="M8" s="431"/>
      <c r="N8" s="372"/>
      <c r="O8" s="430" t="s">
        <v>86</v>
      </c>
      <c r="P8" s="431"/>
      <c r="Q8" s="372"/>
    </row>
    <row r="9" spans="1:17" ht="57" customHeight="1" x14ac:dyDescent="0.3">
      <c r="A9" s="427"/>
      <c r="B9" s="89"/>
      <c r="C9" s="366" t="s">
        <v>87</v>
      </c>
      <c r="D9" s="368" t="s">
        <v>88</v>
      </c>
      <c r="F9" s="366" t="s">
        <v>87</v>
      </c>
      <c r="G9" s="368" t="s">
        <v>88</v>
      </c>
      <c r="H9" s="93"/>
      <c r="I9" s="366" t="s">
        <v>87</v>
      </c>
      <c r="J9" s="368" t="s">
        <v>88</v>
      </c>
      <c r="K9" s="93"/>
      <c r="L9" s="367" t="s">
        <v>87</v>
      </c>
      <c r="M9" s="369" t="s">
        <v>88</v>
      </c>
      <c r="N9" s="93"/>
      <c r="O9" s="367" t="s">
        <v>87</v>
      </c>
      <c r="P9" s="369" t="s">
        <v>88</v>
      </c>
    </row>
    <row r="10" spans="1:17" ht="41.25" customHeight="1" x14ac:dyDescent="0.3">
      <c r="A10" s="427"/>
      <c r="B10" s="89"/>
      <c r="C10" s="94" t="s">
        <v>89</v>
      </c>
      <c r="D10" s="105" t="s">
        <v>89</v>
      </c>
      <c r="F10" s="94" t="s">
        <v>89</v>
      </c>
      <c r="G10" s="105" t="s">
        <v>89</v>
      </c>
      <c r="H10" s="93"/>
      <c r="I10" s="94" t="s">
        <v>89</v>
      </c>
      <c r="J10" s="105" t="s">
        <v>89</v>
      </c>
      <c r="K10" s="93"/>
      <c r="L10" s="94" t="s">
        <v>89</v>
      </c>
      <c r="M10" s="105" t="s">
        <v>89</v>
      </c>
      <c r="N10" s="93"/>
      <c r="O10" s="94" t="s">
        <v>89</v>
      </c>
      <c r="P10" s="105" t="s">
        <v>89</v>
      </c>
    </row>
    <row r="11" spans="1:17" ht="56.25" customHeight="1" x14ac:dyDescent="0.3">
      <c r="A11" s="373" t="s">
        <v>68</v>
      </c>
      <c r="B11" s="89"/>
      <c r="C11" s="95">
        <f>'MADINAH Migration Plan-'!F10</f>
        <v>46219</v>
      </c>
      <c r="D11" s="450">
        <f>'MADINAH Migration Plan-'!F76</f>
        <v>46280</v>
      </c>
      <c r="F11" s="95">
        <f>'Jeddah Migration Plan'!F12</f>
        <v>46229</v>
      </c>
      <c r="G11" s="450">
        <f>'Jeddah Migration Plan'!F78</f>
        <v>46320</v>
      </c>
      <c r="H11" s="93"/>
      <c r="I11" s="95">
        <f>'Makkah Migration Plan'!F12</f>
        <v>46232</v>
      </c>
      <c r="J11" s="450">
        <f>'Makkah Migration Plan'!F78</f>
        <v>46302</v>
      </c>
      <c r="K11" s="93"/>
      <c r="L11" s="95">
        <f>'ABHA Migration Plan'!F10</f>
        <v>46223</v>
      </c>
      <c r="M11" s="450">
        <f>'ABHA Migration Plan'!F64</f>
        <v>46280</v>
      </c>
      <c r="N11" s="93"/>
      <c r="O11" s="95">
        <f>'Jizan Migration Plan'!F10</f>
        <v>46229</v>
      </c>
      <c r="P11" s="450">
        <f>'Jizan Migration Plan'!F64</f>
        <v>46280</v>
      </c>
    </row>
    <row r="12" spans="1:17" ht="56.25" customHeight="1" x14ac:dyDescent="0.3">
      <c r="A12" s="373" t="s">
        <v>69</v>
      </c>
      <c r="B12" s="89"/>
      <c r="C12" s="95">
        <f>'MADINAH Migration Plan-'!F16</f>
        <v>46224</v>
      </c>
      <c r="D12" s="450"/>
      <c r="F12" s="95">
        <f>'Jeddah Migration Plan'!F18</f>
        <v>46236</v>
      </c>
      <c r="G12" s="450">
        <f>'ABHA Migration Plan'!$F$70</f>
        <v>46275</v>
      </c>
      <c r="H12" s="93"/>
      <c r="I12" s="95">
        <f>'Makkah Migration Plan'!F18</f>
        <v>46237</v>
      </c>
      <c r="J12" s="450">
        <f>'ABHA Migration Plan'!$F$70</f>
        <v>46275</v>
      </c>
      <c r="K12" s="93"/>
      <c r="L12" s="95">
        <f>'ABHA Migration Plan'!F16</f>
        <v>46229</v>
      </c>
      <c r="M12" s="450"/>
      <c r="N12" s="93"/>
      <c r="O12" s="95">
        <f>'Jizan Migration Plan'!F16</f>
        <v>46231</v>
      </c>
      <c r="P12" s="450"/>
    </row>
    <row r="13" spans="1:17" ht="56.25" customHeight="1" x14ac:dyDescent="0.3">
      <c r="A13" s="373" t="s">
        <v>70</v>
      </c>
      <c r="B13" s="89"/>
      <c r="C13" s="95">
        <f>'MADINAH Migration Plan-'!F22</f>
        <v>46232</v>
      </c>
      <c r="D13" s="450"/>
      <c r="F13" s="95">
        <f>'Jeddah Migration Plan'!F24</f>
        <v>46245</v>
      </c>
      <c r="G13" s="450">
        <f>'Jizan Migration Plan'!$F$70</f>
        <v>46272</v>
      </c>
      <c r="H13" s="93"/>
      <c r="I13" s="95">
        <f>'Makkah Migration Plan'!F24</f>
        <v>46244</v>
      </c>
      <c r="J13" s="450">
        <f>'Jizan Migration Plan'!$F$70</f>
        <v>46272</v>
      </c>
      <c r="K13" s="93"/>
      <c r="L13" s="95">
        <f>'ABHA Migration Plan'!F22</f>
        <v>46236</v>
      </c>
      <c r="M13" s="450"/>
      <c r="N13" s="93"/>
      <c r="O13" s="95">
        <f>'Jizan Migration Plan'!F22</f>
        <v>46238</v>
      </c>
      <c r="P13" s="450"/>
    </row>
    <row r="14" spans="1:17" ht="56.25" customHeight="1" x14ac:dyDescent="0.3">
      <c r="A14" s="373" t="s">
        <v>71</v>
      </c>
      <c r="B14" s="89"/>
      <c r="C14" s="95">
        <f>'MADINAH Migration Plan-'!F28</f>
        <v>46236</v>
      </c>
      <c r="D14" s="450"/>
      <c r="F14" s="95">
        <f>'Jeddah Migration Plan'!F30</f>
        <v>46254</v>
      </c>
      <c r="G14" s="450">
        <f>'Jeddah Migration Plan'!$F$84</f>
        <v>46310</v>
      </c>
      <c r="H14" s="93"/>
      <c r="I14" s="95">
        <f>'Makkah Migration Plan'!F30</f>
        <v>46251</v>
      </c>
      <c r="J14" s="450">
        <f>'Jeddah Migration Plan'!$F$84</f>
        <v>46310</v>
      </c>
      <c r="K14" s="93"/>
      <c r="L14" s="95">
        <f>'ABHA Migration Plan'!F28</f>
        <v>46244</v>
      </c>
      <c r="M14" s="450"/>
      <c r="N14" s="93"/>
      <c r="O14" s="95">
        <f>'Jizan Migration Plan'!F28</f>
        <v>46244</v>
      </c>
      <c r="P14" s="450"/>
    </row>
    <row r="15" spans="1:17" ht="56.25" customHeight="1" x14ac:dyDescent="0.3">
      <c r="A15" s="373" t="s">
        <v>72</v>
      </c>
      <c r="B15" s="89"/>
      <c r="C15" s="95">
        <f>'MADINAH Migration Plan-'!F34</f>
        <v>46240</v>
      </c>
      <c r="D15" s="450"/>
      <c r="F15" s="95">
        <f>'Jeddah Migration Plan'!F36</f>
        <v>46265</v>
      </c>
      <c r="G15" s="450">
        <f>'Makkah Migration Plan'!$F$84</f>
        <v>46299</v>
      </c>
      <c r="H15" s="93"/>
      <c r="I15" s="95">
        <f>'Makkah Migration Plan'!F36</f>
        <v>46258</v>
      </c>
      <c r="J15" s="450">
        <f>'Makkah Migration Plan'!$F$84</f>
        <v>46299</v>
      </c>
      <c r="K15" s="93"/>
      <c r="L15" s="95">
        <f>'ABHA Migration Plan'!F34</f>
        <v>46252</v>
      </c>
      <c r="M15" s="450"/>
      <c r="N15" s="93"/>
      <c r="O15" s="95">
        <f>'Jizan Migration Plan'!F34</f>
        <v>46250</v>
      </c>
      <c r="P15" s="450"/>
    </row>
    <row r="16" spans="1:17" ht="56.25" customHeight="1" x14ac:dyDescent="0.3">
      <c r="A16" s="373" t="s">
        <v>73</v>
      </c>
      <c r="B16" s="89"/>
      <c r="C16" s="95">
        <f>'MADINAH Migration Plan-'!F40</f>
        <v>46246</v>
      </c>
      <c r="D16" s="450"/>
      <c r="F16" s="95">
        <f>'Jeddah Migration Plan'!F42</f>
        <v>46275</v>
      </c>
      <c r="G16" s="450"/>
      <c r="H16" s="93"/>
      <c r="I16" s="95">
        <f>'Makkah Migration Plan'!F42</f>
        <v>46265</v>
      </c>
      <c r="J16" s="450"/>
      <c r="K16" s="93"/>
      <c r="L16" s="95">
        <f>'ABHA Migration Plan'!F40</f>
        <v>46259</v>
      </c>
      <c r="M16" s="450"/>
      <c r="N16" s="93"/>
      <c r="O16" s="95">
        <f>'Jizan Migration Plan'!F40</f>
        <v>46254</v>
      </c>
      <c r="P16" s="450"/>
    </row>
    <row r="17" spans="1:16" ht="56.25" customHeight="1" x14ac:dyDescent="0.3">
      <c r="A17" s="373" t="s">
        <v>74</v>
      </c>
      <c r="B17" s="89"/>
      <c r="C17" s="95">
        <f>'MADINAH Migration Plan-'!F46</f>
        <v>46252</v>
      </c>
      <c r="D17" s="450"/>
      <c r="F17" s="95">
        <f>'Jeddah Migration Plan'!F48</f>
        <v>46285</v>
      </c>
      <c r="G17" s="450"/>
      <c r="H17" s="93"/>
      <c r="I17" s="95">
        <f>'Makkah Migration Plan'!F48</f>
        <v>46272</v>
      </c>
      <c r="J17" s="450"/>
      <c r="K17" s="93"/>
      <c r="L17" s="95">
        <f>'ABHA Migration Plan'!F46</f>
        <v>46266</v>
      </c>
      <c r="M17" s="450"/>
      <c r="N17" s="93"/>
      <c r="O17" s="95">
        <f>'Jizan Migration Plan'!F46</f>
        <v>46260</v>
      </c>
      <c r="P17" s="450"/>
    </row>
    <row r="18" spans="1:16" ht="56.25" customHeight="1" x14ac:dyDescent="0.3">
      <c r="A18" s="373" t="s">
        <v>75</v>
      </c>
      <c r="B18" s="89"/>
      <c r="C18" s="95">
        <f>'MADINAH Migration Plan-'!F52</f>
        <v>46258</v>
      </c>
      <c r="D18" s="450"/>
      <c r="F18" s="95">
        <f>'Jeddah Migration Plan'!F54</f>
        <v>46294</v>
      </c>
      <c r="G18" s="450"/>
      <c r="H18" s="93"/>
      <c r="I18" s="95">
        <f>'Makkah Migration Plan'!F54</f>
        <v>46279</v>
      </c>
      <c r="J18" s="450"/>
      <c r="K18" s="93"/>
      <c r="L18" s="95">
        <f>'ABHA Migration Plan'!F52</f>
        <v>46273</v>
      </c>
      <c r="M18" s="450"/>
      <c r="N18" s="93"/>
      <c r="O18" s="95">
        <f>'Jizan Migration Plan'!F52</f>
        <v>46268</v>
      </c>
      <c r="P18" s="450"/>
    </row>
    <row r="19" spans="1:16" ht="56.25" customHeight="1" x14ac:dyDescent="0.3">
      <c r="A19" s="373" t="s">
        <v>76</v>
      </c>
      <c r="B19" s="89"/>
      <c r="C19" s="95">
        <f>'MADINAH Migration Plan-'!F58</f>
        <v>46264</v>
      </c>
      <c r="D19" s="450"/>
      <c r="F19" s="95">
        <f>'Jeddah Migration Plan'!F60</f>
        <v>46303</v>
      </c>
      <c r="G19" s="450"/>
      <c r="H19" s="93"/>
      <c r="I19" s="95">
        <f>'Makkah Migration Plan'!F60</f>
        <v>46286</v>
      </c>
      <c r="J19" s="450"/>
      <c r="K19" s="93"/>
      <c r="L19" s="96"/>
      <c r="M19" s="370"/>
      <c r="N19" s="93"/>
      <c r="O19" s="96"/>
      <c r="P19" s="370"/>
    </row>
    <row r="20" spans="1:16" ht="56.25" customHeight="1" thickBot="1" x14ac:dyDescent="0.35">
      <c r="A20" s="374" t="s">
        <v>77</v>
      </c>
      <c r="B20" s="89"/>
      <c r="C20" s="100">
        <f>'MADINAH Migration Plan-'!F64</f>
        <v>46268</v>
      </c>
      <c r="D20" s="451"/>
      <c r="F20" s="100">
        <f>'Jeddah Migration Plan'!F66</f>
        <v>46315</v>
      </c>
      <c r="G20" s="451"/>
      <c r="H20" s="93"/>
      <c r="I20" s="100">
        <f>'Makkah Migration Plan'!F66</f>
        <v>46293</v>
      </c>
      <c r="J20" s="451"/>
      <c r="K20" s="93"/>
      <c r="L20" s="101"/>
      <c r="M20" s="371"/>
      <c r="N20" s="93"/>
      <c r="O20" s="101"/>
      <c r="P20" s="371"/>
    </row>
  </sheetData>
  <mergeCells count="13">
    <mergeCell ref="C2:J6"/>
    <mergeCell ref="L2:P6"/>
    <mergeCell ref="G11:G20"/>
    <mergeCell ref="J11:J20"/>
    <mergeCell ref="M11:M18"/>
    <mergeCell ref="P11:P18"/>
    <mergeCell ref="I8:J8"/>
    <mergeCell ref="D11:D20"/>
    <mergeCell ref="A8:A10"/>
    <mergeCell ref="C8:D8"/>
    <mergeCell ref="F8:G8"/>
    <mergeCell ref="O8:P8"/>
    <mergeCell ref="L8:M8"/>
  </mergeCells>
  <phoneticPr fontId="23" type="noConversion"/>
  <pageMargins left="0.7" right="0.7" top="0.75" bottom="0.75" header="0.3" footer="0.3"/>
  <pageSetup paperSize="8" scale="5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B1:AC90"/>
  <sheetViews>
    <sheetView showGridLines="0" zoomScale="85" zoomScaleNormal="85" workbookViewId="0">
      <pane ySplit="2" topLeftCell="A73" activePane="bottomLeft" state="frozen"/>
      <selection pane="bottomLeft" activeCell="F68" sqref="F68"/>
    </sheetView>
  </sheetViews>
  <sheetFormatPr defaultColWidth="9" defaultRowHeight="13.5" x14ac:dyDescent="0.15"/>
  <cols>
    <col min="1" max="1" width="0.75" customWidth="1"/>
    <col min="2" max="2" width="16" customWidth="1"/>
    <col min="3" max="3" width="32.375" customWidth="1"/>
    <col min="4" max="4" width="17.125" style="2" customWidth="1"/>
    <col min="5" max="5" width="16.75" style="3" customWidth="1"/>
    <col min="6" max="6" width="12.625" style="3" customWidth="1"/>
    <col min="7" max="7" width="16.75" style="3" hidden="1" customWidth="1"/>
    <col min="8" max="8" width="18.25" style="3" hidden="1" customWidth="1"/>
    <col min="9" max="9" width="26.625" style="3" hidden="1" customWidth="1"/>
    <col min="10" max="10" width="28.875" style="3" hidden="1" customWidth="1"/>
    <col min="11" max="11" width="10.875" style="74" customWidth="1"/>
    <col min="12" max="12" width="15.125" style="74" customWidth="1"/>
    <col min="13" max="13" width="0.875" customWidth="1"/>
    <col min="14" max="20" width="9.125" customWidth="1"/>
    <col min="21" max="21" width="42.75" style="5" customWidth="1"/>
    <col min="22" max="22" width="13.625" hidden="1" customWidth="1"/>
    <col min="24" max="24" width="15.25" hidden="1" customWidth="1"/>
    <col min="25" max="25" width="12.25" style="6" hidden="1" customWidth="1"/>
    <col min="26" max="26" width="10.125" style="6" hidden="1" customWidth="1"/>
    <col min="29" max="29" width="10.125" hidden="1" customWidth="1"/>
  </cols>
  <sheetData>
    <row r="1" spans="2:29" ht="5.45" customHeight="1" x14ac:dyDescent="0.15">
      <c r="E1" s="7"/>
      <c r="F1" s="7"/>
      <c r="G1" s="7"/>
      <c r="H1" s="7"/>
      <c r="I1" s="7"/>
      <c r="J1" s="7"/>
      <c r="K1" s="8"/>
      <c r="L1" s="8"/>
      <c r="M1" s="9"/>
    </row>
    <row r="2" spans="2:29" ht="24" customHeight="1" thickBot="1" x14ac:dyDescent="0.3">
      <c r="B2" s="10"/>
      <c r="C2" s="120" t="s">
        <v>1</v>
      </c>
      <c r="D2" s="120" t="s">
        <v>90</v>
      </c>
      <c r="E2" s="121" t="s">
        <v>91</v>
      </c>
      <c r="F2" s="121" t="s">
        <v>92</v>
      </c>
      <c r="G2" s="121" t="s">
        <v>93</v>
      </c>
      <c r="H2" s="121" t="s">
        <v>94</v>
      </c>
      <c r="I2" s="122" t="s">
        <v>95</v>
      </c>
      <c r="J2" s="122" t="s">
        <v>96</v>
      </c>
      <c r="K2" s="123" t="s">
        <v>97</v>
      </c>
      <c r="L2" s="123" t="s">
        <v>98</v>
      </c>
      <c r="M2" s="124"/>
      <c r="N2" s="125">
        <v>46113</v>
      </c>
      <c r="O2" s="126">
        <v>46143</v>
      </c>
      <c r="P2" s="126">
        <v>46174</v>
      </c>
      <c r="Q2" s="126">
        <v>46204</v>
      </c>
      <c r="R2" s="126">
        <v>46235</v>
      </c>
      <c r="S2" s="126">
        <v>46266</v>
      </c>
      <c r="T2" s="126">
        <v>46296</v>
      </c>
      <c r="U2" s="127" t="s">
        <v>2</v>
      </c>
    </row>
    <row r="3" spans="2:29" ht="45" hidden="1" customHeight="1" x14ac:dyDescent="0.15">
      <c r="B3" s="15"/>
      <c r="C3" s="16" t="s">
        <v>99</v>
      </c>
      <c r="D3" s="17"/>
      <c r="E3" s="18"/>
      <c r="F3" s="18" t="s">
        <v>55</v>
      </c>
      <c r="G3" s="18"/>
      <c r="H3" s="18" t="s">
        <v>55</v>
      </c>
      <c r="I3" s="18"/>
      <c r="J3" s="18"/>
      <c r="K3" s="19">
        <v>1</v>
      </c>
      <c r="L3" s="19" t="str">
        <f ca="1">IF(OR(K3=100%,J3&lt;&gt;""),"Completed",IF(AND(OR(K3="",K3=0),E3&gt;TODAY()),"Not Started",IF(AND(OR(K3="",K3=0),E3&lt;=TODAY()),"Delayed",IF(AND(K3&gt;0,K3&lt;100%,F3&lt;TODAY()),"Delayed",IF(AND(K3&gt;0,K3&lt;100%),"In Progress","")))))</f>
        <v>Completed</v>
      </c>
      <c r="M3" s="12"/>
      <c r="N3" s="20"/>
      <c r="O3" s="21"/>
      <c r="P3" s="21"/>
      <c r="Q3" s="21"/>
      <c r="R3" s="21"/>
      <c r="S3" s="21"/>
      <c r="T3" s="21"/>
      <c r="U3" s="22" t="s">
        <v>100</v>
      </c>
    </row>
    <row r="4" spans="2:29" s="1" customFormat="1" ht="4.5" hidden="1" customHeight="1" x14ac:dyDescent="0.15">
      <c r="B4" s="23"/>
      <c r="C4" s="23"/>
      <c r="D4" s="24"/>
      <c r="E4" s="23"/>
      <c r="F4" s="23"/>
      <c r="G4" s="23"/>
      <c r="H4" s="23"/>
      <c r="I4" s="23"/>
      <c r="J4" s="23"/>
      <c r="K4" s="25"/>
      <c r="L4" s="25"/>
      <c r="M4" s="23"/>
      <c r="N4" s="23"/>
      <c r="O4" s="23"/>
      <c r="P4" s="23"/>
      <c r="Q4" s="23"/>
      <c r="R4" s="23"/>
      <c r="S4" s="23"/>
      <c r="T4" s="23"/>
      <c r="U4" s="26"/>
      <c r="Y4" s="27"/>
      <c r="Z4" s="27"/>
    </row>
    <row r="5" spans="2:29" ht="45" customHeight="1" x14ac:dyDescent="0.15">
      <c r="B5" s="380" t="s">
        <v>101</v>
      </c>
      <c r="C5" s="106" t="s">
        <v>102</v>
      </c>
      <c r="D5" s="107">
        <f>NETWORKDAYS.INTL(E5,F5,"0000100",$AC$5:$AC$12)</f>
        <v>19</v>
      </c>
      <c r="E5" s="108">
        <f>WORKDAY.INTL("6-May-26",0,"0000100")</f>
        <v>46148</v>
      </c>
      <c r="F5" s="108">
        <f>WORKDAY.INTL(E5,18,"0000100",$AC$5:$AC$11)</f>
        <v>46175</v>
      </c>
      <c r="G5" s="108">
        <f>WORKDAY.INTL("6-May-26",0,"0000100")</f>
        <v>46148</v>
      </c>
      <c r="H5" s="108">
        <f>WORKDAY.INTL(G5,18,"0000100",$AC$5:$AC$11)</f>
        <v>46175</v>
      </c>
      <c r="I5" s="108">
        <v>46148</v>
      </c>
      <c r="J5" s="108">
        <v>46175</v>
      </c>
      <c r="K5" s="109">
        <v>1</v>
      </c>
      <c r="L5" s="109" t="str">
        <f t="shared" ref="L5:L10" ca="1" si="0">IF(OR(K5=100%,J5&lt;&gt;""),"Completed",IF(AND(OR(K5="",K5=0),E5&gt;TODAY()),"Not Started",IF(AND(OR(K5="",K5=0),E5&lt;=TODAY()),"Delayed",IF(AND(K5&gt;0,K5&lt;100%,F5&lt;TODAY()),"Delayed",IF(AND(K5&gt;0,K5&lt;100%),"In Progress","")))))</f>
        <v>Completed</v>
      </c>
      <c r="M5" s="29"/>
      <c r="N5" s="30"/>
      <c r="O5" s="30"/>
      <c r="P5" s="30"/>
      <c r="Q5" s="30"/>
      <c r="R5" s="30"/>
      <c r="S5" s="30"/>
      <c r="T5" s="31"/>
      <c r="U5" s="32"/>
      <c r="V5" t="s">
        <v>103</v>
      </c>
      <c r="X5" s="28" t="s">
        <v>62</v>
      </c>
      <c r="Y5" s="6" t="s">
        <v>68</v>
      </c>
      <c r="AC5" s="33">
        <v>46166</v>
      </c>
    </row>
    <row r="6" spans="2:29" ht="45" customHeight="1" x14ac:dyDescent="0.15">
      <c r="B6" s="376"/>
      <c r="C6" s="106" t="s">
        <v>104</v>
      </c>
      <c r="D6" s="107">
        <f>NETWORKDAYS.INTL(E6,F6,"0000100",$AC$5:$AC$12)</f>
        <v>19</v>
      </c>
      <c r="E6" s="108">
        <v>46174</v>
      </c>
      <c r="F6" s="108">
        <v>46195</v>
      </c>
      <c r="G6" s="108">
        <v>46174</v>
      </c>
      <c r="H6" s="108">
        <v>46195</v>
      </c>
      <c r="I6" s="108">
        <v>46174</v>
      </c>
      <c r="J6" s="108"/>
      <c r="K6" s="109">
        <v>0.5</v>
      </c>
      <c r="L6" s="109" t="str">
        <f t="shared" ca="1" si="0"/>
        <v>Delayed</v>
      </c>
      <c r="M6" s="29"/>
      <c r="N6" s="30"/>
      <c r="O6" s="30"/>
      <c r="P6" s="30"/>
      <c r="Q6" s="30"/>
      <c r="R6" s="30"/>
      <c r="S6" s="30"/>
      <c r="T6" s="31"/>
      <c r="U6" s="32"/>
      <c r="V6" t="s">
        <v>103</v>
      </c>
      <c r="X6" s="28" t="s">
        <v>63</v>
      </c>
      <c r="Y6" s="6" t="s">
        <v>68</v>
      </c>
      <c r="AC6" s="33">
        <v>46167</v>
      </c>
    </row>
    <row r="7" spans="2:29" ht="45" customHeight="1" x14ac:dyDescent="0.15">
      <c r="B7" s="376"/>
      <c r="C7" s="106" t="s">
        <v>105</v>
      </c>
      <c r="D7" s="107"/>
      <c r="E7" s="108" t="s">
        <v>106</v>
      </c>
      <c r="F7" s="108">
        <v>46217</v>
      </c>
      <c r="G7" s="108" t="s">
        <v>106</v>
      </c>
      <c r="H7" s="108">
        <v>46217</v>
      </c>
      <c r="I7" s="108"/>
      <c r="J7" s="108"/>
      <c r="K7" s="109"/>
      <c r="L7" s="109" t="str">
        <f t="shared" ca="1" si="0"/>
        <v>Not Started</v>
      </c>
      <c r="M7" s="29"/>
      <c r="N7" s="30"/>
      <c r="O7" s="30"/>
      <c r="P7" s="30"/>
      <c r="Q7" s="30"/>
      <c r="R7" s="30"/>
      <c r="S7" s="30"/>
      <c r="T7" s="31"/>
      <c r="U7" s="32"/>
      <c r="X7" s="6"/>
      <c r="AC7" s="33">
        <v>46168</v>
      </c>
    </row>
    <row r="8" spans="2:29" ht="45" customHeight="1" x14ac:dyDescent="0.15">
      <c r="B8" s="376"/>
      <c r="C8" s="110" t="s">
        <v>107</v>
      </c>
      <c r="D8" s="107">
        <f>NETWORKDAYS.INTL(E8,F8,"0000110",$AC$5:$AC$12)</f>
        <v>2</v>
      </c>
      <c r="E8" s="108">
        <f>WORKDAY.INTL(F7,1,"0000110",$AC$5:$AC$10)</f>
        <v>46218</v>
      </c>
      <c r="F8" s="108">
        <f>WORKDAY.INTL(E8,1,"0000110",$AC$5:$AC$11)</f>
        <v>46219</v>
      </c>
      <c r="G8" s="108">
        <f>WORKDAY.INTL(H7,1,"0000110",$AC$5:$AC$10)</f>
        <v>46218</v>
      </c>
      <c r="H8" s="108">
        <f>WORKDAY.INTL(G8,1,"0000110",$AC$5:$AC$11)</f>
        <v>46219</v>
      </c>
      <c r="I8" s="108"/>
      <c r="J8" s="108"/>
      <c r="K8" s="109"/>
      <c r="L8" s="109" t="str">
        <f t="shared" ca="1" si="0"/>
        <v>Not Started</v>
      </c>
      <c r="M8" s="29"/>
      <c r="N8" s="34"/>
      <c r="O8" s="34"/>
      <c r="P8" s="34"/>
      <c r="Q8" s="34"/>
      <c r="R8" s="34"/>
      <c r="S8" s="34"/>
      <c r="T8" s="35"/>
      <c r="U8" s="32" t="s">
        <v>108</v>
      </c>
      <c r="V8" t="s">
        <v>109</v>
      </c>
      <c r="X8" s="28" t="s">
        <v>64</v>
      </c>
      <c r="Y8" s="6" t="s">
        <v>68</v>
      </c>
      <c r="AC8" s="33">
        <v>46169</v>
      </c>
    </row>
    <row r="9" spans="2:29" ht="45" customHeight="1" x14ac:dyDescent="0.15">
      <c r="B9" s="376"/>
      <c r="C9" s="110" t="s">
        <v>110</v>
      </c>
      <c r="D9" s="107">
        <f>NETWORKDAYS.INTL(E9,F9,"0000110",$AC$5:$AC$12)</f>
        <v>2</v>
      </c>
      <c r="E9" s="108">
        <f>WORKDAY.INTL(F8,1,"0000110",$AC$5:$AC$10)</f>
        <v>46222</v>
      </c>
      <c r="F9" s="108">
        <f>WORKDAY.INTL(E9,1,"0000110",$AC$5:$AC$11)</f>
        <v>46223</v>
      </c>
      <c r="G9" s="108">
        <f>WORKDAY.INTL(H8,1,"0000110",$AC$5:$AC$10)</f>
        <v>46222</v>
      </c>
      <c r="H9" s="108">
        <f>WORKDAY.INTL(G9,1,"0000110",$AC$5:$AC$11)</f>
        <v>46223</v>
      </c>
      <c r="I9" s="108"/>
      <c r="J9" s="108"/>
      <c r="K9" s="109"/>
      <c r="L9" s="109" t="str">
        <f t="shared" ca="1" si="0"/>
        <v>Not Started</v>
      </c>
      <c r="M9" s="29"/>
      <c r="N9" s="34"/>
      <c r="O9" s="34"/>
      <c r="P9" s="34"/>
      <c r="Q9" s="34"/>
      <c r="R9" s="34"/>
      <c r="S9" s="34"/>
      <c r="T9" s="35"/>
      <c r="U9" s="32" t="s">
        <v>111</v>
      </c>
      <c r="V9" t="s">
        <v>109</v>
      </c>
      <c r="X9" s="28" t="s">
        <v>65</v>
      </c>
      <c r="Y9" s="6" t="s">
        <v>68</v>
      </c>
      <c r="AC9" s="33">
        <v>46170</v>
      </c>
    </row>
    <row r="10" spans="2:29" s="62" customFormat="1" ht="45" customHeight="1" thickBot="1" x14ac:dyDescent="0.3">
      <c r="B10" s="381"/>
      <c r="C10" s="110" t="s">
        <v>112</v>
      </c>
      <c r="D10" s="107">
        <f>NETWORKDAYS.INTL(E10,F10,"0000110",$AC$5:$AC$12)</f>
        <v>1</v>
      </c>
      <c r="E10" s="108">
        <f>WORKDAY.INTL(F9,0,"0000110",$AC$5:$AC$10)</f>
        <v>46223</v>
      </c>
      <c r="F10" s="108">
        <f>WORKDAY.INTL(E10,0,"0000110",$AC$5:$AC$11)</f>
        <v>46223</v>
      </c>
      <c r="G10" s="108">
        <f>WORKDAY.INTL(H9,0,"0000110",$AC$5:$AC$10)</f>
        <v>46223</v>
      </c>
      <c r="H10" s="108">
        <f>WORKDAY.INTL(G10,0,"0000110",$AC$5:$AC$11)</f>
        <v>46223</v>
      </c>
      <c r="I10" s="108"/>
      <c r="J10" s="108"/>
      <c r="K10" s="109"/>
      <c r="L10" s="109" t="str">
        <f t="shared" ca="1" si="0"/>
        <v>Not Started</v>
      </c>
      <c r="M10" s="72"/>
      <c r="N10" s="63"/>
      <c r="O10" s="63"/>
      <c r="P10" s="63"/>
      <c r="Q10" s="63"/>
      <c r="R10" s="63"/>
      <c r="S10" s="63"/>
      <c r="T10" s="64"/>
      <c r="U10" s="65"/>
      <c r="V10" s="62" t="s">
        <v>109</v>
      </c>
      <c r="X10" s="66" t="s">
        <v>66</v>
      </c>
      <c r="Y10" s="67" t="s">
        <v>68</v>
      </c>
      <c r="Z10" s="67"/>
      <c r="AC10" s="68">
        <v>46171</v>
      </c>
    </row>
    <row r="11" spans="2:29" s="1" customFormat="1" ht="4.5" customHeight="1" thickBot="1" x14ac:dyDescent="0.2">
      <c r="B11" s="23"/>
      <c r="C11" s="23"/>
      <c r="D11" s="24"/>
      <c r="E11" s="23"/>
      <c r="F11" s="23"/>
      <c r="G11" s="23"/>
      <c r="H11" s="23"/>
      <c r="I11" s="23"/>
      <c r="J11" s="23"/>
      <c r="K11" s="25"/>
      <c r="L11" s="25"/>
      <c r="M11" s="23"/>
      <c r="N11" s="23"/>
      <c r="O11" s="23"/>
      <c r="P11" s="23"/>
      <c r="Q11" s="23"/>
      <c r="R11" s="23"/>
      <c r="S11" s="23"/>
      <c r="T11" s="23"/>
      <c r="U11" s="26"/>
      <c r="X11" s="27"/>
      <c r="Y11" s="27"/>
      <c r="AC11" s="33">
        <v>46288</v>
      </c>
    </row>
    <row r="12" spans="2:29" ht="45" customHeight="1" x14ac:dyDescent="0.15">
      <c r="B12" s="377" t="s">
        <v>113</v>
      </c>
      <c r="C12" s="111" t="s">
        <v>102</v>
      </c>
      <c r="D12" s="112">
        <f>NETWORKDAYS.INTL(E12,F12,"0000100",$AC$5:$AC$12)</f>
        <v>8</v>
      </c>
      <c r="E12" s="113">
        <v>46164</v>
      </c>
      <c r="F12" s="114">
        <v>46179</v>
      </c>
      <c r="G12" s="113">
        <v>46164</v>
      </c>
      <c r="H12" s="114">
        <v>46179</v>
      </c>
      <c r="I12" s="114">
        <v>46164</v>
      </c>
      <c r="J12" s="114">
        <v>46182</v>
      </c>
      <c r="K12" s="115">
        <v>1</v>
      </c>
      <c r="L12" s="115" t="str">
        <f ca="1">IF(OR(K12=100%,J12&lt;&gt;""),"Completed",IF(AND(OR(K12="",K12=0),E12&gt;TODAY()),"Not Started",IF(AND(OR(K12="",K12=0),E12&lt;=TODAY()),"Delayed",IF(AND(K12&gt;0,K12&lt;100%,F12&lt;TODAY()),"Delayed",IF(AND(K12&gt;0,K12&lt;100%),"In Progress","")))))</f>
        <v>Completed</v>
      </c>
      <c r="M12" s="36"/>
      <c r="N12" s="37"/>
      <c r="O12" s="37"/>
      <c r="P12" s="37"/>
      <c r="Q12" s="37"/>
      <c r="R12" s="37"/>
      <c r="S12" s="37"/>
      <c r="T12" s="38"/>
      <c r="U12" s="39"/>
      <c r="X12" s="28" t="s">
        <v>62</v>
      </c>
      <c r="Y12" s="6" t="s">
        <v>69</v>
      </c>
      <c r="AC12" s="33">
        <v>46288</v>
      </c>
    </row>
    <row r="13" spans="2:29" ht="45" customHeight="1" x14ac:dyDescent="0.15">
      <c r="B13" s="378"/>
      <c r="C13" s="116" t="s">
        <v>104</v>
      </c>
      <c r="D13" s="117">
        <f>NETWORKDAYS.INTL(E13,F13,"0000100",$AC$5:$AC$12)</f>
        <v>14</v>
      </c>
      <c r="E13" s="113">
        <v>46183</v>
      </c>
      <c r="F13" s="114">
        <f>WORKDAY.INTL(E13,13,"0000100",$AC$5:$AC$11)</f>
        <v>46198</v>
      </c>
      <c r="G13" s="113">
        <v>46183</v>
      </c>
      <c r="H13" s="114">
        <f>WORKDAY.INTL(G13,13,"0000100",$AC$5:$AC$11)</f>
        <v>46198</v>
      </c>
      <c r="I13" s="114">
        <v>46187</v>
      </c>
      <c r="J13" s="114"/>
      <c r="K13" s="115">
        <v>0.2</v>
      </c>
      <c r="L13" s="115" t="str">
        <f ca="1">IF(OR(K13=100%,J13&lt;&gt;""),"Completed",IF(AND(OR(K13="",K13=0),E13&gt;TODAY()),"Not Started",IF(AND(OR(K13="",K13=0),E13&lt;=TODAY()),"Delayed",IF(AND(K13&gt;0,K13&lt;100%,F13&lt;TODAY()),"Delayed",IF(AND(K13&gt;0,K13&lt;100%),"In Progress","")))))</f>
        <v>In Progress</v>
      </c>
      <c r="M13" s="36"/>
      <c r="N13" s="40"/>
      <c r="O13" s="40"/>
      <c r="P13" s="40"/>
      <c r="Q13" s="40"/>
      <c r="R13" s="40"/>
      <c r="S13" s="40"/>
      <c r="T13" s="41"/>
      <c r="U13" s="42"/>
      <c r="X13" s="28" t="s">
        <v>63</v>
      </c>
      <c r="Y13" s="6" t="s">
        <v>69</v>
      </c>
    </row>
    <row r="14" spans="2:29" ht="45" customHeight="1" x14ac:dyDescent="0.15">
      <c r="B14" s="378"/>
      <c r="C14" s="118" t="s">
        <v>107</v>
      </c>
      <c r="D14" s="117">
        <f>NETWORKDAYS.INTL(E14,F14,"0000110",$AC$5:$AC$12)</f>
        <v>4</v>
      </c>
      <c r="E14" s="113">
        <f>WORKDAY.INTL(F8,1,"0000110",$AC$5:$AC$10)</f>
        <v>46222</v>
      </c>
      <c r="F14" s="113">
        <f>WORKDAY.INTL(E14,3,"0000110",$AC$5:$AC$11)</f>
        <v>46225</v>
      </c>
      <c r="G14" s="113">
        <f>WORKDAY.INTL(H8,1,"0000110",$AC$5:$AC$10)</f>
        <v>46222</v>
      </c>
      <c r="H14" s="113">
        <f>WORKDAY.INTL(G14,3,"0000110",$AC$5:$AC$11)</f>
        <v>46225</v>
      </c>
      <c r="I14" s="113"/>
      <c r="J14" s="113"/>
      <c r="K14" s="119"/>
      <c r="L14" s="119" t="str">
        <f ca="1">IF(OR(K14=100%,J14&lt;&gt;""),"Completed",IF(AND(OR(K14="",K14=0),E14&gt;TODAY()),"Not Started",IF(AND(OR(K14="",K14=0),E14&lt;=TODAY()),"Delayed",IF(AND(K14&gt;0,K14&lt;100%,F14&lt;TODAY()),"Delayed",IF(AND(K14&gt;0,K14&lt;100%),"In Progress","")))))</f>
        <v>Not Started</v>
      </c>
      <c r="M14" s="36"/>
      <c r="N14" s="43"/>
      <c r="O14" s="43"/>
      <c r="P14" s="43"/>
      <c r="Q14" s="43"/>
      <c r="R14" s="43"/>
      <c r="S14" s="43"/>
      <c r="T14" s="44"/>
      <c r="U14" s="42" t="s">
        <v>108</v>
      </c>
      <c r="X14" s="28" t="s">
        <v>64</v>
      </c>
      <c r="Y14" s="6" t="s">
        <v>69</v>
      </c>
    </row>
    <row r="15" spans="2:29" ht="45" customHeight="1" x14ac:dyDescent="0.15">
      <c r="B15" s="378"/>
      <c r="C15" s="118" t="s">
        <v>110</v>
      </c>
      <c r="D15" s="117">
        <f>NETWORKDAYS.INTL(E15,F15,"0000110",$AC$5:$AC$12)</f>
        <v>2</v>
      </c>
      <c r="E15" s="113">
        <f>WORKDAY.INTL(F14,1,"0000110",$AC$5:$AC$10)</f>
        <v>46226</v>
      </c>
      <c r="F15" s="113">
        <f>WORKDAY.INTL(E15,1,"0000110",$AC$5:$AC$11)</f>
        <v>46229</v>
      </c>
      <c r="G15" s="113">
        <f>WORKDAY.INTL(H14,1,"0000110",$AC$5:$AC$10)</f>
        <v>46226</v>
      </c>
      <c r="H15" s="113">
        <f>WORKDAY.INTL(G15,1,"0000110",$AC$5:$AC$11)</f>
        <v>46229</v>
      </c>
      <c r="I15" s="113"/>
      <c r="J15" s="113"/>
      <c r="K15" s="119"/>
      <c r="L15" s="119" t="str">
        <f ca="1">IF(OR(K15=100%,J15&lt;&gt;""),"Completed",IF(AND(OR(K15="",K15=0),E15&gt;TODAY()),"Not Started",IF(AND(OR(K15="",K15=0),E15&lt;=TODAY()),"Delayed",IF(AND(K15&gt;0,K15&lt;100%,F15&lt;TODAY()),"Delayed",IF(AND(K15&gt;0,K15&lt;100%),"In Progress","")))))</f>
        <v>Not Started</v>
      </c>
      <c r="M15" s="36"/>
      <c r="N15" s="43"/>
      <c r="O15" s="43"/>
      <c r="P15" s="43"/>
      <c r="Q15" s="43"/>
      <c r="R15" s="43"/>
      <c r="S15" s="43"/>
      <c r="T15" s="44"/>
      <c r="U15" s="42" t="s">
        <v>111</v>
      </c>
      <c r="X15" s="28" t="s">
        <v>65</v>
      </c>
      <c r="Y15" s="6" t="s">
        <v>69</v>
      </c>
    </row>
    <row r="16" spans="2:29" s="62" customFormat="1" ht="45" customHeight="1" thickBot="1" x14ac:dyDescent="0.3">
      <c r="B16" s="379"/>
      <c r="C16" s="118" t="s">
        <v>112</v>
      </c>
      <c r="D16" s="117">
        <f>NETWORKDAYS.INTL(E16,F16,"0000110",$AC$5:$AC$12)</f>
        <v>1</v>
      </c>
      <c r="E16" s="113">
        <f>WORKDAY.INTL(F15,0,"0000110",$AC$5:$AC$10)</f>
        <v>46229</v>
      </c>
      <c r="F16" s="113">
        <f>WORKDAY.INTL(E16,0,"0000110",$AC$5:$AC$11)</f>
        <v>46229</v>
      </c>
      <c r="G16" s="113">
        <f>WORKDAY.INTL(H15,0,"0000110",$AC$5:$AC$10)</f>
        <v>46229</v>
      </c>
      <c r="H16" s="113">
        <f>WORKDAY.INTL(G16,0,"0000110",$AC$5:$AC$11)</f>
        <v>46229</v>
      </c>
      <c r="I16" s="113"/>
      <c r="J16" s="113"/>
      <c r="K16" s="119"/>
      <c r="L16" s="119" t="str">
        <f ca="1">IF(OR(K16=100%,J16&lt;&gt;""),"Completed",IF(AND(OR(K16="",K16=0),E16&gt;TODAY()),"Not Started",IF(AND(OR(K16="",K16=0),E16&lt;=TODAY()),"Delayed",IF(AND(K16&gt;0,K16&lt;100%,F16&lt;TODAY()),"Delayed",IF(AND(K16&gt;0,K16&lt;100%),"In Progress","")))))</f>
        <v>Not Started</v>
      </c>
      <c r="M16" s="73"/>
      <c r="N16" s="69"/>
      <c r="O16" s="69"/>
      <c r="P16" s="69"/>
      <c r="Q16" s="69"/>
      <c r="R16" s="69"/>
      <c r="S16" s="69"/>
      <c r="T16" s="70"/>
      <c r="U16" s="71"/>
      <c r="X16" s="66" t="s">
        <v>66</v>
      </c>
      <c r="Y16" s="67" t="s">
        <v>69</v>
      </c>
      <c r="Z16" s="67"/>
    </row>
    <row r="17" spans="2:29" s="1" customFormat="1" ht="4.5" customHeight="1" thickBot="1" x14ac:dyDescent="0.2">
      <c r="B17" s="23"/>
      <c r="C17" s="23"/>
      <c r="D17" s="24"/>
      <c r="E17" s="23"/>
      <c r="F17" s="23"/>
      <c r="G17" s="23"/>
      <c r="H17" s="23"/>
      <c r="I17" s="23"/>
      <c r="J17" s="23"/>
      <c r="K17" s="25"/>
      <c r="L17" s="25"/>
      <c r="M17" s="23"/>
      <c r="N17" s="23"/>
      <c r="O17" s="23"/>
      <c r="P17" s="23"/>
      <c r="Q17" s="23"/>
      <c r="R17" s="23"/>
      <c r="S17" s="23"/>
      <c r="T17" s="23"/>
      <c r="U17" s="26"/>
      <c r="X17" s="27"/>
      <c r="Y17" s="27"/>
    </row>
    <row r="18" spans="2:29" ht="45" customHeight="1" x14ac:dyDescent="0.15">
      <c r="B18" s="380" t="s">
        <v>114</v>
      </c>
      <c r="C18" s="106" t="s">
        <v>102</v>
      </c>
      <c r="D18" s="107">
        <f>NETWORKDAYS.INTL(E18,F18,"0000100",$AC$5:$AC$12)</f>
        <v>10</v>
      </c>
      <c r="E18" s="108">
        <f>WORKDAY.INTL(F12,1,"0000100",$AC$5:$AC$11)</f>
        <v>46180</v>
      </c>
      <c r="F18" s="108">
        <v>46190</v>
      </c>
      <c r="G18" s="108">
        <f>WORKDAY.INTL(H12,1,"0000100",$AC$5:$AC$11)</f>
        <v>46180</v>
      </c>
      <c r="H18" s="108">
        <v>46190</v>
      </c>
      <c r="I18" s="108">
        <v>46171</v>
      </c>
      <c r="J18" s="108"/>
      <c r="K18" s="109">
        <v>1</v>
      </c>
      <c r="L18" s="109" t="str">
        <f ca="1">IF(OR(K18=100%,J18&lt;&gt;""),"Completed",IF(AND(OR(K18="",K18=0),E18&gt;TODAY()),"Not Started",IF(AND(OR(K18="",K18=0),E18&lt;=TODAY()),"Delayed",IF(AND(K18&gt;0,K18&lt;100%,F18&lt;TODAY()),"Delayed",IF(AND(K18&gt;0,K18&lt;100%),"In Progress","")))))</f>
        <v>Completed</v>
      </c>
      <c r="M18" s="29"/>
      <c r="N18" s="30"/>
      <c r="O18" s="30"/>
      <c r="P18" s="30"/>
      <c r="Q18" s="30"/>
      <c r="R18" s="30"/>
      <c r="S18" s="30"/>
      <c r="T18" s="31"/>
      <c r="U18" s="32"/>
      <c r="X18" s="28" t="s">
        <v>62</v>
      </c>
      <c r="Y18" s="6" t="s">
        <v>70</v>
      </c>
    </row>
    <row r="19" spans="2:29" ht="45" customHeight="1" x14ac:dyDescent="0.15">
      <c r="B19" s="376"/>
      <c r="C19" s="106" t="s">
        <v>104</v>
      </c>
      <c r="D19" s="107">
        <f>NETWORKDAYS.INTL(E19,F19,"0000100",$AC$5:$AC$12)</f>
        <v>5</v>
      </c>
      <c r="E19" s="108">
        <f>WORKDAY.INTL(F13,1,"0000100",$AC$5:$AC$11)</f>
        <v>46200</v>
      </c>
      <c r="F19" s="108">
        <f>WORKDAY.INTL(E19,4,"0000100",$AC$5:$AC$11)</f>
        <v>46204</v>
      </c>
      <c r="G19" s="108">
        <f>WORKDAY.INTL(H13,1,"0000100",$AC$5:$AC$11)</f>
        <v>46200</v>
      </c>
      <c r="H19" s="108">
        <f>WORKDAY.INTL(G19,4,"0000100",$AC$5:$AC$11)</f>
        <v>46204</v>
      </c>
      <c r="I19" s="108"/>
      <c r="J19" s="108"/>
      <c r="K19" s="109"/>
      <c r="L19" s="109" t="str">
        <f ca="1">IF(OR(K19=100%,J19&lt;&gt;""),"Completed",IF(AND(OR(K19="",K19=0),E19&gt;TODAY()),"Not Started",IF(AND(OR(K19="",K19=0),E19&lt;=TODAY()),"Delayed",IF(AND(K19&gt;0,K19&lt;100%,F19&lt;TODAY()),"Delayed",IF(AND(K19&gt;0,K19&lt;100%),"In Progress","")))))</f>
        <v>Not Started</v>
      </c>
      <c r="M19" s="29"/>
      <c r="N19" s="30"/>
      <c r="O19" s="30"/>
      <c r="P19" s="30"/>
      <c r="Q19" s="30"/>
      <c r="R19" s="30"/>
      <c r="S19" s="30"/>
      <c r="T19" s="31"/>
      <c r="U19" s="32"/>
      <c r="X19" s="28" t="s">
        <v>63</v>
      </c>
      <c r="Y19" s="6" t="s">
        <v>70</v>
      </c>
    </row>
    <row r="20" spans="2:29" ht="45" customHeight="1" x14ac:dyDescent="0.15">
      <c r="B20" s="376"/>
      <c r="C20" s="106" t="s">
        <v>107</v>
      </c>
      <c r="D20" s="107">
        <f>NETWORKDAYS.INTL(E20,F20,"0000110",$AC$5:$AC$12)</f>
        <v>5</v>
      </c>
      <c r="E20" s="108">
        <f>WORKDAY.INTL(F14,1,"0000110",$AC$5:$AC$10)</f>
        <v>46226</v>
      </c>
      <c r="F20" s="108">
        <f>WORKDAY.INTL(E20,4,"0000110",$AC$5:$AC$11)</f>
        <v>46232</v>
      </c>
      <c r="G20" s="108">
        <f>WORKDAY.INTL(H14,1,"0000110",$AC$5:$AC$10)</f>
        <v>46226</v>
      </c>
      <c r="H20" s="108">
        <f>WORKDAY.INTL(G20,4,"0000110",$AC$5:$AC$11)</f>
        <v>46232</v>
      </c>
      <c r="I20" s="108"/>
      <c r="J20" s="108"/>
      <c r="K20" s="109"/>
      <c r="L20" s="109" t="str">
        <f ca="1">IF(OR(K20=100%,J20&lt;&gt;""),"Completed",IF(AND(OR(K20="",K20=0),E20&gt;TODAY()),"Not Started",IF(AND(OR(K20="",K20=0),E20&lt;=TODAY()),"Delayed",IF(AND(K20&gt;0,K20&lt;100%,F20&lt;TODAY()),"Delayed",IF(AND(K20&gt;0,K20&lt;100%),"In Progress","")))))</f>
        <v>Not Started</v>
      </c>
      <c r="M20" s="29"/>
      <c r="N20" s="30"/>
      <c r="O20" s="30"/>
      <c r="P20" s="30"/>
      <c r="Q20" s="30"/>
      <c r="R20" s="30"/>
      <c r="S20" s="30"/>
      <c r="T20" s="31"/>
      <c r="U20" s="32" t="s">
        <v>108</v>
      </c>
      <c r="X20" s="28" t="s">
        <v>64</v>
      </c>
      <c r="Y20" s="6" t="s">
        <v>70</v>
      </c>
    </row>
    <row r="21" spans="2:29" ht="45" customHeight="1" x14ac:dyDescent="0.15">
      <c r="B21" s="376"/>
      <c r="C21" s="110" t="s">
        <v>110</v>
      </c>
      <c r="D21" s="107">
        <f>NETWORKDAYS.INTL(E21,F21,"0000110",$AC$5:$AC$12)</f>
        <v>2</v>
      </c>
      <c r="E21" s="108">
        <f>WORKDAY.INTL(F20,1,"0000110",$AC$5:$AC$10)</f>
        <v>46233</v>
      </c>
      <c r="F21" s="108">
        <f>WORKDAY.INTL(E21,1,"0000110",$AC$5:$AC$11)</f>
        <v>46236</v>
      </c>
      <c r="G21" s="108">
        <f>WORKDAY.INTL(H20,1,"0000110",$AC$5:$AC$10)</f>
        <v>46233</v>
      </c>
      <c r="H21" s="108">
        <f>WORKDAY.INTL(G21,1,"0000110",$AC$5:$AC$11)</f>
        <v>46236</v>
      </c>
      <c r="I21" s="108"/>
      <c r="J21" s="108"/>
      <c r="K21" s="109"/>
      <c r="L21" s="109" t="str">
        <f ca="1">IF(OR(K21=100%,J21&lt;&gt;""),"Completed",IF(AND(OR(K21="",K21=0),E21&gt;TODAY()),"Not Started",IF(AND(OR(K21="",K21=0),E21&lt;=TODAY()),"Delayed",IF(AND(K21&gt;0,K21&lt;100%,F21&lt;TODAY()),"Delayed",IF(AND(K21&gt;0,K21&lt;100%),"In Progress","")))))</f>
        <v>Not Started</v>
      </c>
      <c r="M21" s="29"/>
      <c r="N21" s="34"/>
      <c r="O21" s="34"/>
      <c r="P21" s="34"/>
      <c r="Q21" s="34"/>
      <c r="R21" s="34"/>
      <c r="S21" s="34"/>
      <c r="T21" s="35"/>
      <c r="U21" s="32" t="s">
        <v>111</v>
      </c>
      <c r="X21" s="28" t="s">
        <v>65</v>
      </c>
      <c r="Y21" s="6" t="s">
        <v>70</v>
      </c>
    </row>
    <row r="22" spans="2:29" s="62" customFormat="1" ht="45" customHeight="1" thickBot="1" x14ac:dyDescent="0.3">
      <c r="B22" s="381"/>
      <c r="C22" s="110" t="s">
        <v>112</v>
      </c>
      <c r="D22" s="107">
        <f>NETWORKDAYS.INTL(E22,F22,"0000110",$AC$5:$AC$12)</f>
        <v>1</v>
      </c>
      <c r="E22" s="108">
        <f>WORKDAY.INTL(F21,0,"0000110",$AC$5:$AC$10)</f>
        <v>46236</v>
      </c>
      <c r="F22" s="108">
        <f>WORKDAY.INTL(E22,0,"0000110",$AC$5:$AC$11)</f>
        <v>46236</v>
      </c>
      <c r="G22" s="108">
        <f>WORKDAY.INTL(H21,0,"0000110",$AC$5:$AC$10)</f>
        <v>46236</v>
      </c>
      <c r="H22" s="108">
        <f>WORKDAY.INTL(G22,0,"0000110",$AC$5:$AC$11)</f>
        <v>46236</v>
      </c>
      <c r="I22" s="108"/>
      <c r="J22" s="108"/>
      <c r="K22" s="109"/>
      <c r="L22" s="109" t="str">
        <f ca="1">IF(OR(K22=100%,J22&lt;&gt;""),"Completed",IF(AND(OR(K22="",K22=0),E22&gt;TODAY()),"Not Started",IF(AND(OR(K22="",K22=0),E22&lt;=TODAY()),"Delayed",IF(AND(K22&gt;0,K22&lt;100%,F22&lt;TODAY()),"Delayed",IF(AND(K22&gt;0,K22&lt;100%),"In Progress","")))))</f>
        <v>Not Started</v>
      </c>
      <c r="M22" s="29"/>
      <c r="N22" s="34"/>
      <c r="O22" s="34"/>
      <c r="P22" s="34"/>
      <c r="Q22" s="34"/>
      <c r="R22" s="34"/>
      <c r="S22" s="34"/>
      <c r="T22" s="35"/>
      <c r="U22" s="32"/>
      <c r="X22" s="66" t="s">
        <v>66</v>
      </c>
      <c r="Y22" s="67" t="s">
        <v>70</v>
      </c>
      <c r="Z22" s="67"/>
    </row>
    <row r="23" spans="2:29" s="1" customFormat="1" ht="4.5" customHeight="1" thickBot="1" x14ac:dyDescent="0.2">
      <c r="B23" s="23"/>
      <c r="C23" s="23"/>
      <c r="D23" s="24"/>
      <c r="E23" s="23"/>
      <c r="F23" s="23"/>
      <c r="G23" s="23"/>
      <c r="H23" s="23"/>
      <c r="I23" s="23"/>
      <c r="J23" s="23"/>
      <c r="K23" s="25"/>
      <c r="L23" s="25"/>
      <c r="M23" s="23"/>
      <c r="N23" s="23"/>
      <c r="O23" s="23"/>
      <c r="P23" s="23"/>
      <c r="Q23" s="23"/>
      <c r="R23" s="23"/>
      <c r="S23" s="23"/>
      <c r="T23" s="23"/>
      <c r="U23" s="26"/>
      <c r="X23" s="27"/>
      <c r="Y23" s="27"/>
    </row>
    <row r="24" spans="2:29" ht="45" customHeight="1" x14ac:dyDescent="0.15">
      <c r="B24" s="377" t="s">
        <v>115</v>
      </c>
      <c r="C24" s="111" t="s">
        <v>102</v>
      </c>
      <c r="D24" s="112">
        <f>NETWORKDAYS.INTL(E24,F24,"0000100",$AC$5:$AC$12)</f>
        <v>7</v>
      </c>
      <c r="E24" s="113">
        <f>WORKDAY.INTL(F18,1,"0000100",$AC$5:$AC$11)</f>
        <v>46191</v>
      </c>
      <c r="F24" s="114">
        <f>WORKDAY.INTL(E24,6,"0000100",$AC$5:$AC$11)</f>
        <v>46198</v>
      </c>
      <c r="G24" s="113">
        <f>WORKDAY.INTL(H18,1,"0000100",$AC$5:$AC$11)</f>
        <v>46191</v>
      </c>
      <c r="H24" s="114">
        <f>WORKDAY.INTL(G24,6,"0000100",$AC$5:$AC$11)</f>
        <v>46198</v>
      </c>
      <c r="I24" s="114"/>
      <c r="J24" s="114"/>
      <c r="K24" s="115">
        <v>0.9</v>
      </c>
      <c r="L24" s="115" t="str">
        <f ca="1">IF(OR(K24=100%,J24&lt;&gt;""),"Completed",IF(AND(OR(K24="",K24=0),E24&gt;TODAY()),"Not Started",IF(AND(OR(K24="",K24=0),E24&lt;=TODAY()),"Delayed",IF(AND(K24&gt;0,K24&lt;100%,F24&lt;TODAY()),"Delayed",IF(AND(K24&gt;0,K24&lt;100%),"In Progress","")))))</f>
        <v>In Progress</v>
      </c>
      <c r="M24" s="36"/>
      <c r="N24" s="37"/>
      <c r="O24" s="37"/>
      <c r="P24" s="37"/>
      <c r="Q24" s="37"/>
      <c r="R24" s="37"/>
      <c r="S24" s="37"/>
      <c r="T24" s="38"/>
      <c r="U24" s="39"/>
      <c r="X24" s="28" t="s">
        <v>62</v>
      </c>
      <c r="Y24" s="6" t="s">
        <v>71</v>
      </c>
      <c r="AC24" s="33"/>
    </row>
    <row r="25" spans="2:29" ht="45" customHeight="1" x14ac:dyDescent="0.15">
      <c r="B25" s="378"/>
      <c r="C25" s="116" t="s">
        <v>104</v>
      </c>
      <c r="D25" s="117">
        <f>NETWORKDAYS.INTL(E25,F25,"0000100",$AC$5:$AC$12)</f>
        <v>5</v>
      </c>
      <c r="E25" s="113">
        <f>WORKDAY.INTL(F19,1,"0000100",$AC$5:$AC$11)</f>
        <v>46205</v>
      </c>
      <c r="F25" s="114">
        <f>WORKDAY.INTL(E25,4,"0000100",$AC$5:$AC$11)</f>
        <v>46210</v>
      </c>
      <c r="G25" s="113">
        <f>WORKDAY.INTL(H19,1,"0000100",$AC$5:$AC$11)</f>
        <v>46205</v>
      </c>
      <c r="H25" s="114">
        <f>WORKDAY.INTL(G25,4,"0000100",$AC$5:$AC$11)</f>
        <v>46210</v>
      </c>
      <c r="I25" s="114"/>
      <c r="J25" s="114"/>
      <c r="K25" s="115"/>
      <c r="L25" s="115" t="str">
        <f ca="1">IF(OR(K25=100%,J25&lt;&gt;""),"Completed",IF(AND(OR(K25="",K25=0),E25&gt;TODAY()),"Not Started",IF(AND(OR(K25="",K25=0),E25&lt;=TODAY()),"Delayed",IF(AND(K25&gt;0,K25&lt;100%,F25&lt;TODAY()),"Delayed",IF(AND(K25&gt;0,K25&lt;100%),"In Progress","")))))</f>
        <v>Not Started</v>
      </c>
      <c r="M25" s="36"/>
      <c r="N25" s="40"/>
      <c r="O25" s="40"/>
      <c r="P25" s="40"/>
      <c r="Q25" s="40"/>
      <c r="R25" s="40"/>
      <c r="S25" s="40"/>
      <c r="T25" s="41"/>
      <c r="U25" s="42" t="s">
        <v>116</v>
      </c>
      <c r="X25" s="28" t="s">
        <v>63</v>
      </c>
      <c r="Y25" s="6" t="s">
        <v>71</v>
      </c>
    </row>
    <row r="26" spans="2:29" ht="45" customHeight="1" x14ac:dyDescent="0.15">
      <c r="B26" s="378"/>
      <c r="C26" s="118" t="s">
        <v>107</v>
      </c>
      <c r="D26" s="117">
        <f>NETWORKDAYS.INTL(E26,F26,"0000110",$AC$5:$AC$12)</f>
        <v>6</v>
      </c>
      <c r="E26" s="113">
        <f>WORKDAY.INTL(F20,1,"0000110",$AC$5:$AC$11)</f>
        <v>46233</v>
      </c>
      <c r="F26" s="113">
        <f>WORKDAY.INTL(E26,5,"0000110",$AC$5:$AC$11)</f>
        <v>46240</v>
      </c>
      <c r="G26" s="113">
        <f>WORKDAY.INTL(H20,1,"0000110",$AC$5:$AC$11)</f>
        <v>46233</v>
      </c>
      <c r="H26" s="113">
        <f>WORKDAY.INTL(G26,5,"0000110",$AC$5:$AC$11)</f>
        <v>46240</v>
      </c>
      <c r="I26" s="113"/>
      <c r="J26" s="113"/>
      <c r="K26" s="119"/>
      <c r="L26" s="119" t="str">
        <f ca="1">IF(OR(K26=100%,J26&lt;&gt;""),"Completed",IF(AND(OR(K26="",K26=0),E26&gt;TODAY()),"Not Started",IF(AND(OR(K26="",K26=0),E26&lt;=TODAY()),"Delayed",IF(AND(K26&gt;0,K26&lt;100%,F26&lt;TODAY()),"Delayed",IF(AND(K26&gt;0,K26&lt;100%),"In Progress","")))))</f>
        <v>Not Started</v>
      </c>
      <c r="M26" s="36"/>
      <c r="N26" s="43"/>
      <c r="O26" s="43"/>
      <c r="P26" s="43"/>
      <c r="Q26" s="43"/>
      <c r="R26" s="43"/>
      <c r="S26" s="43"/>
      <c r="T26" s="44"/>
      <c r="U26" s="42" t="s">
        <v>108</v>
      </c>
      <c r="X26" s="28" t="s">
        <v>64</v>
      </c>
      <c r="Y26" s="6" t="s">
        <v>71</v>
      </c>
    </row>
    <row r="27" spans="2:29" ht="45" customHeight="1" x14ac:dyDescent="0.15">
      <c r="B27" s="378"/>
      <c r="C27" s="118" t="s">
        <v>110</v>
      </c>
      <c r="D27" s="117">
        <f>NETWORKDAYS.INTL(E27,F27,"0000110",$AC$5:$AC$12)</f>
        <v>2</v>
      </c>
      <c r="E27" s="113">
        <f>WORKDAY.INTL(F26,1,"0000110",$AC$5:$AC$11)</f>
        <v>46243</v>
      </c>
      <c r="F27" s="113">
        <f>WORKDAY.INTL(E27,1,"0000110",$AC$5:$AC$11)</f>
        <v>46244</v>
      </c>
      <c r="G27" s="113">
        <f>WORKDAY.INTL(H26,1,"0000110",$AC$5:$AC$11)</f>
        <v>46243</v>
      </c>
      <c r="H27" s="113">
        <f>WORKDAY.INTL(G27,1,"0000110",$AC$5:$AC$11)</f>
        <v>46244</v>
      </c>
      <c r="I27" s="113"/>
      <c r="J27" s="113"/>
      <c r="K27" s="119"/>
      <c r="L27" s="119" t="str">
        <f ca="1">IF(OR(K27=100%,J27&lt;&gt;""),"Completed",IF(AND(OR(K27="",K27=0),E27&gt;TODAY()),"Not Started",IF(AND(OR(K27="",K27=0),E27&lt;=TODAY()),"Delayed",IF(AND(K27&gt;0,K27&lt;100%,F27&lt;TODAY()),"Delayed",IF(AND(K27&gt;0,K27&lt;100%),"In Progress","")))))</f>
        <v>Not Started</v>
      </c>
      <c r="M27" s="36"/>
      <c r="N27" s="43"/>
      <c r="O27" s="43"/>
      <c r="P27" s="43"/>
      <c r="Q27" s="43"/>
      <c r="R27" s="43"/>
      <c r="S27" s="43"/>
      <c r="T27" s="44"/>
      <c r="U27" s="42" t="s">
        <v>111</v>
      </c>
      <c r="X27" s="28" t="s">
        <v>65</v>
      </c>
      <c r="Y27" s="6" t="s">
        <v>71</v>
      </c>
    </row>
    <row r="28" spans="2:29" s="62" customFormat="1" ht="45" customHeight="1" thickBot="1" x14ac:dyDescent="0.3">
      <c r="B28" s="379"/>
      <c r="C28" s="118" t="s">
        <v>112</v>
      </c>
      <c r="D28" s="117">
        <f>NETWORKDAYS.INTL(E28,F28,"0000110",$AC$5:$AC$12)</f>
        <v>1</v>
      </c>
      <c r="E28" s="113">
        <f>WORKDAY.INTL(F27,0,"0000110",$AC$5:$AC$11)</f>
        <v>46244</v>
      </c>
      <c r="F28" s="113">
        <f>WORKDAY.INTL(E28,0,"0000110",$AC$5:$AC$11)</f>
        <v>46244</v>
      </c>
      <c r="G28" s="113">
        <f>WORKDAY.INTL(H27,0,"0000110",$AC$5:$AC$11)</f>
        <v>46244</v>
      </c>
      <c r="H28" s="113">
        <f>WORKDAY.INTL(G28,0,"0000110",$AC$5:$AC$11)</f>
        <v>46244</v>
      </c>
      <c r="I28" s="113"/>
      <c r="J28" s="113"/>
      <c r="K28" s="119"/>
      <c r="L28" s="119" t="str">
        <f ca="1">IF(OR(K28=100%,J28&lt;&gt;""),"Completed",IF(AND(OR(K28="",K28=0),E28&gt;TODAY()),"Not Started",IF(AND(OR(K28="",K28=0),E28&lt;=TODAY()),"Delayed",IF(AND(K28&gt;0,K28&lt;100%,F28&lt;TODAY()),"Delayed",IF(AND(K28&gt;0,K28&lt;100%),"In Progress","")))))</f>
        <v>Not Started</v>
      </c>
      <c r="M28" s="73"/>
      <c r="N28" s="69"/>
      <c r="O28" s="69"/>
      <c r="P28" s="69"/>
      <c r="Q28" s="69"/>
      <c r="R28" s="69"/>
      <c r="S28" s="69"/>
      <c r="T28" s="70"/>
      <c r="U28" s="71"/>
      <c r="X28" s="66" t="s">
        <v>66</v>
      </c>
      <c r="Y28" s="67" t="s">
        <v>71</v>
      </c>
      <c r="Z28" s="67"/>
    </row>
    <row r="29" spans="2:29" s="1" customFormat="1" ht="4.5" customHeight="1" thickBot="1" x14ac:dyDescent="0.2">
      <c r="B29" s="23"/>
      <c r="C29" s="23"/>
      <c r="D29" s="24"/>
      <c r="E29" s="23"/>
      <c r="F29" s="23"/>
      <c r="G29" s="23"/>
      <c r="H29" s="23"/>
      <c r="I29" s="23"/>
      <c r="J29" s="23"/>
      <c r="K29" s="25"/>
      <c r="L29" s="25"/>
      <c r="M29" s="23"/>
      <c r="N29" s="23"/>
      <c r="O29" s="23"/>
      <c r="P29" s="23"/>
      <c r="Q29" s="23"/>
      <c r="R29" s="23"/>
      <c r="S29" s="23"/>
      <c r="T29" s="23"/>
      <c r="U29" s="26"/>
      <c r="X29" s="27"/>
      <c r="Y29" s="27"/>
    </row>
    <row r="30" spans="2:29" ht="45" customHeight="1" x14ac:dyDescent="0.15">
      <c r="B30" s="380" t="s">
        <v>117</v>
      </c>
      <c r="C30" s="106" t="s">
        <v>102</v>
      </c>
      <c r="D30" s="107">
        <f>NETWORKDAYS.INTL(E30,F30,"0000100",$AC$5:$AC$12)</f>
        <v>7</v>
      </c>
      <c r="E30" s="108">
        <f>WORKDAY.INTL(F24,1,"0000100",$AC$5:$AC$11)</f>
        <v>46200</v>
      </c>
      <c r="F30" s="108">
        <f>WORKDAY.INTL(E30,6,"0000100",$AC$5:$AC$11)</f>
        <v>46207</v>
      </c>
      <c r="G30" s="108">
        <f>WORKDAY.INTL(H24,1,"0000100",$AC$5:$AC$11)</f>
        <v>46200</v>
      </c>
      <c r="H30" s="108">
        <f>WORKDAY.INTL(G30,6,"0000100",$AC$5:$AC$11)</f>
        <v>46207</v>
      </c>
      <c r="I30" s="108"/>
      <c r="J30" s="108"/>
      <c r="K30" s="109"/>
      <c r="L30" s="109" t="str">
        <f ca="1">IF(OR(K30=100%,J30&lt;&gt;""),"Completed",IF(AND(OR(K30="",K30=0),E30&gt;TODAY()),"Not Started",IF(AND(OR(K30="",K30=0),E30&lt;=TODAY()),"Delayed",IF(AND(K30&gt;0,K30&lt;100%,F30&lt;TODAY()),"Delayed",IF(AND(K30&gt;0,K30&lt;100%),"In Progress","")))))</f>
        <v>Not Started</v>
      </c>
      <c r="M30" s="29"/>
      <c r="N30" s="30"/>
      <c r="O30" s="30"/>
      <c r="P30" s="30"/>
      <c r="Q30" s="30"/>
      <c r="R30" s="30"/>
      <c r="S30" s="30"/>
      <c r="T30" s="31"/>
      <c r="U30" s="32"/>
      <c r="X30" s="28" t="s">
        <v>62</v>
      </c>
      <c r="Y30" s="6" t="s">
        <v>72</v>
      </c>
    </row>
    <row r="31" spans="2:29" ht="45" customHeight="1" x14ac:dyDescent="0.15">
      <c r="B31" s="376"/>
      <c r="C31" s="106" t="s">
        <v>104</v>
      </c>
      <c r="D31" s="107">
        <f>NETWORKDAYS.INTL(E31,F31,"0000100",$AC$5:$AC$12)</f>
        <v>5</v>
      </c>
      <c r="E31" s="108">
        <f>WORKDAY.INTL(F25,1,"0000100",$AC$5:$AC$11)</f>
        <v>46211</v>
      </c>
      <c r="F31" s="108">
        <f>WORKDAY.INTL(E31,4,"0000100",$AC$5:$AC$11)</f>
        <v>46216</v>
      </c>
      <c r="G31" s="108">
        <f>WORKDAY.INTL(H25,1,"0000100",$AC$5:$AC$11)</f>
        <v>46211</v>
      </c>
      <c r="H31" s="108">
        <f>WORKDAY.INTL(G31,4,"0000100",$AC$5:$AC$11)</f>
        <v>46216</v>
      </c>
      <c r="I31" s="108"/>
      <c r="J31" s="108"/>
      <c r="K31" s="109"/>
      <c r="L31" s="109" t="str">
        <f ca="1">IF(OR(K31=100%,J31&lt;&gt;""),"Completed",IF(AND(OR(K31="",K31=0),E31&gt;TODAY()),"Not Started",IF(AND(OR(K31="",K31=0),E31&lt;=TODAY()),"Delayed",IF(AND(K31&gt;0,K31&lt;100%,F31&lt;TODAY()),"Delayed",IF(AND(K31&gt;0,K31&lt;100%),"In Progress","")))))</f>
        <v>Not Started</v>
      </c>
      <c r="M31" s="29"/>
      <c r="N31" s="30"/>
      <c r="O31" s="30"/>
      <c r="P31" s="30"/>
      <c r="Q31" s="30"/>
      <c r="R31" s="30"/>
      <c r="S31" s="30"/>
      <c r="T31" s="31"/>
      <c r="U31" s="32"/>
      <c r="X31" s="28" t="s">
        <v>63</v>
      </c>
      <c r="Y31" s="6" t="s">
        <v>72</v>
      </c>
    </row>
    <row r="32" spans="2:29" ht="45" customHeight="1" x14ac:dyDescent="0.15">
      <c r="B32" s="376"/>
      <c r="C32" s="106" t="s">
        <v>107</v>
      </c>
      <c r="D32" s="107">
        <f>NETWORKDAYS.INTL(E32,F32,"0000110",$AC$5:$AC$12)</f>
        <v>6</v>
      </c>
      <c r="E32" s="108">
        <f>WORKDAY.INTL(F26,1,"0000110")</f>
        <v>46243</v>
      </c>
      <c r="F32" s="108">
        <f>WORKDAY.INTL(E32,5,"0000110")</f>
        <v>46250</v>
      </c>
      <c r="G32" s="108">
        <f>WORKDAY.INTL(H26,1,"0000110")</f>
        <v>46243</v>
      </c>
      <c r="H32" s="108">
        <f>WORKDAY.INTL(G32,5,"0000110")</f>
        <v>46250</v>
      </c>
      <c r="I32" s="108"/>
      <c r="J32" s="108"/>
      <c r="K32" s="109"/>
      <c r="L32" s="109" t="str">
        <f ca="1">IF(OR(K32=100%,J32&lt;&gt;""),"Completed",IF(AND(OR(K32="",K32=0),E32&gt;TODAY()),"Not Started",IF(AND(OR(K32="",K32=0),E32&lt;=TODAY()),"Delayed",IF(AND(K32&gt;0,K32&lt;100%,F32&lt;TODAY()),"Delayed",IF(AND(K32&gt;0,K32&lt;100%),"In Progress","")))))</f>
        <v>Not Started</v>
      </c>
      <c r="M32" s="29"/>
      <c r="N32" s="30"/>
      <c r="O32" s="30"/>
      <c r="P32" s="30"/>
      <c r="Q32" s="30"/>
      <c r="R32" s="30"/>
      <c r="S32" s="30"/>
      <c r="T32" s="31"/>
      <c r="U32" s="32" t="s">
        <v>108</v>
      </c>
      <c r="X32" s="28" t="s">
        <v>64</v>
      </c>
      <c r="Y32" s="6" t="s">
        <v>72</v>
      </c>
    </row>
    <row r="33" spans="2:29" ht="45" customHeight="1" x14ac:dyDescent="0.15">
      <c r="B33" s="376"/>
      <c r="C33" s="110" t="s">
        <v>110</v>
      </c>
      <c r="D33" s="107">
        <f>NETWORKDAYS.INTL(E33,F33,"0000110",$AC$5:$AC$12)</f>
        <v>2</v>
      </c>
      <c r="E33" s="108">
        <f>WORKDAY.INTL(F32,1,"0000110")</f>
        <v>46251</v>
      </c>
      <c r="F33" s="108">
        <f>WORKDAY.INTL(E33,1,"0000110")</f>
        <v>46252</v>
      </c>
      <c r="G33" s="108">
        <f>WORKDAY.INTL(H32,1,"0000110")</f>
        <v>46251</v>
      </c>
      <c r="H33" s="108">
        <f>WORKDAY.INTL(G33,1,"0000110")</f>
        <v>46252</v>
      </c>
      <c r="I33" s="108"/>
      <c r="J33" s="108"/>
      <c r="K33" s="109"/>
      <c r="L33" s="109" t="str">
        <f ca="1">IF(OR(K33=100%,J33&lt;&gt;""),"Completed",IF(AND(OR(K33="",K33=0),E33&gt;TODAY()),"Not Started",IF(AND(OR(K33="",K33=0),E33&lt;=TODAY()),"Delayed",IF(AND(K33&gt;0,K33&lt;100%,F33&lt;TODAY()),"Delayed",IF(AND(K33&gt;0,K33&lt;100%),"In Progress","")))))</f>
        <v>Not Started</v>
      </c>
      <c r="M33" s="29"/>
      <c r="N33" s="34"/>
      <c r="O33" s="34"/>
      <c r="P33" s="34"/>
      <c r="Q33" s="34"/>
      <c r="R33" s="34"/>
      <c r="S33" s="34"/>
      <c r="T33" s="35"/>
      <c r="U33" s="32" t="s">
        <v>111</v>
      </c>
      <c r="X33" s="28" t="s">
        <v>65</v>
      </c>
      <c r="Y33" s="6" t="s">
        <v>72</v>
      </c>
    </row>
    <row r="34" spans="2:29" s="62" customFormat="1" ht="45" customHeight="1" thickBot="1" x14ac:dyDescent="0.3">
      <c r="B34" s="381"/>
      <c r="C34" s="110" t="s">
        <v>112</v>
      </c>
      <c r="D34" s="107">
        <f>NETWORKDAYS.INTL(E34,F34,"0000110",$AC$5:$AC$12)</f>
        <v>1</v>
      </c>
      <c r="E34" s="108">
        <f>WORKDAY.INTL(F33,0,"0000110")</f>
        <v>46252</v>
      </c>
      <c r="F34" s="108">
        <f>WORKDAY.INTL(E34,0,"0000110")</f>
        <v>46252</v>
      </c>
      <c r="G34" s="108">
        <f>WORKDAY.INTL(H33,0,"0000110")</f>
        <v>46252</v>
      </c>
      <c r="H34" s="108">
        <f>WORKDAY.INTL(G34,0,"0000110")</f>
        <v>46252</v>
      </c>
      <c r="I34" s="108"/>
      <c r="J34" s="108"/>
      <c r="K34" s="109"/>
      <c r="L34" s="109" t="str">
        <f ca="1">IF(OR(K34=100%,J34&lt;&gt;""),"Completed",IF(AND(OR(K34="",K34=0),E34&gt;TODAY()),"Not Started",IF(AND(OR(K34="",K34=0),E34&lt;=TODAY()),"Delayed",IF(AND(K34&gt;0,K34&lt;100%,F34&lt;TODAY()),"Delayed",IF(AND(K34&gt;0,K34&lt;100%),"In Progress","")))))</f>
        <v>Not Started</v>
      </c>
      <c r="M34" s="29"/>
      <c r="N34" s="34"/>
      <c r="O34" s="34"/>
      <c r="P34" s="34"/>
      <c r="Q34" s="34"/>
      <c r="R34" s="34"/>
      <c r="S34" s="34"/>
      <c r="T34" s="35"/>
      <c r="U34" s="32"/>
      <c r="X34" s="66" t="s">
        <v>66</v>
      </c>
      <c r="Y34" s="67" t="s">
        <v>72</v>
      </c>
      <c r="Z34" s="67"/>
    </row>
    <row r="35" spans="2:29" s="1" customFormat="1" ht="4.5" customHeight="1" thickBot="1" x14ac:dyDescent="0.2">
      <c r="B35" s="23"/>
      <c r="C35" s="23"/>
      <c r="D35" s="24"/>
      <c r="E35" s="23"/>
      <c r="F35" s="23"/>
      <c r="G35" s="23"/>
      <c r="H35" s="23"/>
      <c r="I35" s="23"/>
      <c r="J35" s="23"/>
      <c r="K35" s="25"/>
      <c r="L35" s="25"/>
      <c r="M35" s="23"/>
      <c r="N35" s="23"/>
      <c r="O35" s="23"/>
      <c r="P35" s="23"/>
      <c r="Q35" s="23"/>
      <c r="R35" s="23"/>
      <c r="S35" s="23"/>
      <c r="T35" s="23"/>
      <c r="U35" s="26"/>
      <c r="X35" s="27"/>
      <c r="Y35" s="27"/>
    </row>
    <row r="36" spans="2:29" ht="45" customHeight="1" x14ac:dyDescent="0.15">
      <c r="B36" s="377" t="s">
        <v>118</v>
      </c>
      <c r="C36" s="111" t="s">
        <v>102</v>
      </c>
      <c r="D36" s="112">
        <f>NETWORKDAYS.INTL(E36,F36,"0000100",$AC$5:$AC$12)</f>
        <v>7</v>
      </c>
      <c r="E36" s="113">
        <f>WORKDAY.INTL(F30,1,"0000100",$AC$5:$AC$11)</f>
        <v>46208</v>
      </c>
      <c r="F36" s="114">
        <f>WORKDAY.INTL(E36,6,"0000100",$AC$5:$AC$11)</f>
        <v>46215</v>
      </c>
      <c r="G36" s="113">
        <f>WORKDAY.INTL(H30,1,"0000100",$AC$5:$AC$11)</f>
        <v>46208</v>
      </c>
      <c r="H36" s="114">
        <f>WORKDAY.INTL(G36,6,"0000100",$AC$5:$AC$11)</f>
        <v>46215</v>
      </c>
      <c r="I36" s="114"/>
      <c r="J36" s="114"/>
      <c r="K36" s="115"/>
      <c r="L36" s="115" t="str">
        <f ca="1">IF(OR(K36=100%,J36&lt;&gt;""),"Completed",IF(AND(OR(K36="",K36=0),E36&gt;TODAY()),"Not Started",IF(AND(OR(K36="",K36=0),E36&lt;=TODAY()),"Delayed",IF(AND(K36&gt;0,K36&lt;100%,F36&lt;TODAY()),"Delayed",IF(AND(K36&gt;0,K36&lt;100%),"In Progress","")))))</f>
        <v>Not Started</v>
      </c>
      <c r="M36" s="36"/>
      <c r="N36" s="37"/>
      <c r="O36" s="37"/>
      <c r="P36" s="37"/>
      <c r="Q36" s="37"/>
      <c r="R36" s="37"/>
      <c r="S36" s="37"/>
      <c r="T36" s="38"/>
      <c r="U36" s="39"/>
      <c r="X36" s="28" t="s">
        <v>62</v>
      </c>
      <c r="Y36" s="6" t="s">
        <v>73</v>
      </c>
      <c r="AC36" s="33"/>
    </row>
    <row r="37" spans="2:29" ht="45" customHeight="1" x14ac:dyDescent="0.15">
      <c r="B37" s="378"/>
      <c r="C37" s="116" t="s">
        <v>104</v>
      </c>
      <c r="D37" s="117">
        <f>NETWORKDAYS.INTL(E37,F37,"0000100",$AC$5:$AC$12)</f>
        <v>5</v>
      </c>
      <c r="E37" s="113">
        <f>WORKDAY.INTL(F31,1,"0000100",$AC$5:$AC$11)</f>
        <v>46217</v>
      </c>
      <c r="F37" s="114">
        <f>WORKDAY.INTL(E37,4,"0000100",$AC$5:$AC$11)</f>
        <v>46222</v>
      </c>
      <c r="G37" s="113">
        <f>WORKDAY.INTL(H31,1,"0000100",$AC$5:$AC$11)</f>
        <v>46217</v>
      </c>
      <c r="H37" s="114">
        <f>WORKDAY.INTL(G37,4,"0000100",$AC$5:$AC$11)</f>
        <v>46222</v>
      </c>
      <c r="I37" s="114"/>
      <c r="J37" s="114"/>
      <c r="K37" s="115"/>
      <c r="L37" s="115" t="str">
        <f ca="1">IF(OR(K37=100%,J37&lt;&gt;""),"Completed",IF(AND(OR(K37="",K37=0),E37&gt;TODAY()),"Not Started",IF(AND(OR(K37="",K37=0),E37&lt;=TODAY()),"Delayed",IF(AND(K37&gt;0,K37&lt;100%,F37&lt;TODAY()),"Delayed",IF(AND(K37&gt;0,K37&lt;100%),"In Progress","")))))</f>
        <v>Not Started</v>
      </c>
      <c r="M37" s="36"/>
      <c r="N37" s="40"/>
      <c r="O37" s="40"/>
      <c r="P37" s="40"/>
      <c r="Q37" s="40"/>
      <c r="R37" s="40"/>
      <c r="S37" s="40"/>
      <c r="T37" s="41"/>
      <c r="U37" s="42"/>
      <c r="X37" s="28" t="s">
        <v>63</v>
      </c>
      <c r="Y37" s="6" t="s">
        <v>73</v>
      </c>
    </row>
    <row r="38" spans="2:29" ht="45" customHeight="1" x14ac:dyDescent="0.15">
      <c r="B38" s="378"/>
      <c r="C38" s="118" t="s">
        <v>107</v>
      </c>
      <c r="D38" s="117">
        <f>NETWORKDAYS.INTL(E38,F38,"0000110",$AC$5:$AC$12)</f>
        <v>5</v>
      </c>
      <c r="E38" s="113">
        <f>WORKDAY.INTL(F32,1,"0000110",$AC$5:$AC$11)</f>
        <v>46251</v>
      </c>
      <c r="F38" s="113">
        <f>WORKDAY.INTL(E38,4,"0000110",$AC$5:$AC$11)</f>
        <v>46257</v>
      </c>
      <c r="G38" s="113">
        <f>WORKDAY.INTL(H32,1,"0000110",$AC$5:$AC$11)</f>
        <v>46251</v>
      </c>
      <c r="H38" s="113">
        <f>WORKDAY.INTL(G38,4,"0000110",$AC$5:$AC$11)</f>
        <v>46257</v>
      </c>
      <c r="I38" s="113"/>
      <c r="J38" s="113"/>
      <c r="K38" s="119"/>
      <c r="L38" s="119" t="str">
        <f ca="1">IF(OR(K38=100%,J38&lt;&gt;""),"Completed",IF(AND(OR(K38="",K38=0),E38&gt;TODAY()),"Not Started",IF(AND(OR(K38="",K38=0),E38&lt;=TODAY()),"Delayed",IF(AND(K38&gt;0,K38&lt;100%,F38&lt;TODAY()),"Delayed",IF(AND(K38&gt;0,K38&lt;100%),"In Progress","")))))</f>
        <v>Not Started</v>
      </c>
      <c r="M38" s="36"/>
      <c r="N38" s="43"/>
      <c r="O38" s="43"/>
      <c r="P38" s="43"/>
      <c r="Q38" s="43"/>
      <c r="R38" s="43"/>
      <c r="S38" s="43"/>
      <c r="T38" s="44"/>
      <c r="U38" s="42" t="s">
        <v>108</v>
      </c>
      <c r="X38" s="28" t="s">
        <v>64</v>
      </c>
      <c r="Y38" s="6" t="s">
        <v>73</v>
      </c>
    </row>
    <row r="39" spans="2:29" ht="45" customHeight="1" x14ac:dyDescent="0.15">
      <c r="B39" s="378"/>
      <c r="C39" s="118" t="s">
        <v>110</v>
      </c>
      <c r="D39" s="117">
        <f>NETWORKDAYS.INTL(E39,F39,"0000110",$AC$5:$AC$12)</f>
        <v>2</v>
      </c>
      <c r="E39" s="113">
        <f>WORKDAY.INTL(F38,1,"0000110",$AC$5:$AC$11)</f>
        <v>46258</v>
      </c>
      <c r="F39" s="113">
        <f>WORKDAY.INTL(E39,1,"0000110",$AC$5:$AC$11)</f>
        <v>46259</v>
      </c>
      <c r="G39" s="113">
        <f>WORKDAY.INTL(H38,1,"0000110",$AC$5:$AC$11)</f>
        <v>46258</v>
      </c>
      <c r="H39" s="113">
        <f>WORKDAY.INTL(G39,1,"0000110",$AC$5:$AC$11)</f>
        <v>46259</v>
      </c>
      <c r="I39" s="113"/>
      <c r="J39" s="113"/>
      <c r="K39" s="119"/>
      <c r="L39" s="119" t="str">
        <f ca="1">IF(OR(K39=100%,J39&lt;&gt;""),"Completed",IF(AND(OR(K39="",K39=0),E39&gt;TODAY()),"Not Started",IF(AND(OR(K39="",K39=0),E39&lt;=TODAY()),"Delayed",IF(AND(K39&gt;0,K39&lt;100%,F39&lt;TODAY()),"Delayed",IF(AND(K39&gt;0,K39&lt;100%),"In Progress","")))))</f>
        <v>Not Started</v>
      </c>
      <c r="M39" s="36"/>
      <c r="N39" s="43"/>
      <c r="O39" s="43"/>
      <c r="P39" s="43"/>
      <c r="Q39" s="43"/>
      <c r="R39" s="43"/>
      <c r="S39" s="43"/>
      <c r="T39" s="44"/>
      <c r="U39" s="42" t="s">
        <v>111</v>
      </c>
      <c r="X39" s="28" t="s">
        <v>65</v>
      </c>
      <c r="Y39" s="6" t="s">
        <v>73</v>
      </c>
    </row>
    <row r="40" spans="2:29" s="62" customFormat="1" ht="45" customHeight="1" thickBot="1" x14ac:dyDescent="0.3">
      <c r="B40" s="379"/>
      <c r="C40" s="118" t="s">
        <v>112</v>
      </c>
      <c r="D40" s="117">
        <f>NETWORKDAYS.INTL(E40,F40,"0000110",$AC$5:$AC$12)</f>
        <v>1</v>
      </c>
      <c r="E40" s="113">
        <f>WORKDAY.INTL(F39,0,"0000110",$AC$5:$AC$11)</f>
        <v>46259</v>
      </c>
      <c r="F40" s="113">
        <f>WORKDAY.INTL(E40,0,"0000110",$AC$5:$AC$11)</f>
        <v>46259</v>
      </c>
      <c r="G40" s="113">
        <f>WORKDAY.INTL(H39,0,"0000110",$AC$5:$AC$11)</f>
        <v>46259</v>
      </c>
      <c r="H40" s="113">
        <f>WORKDAY.INTL(G40,0,"0000110",$AC$5:$AC$11)</f>
        <v>46259</v>
      </c>
      <c r="I40" s="113"/>
      <c r="J40" s="113"/>
      <c r="K40" s="119"/>
      <c r="L40" s="119" t="str">
        <f ca="1">IF(OR(K40=100%,J40&lt;&gt;""),"Completed",IF(AND(OR(K40="",K40=0),E40&gt;TODAY()),"Not Started",IF(AND(OR(K40="",K40=0),E40&lt;=TODAY()),"Delayed",IF(AND(K40&gt;0,K40&lt;100%,F40&lt;TODAY()),"Delayed",IF(AND(K40&gt;0,K40&lt;100%),"In Progress","")))))</f>
        <v>Not Started</v>
      </c>
      <c r="M40" s="73"/>
      <c r="N40" s="69"/>
      <c r="O40" s="69"/>
      <c r="P40" s="69"/>
      <c r="Q40" s="69"/>
      <c r="R40" s="69"/>
      <c r="S40" s="69"/>
      <c r="T40" s="70"/>
      <c r="U40" s="71"/>
      <c r="X40" s="66" t="s">
        <v>66</v>
      </c>
      <c r="Y40" s="67" t="s">
        <v>73</v>
      </c>
      <c r="Z40" s="67"/>
    </row>
    <row r="41" spans="2:29" s="1" customFormat="1" ht="4.5" customHeight="1" thickBot="1" x14ac:dyDescent="0.2">
      <c r="B41" s="23"/>
      <c r="C41" s="23"/>
      <c r="D41" s="24"/>
      <c r="E41" s="23"/>
      <c r="F41" s="23"/>
      <c r="G41" s="23"/>
      <c r="H41" s="23"/>
      <c r="I41" s="23"/>
      <c r="J41" s="23"/>
      <c r="K41" s="25"/>
      <c r="L41" s="25"/>
      <c r="M41" s="23"/>
      <c r="N41" s="23"/>
      <c r="O41" s="23"/>
      <c r="P41" s="23"/>
      <c r="Q41" s="23"/>
      <c r="R41" s="23"/>
      <c r="S41" s="23"/>
      <c r="T41" s="23"/>
      <c r="U41" s="26"/>
      <c r="X41" s="27"/>
      <c r="Y41" s="27"/>
    </row>
    <row r="42" spans="2:29" ht="45" customHeight="1" x14ac:dyDescent="0.15">
      <c r="B42" s="380" t="s">
        <v>119</v>
      </c>
      <c r="C42" s="106" t="s">
        <v>102</v>
      </c>
      <c r="D42" s="107">
        <f>NETWORKDAYS.INTL(E42,F42,"0000100",$AC$5:$AC$12)</f>
        <v>7</v>
      </c>
      <c r="E42" s="108">
        <f>WORKDAY.INTL(F36,1,"0000100",$AC$5:$AC$11)</f>
        <v>46216</v>
      </c>
      <c r="F42" s="108">
        <f>WORKDAY.INTL(E42,6,"0000100",$AC$5:$AC$11)</f>
        <v>46223</v>
      </c>
      <c r="G42" s="108">
        <f>WORKDAY.INTL(H36,1,"0000100",$AC$5:$AC$11)</f>
        <v>46216</v>
      </c>
      <c r="H42" s="108">
        <f>WORKDAY.INTL(G42,6,"0000100",$AC$5:$AC$11)</f>
        <v>46223</v>
      </c>
      <c r="I42" s="108"/>
      <c r="J42" s="108"/>
      <c r="K42" s="109"/>
      <c r="L42" s="109" t="str">
        <f ca="1">IF(OR(K42=100%,J42&lt;&gt;""),"Completed",IF(AND(OR(K42="",K42=0),E42&gt;TODAY()),"Not Started",IF(AND(OR(K42="",K42=0),E42&lt;=TODAY()),"Delayed",IF(AND(K42&gt;0,K42&lt;100%,F42&lt;TODAY()),"Delayed",IF(AND(K42&gt;0,K42&lt;100%),"In Progress","")))))</f>
        <v>Not Started</v>
      </c>
      <c r="M42" s="29"/>
      <c r="N42" s="30"/>
      <c r="O42" s="30"/>
      <c r="P42" s="30"/>
      <c r="Q42" s="30"/>
      <c r="R42" s="30"/>
      <c r="S42" s="30"/>
      <c r="T42" s="31"/>
      <c r="U42" s="32"/>
      <c r="X42" s="28" t="s">
        <v>62</v>
      </c>
      <c r="Y42" s="6" t="s">
        <v>74</v>
      </c>
    </row>
    <row r="43" spans="2:29" ht="45" customHeight="1" x14ac:dyDescent="0.15">
      <c r="B43" s="376"/>
      <c r="C43" s="106" t="s">
        <v>104</v>
      </c>
      <c r="D43" s="107">
        <f>NETWORKDAYS.INTL(E43,F43,"0000100",$AC$5:$AC$12)</f>
        <v>5</v>
      </c>
      <c r="E43" s="108">
        <f>WORKDAY.INTL(F37,2,"0000100",$AC$5:$AC$11)</f>
        <v>46224</v>
      </c>
      <c r="F43" s="108">
        <f>WORKDAY.INTL(E43,4,"0000100",$AC$5:$AC$11)</f>
        <v>46229</v>
      </c>
      <c r="G43" s="108">
        <f>WORKDAY.INTL(H37,2,"0000100",$AC$5:$AC$11)</f>
        <v>46224</v>
      </c>
      <c r="H43" s="108">
        <f>WORKDAY.INTL(G43,4,"0000100",$AC$5:$AC$11)</f>
        <v>46229</v>
      </c>
      <c r="I43" s="108"/>
      <c r="J43" s="108"/>
      <c r="K43" s="109"/>
      <c r="L43" s="109" t="str">
        <f ca="1">IF(OR(K43=100%,J43&lt;&gt;""),"Completed",IF(AND(OR(K43="",K43=0),E43&gt;TODAY()),"Not Started",IF(AND(OR(K43="",K43=0),E43&lt;=TODAY()),"Delayed",IF(AND(K43&gt;0,K43&lt;100%,F43&lt;TODAY()),"Delayed",IF(AND(K43&gt;0,K43&lt;100%),"In Progress","")))))</f>
        <v>Not Started</v>
      </c>
      <c r="M43" s="29"/>
      <c r="N43" s="30"/>
      <c r="O43" s="30"/>
      <c r="P43" s="30"/>
      <c r="Q43" s="30"/>
      <c r="R43" s="30"/>
      <c r="S43" s="30"/>
      <c r="T43" s="31"/>
      <c r="U43" s="32"/>
      <c r="X43" s="28" t="s">
        <v>63</v>
      </c>
      <c r="Y43" s="6" t="s">
        <v>74</v>
      </c>
    </row>
    <row r="44" spans="2:29" ht="45" customHeight="1" x14ac:dyDescent="0.15">
      <c r="B44" s="376"/>
      <c r="C44" s="106" t="s">
        <v>107</v>
      </c>
      <c r="D44" s="107">
        <f>NETWORKDAYS.INTL(E44,F44,"0000110",$AC$5:$AC$12)</f>
        <v>5</v>
      </c>
      <c r="E44" s="108">
        <f>WORKDAY.INTL(F38,1,"0000110",$AC$5:$AC$11)</f>
        <v>46258</v>
      </c>
      <c r="F44" s="108">
        <f>WORKDAY.INTL(E44,4,"0000110",$AC$5:$AC$11)</f>
        <v>46264</v>
      </c>
      <c r="G44" s="108">
        <f>WORKDAY.INTL(H38,1,"0000110",$AC$5:$AC$11)</f>
        <v>46258</v>
      </c>
      <c r="H44" s="108">
        <f>WORKDAY.INTL(G44,4,"0000110",$AC$5:$AC$11)</f>
        <v>46264</v>
      </c>
      <c r="I44" s="108"/>
      <c r="J44" s="108"/>
      <c r="K44" s="109"/>
      <c r="L44" s="109" t="str">
        <f ca="1">IF(OR(K44=100%,J44&lt;&gt;""),"Completed",IF(AND(OR(K44="",K44=0),E44&gt;TODAY()),"Not Started",IF(AND(OR(K44="",K44=0),E44&lt;=TODAY()),"Delayed",IF(AND(K44&gt;0,K44&lt;100%,F44&lt;TODAY()),"Delayed",IF(AND(K44&gt;0,K44&lt;100%),"In Progress","")))))</f>
        <v>Not Started</v>
      </c>
      <c r="M44" s="29"/>
      <c r="N44" s="30"/>
      <c r="O44" s="30"/>
      <c r="P44" s="30"/>
      <c r="Q44" s="30"/>
      <c r="R44" s="30"/>
      <c r="S44" s="30"/>
      <c r="T44" s="31"/>
      <c r="U44" s="32" t="s">
        <v>108</v>
      </c>
      <c r="X44" s="28" t="s">
        <v>64</v>
      </c>
      <c r="Y44" s="6" t="s">
        <v>74</v>
      </c>
    </row>
    <row r="45" spans="2:29" ht="45" customHeight="1" x14ac:dyDescent="0.15">
      <c r="B45" s="376"/>
      <c r="C45" s="110" t="s">
        <v>110</v>
      </c>
      <c r="D45" s="107">
        <f>NETWORKDAYS.INTL(E45,F45,"0000110",$AC$5:$AC$12)</f>
        <v>2</v>
      </c>
      <c r="E45" s="108">
        <f>WORKDAY.INTL(F44,1,"0000110",$AC$5:$AC$11)</f>
        <v>46265</v>
      </c>
      <c r="F45" s="108">
        <f>WORKDAY.INTL(E45,1,"0000110",$AC$5:$AC$11)</f>
        <v>46266</v>
      </c>
      <c r="G45" s="108">
        <f>WORKDAY.INTL(H44,1,"0000110",$AC$5:$AC$11)</f>
        <v>46265</v>
      </c>
      <c r="H45" s="108">
        <f>WORKDAY.INTL(G45,1,"0000110",$AC$5:$AC$11)</f>
        <v>46266</v>
      </c>
      <c r="I45" s="108"/>
      <c r="J45" s="108"/>
      <c r="K45" s="109"/>
      <c r="L45" s="109" t="str">
        <f ca="1">IF(OR(K45=100%,J45&lt;&gt;""),"Completed",IF(AND(OR(K45="",K45=0),E45&gt;TODAY()),"Not Started",IF(AND(OR(K45="",K45=0),E45&lt;=TODAY()),"Delayed",IF(AND(K45&gt;0,K45&lt;100%,F45&lt;TODAY()),"Delayed",IF(AND(K45&gt;0,K45&lt;100%),"In Progress","")))))</f>
        <v>Not Started</v>
      </c>
      <c r="M45" s="29"/>
      <c r="N45" s="34"/>
      <c r="O45" s="34"/>
      <c r="P45" s="34"/>
      <c r="Q45" s="34"/>
      <c r="R45" s="34"/>
      <c r="S45" s="34"/>
      <c r="T45" s="35"/>
      <c r="U45" s="32" t="s">
        <v>111</v>
      </c>
      <c r="X45" s="28" t="s">
        <v>65</v>
      </c>
      <c r="Y45" s="6" t="s">
        <v>74</v>
      </c>
    </row>
    <row r="46" spans="2:29" s="62" customFormat="1" ht="45" customHeight="1" thickBot="1" x14ac:dyDescent="0.3">
      <c r="B46" s="381"/>
      <c r="C46" s="110" t="s">
        <v>112</v>
      </c>
      <c r="D46" s="107">
        <f>NETWORKDAYS.INTL(E46,F46,"0000110",$AC$5:$AC$12)</f>
        <v>1</v>
      </c>
      <c r="E46" s="108">
        <f>WORKDAY.INTL(F45,0,"0000110",$AC$5:$AC$11)</f>
        <v>46266</v>
      </c>
      <c r="F46" s="108">
        <f>WORKDAY.INTL(E46,0,"0000110",$AC$5:$AC$11)</f>
        <v>46266</v>
      </c>
      <c r="G46" s="108">
        <f>WORKDAY.INTL(H45,0,"0000110",$AC$5:$AC$11)</f>
        <v>46266</v>
      </c>
      <c r="H46" s="108">
        <f>WORKDAY.INTL(G46,0,"0000110",$AC$5:$AC$11)</f>
        <v>46266</v>
      </c>
      <c r="I46" s="108"/>
      <c r="J46" s="108"/>
      <c r="K46" s="109"/>
      <c r="L46" s="109" t="str">
        <f ca="1">IF(OR(K46=100%,J46&lt;&gt;""),"Completed",IF(AND(OR(K46="",K46=0),E46&gt;TODAY()),"Not Started",IF(AND(OR(K46="",K46=0),E46&lt;=TODAY()),"Delayed",IF(AND(K46&gt;0,K46&lt;100%,F46&lt;TODAY()),"Delayed",IF(AND(K46&gt;0,K46&lt;100%),"In Progress","")))))</f>
        <v>Not Started</v>
      </c>
      <c r="M46" s="29"/>
      <c r="N46" s="34"/>
      <c r="O46" s="34"/>
      <c r="P46" s="34"/>
      <c r="Q46" s="34"/>
      <c r="R46" s="34"/>
      <c r="S46" s="34"/>
      <c r="T46" s="35"/>
      <c r="U46" s="32"/>
      <c r="X46" s="66" t="s">
        <v>66</v>
      </c>
      <c r="Y46" s="67" t="s">
        <v>74</v>
      </c>
      <c r="Z46" s="67"/>
    </row>
    <row r="47" spans="2:29" s="1" customFormat="1" ht="4.5" customHeight="1" thickBot="1" x14ac:dyDescent="0.2">
      <c r="B47" s="23"/>
      <c r="C47" s="23"/>
      <c r="D47" s="24"/>
      <c r="E47" s="23"/>
      <c r="F47" s="23"/>
      <c r="G47" s="23"/>
      <c r="H47" s="23"/>
      <c r="I47" s="23"/>
      <c r="J47" s="23"/>
      <c r="K47" s="25"/>
      <c r="L47" s="25"/>
      <c r="M47" s="23"/>
      <c r="N47" s="23"/>
      <c r="O47" s="23"/>
      <c r="P47" s="23"/>
      <c r="Q47" s="23"/>
      <c r="R47" s="23"/>
      <c r="S47" s="23"/>
      <c r="T47" s="23"/>
      <c r="U47" s="26"/>
      <c r="X47" s="27"/>
      <c r="Y47" s="27"/>
    </row>
    <row r="48" spans="2:29" ht="45" customHeight="1" x14ac:dyDescent="0.15">
      <c r="B48" s="377" t="s">
        <v>120</v>
      </c>
      <c r="C48" s="111" t="s">
        <v>102</v>
      </c>
      <c r="D48" s="112">
        <f>NETWORKDAYS.INTL(E48,F48,"0000100",$AC$5:$AC$12)</f>
        <v>7</v>
      </c>
      <c r="E48" s="113">
        <f>WORKDAY.INTL(F42,1,"0000100",$AC$5:$AC$11)</f>
        <v>46224</v>
      </c>
      <c r="F48" s="114">
        <f>WORKDAY.INTL(E48,6,"0000100",$AC$5:$AC$11)</f>
        <v>46231</v>
      </c>
      <c r="G48" s="113">
        <f>WORKDAY.INTL(H42,1,"0000100",$AC$5:$AC$11)</f>
        <v>46224</v>
      </c>
      <c r="H48" s="114">
        <f>WORKDAY.INTL(G48,6,"0000100",$AC$5:$AC$11)</f>
        <v>46231</v>
      </c>
      <c r="I48" s="114"/>
      <c r="J48" s="114"/>
      <c r="K48" s="115"/>
      <c r="L48" s="115" t="str">
        <f ca="1">IF(OR(K48=100%,J48&lt;&gt;""),"Completed",IF(AND(OR(K48="",K48=0),E48&gt;TODAY()),"Not Started",IF(AND(OR(K48="",K48=0),E48&lt;=TODAY()),"Delayed",IF(AND(K48&gt;0,K48&lt;100%,F48&lt;TODAY()),"Delayed",IF(AND(K48&gt;0,K48&lt;100%),"In Progress","")))))</f>
        <v>Not Started</v>
      </c>
      <c r="M48" s="36"/>
      <c r="N48" s="37"/>
      <c r="O48" s="37"/>
      <c r="P48" s="37"/>
      <c r="Q48" s="37"/>
      <c r="R48" s="37"/>
      <c r="S48" s="37"/>
      <c r="T48" s="38"/>
      <c r="U48" s="39"/>
      <c r="X48" s="28" t="s">
        <v>62</v>
      </c>
      <c r="Y48" s="6" t="s">
        <v>75</v>
      </c>
      <c r="AC48" s="33"/>
    </row>
    <row r="49" spans="2:26" ht="45" customHeight="1" x14ac:dyDescent="0.15">
      <c r="B49" s="378"/>
      <c r="C49" s="116" t="s">
        <v>104</v>
      </c>
      <c r="D49" s="117">
        <f>NETWORKDAYS.INTL(E49,F49,"0000100",$AC$5:$AC$12)</f>
        <v>4</v>
      </c>
      <c r="E49" s="113">
        <f>WORKDAY.INTL(F43,3,"0000100",$AC$5:$AC$11)</f>
        <v>46232</v>
      </c>
      <c r="F49" s="114">
        <f>WORKDAY.INTL(E49,3,"0000100",$AC$5:$AC$11)</f>
        <v>46236</v>
      </c>
      <c r="G49" s="113">
        <f>WORKDAY.INTL(H43,3,"0000100",$AC$5:$AC$11)</f>
        <v>46232</v>
      </c>
      <c r="H49" s="114">
        <f>WORKDAY.INTL(G49,3,"0000100",$AC$5:$AC$11)</f>
        <v>46236</v>
      </c>
      <c r="I49" s="114"/>
      <c r="J49" s="114"/>
      <c r="K49" s="115"/>
      <c r="L49" s="115" t="str">
        <f ca="1">IF(OR(K49=100%,J49&lt;&gt;""),"Completed",IF(AND(OR(K49="",K49=0),E49&gt;TODAY()),"Not Started",IF(AND(OR(K49="",K49=0),E49&lt;=TODAY()),"Delayed",IF(AND(K49&gt;0,K49&lt;100%,F49&lt;TODAY()),"Delayed",IF(AND(K49&gt;0,K49&lt;100%),"In Progress","")))))</f>
        <v>Not Started</v>
      </c>
      <c r="M49" s="36"/>
      <c r="N49" s="40"/>
      <c r="O49" s="40"/>
      <c r="P49" s="40"/>
      <c r="Q49" s="40"/>
      <c r="R49" s="40"/>
      <c r="S49" s="40"/>
      <c r="T49" s="41"/>
      <c r="U49" s="42"/>
      <c r="X49" s="28" t="s">
        <v>63</v>
      </c>
      <c r="Y49" s="6" t="s">
        <v>75</v>
      </c>
    </row>
    <row r="50" spans="2:26" ht="45" customHeight="1" x14ac:dyDescent="0.15">
      <c r="B50" s="378"/>
      <c r="C50" s="118" t="s">
        <v>107</v>
      </c>
      <c r="D50" s="117">
        <f>NETWORKDAYS.INTL(E50,F50,"0000110",$AC$5:$AC$12)</f>
        <v>5</v>
      </c>
      <c r="E50" s="113">
        <f>WORKDAY.INTL(F44,1,"0000110",$AC$5:$AC$11)</f>
        <v>46265</v>
      </c>
      <c r="F50" s="113">
        <f>WORKDAY.INTL(E50,4,"0000110",$AC$5:$AC$11)</f>
        <v>46271</v>
      </c>
      <c r="G50" s="113">
        <f>WORKDAY.INTL(H44,1,"0000110",$AC$5:$AC$11)</f>
        <v>46265</v>
      </c>
      <c r="H50" s="113">
        <f>WORKDAY.INTL(G50,4,"0000110",$AC$5:$AC$11)</f>
        <v>46271</v>
      </c>
      <c r="I50" s="113"/>
      <c r="J50" s="113"/>
      <c r="K50" s="119"/>
      <c r="L50" s="119" t="str">
        <f ca="1">IF(OR(K50=100%,J50&lt;&gt;""),"Completed",IF(AND(OR(K50="",K50=0),E50&gt;TODAY()),"Not Started",IF(AND(OR(K50="",K50=0),E50&lt;=TODAY()),"Delayed",IF(AND(K50&gt;0,K50&lt;100%,F50&lt;TODAY()),"Delayed",IF(AND(K50&gt;0,K50&lt;100%),"In Progress","")))))</f>
        <v>Not Started</v>
      </c>
      <c r="M50" s="36"/>
      <c r="N50" s="43"/>
      <c r="O50" s="43"/>
      <c r="P50" s="43"/>
      <c r="Q50" s="43"/>
      <c r="R50" s="43"/>
      <c r="S50" s="43"/>
      <c r="T50" s="44"/>
      <c r="U50" s="42" t="s">
        <v>108</v>
      </c>
      <c r="X50" s="28" t="s">
        <v>64</v>
      </c>
      <c r="Y50" s="6" t="s">
        <v>75</v>
      </c>
    </row>
    <row r="51" spans="2:26" ht="45" customHeight="1" x14ac:dyDescent="0.15">
      <c r="B51" s="378"/>
      <c r="C51" s="118" t="s">
        <v>110</v>
      </c>
      <c r="D51" s="117">
        <f>NETWORKDAYS.INTL(E51,F51,"0000110",$AC$5:$AC$12)</f>
        <v>2</v>
      </c>
      <c r="E51" s="113">
        <f>WORKDAY.INTL(F50,1,"0000110",$AC$5:$AC$11)</f>
        <v>46272</v>
      </c>
      <c r="F51" s="113">
        <f>WORKDAY.INTL(E51,1,"0000110",$AC$5:$AC$11)</f>
        <v>46273</v>
      </c>
      <c r="G51" s="113">
        <f>WORKDAY.INTL(H50,1,"0000110",$AC$5:$AC$11)</f>
        <v>46272</v>
      </c>
      <c r="H51" s="113">
        <f>WORKDAY.INTL(G51,1,"0000110",$AC$5:$AC$11)</f>
        <v>46273</v>
      </c>
      <c r="I51" s="113"/>
      <c r="J51" s="113"/>
      <c r="K51" s="119"/>
      <c r="L51" s="119" t="str">
        <f ca="1">IF(OR(K51=100%,J51&lt;&gt;""),"Completed",IF(AND(OR(K51="",K51=0),E51&gt;TODAY()),"Not Started",IF(AND(OR(K51="",K51=0),E51&lt;=TODAY()),"Delayed",IF(AND(K51&gt;0,K51&lt;100%,F51&lt;TODAY()),"Delayed",IF(AND(K51&gt;0,K51&lt;100%),"In Progress","")))))</f>
        <v>Not Started</v>
      </c>
      <c r="M51" s="36"/>
      <c r="N51" s="43"/>
      <c r="O51" s="43"/>
      <c r="P51" s="43"/>
      <c r="Q51" s="43"/>
      <c r="R51" s="43"/>
      <c r="S51" s="43"/>
      <c r="T51" s="44"/>
      <c r="U51" s="42" t="s">
        <v>111</v>
      </c>
      <c r="X51" s="28" t="s">
        <v>65</v>
      </c>
      <c r="Y51" s="6" t="s">
        <v>75</v>
      </c>
    </row>
    <row r="52" spans="2:26" s="62" customFormat="1" ht="45" customHeight="1" thickBot="1" x14ac:dyDescent="0.3">
      <c r="B52" s="379"/>
      <c r="C52" s="118" t="s">
        <v>112</v>
      </c>
      <c r="D52" s="117">
        <f>NETWORKDAYS.INTL(E52,F52,"0000110",$AC$5:$AC$12)</f>
        <v>1</v>
      </c>
      <c r="E52" s="113">
        <f>WORKDAY.INTL(F51,0,"0000110",$AC$5:$AC$11)</f>
        <v>46273</v>
      </c>
      <c r="F52" s="113">
        <f>WORKDAY.INTL(E52,0,"0000110",$AC$5:$AC$11)</f>
        <v>46273</v>
      </c>
      <c r="G52" s="113">
        <f>WORKDAY.INTL(H51,0,"0000110",$AC$5:$AC$11)</f>
        <v>46273</v>
      </c>
      <c r="H52" s="113">
        <f>WORKDAY.INTL(G52,0,"0000110",$AC$5:$AC$11)</f>
        <v>46273</v>
      </c>
      <c r="I52" s="113"/>
      <c r="J52" s="113"/>
      <c r="K52" s="119"/>
      <c r="L52" s="119" t="str">
        <f ca="1">IF(OR(K52=100%,J52&lt;&gt;""),"Completed",IF(AND(OR(K52="",K52=0),E52&gt;TODAY()),"Not Started",IF(AND(OR(K52="",K52=0),E52&lt;=TODAY()),"Delayed",IF(AND(K52&gt;0,K52&lt;100%,F52&lt;TODAY()),"Delayed",IF(AND(K52&gt;0,K52&lt;100%),"In Progress","")))))</f>
        <v>Not Started</v>
      </c>
      <c r="M52" s="73"/>
      <c r="N52" s="69"/>
      <c r="O52" s="69"/>
      <c r="P52" s="69"/>
      <c r="Q52" s="69"/>
      <c r="R52" s="69"/>
      <c r="S52" s="69"/>
      <c r="T52" s="70"/>
      <c r="U52" s="71"/>
      <c r="X52" s="66" t="s">
        <v>66</v>
      </c>
      <c r="Y52" s="67" t="s">
        <v>75</v>
      </c>
      <c r="Z52" s="67"/>
    </row>
    <row r="53" spans="2:26" s="1" customFormat="1" ht="4.5" customHeight="1" thickBot="1" x14ac:dyDescent="0.2">
      <c r="B53" s="23"/>
      <c r="C53" s="23"/>
      <c r="D53" s="24"/>
      <c r="E53" s="23"/>
      <c r="F53" s="23"/>
      <c r="G53" s="23"/>
      <c r="H53" s="23"/>
      <c r="I53" s="23"/>
      <c r="J53" s="23"/>
      <c r="K53" s="25"/>
      <c r="L53" s="25"/>
      <c r="M53" s="23"/>
      <c r="N53" s="23"/>
      <c r="O53" s="23"/>
      <c r="P53" s="23"/>
      <c r="Q53" s="23"/>
      <c r="R53" s="23"/>
      <c r="S53" s="23"/>
      <c r="T53" s="23"/>
      <c r="U53" s="26"/>
      <c r="X53" s="27"/>
      <c r="Y53" s="27"/>
    </row>
    <row r="54" spans="2:26" ht="45" customHeight="1" x14ac:dyDescent="0.15">
      <c r="B54" s="380" t="s">
        <v>121</v>
      </c>
      <c r="C54" s="106" t="s">
        <v>122</v>
      </c>
      <c r="D54" s="107">
        <f>NETWORKDAYS.INTL(E54,F54,"0000100",$AB$5:$AB$12)</f>
        <v>19</v>
      </c>
      <c r="E54" s="108">
        <f>MAX(WORKDAY.INTL(F6,1,"0000100",$AB$5:$AB$11),"29-Jun-26")</f>
        <v>46202</v>
      </c>
      <c r="F54" s="108">
        <f>WORKDAY.INTL(E54,18,"0000100",$AB$5:$AB$11)</f>
        <v>46223</v>
      </c>
      <c r="G54" s="108">
        <f>MAX(WORKDAY.INTL(H6,1,"0000100",$AB$5:$AB$11),"29-Jun-26")</f>
        <v>46202</v>
      </c>
      <c r="H54" s="108">
        <f>WORKDAY.INTL(G54,18,"0000100",$AB$5:$AB$11)</f>
        <v>46223</v>
      </c>
      <c r="I54" s="108"/>
      <c r="J54" s="108"/>
      <c r="K54" s="109"/>
      <c r="L54" s="109" t="str">
        <f ca="1">IF(OR(K54=100%,J54&lt;&gt;""),"Completed",IF(AND(OR(K54="",K54=0),E54&gt;TODAY()),"Not Started",IF(AND(OR(K54="",K54=0),E54&lt;=TODAY()),"Delayed",IF(AND(K54&gt;0,K54&lt;100%,F54&lt;TODAY()),"Delayed",IF(AND(K54&gt;0,K54&lt;100%),"In Progress","")))))</f>
        <v>Not Started</v>
      </c>
      <c r="M54" s="29"/>
      <c r="N54" s="31"/>
      <c r="O54" s="45"/>
      <c r="P54" s="45"/>
      <c r="Q54" s="45"/>
      <c r="R54" s="45"/>
      <c r="S54" s="45"/>
      <c r="T54" s="45"/>
      <c r="U54" s="32" t="s">
        <v>30</v>
      </c>
      <c r="V54" s="2" t="s">
        <v>103</v>
      </c>
      <c r="X54" s="28"/>
    </row>
    <row r="55" spans="2:26" ht="43.5" customHeight="1" x14ac:dyDescent="0.15">
      <c r="B55" s="376"/>
      <c r="C55" s="106" t="s">
        <v>123</v>
      </c>
      <c r="D55" s="107">
        <f>NETWORKDAYS.INTL(E55,F55,"0000100",$AB$5:$AB$12)</f>
        <v>19</v>
      </c>
      <c r="E55" s="108">
        <f>E54</f>
        <v>46202</v>
      </c>
      <c r="F55" s="108">
        <f>WORKDAY.INTL(E55,18,"0000100",$AB$5:$AB$11)</f>
        <v>46223</v>
      </c>
      <c r="G55" s="108">
        <f>G54</f>
        <v>46202</v>
      </c>
      <c r="H55" s="108">
        <f>WORKDAY.INTL(G55,18,"0000100",$AB$5:$AB$11)</f>
        <v>46223</v>
      </c>
      <c r="I55" s="108"/>
      <c r="J55" s="108"/>
      <c r="K55" s="109"/>
      <c r="L55" s="109" t="str">
        <f ca="1">IF(OR(K55=100%,J55&lt;&gt;""),"Completed",IF(AND(OR(K55="",K55=0),E55&gt;TODAY()),"Not Started",IF(AND(OR(K55="",K55=0),E55&lt;=TODAY()),"Delayed",IF(AND(K55&gt;0,K55&lt;100%,F55&lt;TODAY()),"Delayed",IF(AND(K55&gt;0,K55&lt;100%),"In Progress","")))))</f>
        <v>Not Started</v>
      </c>
      <c r="M55" s="29"/>
      <c r="N55" s="31"/>
      <c r="O55" s="45"/>
      <c r="P55" s="45"/>
      <c r="Q55" s="45"/>
      <c r="R55" s="45"/>
      <c r="S55" s="45"/>
      <c r="T55" s="45"/>
      <c r="U55" s="32" t="s">
        <v>30</v>
      </c>
      <c r="V55" s="2" t="s">
        <v>103</v>
      </c>
      <c r="X55" s="28"/>
    </row>
    <row r="56" spans="2:26" ht="36.75" thickBot="1" x14ac:dyDescent="0.2">
      <c r="B56" s="381"/>
      <c r="C56" s="106" t="s">
        <v>124</v>
      </c>
      <c r="D56" s="107">
        <f>NETWORKDAYS.INTL(E56,F56,"0000100",$AB$5:$AB$12)</f>
        <v>66</v>
      </c>
      <c r="E56" s="108">
        <f>E54</f>
        <v>46202</v>
      </c>
      <c r="F56" s="108">
        <f>WORKDAY.INTL(E56,65,"0000100",$AB$5:$AB$11)</f>
        <v>46278</v>
      </c>
      <c r="G56" s="108">
        <f>G54</f>
        <v>46202</v>
      </c>
      <c r="H56" s="108">
        <f>WORKDAY.INTL(G56,65,"0000100",$AB$5:$AB$11)</f>
        <v>46278</v>
      </c>
      <c r="I56" s="108"/>
      <c r="J56" s="108"/>
      <c r="K56" s="109"/>
      <c r="L56" s="109" t="str">
        <f ca="1">IF(OR(K56=100%,J56&lt;&gt;""),"Completed",IF(AND(OR(K56="",K56=0),E56&gt;TODAY()),"Not Started",IF(AND(OR(K56="",K56=0),E56&lt;=TODAY()),"Delayed",IF(AND(K56&gt;0,K56&lt;100%,F56&lt;TODAY()),"Delayed",IF(AND(K56&gt;0,K56&lt;100%),"In Progress","")))))</f>
        <v>Not Started</v>
      </c>
      <c r="M56" s="29"/>
      <c r="N56" s="30"/>
      <c r="O56" s="30"/>
      <c r="P56" s="30"/>
      <c r="Q56" s="30"/>
      <c r="R56" s="30"/>
      <c r="S56" s="30"/>
      <c r="T56" s="31"/>
      <c r="U56" s="32" t="s">
        <v>33</v>
      </c>
      <c r="V56" s="2" t="s">
        <v>103</v>
      </c>
      <c r="X56" s="28"/>
    </row>
    <row r="57" spans="2:26" s="1" customFormat="1" ht="4.5" customHeight="1" thickBot="1" x14ac:dyDescent="0.2">
      <c r="B57" s="23"/>
      <c r="C57" s="23"/>
      <c r="D57" s="24"/>
      <c r="E57" s="23"/>
      <c r="F57" s="23"/>
      <c r="G57" s="23"/>
      <c r="H57" s="23"/>
      <c r="I57" s="23"/>
      <c r="J57" s="23"/>
      <c r="K57" s="25"/>
      <c r="L57" s="25"/>
      <c r="M57" s="23"/>
      <c r="N57" s="23"/>
      <c r="O57" s="23"/>
      <c r="P57" s="23"/>
      <c r="Q57" s="23"/>
      <c r="R57" s="23"/>
      <c r="S57" s="23"/>
      <c r="T57" s="23"/>
      <c r="U57" s="26"/>
      <c r="X57" s="27"/>
      <c r="Y57" s="27"/>
    </row>
    <row r="58" spans="2:26" s="1" customFormat="1" ht="110.1" customHeight="1" x14ac:dyDescent="0.15">
      <c r="B58" s="385" t="s">
        <v>125</v>
      </c>
      <c r="C58" s="135" t="s">
        <v>126</v>
      </c>
      <c r="D58" s="136">
        <f>NETWORKDAYS.INTL(E58,F58,"0000100",$AB$5:$AB$12)</f>
        <v>26</v>
      </c>
      <c r="E58" s="137">
        <f>WORKDAY.INTL(F51,1,"0000100",$AB$5:$AB$11)</f>
        <v>46274</v>
      </c>
      <c r="F58" s="137">
        <f>WORKDAY.INTL(E58,25,"0000100",$AB$5:$AB$11)</f>
        <v>46303</v>
      </c>
      <c r="G58" s="137">
        <f>WORKDAY.INTL(H51,1,"0000100",$AB$5:$AB$11)</f>
        <v>46274</v>
      </c>
      <c r="H58" s="137">
        <f>WORKDAY.INTL(G58,25,"0000100",$AB$5:$AB$11)</f>
        <v>46303</v>
      </c>
      <c r="I58" s="137"/>
      <c r="J58" s="137"/>
      <c r="K58" s="138"/>
      <c r="L58" s="138" t="str">
        <f t="shared" ref="L58:L62" ca="1" si="1">IF(OR(K58=100%,J58&lt;&gt;""),"Completed",IF(AND(OR(K58="",K58=0),E58&gt;TODAY()),"Not Started",IF(AND(OR(K58="",K58=0),E58&lt;=TODAY()),"Delayed",IF(AND(K58&gt;0,K58&lt;100%,F58&lt;TODAY()),"Delayed",IF(AND(K58&gt;0,K58&lt;100%),"In Progress","")))))</f>
        <v>Not Started</v>
      </c>
      <c r="M58" s="139"/>
      <c r="N58" s="140"/>
      <c r="O58" s="140"/>
      <c r="P58" s="140"/>
      <c r="Q58" s="140"/>
      <c r="R58" s="140"/>
      <c r="S58" s="140"/>
      <c r="T58" s="141"/>
      <c r="U58" s="142" t="s">
        <v>127</v>
      </c>
      <c r="X58" s="27"/>
      <c r="Y58" s="27"/>
    </row>
    <row r="59" spans="2:26" s="1" customFormat="1" ht="34.5" customHeight="1" x14ac:dyDescent="0.15">
      <c r="B59" s="386"/>
      <c r="C59" s="131" t="s">
        <v>128</v>
      </c>
      <c r="D59" s="132">
        <f>NETWORKDAYS.INTL(E59,F59,"0000100",$AB$5:$AB$12)</f>
        <v>7</v>
      </c>
      <c r="E59" s="133">
        <v>46203</v>
      </c>
      <c r="F59" s="133">
        <f>WORKDAY.INTL(E59,6,"0000100",$AB$5:$AB$11)</f>
        <v>46210</v>
      </c>
      <c r="G59" s="133">
        <v>46203</v>
      </c>
      <c r="H59" s="133">
        <f>WORKDAY.INTL(G59,6,"0000100",$AB$5:$AB$11)</f>
        <v>46210</v>
      </c>
      <c r="I59" s="133"/>
      <c r="J59" s="133"/>
      <c r="K59" s="134"/>
      <c r="L59" s="134" t="str">
        <f t="shared" ca="1" si="1"/>
        <v>Not Started</v>
      </c>
      <c r="M59" s="128"/>
      <c r="N59" s="129"/>
      <c r="O59" s="129"/>
      <c r="P59" s="129"/>
      <c r="Q59" s="129"/>
      <c r="R59" s="129"/>
      <c r="S59" s="129"/>
      <c r="T59" s="130"/>
      <c r="U59" s="143"/>
      <c r="X59" s="27"/>
      <c r="Y59" s="27"/>
    </row>
    <row r="60" spans="2:26" s="1" customFormat="1" ht="124.5" customHeight="1" x14ac:dyDescent="0.15">
      <c r="B60" s="386"/>
      <c r="C60" s="131" t="s">
        <v>129</v>
      </c>
      <c r="D60" s="132">
        <f>NETWORKDAYS.INTL(E60,F60,"0000100",$AB$5:$AB$12)</f>
        <v>167</v>
      </c>
      <c r="E60" s="133">
        <v>46194</v>
      </c>
      <c r="F60" s="133">
        <f>WORKDAY.INTL(E60,166,"0000100",$AB$5:$AB$11)</f>
        <v>46387</v>
      </c>
      <c r="G60" s="133">
        <v>46194</v>
      </c>
      <c r="H60" s="133">
        <f>WORKDAY.INTL(G60,166,"0000100",$AB$5:$AB$11)</f>
        <v>46387</v>
      </c>
      <c r="I60" s="133"/>
      <c r="J60" s="133"/>
      <c r="K60" s="134"/>
      <c r="L60" s="134" t="str">
        <f t="shared" ca="1" si="1"/>
        <v>Delayed</v>
      </c>
      <c r="M60" s="128"/>
      <c r="N60" s="129"/>
      <c r="O60" s="129"/>
      <c r="P60" s="129"/>
      <c r="Q60" s="129"/>
      <c r="R60" s="129"/>
      <c r="S60" s="129"/>
      <c r="T60" s="130"/>
      <c r="U60" s="144" t="s">
        <v>130</v>
      </c>
      <c r="X60" s="27"/>
      <c r="Y60" s="27"/>
    </row>
    <row r="61" spans="2:26" s="1" customFormat="1" ht="124.5" customHeight="1" x14ac:dyDescent="0.15">
      <c r="B61" s="386"/>
      <c r="C61" s="131" t="s">
        <v>131</v>
      </c>
      <c r="D61" s="132">
        <f>NETWORKDAYS.INTL(E61,F61,"0000100",$AB$5:$AB$12)</f>
        <v>129</v>
      </c>
      <c r="E61" s="133">
        <f>WORKDAY.INTL(F60,1,"0000100",$AB$5:$AB$11)</f>
        <v>46389</v>
      </c>
      <c r="F61" s="133">
        <f>WORKDAY.INTL(E61,128,"0000100",$AB$5:$AB$11)</f>
        <v>46538</v>
      </c>
      <c r="G61" s="133">
        <f>WORKDAY.INTL(H60,1,"0000100",$AB$5:$AB$11)</f>
        <v>46389</v>
      </c>
      <c r="H61" s="133">
        <f>WORKDAY.INTL(G61,128,"0000100",$AB$5:$AB$11)</f>
        <v>46538</v>
      </c>
      <c r="I61" s="133"/>
      <c r="J61" s="133"/>
      <c r="K61" s="134"/>
      <c r="L61" s="134" t="str">
        <f t="shared" ca="1" si="1"/>
        <v>Not Started</v>
      </c>
      <c r="M61" s="128"/>
      <c r="N61" s="129"/>
      <c r="O61" s="129"/>
      <c r="P61" s="129"/>
      <c r="Q61" s="129"/>
      <c r="R61" s="129"/>
      <c r="S61" s="129"/>
      <c r="T61" s="130"/>
      <c r="U61" s="144" t="s">
        <v>130</v>
      </c>
      <c r="X61" s="27"/>
      <c r="Y61" s="27"/>
    </row>
    <row r="62" spans="2:26" s="1" customFormat="1" ht="34.5" customHeight="1" thickBot="1" x14ac:dyDescent="0.2">
      <c r="B62" s="387"/>
      <c r="C62" s="145" t="s">
        <v>132</v>
      </c>
      <c r="D62" s="146">
        <f>NETWORKDAYS.INTL(E62,F62,"0000100",$AB$5:$AB$12)</f>
        <v>18</v>
      </c>
      <c r="E62" s="147">
        <v>46357</v>
      </c>
      <c r="F62" s="147">
        <f>WORKDAY.INTL(E62,17,"0000100",$AB$5:$AB$11)</f>
        <v>46377</v>
      </c>
      <c r="G62" s="147">
        <v>46357</v>
      </c>
      <c r="H62" s="147">
        <f>WORKDAY.INTL(G62,17,"0000100",$AB$5:$AB$11)</f>
        <v>46377</v>
      </c>
      <c r="I62" s="147"/>
      <c r="J62" s="147"/>
      <c r="K62" s="148"/>
      <c r="L62" s="148" t="str">
        <f t="shared" ca="1" si="1"/>
        <v>Not Started</v>
      </c>
      <c r="M62" s="149"/>
      <c r="N62" s="150"/>
      <c r="O62" s="150"/>
      <c r="P62" s="150"/>
      <c r="Q62" s="150"/>
      <c r="R62" s="150"/>
      <c r="S62" s="150"/>
      <c r="T62" s="151"/>
      <c r="U62" s="152" t="s">
        <v>133</v>
      </c>
      <c r="X62" s="27"/>
      <c r="Y62" s="27"/>
    </row>
    <row r="63" spans="2:26" s="1" customFormat="1" ht="4.5" customHeight="1" thickBot="1" x14ac:dyDescent="0.2">
      <c r="B63" s="46"/>
      <c r="C63" s="46"/>
      <c r="D63" s="47"/>
      <c r="E63" s="46"/>
      <c r="F63" s="46"/>
      <c r="G63" s="46"/>
      <c r="H63" s="46"/>
      <c r="I63" s="46"/>
      <c r="J63" s="46"/>
      <c r="K63" s="48"/>
      <c r="L63" s="48"/>
      <c r="M63" s="46"/>
      <c r="N63" s="46"/>
      <c r="O63" s="46"/>
      <c r="P63" s="46"/>
      <c r="Q63" s="46"/>
      <c r="R63" s="46"/>
      <c r="S63" s="46"/>
      <c r="T63" s="46"/>
      <c r="U63" s="49"/>
      <c r="X63" s="27"/>
      <c r="Y63" s="27"/>
    </row>
    <row r="64" spans="2:26" s="1" customFormat="1" ht="85.5" customHeight="1" thickBot="1" x14ac:dyDescent="0.3">
      <c r="B64" s="182" t="s">
        <v>134</v>
      </c>
      <c r="C64" s="153" t="s">
        <v>135</v>
      </c>
      <c r="D64" s="154">
        <f>NETWORKDAYS.INTL(E64,F64,"0000110",$AB$5:$AB$12)</f>
        <v>3</v>
      </c>
      <c r="E64" s="155">
        <f>MAX(WORKDAY.INTL(F51,1,"0000110"),WORKDAY.INTL(F72,1,"0000110"),WORKDAY.INTL(F70,1,"0000110"))</f>
        <v>46278</v>
      </c>
      <c r="F64" s="155">
        <f>WORKDAY.INTL(E64,2,"0000110")</f>
        <v>46280</v>
      </c>
      <c r="G64" s="155">
        <f>MAX(WORKDAY.INTL(H51,1,"0000110"),WORKDAY.INTL(H72,1,"0000110"),WORKDAY.INTL(H70,1,"0000110"))</f>
        <v>46278</v>
      </c>
      <c r="H64" s="155">
        <f>WORKDAY.INTL(G64,2,"0000110")</f>
        <v>46280</v>
      </c>
      <c r="I64" s="155"/>
      <c r="J64" s="155"/>
      <c r="K64" s="156"/>
      <c r="L64" s="156" t="str">
        <f ca="1">IF(OR(K64=100%,J64&lt;&gt;""),"Completed",IF(AND(OR(K64="",K64=0),E64&gt;TODAY()),"Not Started",IF(AND(OR(K64="",K64=0),E64&lt;=TODAY()),"Delayed",IF(AND(K64&gt;0,K64&lt;100%,F64&lt;TODAY()),"Delayed",IF(AND(K64&gt;0,K64&lt;100%),"In Progress","")))))</f>
        <v>Not Started</v>
      </c>
      <c r="M64" s="157"/>
      <c r="N64" s="158"/>
      <c r="O64" s="158"/>
      <c r="P64" s="158"/>
      <c r="Q64" s="158"/>
      <c r="R64" s="158"/>
      <c r="S64" s="158"/>
      <c r="T64" s="159"/>
      <c r="U64" s="160" t="s">
        <v>136</v>
      </c>
      <c r="X64" s="27"/>
      <c r="Y64" s="27"/>
    </row>
    <row r="65" spans="2:26" s="1" customFormat="1" ht="4.5" customHeight="1" thickBot="1" x14ac:dyDescent="0.2">
      <c r="B65" s="46"/>
      <c r="C65" s="46"/>
      <c r="D65" s="47"/>
      <c r="E65" s="46"/>
      <c r="F65" s="46"/>
      <c r="G65" s="46"/>
      <c r="H65" s="46"/>
      <c r="I65" s="46"/>
      <c r="J65" s="46"/>
      <c r="K65" s="48"/>
      <c r="L65" s="48"/>
      <c r="M65" s="46"/>
      <c r="N65" s="46"/>
      <c r="O65" s="46"/>
      <c r="P65" s="46"/>
      <c r="Q65" s="46"/>
      <c r="R65" s="46"/>
      <c r="S65" s="46"/>
      <c r="T65" s="46"/>
      <c r="U65" s="49"/>
      <c r="X65" s="28"/>
      <c r="Y65" s="6"/>
    </row>
    <row r="66" spans="2:26" ht="28.9" customHeight="1" x14ac:dyDescent="0.25">
      <c r="B66" s="388" t="s">
        <v>34</v>
      </c>
      <c r="C66" s="162" t="s">
        <v>36</v>
      </c>
      <c r="D66" s="163">
        <f t="shared" ref="D66:D70" si="2">NETWORKDAYS.INTL(E66,F66,"0000110",$AC$5:$AC$12)</f>
        <v>3</v>
      </c>
      <c r="E66" s="164">
        <f>MAX(WORKDAY.INTL(F49,1,"0000110",$AB$5:$AB$11),WORKDAY.INTL(F55,1,"0000110",$AB$5:$AB$11),WORKDAY.INTL(F39,1,"0000110",$AB$5:$AB$11))</f>
        <v>46260</v>
      </c>
      <c r="F66" s="164">
        <f>WORKDAY.INTL(E66,2,"0000110",$AC$5:$AC$11)</f>
        <v>46264</v>
      </c>
      <c r="G66" s="164">
        <f>MAX(WORKDAY.INTL(H49,1,"0000110",$AB$5:$AB$11),WORKDAY.INTL(H55,1,"0000110",$AB$5:$AB$11),WORKDAY.INTL(H39,1,"0000110",$AB$5:$AB$11))</f>
        <v>46260</v>
      </c>
      <c r="H66" s="164">
        <f>WORKDAY.INTL(G66,2,"0000110",$AC$5:$AC$11)</f>
        <v>46264</v>
      </c>
      <c r="I66" s="164"/>
      <c r="J66" s="164"/>
      <c r="K66" s="165"/>
      <c r="L66" s="165" t="str">
        <f t="shared" ref="L66:L70" ca="1" si="3">IF(OR(K66=100%,J66&lt;&gt;""),"Completed",IF(AND(OR(K66="",K66=0),E66&gt;TODAY()),"Not Started",IF(AND(OR(K66="",K66=0),E66&lt;=TODAY()),"Delayed",IF(AND(K66&gt;0,K66&lt;100%,F66&lt;TODAY()),"Delayed",IF(AND(K66&gt;0,K66&lt;100%),"In Progress","")))))</f>
        <v>Not Started</v>
      </c>
      <c r="M66" s="166"/>
      <c r="N66" s="167"/>
      <c r="O66" s="167"/>
      <c r="P66" s="167"/>
      <c r="Q66" s="167"/>
      <c r="R66" s="167"/>
      <c r="S66" s="167"/>
      <c r="T66" s="168"/>
      <c r="U66" s="169"/>
      <c r="V66" s="2" t="s">
        <v>109</v>
      </c>
      <c r="X66" s="28"/>
    </row>
    <row r="67" spans="2:26" ht="28.9" customHeight="1" x14ac:dyDescent="0.25">
      <c r="B67" s="389"/>
      <c r="C67" s="118" t="s">
        <v>38</v>
      </c>
      <c r="D67" s="117">
        <f t="shared" si="2"/>
        <v>5</v>
      </c>
      <c r="E67" s="113">
        <f>WORKDAY.INTL(F66,1,"0000110",$AC$5:$AC$11)</f>
        <v>46265</v>
      </c>
      <c r="F67" s="113">
        <f>WORKDAY.INTL(E67,4,"0000110",$AC$5:$AC$11)</f>
        <v>46271</v>
      </c>
      <c r="G67" s="113">
        <f>WORKDAY.INTL(H66,1,"0000110",$AC$5:$AC$11)</f>
        <v>46265</v>
      </c>
      <c r="H67" s="113">
        <f>WORKDAY.INTL(G67,4,"0000110",$AC$5:$AC$11)</f>
        <v>46271</v>
      </c>
      <c r="I67" s="113"/>
      <c r="J67" s="113"/>
      <c r="K67" s="119"/>
      <c r="L67" s="119" t="str">
        <f t="shared" ca="1" si="3"/>
        <v>Not Started</v>
      </c>
      <c r="M67" s="170"/>
      <c r="N67" s="171"/>
      <c r="O67" s="171"/>
      <c r="P67" s="171"/>
      <c r="Q67" s="171"/>
      <c r="R67" s="171"/>
      <c r="S67" s="171"/>
      <c r="T67" s="172"/>
      <c r="U67" s="173"/>
      <c r="V67" s="2" t="s">
        <v>109</v>
      </c>
      <c r="X67" s="1"/>
      <c r="Y67" s="1"/>
    </row>
    <row r="68" spans="2:26" ht="28.9" customHeight="1" x14ac:dyDescent="0.25">
      <c r="B68" s="389"/>
      <c r="C68" s="118" t="s">
        <v>43</v>
      </c>
      <c r="D68" s="117">
        <f t="shared" si="2"/>
        <v>2</v>
      </c>
      <c r="E68" s="113">
        <f>WORKDAY.INTL(F67,1,"0000110",$AC$5:$AC$11)</f>
        <v>46272</v>
      </c>
      <c r="F68" s="113">
        <f>WORKDAY.INTL(E68,1,"0000110",$AC$5:$AC$11)</f>
        <v>46273</v>
      </c>
      <c r="G68" s="113">
        <f>WORKDAY.INTL(H67,1,"0000110",$AC$5:$AC$11)</f>
        <v>46272</v>
      </c>
      <c r="H68" s="113">
        <f>WORKDAY.INTL(G68,1,"0000110",$AC$5:$AC$11)</f>
        <v>46273</v>
      </c>
      <c r="I68" s="113"/>
      <c r="J68" s="113"/>
      <c r="K68" s="119"/>
      <c r="L68" s="119" t="str">
        <f t="shared" ca="1" si="3"/>
        <v>Not Started</v>
      </c>
      <c r="M68" s="170"/>
      <c r="N68" s="171"/>
      <c r="O68" s="171"/>
      <c r="P68" s="171"/>
      <c r="Q68" s="171"/>
      <c r="R68" s="171"/>
      <c r="S68" s="171"/>
      <c r="T68" s="172"/>
      <c r="U68" s="173"/>
      <c r="V68" s="2" t="s">
        <v>109</v>
      </c>
      <c r="X68" s="28"/>
    </row>
    <row r="69" spans="2:26" ht="28.9" customHeight="1" x14ac:dyDescent="0.25">
      <c r="B69" s="389"/>
      <c r="C69" s="118" t="s">
        <v>44</v>
      </c>
      <c r="D69" s="117">
        <f t="shared" si="2"/>
        <v>1</v>
      </c>
      <c r="E69" s="113">
        <f>WORKDAY.INTL(F68,1,"0000110",$AC$5:$AC$11)</f>
        <v>46274</v>
      </c>
      <c r="F69" s="113">
        <f>WORKDAY.INTL(E69,0,"0000110",$AC$5:$AC$11)</f>
        <v>46274</v>
      </c>
      <c r="G69" s="113">
        <f>WORKDAY.INTL(H68,1,"0000110",$AC$5:$AC$11)</f>
        <v>46274</v>
      </c>
      <c r="H69" s="113">
        <f>WORKDAY.INTL(G69,0,"0000110",$AC$5:$AC$11)</f>
        <v>46274</v>
      </c>
      <c r="I69" s="113"/>
      <c r="J69" s="113"/>
      <c r="K69" s="119"/>
      <c r="L69" s="119" t="str">
        <f t="shared" ca="1" si="3"/>
        <v>Not Started</v>
      </c>
      <c r="M69" s="170"/>
      <c r="N69" s="171"/>
      <c r="O69" s="171"/>
      <c r="P69" s="171"/>
      <c r="Q69" s="171"/>
      <c r="R69" s="171"/>
      <c r="S69" s="171"/>
      <c r="T69" s="172"/>
      <c r="U69" s="173"/>
      <c r="V69" s="2" t="s">
        <v>109</v>
      </c>
      <c r="X69" s="28"/>
    </row>
    <row r="70" spans="2:26" ht="28.9" customHeight="1" thickBot="1" x14ac:dyDescent="0.3">
      <c r="B70" s="390"/>
      <c r="C70" s="174" t="s">
        <v>46</v>
      </c>
      <c r="D70" s="175">
        <f t="shared" si="2"/>
        <v>1</v>
      </c>
      <c r="E70" s="176">
        <f>WORKDAY.INTL(F69,1,"0000110",$AC$5:$AC$11)</f>
        <v>46275</v>
      </c>
      <c r="F70" s="176">
        <f>WORKDAY.INTL(E70,0,"0000110",$AC$5:$AC$11)</f>
        <v>46275</v>
      </c>
      <c r="G70" s="176">
        <f>WORKDAY.INTL(H69,1,"0000110",$AC$5:$AC$11)</f>
        <v>46275</v>
      </c>
      <c r="H70" s="176">
        <f>WORKDAY.INTL(G70,0,"0000110",$AC$5:$AC$11)</f>
        <v>46275</v>
      </c>
      <c r="I70" s="176"/>
      <c r="J70" s="176"/>
      <c r="K70" s="177"/>
      <c r="L70" s="177" t="str">
        <f t="shared" ca="1" si="3"/>
        <v>Not Started</v>
      </c>
      <c r="M70" s="178"/>
      <c r="N70" s="179"/>
      <c r="O70" s="179"/>
      <c r="P70" s="179"/>
      <c r="Q70" s="179"/>
      <c r="R70" s="179"/>
      <c r="S70" s="179"/>
      <c r="T70" s="180"/>
      <c r="U70" s="181"/>
      <c r="V70" s="2" t="s">
        <v>109</v>
      </c>
      <c r="X70" s="28"/>
    </row>
    <row r="71" spans="2:26" s="1" customFormat="1" ht="4.5" customHeight="1" thickBot="1" x14ac:dyDescent="0.2">
      <c r="B71" s="23"/>
      <c r="C71" s="23"/>
      <c r="D71" s="24"/>
      <c r="E71" s="23"/>
      <c r="F71" s="23"/>
      <c r="G71" s="23"/>
      <c r="H71" s="23"/>
      <c r="I71" s="23"/>
      <c r="J71" s="23"/>
      <c r="K71" s="25"/>
      <c r="L71" s="25"/>
      <c r="M71" s="23"/>
      <c r="N71" s="23"/>
      <c r="O71" s="23"/>
      <c r="P71" s="23"/>
      <c r="Q71" s="23"/>
      <c r="R71" s="23"/>
      <c r="S71" s="23"/>
      <c r="T71" s="23"/>
      <c r="U71" s="26"/>
    </row>
    <row r="72" spans="2:26" ht="34.5" customHeight="1" x14ac:dyDescent="0.15">
      <c r="B72" s="391" t="s">
        <v>137</v>
      </c>
      <c r="C72" s="183" t="s">
        <v>47</v>
      </c>
      <c r="D72" s="184">
        <f>NETWORKDAYS.INTL(E72,F72,"0000110",$AC$5:$AC$12)</f>
        <v>30</v>
      </c>
      <c r="E72" s="185">
        <v>46235</v>
      </c>
      <c r="F72" s="185">
        <f>WORKDAY.INTL(E72,30,"0000110",$AB$5:$AB$11)</f>
        <v>46275</v>
      </c>
      <c r="G72" s="185">
        <v>46235</v>
      </c>
      <c r="H72" s="185">
        <f>WORKDAY.INTL(G72,30,"0000110",$AB$5:$AB$11)</f>
        <v>46275</v>
      </c>
      <c r="I72" s="185"/>
      <c r="J72" s="185"/>
      <c r="K72" s="186"/>
      <c r="L72" s="186" t="str">
        <f ca="1">IF(OR(K72=100%,J72&lt;&gt;""),"Completed",IF(AND(OR(K72="",K72=0),E72&gt;TODAY()),"Not Started",IF(AND(OR(K72="",K72=0),E72&lt;=TODAY()),"Delayed",IF(AND(K72&gt;0,K72&lt;100%,F72&lt;TODAY()),"Delayed",IF(AND(K72&gt;0,K72&lt;100%),"In Progress","")))))</f>
        <v>Not Started</v>
      </c>
      <c r="M72" s="58"/>
      <c r="N72" s="59"/>
      <c r="O72" s="59"/>
      <c r="P72" s="59"/>
      <c r="Q72" s="59"/>
      <c r="R72" s="59"/>
      <c r="S72" s="59"/>
      <c r="T72" s="59"/>
      <c r="U72" s="53" t="s">
        <v>138</v>
      </c>
      <c r="V72" s="2" t="s">
        <v>109</v>
      </c>
    </row>
    <row r="73" spans="2:26" ht="45.75" customHeight="1" thickBot="1" x14ac:dyDescent="0.2">
      <c r="B73" s="392"/>
      <c r="C73" s="187" t="s">
        <v>139</v>
      </c>
      <c r="D73" s="188">
        <f>NETWORKDAYS.INTL(E73,F73,"0000110",$AC$5:$AC$12)</f>
        <v>29</v>
      </c>
      <c r="E73" s="189">
        <f>F64+7</f>
        <v>46287</v>
      </c>
      <c r="F73" s="189">
        <f>WORKDAY.INTL(E73,29,"0000110",$AB$5:$AB$11)</f>
        <v>46328</v>
      </c>
      <c r="G73" s="189">
        <f>H64+7</f>
        <v>46287</v>
      </c>
      <c r="H73" s="189">
        <f>WORKDAY.INTL(G73,29,"0000110",$AB$5:$AB$11)</f>
        <v>46328</v>
      </c>
      <c r="I73" s="189"/>
      <c r="J73" s="189"/>
      <c r="K73" s="190"/>
      <c r="L73" s="190" t="str">
        <f ca="1">IF(OR(K73=100%,J73&lt;&gt;""),"Completed",IF(AND(OR(K73="",K73=0),E73&gt;TODAY()),"Not Started",IF(AND(OR(K73="",K73=0),E73&lt;=TODAY()),"Delayed",IF(AND(K73&gt;0,K73&lt;100%,F73&lt;TODAY()),"Delayed",IF(AND(K73&gt;0,K73&lt;100%),"In Progress","")))))</f>
        <v>Not Started</v>
      </c>
      <c r="M73" s="60"/>
      <c r="N73" s="61"/>
      <c r="O73" s="61"/>
      <c r="P73" s="61"/>
      <c r="Q73" s="61"/>
      <c r="R73" s="61"/>
      <c r="S73" s="61"/>
      <c r="T73" s="61"/>
      <c r="U73" s="57"/>
      <c r="V73" s="2" t="s">
        <v>109</v>
      </c>
    </row>
    <row r="74" spans="2:26" s="1" customFormat="1" ht="4.5" customHeight="1" thickBot="1" x14ac:dyDescent="0.2">
      <c r="B74" s="23"/>
      <c r="C74" s="23"/>
      <c r="D74" s="24"/>
      <c r="E74" s="23"/>
      <c r="F74" s="23"/>
      <c r="G74" s="23"/>
      <c r="H74" s="23"/>
      <c r="I74" s="23"/>
      <c r="J74" s="23"/>
      <c r="K74" s="25"/>
      <c r="L74" s="25"/>
      <c r="M74" s="23"/>
      <c r="N74" s="23"/>
      <c r="O74" s="23"/>
      <c r="P74" s="23"/>
      <c r="Q74" s="23"/>
      <c r="R74" s="23"/>
      <c r="S74" s="23"/>
      <c r="T74" s="23"/>
      <c r="U74" s="26"/>
      <c r="Y74" s="6"/>
      <c r="Z74" s="6"/>
    </row>
    <row r="75" spans="2:26" ht="36" customHeight="1" thickBot="1" x14ac:dyDescent="0.2">
      <c r="B75" s="385" t="s">
        <v>140</v>
      </c>
      <c r="C75" s="213" t="s">
        <v>141</v>
      </c>
      <c r="D75" s="214">
        <f>NETWORKDAYS.INTL(E75,F75,"0000100",$AC$5:$AC$12)</f>
        <v>19</v>
      </c>
      <c r="E75" s="215">
        <v>46217</v>
      </c>
      <c r="F75" s="137">
        <f>E75+21</f>
        <v>46238</v>
      </c>
      <c r="G75" s="137">
        <v>46187</v>
      </c>
      <c r="H75" s="137">
        <f>G75+21</f>
        <v>46208</v>
      </c>
      <c r="I75" s="137"/>
      <c r="J75" s="137"/>
      <c r="K75" s="138"/>
      <c r="L75" s="138" t="str">
        <f ca="1">IF(OR(K75=100%,J75&lt;&gt;""),"Completed",IF(AND(OR(K75="",K75=0),E75&gt;TODAY()),"Not Started",IF(AND(OR(K75="",K75=0),E75&lt;=TODAY()),"Delayed",IF(AND(K75&gt;0,K75&lt;100%,F75&lt;TODAY()),"Delayed",IF(AND(K75&gt;0,K75&lt;100%),"In Progress","")))))</f>
        <v>Not Started</v>
      </c>
      <c r="M75" s="216"/>
      <c r="N75" s="217"/>
      <c r="O75" s="217"/>
      <c r="P75" s="217"/>
      <c r="Q75" s="217"/>
      <c r="R75" s="217"/>
      <c r="S75" s="217"/>
      <c r="T75" s="217"/>
      <c r="U75" s="359" t="s">
        <v>142</v>
      </c>
      <c r="V75" s="2" t="s">
        <v>103</v>
      </c>
      <c r="Y75" s="27"/>
      <c r="Z75" s="27"/>
    </row>
    <row r="76" spans="2:26" ht="36" customHeight="1" thickBot="1" x14ac:dyDescent="0.2">
      <c r="B76" s="387"/>
      <c r="C76" s="218" t="s">
        <v>51</v>
      </c>
      <c r="D76" s="219">
        <f>NETWORKDAYS.INTL(E76,F76,"0000110",$AC$5:$AC$12)</f>
        <v>11</v>
      </c>
      <c r="E76" s="147">
        <v>46357</v>
      </c>
      <c r="F76" s="147">
        <f>E76+14</f>
        <v>46371</v>
      </c>
      <c r="G76" s="147">
        <v>46204</v>
      </c>
      <c r="H76" s="147">
        <f>G76+14</f>
        <v>46218</v>
      </c>
      <c r="I76" s="147"/>
      <c r="J76" s="147"/>
      <c r="K76" s="148"/>
      <c r="L76" s="148" t="str">
        <f ca="1">IF(OR(K76=100%,J76&lt;&gt;""),"Completed",IF(AND(OR(K76="",K76=0),E76&gt;TODAY()),"Not Started",IF(AND(OR(K76="",K76=0),E76&lt;=TODAY()),"Delayed",IF(AND(K76&gt;0,K76&lt;100%,F76&lt;TODAY()),"Delayed",IF(AND(K76&gt;0,K76&lt;100%),"In Progress","")))))</f>
        <v>Not Started</v>
      </c>
      <c r="M76" s="220"/>
      <c r="N76" s="221"/>
      <c r="O76" s="221"/>
      <c r="P76" s="221"/>
      <c r="Q76" s="221"/>
      <c r="R76" s="221"/>
      <c r="S76" s="221"/>
      <c r="T76" s="221"/>
      <c r="U76" s="361" t="s">
        <v>143</v>
      </c>
      <c r="V76" s="2" t="s">
        <v>109</v>
      </c>
    </row>
    <row r="77" spans="2:26" s="1" customFormat="1" ht="4.5" customHeight="1" thickBot="1" x14ac:dyDescent="0.2">
      <c r="B77" s="23"/>
      <c r="C77" s="23"/>
      <c r="D77" s="24"/>
      <c r="E77" s="23"/>
      <c r="F77" s="23"/>
      <c r="G77" s="23"/>
      <c r="H77" s="23"/>
      <c r="I77" s="23"/>
      <c r="J77" s="23"/>
      <c r="K77" s="25"/>
      <c r="L77" s="25"/>
      <c r="M77" s="23"/>
      <c r="N77" s="23"/>
      <c r="O77" s="23"/>
      <c r="P77" s="23"/>
      <c r="Q77" s="23"/>
      <c r="R77" s="23"/>
      <c r="S77" s="23"/>
      <c r="T77" s="23"/>
      <c r="U77" s="26"/>
      <c r="Y77" s="6"/>
      <c r="Z77" s="6"/>
    </row>
    <row r="78" spans="2:26" ht="28.9" customHeight="1" x14ac:dyDescent="0.15">
      <c r="B78" s="452" t="s">
        <v>144</v>
      </c>
      <c r="C78" s="192" t="s">
        <v>145</v>
      </c>
      <c r="D78" s="193">
        <f>NETWORKDAYS.INTL(E78,F78,"0000100",$AB$5:$AB$12)</f>
        <v>76</v>
      </c>
      <c r="E78" s="194">
        <f>WORKDAY.INTL(F52,1,"0000100",$AB$5:$AB$11)</f>
        <v>46274</v>
      </c>
      <c r="F78" s="195">
        <f>WORKDAY.INTL(E78,75,"0000100",$AB$5:$AB$11)</f>
        <v>46362</v>
      </c>
      <c r="G78" s="185">
        <f>WORKDAY.INTL(H52,1,"0000100",$AB$5:$AB$11)</f>
        <v>46274</v>
      </c>
      <c r="H78" s="196">
        <f>WORKDAY.INTL(G78,65,"0000100",$AB$5:$AB$11)</f>
        <v>46350</v>
      </c>
      <c r="I78" s="196"/>
      <c r="J78" s="196"/>
      <c r="K78" s="197"/>
      <c r="L78" s="197" t="str">
        <f ca="1">IF(OR(K78=100%,J78&lt;&gt;""),"Completed",IF(AND(OR(K78="",K78=0),E78&gt;TODAY()),"Not Started",IF(AND(OR(K78="",K78=0),E78&lt;=TODAY()),"Delayed",IF(AND(K78&gt;0,K78&lt;100%,F78&lt;TODAY()),"Delayed",IF(AND(K78&gt;0,K78&lt;100%),"In Progress","")))))</f>
        <v>Not Started</v>
      </c>
      <c r="M78" s="50"/>
      <c r="N78" s="51"/>
      <c r="O78" s="51"/>
      <c r="P78" s="51"/>
      <c r="Q78" s="51"/>
      <c r="R78" s="51"/>
      <c r="S78" s="51"/>
      <c r="T78" s="52"/>
      <c r="U78" s="161"/>
      <c r="V78" s="2"/>
      <c r="X78" s="6"/>
    </row>
    <row r="79" spans="2:26" ht="28.9" customHeight="1" x14ac:dyDescent="0.15">
      <c r="B79" s="453"/>
      <c r="C79" s="198" t="s">
        <v>7</v>
      </c>
      <c r="D79" s="107">
        <f>NETWORKDAYS.INTL(E79,F79,"0000100",$AB$5:$AB$12)</f>
        <v>76</v>
      </c>
      <c r="E79" s="199">
        <f>WORKDAY.INTL(E78,14,"0000100",$AB$5:$AB$11)</f>
        <v>46291</v>
      </c>
      <c r="F79" s="200">
        <f>WORKDAY.INTL(F78,14,"0000100",$AB$5:$AB$11)</f>
        <v>46378</v>
      </c>
      <c r="G79" s="201">
        <f>WORKDAY.INTL(G78,14,"0000100",$AB$5:$AB$11)</f>
        <v>46291</v>
      </c>
      <c r="H79" s="202">
        <f>WORKDAY.INTL(H78,14,"0000100",$AB$5:$AB$11)</f>
        <v>46366</v>
      </c>
      <c r="I79" s="202"/>
      <c r="J79" s="202"/>
      <c r="K79" s="203"/>
      <c r="L79" s="203" t="str">
        <f ca="1">IF(OR(K79=100%,J79&lt;&gt;""),"Completed",IF(AND(OR(K79="",K79=0),E79&gt;TODAY()),"Not Started",IF(AND(OR(K79="",K79=0),E79&lt;=TODAY()),"Delayed",IF(AND(K79&gt;0,K79&lt;100%,F79&lt;TODAY()),"Delayed",IF(AND(K79&gt;0,K79&lt;100%),"In Progress","")))))</f>
        <v>Not Started</v>
      </c>
      <c r="M79" s="191"/>
      <c r="N79" s="34"/>
      <c r="O79" s="34"/>
      <c r="P79" s="34"/>
      <c r="Q79" s="34"/>
      <c r="R79" s="34"/>
      <c r="S79" s="34"/>
      <c r="T79" s="35"/>
      <c r="U79" s="235" t="s">
        <v>8</v>
      </c>
      <c r="V79" s="2"/>
      <c r="X79" s="6"/>
    </row>
    <row r="80" spans="2:26" ht="28.9" customHeight="1" x14ac:dyDescent="0.15">
      <c r="B80" s="453"/>
      <c r="C80" s="198" t="s">
        <v>146</v>
      </c>
      <c r="D80" s="107">
        <f>NETWORKDAYS.INTL(E80,F80,"0000110",$AB$5:$AB$12)</f>
        <v>61</v>
      </c>
      <c r="E80" s="204">
        <f>WORKDAY.INTL(E79,5,"0000110")</f>
        <v>46296</v>
      </c>
      <c r="F80" s="205">
        <f>WORKDAY.INTL(E80,60,"0000110")</f>
        <v>46380</v>
      </c>
      <c r="G80" s="108">
        <f>WORKDAY.INTL(G79,5,"0000110")</f>
        <v>46296</v>
      </c>
      <c r="H80" s="206">
        <f>WORKDAY.INTL(G80,65,"0000110")</f>
        <v>46387</v>
      </c>
      <c r="I80" s="206"/>
      <c r="J80" s="206"/>
      <c r="K80" s="207"/>
      <c r="L80" s="207" t="str">
        <f ca="1">IF(OR(K80=100%,J80&lt;&gt;""),"Completed",IF(AND(OR(K80="",K80=0),E80&gt;TODAY()),"Not Started",IF(AND(OR(K80="",K80=0),E80&lt;=TODAY()),"Delayed",IF(AND(K80&gt;0,K80&lt;100%,F80&lt;TODAY()),"Delayed",IF(AND(K80&gt;0,K80&lt;100%),"In Progress","")))))</f>
        <v>Not Started</v>
      </c>
      <c r="M80" s="29"/>
      <c r="N80" s="34"/>
      <c r="O80" s="34"/>
      <c r="P80" s="34"/>
      <c r="Q80" s="34"/>
      <c r="R80" s="34"/>
      <c r="S80" s="34"/>
      <c r="T80" s="35"/>
      <c r="U80" s="235" t="s">
        <v>147</v>
      </c>
      <c r="V80" s="2"/>
      <c r="X80" s="6"/>
    </row>
    <row r="81" spans="2:26" ht="28.9" customHeight="1" thickBot="1" x14ac:dyDescent="0.2">
      <c r="B81" s="454"/>
      <c r="C81" s="208" t="s">
        <v>148</v>
      </c>
      <c r="D81" s="209">
        <f>NETWORKDAYS.INTL(E81,F81,"0000110",$AB$5:$AB$12)</f>
        <v>1</v>
      </c>
      <c r="E81" s="210">
        <f>MAX(WORKDAY.INTL(F87,1,"0000100"),WORKDAY.INTL(F80,1,"0000100"))</f>
        <v>46392</v>
      </c>
      <c r="F81" s="210">
        <f>WORKDAY.INTL(E81,0,"0000110")</f>
        <v>46392</v>
      </c>
      <c r="G81" s="189">
        <f>MAX(WORKDAY.INTL(H87,1,"0000100"),WORKDAY.INTL(H80,1,"0000100"))</f>
        <v>46392</v>
      </c>
      <c r="H81" s="189">
        <f>WORKDAY.INTL(G81,0,"0000110")</f>
        <v>46392</v>
      </c>
      <c r="I81" s="189"/>
      <c r="J81" s="189"/>
      <c r="K81" s="190"/>
      <c r="L81" s="190" t="str">
        <f ca="1">IF(OR(K81=100%,J81&lt;&gt;""),"Completed",IF(AND(OR(K81="",K81=0),E81&gt;TODAY()),"Not Started",IF(AND(OR(K81="",K81=0),E81&lt;=TODAY()),"Delayed",IF(AND(K81&gt;0,K81&lt;100%,F81&lt;TODAY()),"Delayed",IF(AND(K81&gt;0,K81&lt;100%),"In Progress","")))))</f>
        <v>Not Started</v>
      </c>
      <c r="M81" s="54"/>
      <c r="N81" s="55"/>
      <c r="O81" s="55"/>
      <c r="P81" s="55"/>
      <c r="Q81" s="55"/>
      <c r="R81" s="55"/>
      <c r="S81" s="55"/>
      <c r="T81" s="56"/>
      <c r="U81" s="57"/>
      <c r="V81" s="2"/>
      <c r="X81" s="6"/>
    </row>
    <row r="82" spans="2:26" ht="14.25" thickBot="1" x14ac:dyDescent="0.2">
      <c r="K82" s="4"/>
      <c r="L82" s="4"/>
      <c r="X82" s="6"/>
    </row>
    <row r="83" spans="2:26" ht="30.75" customHeight="1" x14ac:dyDescent="0.15">
      <c r="B83" s="385" t="s">
        <v>149</v>
      </c>
      <c r="C83" s="222" t="s">
        <v>150</v>
      </c>
      <c r="D83" s="214">
        <f t="shared" ref="D83:D88" si="4">NETWORKDAYS.INTL(E83,F83,"0000110",$AB$5:$AB$12)</f>
        <v>5</v>
      </c>
      <c r="E83" s="137">
        <f>WORKDAY.INTL(E79,74,"0000100",$AB$5:$AB$11)</f>
        <v>46377</v>
      </c>
      <c r="F83" s="137">
        <f>WORKDAY.INTL(E83,4,"0000110",$AB$5:$AB$11)</f>
        <v>46383</v>
      </c>
      <c r="G83" s="137">
        <f>WORKDAY.INTL(G79,74,"0000100",$AB$5:$AB$11)</f>
        <v>46377</v>
      </c>
      <c r="H83" s="137">
        <f>WORKDAY.INTL(G83,4,"0000110",$AB$5:$AB$11)</f>
        <v>46383</v>
      </c>
      <c r="I83" s="137"/>
      <c r="J83" s="137"/>
      <c r="K83" s="138"/>
      <c r="L83" s="138" t="str">
        <f t="shared" ref="L83:L88" ca="1" si="5">IF(OR(K83=100%,J83&lt;&gt;""),"Completed",IF(AND(OR(K83="",K83=0),E83&gt;TODAY()),"Not Started",IF(AND(OR(K83="",K83=0),E83&lt;=TODAY()),"Delayed",IF(AND(K83&gt;0,K83&lt;100%,F83&lt;TODAY()),"Delayed",IF(AND(K83&gt;0,K83&lt;100%),"In Progress","")))))</f>
        <v>Not Started</v>
      </c>
      <c r="M83" s="216"/>
      <c r="N83" s="223"/>
      <c r="O83" s="223"/>
      <c r="P83" s="223"/>
      <c r="Q83" s="223"/>
      <c r="R83" s="223"/>
      <c r="S83" s="223"/>
      <c r="T83" s="223"/>
      <c r="U83" s="224"/>
      <c r="V83" s="2"/>
      <c r="X83" s="6"/>
      <c r="Y83" s="27"/>
      <c r="Z83" s="27"/>
    </row>
    <row r="84" spans="2:26" ht="30.75" customHeight="1" x14ac:dyDescent="0.15">
      <c r="B84" s="386"/>
      <c r="C84" s="225" t="s">
        <v>151</v>
      </c>
      <c r="D84" s="226">
        <f t="shared" si="4"/>
        <v>2</v>
      </c>
      <c r="E84" s="133">
        <f>WORKDAY.INTL(F83,1,"0000110",$AB$5:$AB$11)</f>
        <v>46384</v>
      </c>
      <c r="F84" s="133">
        <f>WORKDAY.INTL(E84,1,"0000110",$AB$5:$AB$11)</f>
        <v>46385</v>
      </c>
      <c r="G84" s="133">
        <f>WORKDAY.INTL(H83,1,"0000110",$AB$5:$AB$11)</f>
        <v>46384</v>
      </c>
      <c r="H84" s="133">
        <f>WORKDAY.INTL(G84,1,"0000110",$AB$5:$AB$11)</f>
        <v>46385</v>
      </c>
      <c r="I84" s="133"/>
      <c r="J84" s="133"/>
      <c r="K84" s="134"/>
      <c r="L84" s="134" t="str">
        <f t="shared" ca="1" si="5"/>
        <v>Not Started</v>
      </c>
      <c r="M84" s="227"/>
      <c r="N84" s="228"/>
      <c r="O84" s="228"/>
      <c r="P84" s="228"/>
      <c r="Q84" s="228"/>
      <c r="R84" s="228"/>
      <c r="S84" s="228"/>
      <c r="T84" s="228"/>
      <c r="U84" s="229"/>
      <c r="V84" s="2"/>
      <c r="X84" s="6"/>
    </row>
    <row r="85" spans="2:26" ht="30.75" customHeight="1" x14ac:dyDescent="0.15">
      <c r="B85" s="386"/>
      <c r="C85" s="225" t="s">
        <v>152</v>
      </c>
      <c r="D85" s="226">
        <f t="shared" si="4"/>
        <v>2</v>
      </c>
      <c r="E85" s="133">
        <f>WORKDAY.INTL(F84,1,"0000110",$AB$5:$AB$11)</f>
        <v>46386</v>
      </c>
      <c r="F85" s="133">
        <f>WORKDAY.INTL(E85,1,"0000110",$AB$5:$AB$11)</f>
        <v>46387</v>
      </c>
      <c r="G85" s="133">
        <f>WORKDAY.INTL(H84,1,"0000110",$AB$5:$AB$11)</f>
        <v>46386</v>
      </c>
      <c r="H85" s="133">
        <f>WORKDAY.INTL(G85,1,"0000110",$AB$5:$AB$11)</f>
        <v>46387</v>
      </c>
      <c r="I85" s="133"/>
      <c r="J85" s="133"/>
      <c r="K85" s="134"/>
      <c r="L85" s="134" t="str">
        <f t="shared" ca="1" si="5"/>
        <v>Not Started</v>
      </c>
      <c r="M85" s="227"/>
      <c r="N85" s="228"/>
      <c r="O85" s="228"/>
      <c r="P85" s="228"/>
      <c r="Q85" s="228"/>
      <c r="R85" s="228"/>
      <c r="S85" s="228"/>
      <c r="T85" s="228"/>
      <c r="U85" s="229"/>
      <c r="V85" s="2"/>
      <c r="X85" s="6"/>
      <c r="Y85" s="27"/>
      <c r="Z85" s="27"/>
    </row>
    <row r="86" spans="2:26" ht="30.75" customHeight="1" x14ac:dyDescent="0.15">
      <c r="B86" s="386"/>
      <c r="C86" s="225" t="s">
        <v>153</v>
      </c>
      <c r="D86" s="226">
        <f t="shared" si="4"/>
        <v>1</v>
      </c>
      <c r="E86" s="133">
        <f>WORKDAY.INTL(F85,1,"0000110",$AB$5:$AB$11)</f>
        <v>46390</v>
      </c>
      <c r="F86" s="133">
        <f>WORKDAY.INTL(E86,0,"0000110",$AB$5:$AB$11)</f>
        <v>46390</v>
      </c>
      <c r="G86" s="133">
        <f>WORKDAY.INTL(H85,1,"0000110",$AB$5:$AB$11)</f>
        <v>46390</v>
      </c>
      <c r="H86" s="133">
        <f>WORKDAY.INTL(G86,0,"0000110",$AB$5:$AB$11)</f>
        <v>46390</v>
      </c>
      <c r="I86" s="133"/>
      <c r="J86" s="133"/>
      <c r="K86" s="134"/>
      <c r="L86" s="134" t="str">
        <f t="shared" ca="1" si="5"/>
        <v>Not Started</v>
      </c>
      <c r="M86" s="227"/>
      <c r="N86" s="228"/>
      <c r="O86" s="228"/>
      <c r="P86" s="228"/>
      <c r="Q86" s="228"/>
      <c r="R86" s="228"/>
      <c r="S86" s="228"/>
      <c r="T86" s="228"/>
      <c r="U86" s="229"/>
      <c r="V86" s="2"/>
      <c r="X86" s="6"/>
    </row>
    <row r="87" spans="2:26" ht="30.75" customHeight="1" x14ac:dyDescent="0.15">
      <c r="B87" s="386"/>
      <c r="C87" s="225" t="s">
        <v>46</v>
      </c>
      <c r="D87" s="226">
        <f t="shared" si="4"/>
        <v>1</v>
      </c>
      <c r="E87" s="133">
        <f>WORKDAY.INTL(F86,1,"0000110",$AB$5:$AB$11)</f>
        <v>46391</v>
      </c>
      <c r="F87" s="133">
        <f>WORKDAY.INTL(E87,0,"0000110",$AB$5:$AB$11)</f>
        <v>46391</v>
      </c>
      <c r="G87" s="133">
        <f>WORKDAY.INTL(H86,1,"0000110",$AB$5:$AB$11)</f>
        <v>46391</v>
      </c>
      <c r="H87" s="133">
        <f>WORKDAY.INTL(G87,0,"0000110",$AB$5:$AB$11)</f>
        <v>46391</v>
      </c>
      <c r="I87" s="133"/>
      <c r="J87" s="133"/>
      <c r="K87" s="134"/>
      <c r="L87" s="134" t="str">
        <f t="shared" ca="1" si="5"/>
        <v>Not Started</v>
      </c>
      <c r="M87" s="227"/>
      <c r="N87" s="228"/>
      <c r="O87" s="228"/>
      <c r="P87" s="228"/>
      <c r="Q87" s="228"/>
      <c r="R87" s="228"/>
      <c r="S87" s="228"/>
      <c r="T87" s="228"/>
      <c r="U87" s="229"/>
      <c r="V87" s="2"/>
      <c r="X87" s="6"/>
    </row>
    <row r="88" spans="2:26" ht="30.75" customHeight="1" thickBot="1" x14ac:dyDescent="0.2">
      <c r="B88" s="387"/>
      <c r="C88" s="230" t="s">
        <v>154</v>
      </c>
      <c r="D88" s="219">
        <f t="shared" si="4"/>
        <v>3</v>
      </c>
      <c r="E88" s="147">
        <f>MAX(WORKDAY.INTL(F81,1,"0000110",$AB$5:$AB$12),WORKDAY.INTL(F83,1,"0000110",$AB$5:$AB$12))</f>
        <v>46393</v>
      </c>
      <c r="F88" s="147">
        <f>WORKDAY.INTL(E88,2,"0000110",$AB$5:$AB$11)</f>
        <v>46397</v>
      </c>
      <c r="G88" s="147">
        <f>MAX(WORKDAY.INTL(H81,1,"0000110",$AB$5:$AB$12),WORKDAY.INTL(H83,1,"0000110",$AB$5:$AB$12))</f>
        <v>46393</v>
      </c>
      <c r="H88" s="147">
        <f>WORKDAY.INTL(G88,2,"0000110",$AB$5:$AB$11)</f>
        <v>46397</v>
      </c>
      <c r="I88" s="147"/>
      <c r="J88" s="147"/>
      <c r="K88" s="148"/>
      <c r="L88" s="148" t="str">
        <f t="shared" ca="1" si="5"/>
        <v>Not Started</v>
      </c>
      <c r="M88" s="220"/>
      <c r="N88" s="231"/>
      <c r="O88" s="231"/>
      <c r="P88" s="231"/>
      <c r="Q88" s="231"/>
      <c r="R88" s="231"/>
      <c r="S88" s="231"/>
      <c r="T88" s="231"/>
      <c r="U88" s="232"/>
      <c r="V88" s="2"/>
      <c r="X88" s="6"/>
    </row>
    <row r="89" spans="2:26" x14ac:dyDescent="0.15">
      <c r="K89" s="4"/>
      <c r="L89" s="4"/>
    </row>
    <row r="90" spans="2:26" x14ac:dyDescent="0.15">
      <c r="K90" s="4"/>
      <c r="L90" s="4"/>
    </row>
  </sheetData>
  <mergeCells count="15">
    <mergeCell ref="B83:B88"/>
    <mergeCell ref="B36:B40"/>
    <mergeCell ref="B42:B46"/>
    <mergeCell ref="B48:B52"/>
    <mergeCell ref="B54:B56"/>
    <mergeCell ref="B58:B62"/>
    <mergeCell ref="B66:B70"/>
    <mergeCell ref="B72:B73"/>
    <mergeCell ref="B75:B76"/>
    <mergeCell ref="B78:B81"/>
    <mergeCell ref="B5:B10"/>
    <mergeCell ref="B12:B16"/>
    <mergeCell ref="B18:B22"/>
    <mergeCell ref="B24:B28"/>
    <mergeCell ref="B30:B34"/>
  </mergeCells>
  <conditionalFormatting sqref="L1:L1048576">
    <cfRule type="cellIs" dxfId="14" priority="1" operator="equal">
      <formula>"Delayed"</formula>
    </cfRule>
    <cfRule type="cellIs" dxfId="13" priority="2" operator="equal">
      <formula>"In Progress"</formula>
    </cfRule>
    <cfRule type="cellIs" dxfId="12" priority="3" operator="equal">
      <formula>"Completed"</formula>
    </cfRule>
  </conditionalFormatting>
  <dataValidations disablePrompts="1" count="2">
    <dataValidation type="list" allowBlank="1" showInputMessage="1" showErrorMessage="1" sqref="V58:V64 V83:V88 V78:V81" xr:uid="{00000000-0002-0000-0400-000000000000}">
      <formula1>$W$2:$W$5</formula1>
    </dataValidation>
    <dataValidation type="list" allowBlank="1" showInputMessage="1" showErrorMessage="1" sqref="V3:V57 V65:V76" xr:uid="{00000000-0002-0000-0400-000001000000}">
      <formula1>$X$2:$X$4</formula1>
    </dataValidation>
  </dataValidations>
  <pageMargins left="0.7" right="0.7" top="0.75" bottom="0.75" header="0.3" footer="0.3"/>
  <pageSetup paperSize="8"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B1:AC100"/>
  <sheetViews>
    <sheetView showGridLines="0" zoomScale="85" zoomScaleNormal="85" workbookViewId="0">
      <pane ySplit="2" topLeftCell="A76" activePane="bottomLeft" state="frozen"/>
      <selection pane="bottomLeft" activeCell="F80" sqref="F80"/>
    </sheetView>
  </sheetViews>
  <sheetFormatPr defaultColWidth="9" defaultRowHeight="13.5" x14ac:dyDescent="0.15"/>
  <cols>
    <col min="1" max="1" width="0.75" customWidth="1"/>
    <col min="2" max="2" width="16" customWidth="1"/>
    <col min="3" max="3" width="33.625" customWidth="1"/>
    <col min="4" max="4" width="16.375" style="2" customWidth="1"/>
    <col min="5" max="5" width="16.75" style="3" customWidth="1"/>
    <col min="6" max="6" width="14.375" style="3" bestFit="1" customWidth="1"/>
    <col min="7" max="7" width="14.25" style="3" hidden="1" customWidth="1"/>
    <col min="8" max="8" width="15.375" style="3" hidden="1" customWidth="1"/>
    <col min="9" max="9" width="26.625" style="3" hidden="1" customWidth="1"/>
    <col min="10" max="10" width="28.875" style="3" hidden="1" customWidth="1"/>
    <col min="11" max="12" width="15.125" style="4" customWidth="1"/>
    <col min="13" max="13" width="1.5" customWidth="1"/>
    <col min="14" max="20" width="9.125" customWidth="1"/>
    <col min="21" max="21" width="42.75" style="5" customWidth="1"/>
    <col min="22" max="22" width="13.625" hidden="1" customWidth="1"/>
    <col min="23" max="23" width="9.125" hidden="1" customWidth="1"/>
    <col min="24" max="24" width="12.25" style="6" hidden="1" customWidth="1"/>
    <col min="25" max="25" width="10.125" style="6" hidden="1" customWidth="1"/>
    <col min="26" max="26" width="9.125" hidden="1" customWidth="1"/>
    <col min="27" max="27" width="9" hidden="1" customWidth="1"/>
    <col min="28" max="28" width="10.125" hidden="1" customWidth="1"/>
  </cols>
  <sheetData>
    <row r="1" spans="2:29" ht="5.45" customHeight="1" x14ac:dyDescent="0.15">
      <c r="E1" s="7"/>
      <c r="F1" s="7"/>
      <c r="G1" s="7"/>
      <c r="H1" s="7"/>
      <c r="I1" s="7"/>
      <c r="J1" s="7"/>
      <c r="K1" s="8"/>
      <c r="L1" s="8"/>
      <c r="M1" s="9"/>
    </row>
    <row r="2" spans="2:29" ht="24" customHeight="1" thickBot="1" x14ac:dyDescent="0.3">
      <c r="B2" s="10"/>
      <c r="C2" s="120" t="s">
        <v>1</v>
      </c>
      <c r="D2" s="120" t="s">
        <v>90</v>
      </c>
      <c r="E2" s="121" t="s">
        <v>91</v>
      </c>
      <c r="F2" s="121" t="s">
        <v>92</v>
      </c>
      <c r="G2" s="121" t="s">
        <v>93</v>
      </c>
      <c r="H2" s="121" t="s">
        <v>94</v>
      </c>
      <c r="I2" s="122" t="s">
        <v>95</v>
      </c>
      <c r="J2" s="122" t="s">
        <v>96</v>
      </c>
      <c r="K2" s="123" t="s">
        <v>97</v>
      </c>
      <c r="L2" s="123" t="s">
        <v>98</v>
      </c>
      <c r="M2" s="124"/>
      <c r="N2" s="125">
        <v>46113</v>
      </c>
      <c r="O2" s="126">
        <v>46143</v>
      </c>
      <c r="P2" s="126">
        <v>46174</v>
      </c>
      <c r="Q2" s="126">
        <v>46204</v>
      </c>
      <c r="R2" s="126">
        <v>46235</v>
      </c>
      <c r="S2" s="126">
        <v>46266</v>
      </c>
      <c r="T2" s="126">
        <v>46296</v>
      </c>
      <c r="U2" s="127" t="s">
        <v>2</v>
      </c>
      <c r="W2" t="s">
        <v>155</v>
      </c>
      <c r="X2"/>
      <c r="Z2" s="6"/>
    </row>
    <row r="3" spans="2:29" ht="45" hidden="1" customHeight="1" x14ac:dyDescent="0.15">
      <c r="B3" s="15"/>
      <c r="C3" s="16" t="s">
        <v>156</v>
      </c>
      <c r="D3" s="17"/>
      <c r="E3" s="18"/>
      <c r="F3" s="18" t="s">
        <v>55</v>
      </c>
      <c r="G3" s="18"/>
      <c r="H3" s="18" t="s">
        <v>55</v>
      </c>
      <c r="I3" s="18"/>
      <c r="J3" s="18"/>
      <c r="K3" s="19">
        <v>1</v>
      </c>
      <c r="L3" s="19" t="str">
        <f ca="1">IF(OR(K3=100%,J3&lt;&gt;""),"Completed",IF(AND(OR(K3="",K3=0),E3&gt;TODAY()),"Not Started",IF(AND(OR(K3="",K3=0),E3&lt;=TODAY()),"Delayed",IF(AND(K3&gt;0,K3&lt;100%,F3&lt;TODAY()),"Delayed",IF(AND(K3&gt;0,K3&lt;100%),"In Progress","")))))</f>
        <v>Completed</v>
      </c>
      <c r="M3" s="12"/>
      <c r="N3" s="20"/>
      <c r="O3" s="21"/>
      <c r="P3" s="21"/>
      <c r="Q3" s="21"/>
      <c r="R3" s="21"/>
      <c r="S3" s="21"/>
      <c r="T3" s="21"/>
      <c r="U3" s="22"/>
      <c r="W3" t="s">
        <v>103</v>
      </c>
      <c r="X3"/>
      <c r="Z3" s="6"/>
    </row>
    <row r="4" spans="2:29" s="1" customFormat="1" ht="4.5" hidden="1" customHeight="1" x14ac:dyDescent="0.15">
      <c r="B4" s="23"/>
      <c r="C4" s="23"/>
      <c r="D4" s="24"/>
      <c r="E4" s="23"/>
      <c r="F4" s="23"/>
      <c r="G4" s="23"/>
      <c r="H4" s="23"/>
      <c r="I4" s="23"/>
      <c r="J4" s="23"/>
      <c r="K4" s="25"/>
      <c r="L4" s="25"/>
      <c r="M4" s="23"/>
      <c r="N4" s="23"/>
      <c r="O4" s="23"/>
      <c r="P4" s="23"/>
      <c r="Q4" s="23"/>
      <c r="R4" s="23"/>
      <c r="S4" s="23"/>
      <c r="T4" s="23"/>
      <c r="U4" s="26"/>
      <c r="Y4" s="27"/>
      <c r="Z4" s="27"/>
    </row>
    <row r="5" spans="2:29" ht="45" customHeight="1" x14ac:dyDescent="0.15">
      <c r="B5" s="380" t="s">
        <v>101</v>
      </c>
      <c r="C5" s="106" t="s">
        <v>157</v>
      </c>
      <c r="D5" s="107">
        <f>NETWORKDAYS.INTL(E5,F5,"0000100",$AB$5:$AB$12)</f>
        <v>19</v>
      </c>
      <c r="E5" s="108">
        <f>WORKDAY.INTL("6-May-26",0,"0000100")</f>
        <v>46148</v>
      </c>
      <c r="F5" s="108">
        <f>WORKDAY.INTL(E5,18,"0000100",$AB$5:$AB$11)</f>
        <v>46175</v>
      </c>
      <c r="G5" s="108">
        <f>WORKDAY.INTL("6-May-26",0,"0000100")</f>
        <v>46148</v>
      </c>
      <c r="H5" s="108">
        <f>WORKDAY.INTL(G5,18,"0000100",$AB$5:$AB$11)</f>
        <v>46175</v>
      </c>
      <c r="I5" s="108">
        <v>46148</v>
      </c>
      <c r="J5" s="108">
        <v>46163</v>
      </c>
      <c r="K5" s="109">
        <v>1</v>
      </c>
      <c r="L5" s="109" t="str">
        <f t="shared" ref="L5:L10" ca="1" si="0">IF(OR(K5=100%,J5&lt;&gt;""),"Completed",IF(AND(OR(K5="",K5=0),E5&gt;TODAY()),"Not Started",IF(AND(OR(K5="",K5=0),E5&lt;=TODAY()),"Delayed",IF(AND(K5&gt;0,K5&lt;100%,F5&lt;TODAY()),"Delayed",IF(AND(K5&gt;0,K5&lt;100%),"In Progress","")))))</f>
        <v>Completed</v>
      </c>
      <c r="M5" s="29"/>
      <c r="N5" s="30"/>
      <c r="O5" s="30"/>
      <c r="P5" s="30"/>
      <c r="Q5" s="30"/>
      <c r="R5" s="30"/>
      <c r="S5" s="30"/>
      <c r="T5" s="31"/>
      <c r="U5" s="32"/>
      <c r="W5" t="s">
        <v>109</v>
      </c>
      <c r="X5" s="28" t="s">
        <v>62</v>
      </c>
      <c r="Y5" s="6" t="s">
        <v>68</v>
      </c>
      <c r="Z5" s="6"/>
      <c r="AB5">
        <v>46166</v>
      </c>
      <c r="AC5" s="33"/>
    </row>
    <row r="6" spans="2:29" ht="45" customHeight="1" x14ac:dyDescent="0.15">
      <c r="B6" s="376"/>
      <c r="C6" s="106" t="s">
        <v>104</v>
      </c>
      <c r="D6" s="107">
        <f>NETWORKDAYS.INTL(E6,F6,"0000100",$AB$5:$AB$12)</f>
        <v>7</v>
      </c>
      <c r="E6" s="108">
        <f>WORKDAY.INTL("21-Jun-26",0,"0000100")</f>
        <v>46194</v>
      </c>
      <c r="F6" s="108">
        <f>WORKDAY.INTL(E6,6,"0000100",$AB$5:$AB$11)</f>
        <v>46201</v>
      </c>
      <c r="G6" s="108">
        <f>WORKDAY.INTL("21-Jun-26",0,"0000100")</f>
        <v>46194</v>
      </c>
      <c r="H6" s="108">
        <f>WORKDAY.INTL(G6,6,"0000100",$AB$5:$AB$11)</f>
        <v>46201</v>
      </c>
      <c r="I6" s="108"/>
      <c r="J6" s="108"/>
      <c r="K6" s="109"/>
      <c r="L6" s="109" t="str">
        <f t="shared" ca="1" si="0"/>
        <v>Delayed</v>
      </c>
      <c r="M6" s="29"/>
      <c r="N6" s="30"/>
      <c r="O6" s="30"/>
      <c r="P6" s="30"/>
      <c r="Q6" s="30"/>
      <c r="R6" s="30"/>
      <c r="S6" s="30"/>
      <c r="T6" s="31"/>
      <c r="U6" s="32"/>
      <c r="X6" s="28" t="s">
        <v>63</v>
      </c>
      <c r="Y6" s="6" t="s">
        <v>68</v>
      </c>
      <c r="Z6" s="6"/>
      <c r="AB6">
        <v>46167</v>
      </c>
      <c r="AC6" s="33"/>
    </row>
    <row r="7" spans="2:29" ht="45" customHeight="1" x14ac:dyDescent="0.15">
      <c r="B7" s="376"/>
      <c r="C7" s="106" t="s">
        <v>105</v>
      </c>
      <c r="D7" s="107"/>
      <c r="E7" s="108" t="s">
        <v>106</v>
      </c>
      <c r="F7" s="108">
        <v>46215</v>
      </c>
      <c r="G7" s="108" t="s">
        <v>106</v>
      </c>
      <c r="H7" s="108">
        <v>46215</v>
      </c>
      <c r="I7" s="108"/>
      <c r="J7" s="108"/>
      <c r="K7" s="109"/>
      <c r="L7" s="109" t="str">
        <f t="shared" ca="1" si="0"/>
        <v>Not Started</v>
      </c>
      <c r="M7" s="29"/>
      <c r="N7" s="30"/>
      <c r="O7" s="30"/>
      <c r="P7" s="30"/>
      <c r="Q7" s="30"/>
      <c r="R7" s="30"/>
      <c r="S7" s="30"/>
      <c r="T7" s="31"/>
      <c r="U7" s="32"/>
      <c r="Z7" s="6"/>
      <c r="AB7">
        <v>46168</v>
      </c>
      <c r="AC7" s="33"/>
    </row>
    <row r="8" spans="2:29" ht="45" customHeight="1" x14ac:dyDescent="0.15">
      <c r="B8" s="376"/>
      <c r="C8" s="110" t="s">
        <v>107</v>
      </c>
      <c r="D8" s="107">
        <f>NETWORKDAYS.INTL(E8,F8,"0000110",$AB$5:$AB$12)</f>
        <v>2</v>
      </c>
      <c r="E8" s="108">
        <f>WORKDAY.INTL(F7,1,"0000110",$AB$5:$AB$10)</f>
        <v>46216</v>
      </c>
      <c r="F8" s="108">
        <f>WORKDAY.INTL(E8,1,"0000110",$AB$5:$AB$11)</f>
        <v>46217</v>
      </c>
      <c r="G8" s="108">
        <f>WORKDAY.INTL(H7,1,"0000110",$AB$5:$AB$10)</f>
        <v>46216</v>
      </c>
      <c r="H8" s="108">
        <f>WORKDAY.INTL(G8,1,"0000110",$AB$5:$AB$11)</f>
        <v>46217</v>
      </c>
      <c r="I8" s="108"/>
      <c r="J8" s="108"/>
      <c r="K8" s="109"/>
      <c r="L8" s="109" t="str">
        <f t="shared" ca="1" si="0"/>
        <v>Not Started</v>
      </c>
      <c r="M8" s="29"/>
      <c r="N8" s="34"/>
      <c r="O8" s="34"/>
      <c r="P8" s="34"/>
      <c r="Q8" s="34"/>
      <c r="R8" s="34"/>
      <c r="S8" s="34"/>
      <c r="T8" s="35"/>
      <c r="U8" s="32" t="s">
        <v>108</v>
      </c>
      <c r="X8" s="28" t="s">
        <v>64</v>
      </c>
      <c r="Y8" s="6" t="s">
        <v>68</v>
      </c>
      <c r="Z8" s="6"/>
      <c r="AB8">
        <v>46169</v>
      </c>
      <c r="AC8" s="33"/>
    </row>
    <row r="9" spans="2:29" ht="45" customHeight="1" x14ac:dyDescent="0.15">
      <c r="B9" s="376"/>
      <c r="C9" s="110" t="s">
        <v>110</v>
      </c>
      <c r="D9" s="107">
        <f>NETWORKDAYS.INTL(E9,F9,"0000110",$AB$5:$AB$12)</f>
        <v>2</v>
      </c>
      <c r="E9" s="108">
        <f>WORKDAY.INTL(F8,1,"0000110",$AB$5:$AB$10)</f>
        <v>46218</v>
      </c>
      <c r="F9" s="108">
        <f>WORKDAY.INTL(E9,1,"0000110",$AB$5:$AB$11)</f>
        <v>46219</v>
      </c>
      <c r="G9" s="108">
        <f>WORKDAY.INTL(H8,1,"0000110",$AB$5:$AB$10)</f>
        <v>46218</v>
      </c>
      <c r="H9" s="108">
        <f>WORKDAY.INTL(G9,1,"0000110",$AB$5:$AB$11)</f>
        <v>46219</v>
      </c>
      <c r="I9" s="108"/>
      <c r="J9" s="108"/>
      <c r="K9" s="109"/>
      <c r="L9" s="109" t="str">
        <f t="shared" ca="1" si="0"/>
        <v>Not Started</v>
      </c>
      <c r="M9" s="29"/>
      <c r="N9" s="34"/>
      <c r="O9" s="34"/>
      <c r="P9" s="34"/>
      <c r="Q9" s="34"/>
      <c r="R9" s="34"/>
      <c r="S9" s="34"/>
      <c r="T9" s="35"/>
      <c r="U9" s="32" t="s">
        <v>111</v>
      </c>
      <c r="X9" s="28" t="s">
        <v>65</v>
      </c>
      <c r="Y9" s="6" t="s">
        <v>68</v>
      </c>
      <c r="Z9" s="6"/>
      <c r="AB9">
        <v>46170</v>
      </c>
      <c r="AC9" s="33"/>
    </row>
    <row r="10" spans="2:29" s="62" customFormat="1" ht="45" customHeight="1" thickBot="1" x14ac:dyDescent="0.3">
      <c r="B10" s="381"/>
      <c r="C10" s="110" t="s">
        <v>158</v>
      </c>
      <c r="D10" s="107">
        <f>NETWORKDAYS.INTL(E10,F10,"0000110",$AB$5:$AB$12)</f>
        <v>1</v>
      </c>
      <c r="E10" s="108">
        <f>WORKDAY.INTL(F9,0,"0000110",$AB$5:$AB$10)</f>
        <v>46219</v>
      </c>
      <c r="F10" s="108">
        <f>WORKDAY.INTL(E10,0,"0000110",$AB$5:$AB$11)</f>
        <v>46219</v>
      </c>
      <c r="G10" s="108">
        <f>WORKDAY.INTL(H9,0,"0000110",$AB$5:$AB$10)</f>
        <v>46219</v>
      </c>
      <c r="H10" s="108">
        <f>WORKDAY.INTL(G10,0,"0000110",$AB$5:$AB$11)</f>
        <v>46219</v>
      </c>
      <c r="I10" s="108"/>
      <c r="J10" s="108"/>
      <c r="K10" s="109"/>
      <c r="L10" s="109" t="str">
        <f t="shared" ca="1" si="0"/>
        <v>Not Started</v>
      </c>
      <c r="M10" s="72"/>
      <c r="N10" s="63"/>
      <c r="O10" s="63"/>
      <c r="P10" s="63"/>
      <c r="Q10" s="63"/>
      <c r="R10" s="63"/>
      <c r="S10" s="63"/>
      <c r="T10" s="64"/>
      <c r="U10" s="65"/>
      <c r="X10" s="66" t="s">
        <v>66</v>
      </c>
      <c r="Y10" s="67" t="s">
        <v>68</v>
      </c>
      <c r="Z10" s="67"/>
      <c r="AB10" s="62">
        <v>46171</v>
      </c>
      <c r="AC10" s="68"/>
    </row>
    <row r="11" spans="2:29" s="1" customFormat="1" ht="4.5" customHeight="1" thickBot="1" x14ac:dyDescent="0.2">
      <c r="B11" s="23"/>
      <c r="C11" s="23"/>
      <c r="D11" s="24"/>
      <c r="E11" s="23"/>
      <c r="F11" s="23"/>
      <c r="G11" s="23"/>
      <c r="H11" s="23"/>
      <c r="I11" s="23"/>
      <c r="J11" s="23"/>
      <c r="K11" s="25"/>
      <c r="L11" s="25"/>
      <c r="M11" s="23"/>
      <c r="N11" s="23"/>
      <c r="O11" s="23"/>
      <c r="P11" s="23"/>
      <c r="Q11" s="23"/>
      <c r="R11" s="23"/>
      <c r="S11" s="23"/>
      <c r="T11" s="23"/>
      <c r="U11" s="26"/>
      <c r="X11" s="27"/>
      <c r="Y11" s="27"/>
      <c r="AB11" s="1">
        <v>46288</v>
      </c>
      <c r="AC11" s="33"/>
    </row>
    <row r="12" spans="2:29" ht="45" customHeight="1" x14ac:dyDescent="0.15">
      <c r="B12" s="377" t="s">
        <v>159</v>
      </c>
      <c r="C12" s="111" t="s">
        <v>157</v>
      </c>
      <c r="D12" s="112">
        <f>NETWORKDAYS.INTL(E12,F12,"0000100",$AB$5:$AB$12)</f>
        <v>11</v>
      </c>
      <c r="E12" s="113">
        <v>46164</v>
      </c>
      <c r="F12" s="114">
        <v>46182</v>
      </c>
      <c r="G12" s="113">
        <v>46164</v>
      </c>
      <c r="H12" s="114">
        <v>46182</v>
      </c>
      <c r="I12" s="114">
        <v>46164</v>
      </c>
      <c r="J12" s="114">
        <v>46182</v>
      </c>
      <c r="K12" s="115">
        <v>1</v>
      </c>
      <c r="L12" s="115" t="str">
        <f ca="1">IF(OR(K12=100%,J12&lt;&gt;""),"Completed",IF(AND(OR(K12="",K12=0),E12&gt;TODAY()),"Not Started",IF(AND(OR(K12="",K12=0),E12&lt;=TODAY()),"Delayed",IF(AND(K12&gt;0,K12&lt;100%,F12&lt;TODAY()),"Delayed",IF(AND(K12&gt;0,K12&lt;100%),"In Progress","")))))</f>
        <v>Completed</v>
      </c>
      <c r="M12" s="36"/>
      <c r="N12" s="37"/>
      <c r="O12" s="37"/>
      <c r="P12" s="37"/>
      <c r="Q12" s="37"/>
      <c r="R12" s="37"/>
      <c r="S12" s="37"/>
      <c r="T12" s="38"/>
      <c r="U12" s="39"/>
      <c r="X12" s="28" t="s">
        <v>62</v>
      </c>
      <c r="Y12" s="6" t="s">
        <v>69</v>
      </c>
      <c r="Z12" s="6"/>
      <c r="AB12">
        <v>46288</v>
      </c>
      <c r="AC12" s="33"/>
    </row>
    <row r="13" spans="2:29" ht="45" customHeight="1" x14ac:dyDescent="0.15">
      <c r="B13" s="378"/>
      <c r="C13" s="116" t="s">
        <v>104</v>
      </c>
      <c r="D13" s="117">
        <f>NETWORKDAYS.INTL(E13,F13,"0000100",$AB$5:$AB$12)</f>
        <v>5</v>
      </c>
      <c r="E13" s="113">
        <f>WORKDAY.INTL(F6,1,"0000100",$AB$5:$AB$11)</f>
        <v>46202</v>
      </c>
      <c r="F13" s="114">
        <f>WORKDAY.INTL(E13,4,"0000100",$AB$5:$AB$11)</f>
        <v>46207</v>
      </c>
      <c r="G13" s="113">
        <f>WORKDAY.INTL(H6,1,"0000100",$AB$5:$AB$11)</f>
        <v>46202</v>
      </c>
      <c r="H13" s="114">
        <f>WORKDAY.INTL(G13,4,"0000100",$AB$5:$AB$11)</f>
        <v>46207</v>
      </c>
      <c r="I13" s="114"/>
      <c r="J13" s="114"/>
      <c r="K13" s="115"/>
      <c r="L13" s="115" t="str">
        <f ca="1">IF(OR(K13=100%,J13&lt;&gt;""),"Completed",IF(AND(OR(K13="",K13=0),E13&gt;TODAY()),"Not Started",IF(AND(OR(K13="",K13=0),E13&lt;=TODAY()),"Delayed",IF(AND(K13&gt;0,K13&lt;100%,F13&lt;TODAY()),"Delayed",IF(AND(K13&gt;0,K13&lt;100%),"In Progress","")))))</f>
        <v>Not Started</v>
      </c>
      <c r="M13" s="36"/>
      <c r="N13" s="40"/>
      <c r="O13" s="40"/>
      <c r="P13" s="40"/>
      <c r="Q13" s="40"/>
      <c r="R13" s="40"/>
      <c r="S13" s="40"/>
      <c r="T13" s="41"/>
      <c r="U13" s="42"/>
      <c r="X13" s="28" t="s">
        <v>63</v>
      </c>
      <c r="Y13" s="6" t="s">
        <v>69</v>
      </c>
      <c r="Z13" s="6"/>
    </row>
    <row r="14" spans="2:29" ht="45" customHeight="1" x14ac:dyDescent="0.15">
      <c r="B14" s="378"/>
      <c r="C14" s="118" t="s">
        <v>107</v>
      </c>
      <c r="D14" s="117">
        <f>NETWORKDAYS.INTL(E14,F14,"0000110",$AB$5:$AB$12)</f>
        <v>3</v>
      </c>
      <c r="E14" s="113">
        <f>WORKDAY.INTL(F8,1,"0000110",$AB$5:$AB$10)</f>
        <v>46218</v>
      </c>
      <c r="F14" s="113">
        <f>WORKDAY.INTL(E14,2,"0000110",$AB$5:$AB$11)</f>
        <v>46222</v>
      </c>
      <c r="G14" s="113">
        <f>WORKDAY.INTL(H8,1,"0000110",$AB$5:$AB$10)</f>
        <v>46218</v>
      </c>
      <c r="H14" s="113">
        <f>WORKDAY.INTL(G14,2,"0000110",$AB$5:$AB$11)</f>
        <v>46222</v>
      </c>
      <c r="I14" s="113"/>
      <c r="J14" s="113"/>
      <c r="K14" s="119"/>
      <c r="L14" s="119" t="str">
        <f ca="1">IF(OR(K14=100%,J14&lt;&gt;""),"Completed",IF(AND(OR(K14="",K14=0),E14&gt;TODAY()),"Not Started",IF(AND(OR(K14="",K14=0),E14&lt;=TODAY()),"Delayed",IF(AND(K14&gt;0,K14&lt;100%,F14&lt;TODAY()),"Delayed",IF(AND(K14&gt;0,K14&lt;100%),"In Progress","")))))</f>
        <v>Not Started</v>
      </c>
      <c r="M14" s="36"/>
      <c r="N14" s="43"/>
      <c r="O14" s="43"/>
      <c r="P14" s="43"/>
      <c r="Q14" s="43"/>
      <c r="R14" s="43"/>
      <c r="S14" s="43"/>
      <c r="T14" s="44"/>
      <c r="U14" s="42" t="s">
        <v>108</v>
      </c>
      <c r="X14" s="28" t="s">
        <v>64</v>
      </c>
      <c r="Y14" s="6" t="s">
        <v>69</v>
      </c>
      <c r="Z14" s="6"/>
    </row>
    <row r="15" spans="2:29" ht="45" customHeight="1" x14ac:dyDescent="0.15">
      <c r="B15" s="378"/>
      <c r="C15" s="118" t="s">
        <v>110</v>
      </c>
      <c r="D15" s="117">
        <f>NETWORKDAYS.INTL(E15,F15,"0000110",$AB$5:$AB$12)</f>
        <v>2</v>
      </c>
      <c r="E15" s="113">
        <f>WORKDAY.INTL(F14,1,"0000110",$AB$5:$AB$10)</f>
        <v>46223</v>
      </c>
      <c r="F15" s="113">
        <f>WORKDAY.INTL(E15,1,"0000110",$AB$5:$AB$11)</f>
        <v>46224</v>
      </c>
      <c r="G15" s="113">
        <f>WORKDAY.INTL(H14,1,"0000110",$AB$5:$AB$10)</f>
        <v>46223</v>
      </c>
      <c r="H15" s="113">
        <f>WORKDAY.INTL(G15,1,"0000110",$AB$5:$AB$11)</f>
        <v>46224</v>
      </c>
      <c r="I15" s="113"/>
      <c r="J15" s="113"/>
      <c r="K15" s="119"/>
      <c r="L15" s="119" t="str">
        <f ca="1">IF(OR(K15=100%,J15&lt;&gt;""),"Completed",IF(AND(OR(K15="",K15=0),E15&gt;TODAY()),"Not Started",IF(AND(OR(K15="",K15=0),E15&lt;=TODAY()),"Delayed",IF(AND(K15&gt;0,K15&lt;100%,F15&lt;TODAY()),"Delayed",IF(AND(K15&gt;0,K15&lt;100%),"In Progress","")))))</f>
        <v>Not Started</v>
      </c>
      <c r="M15" s="36"/>
      <c r="N15" s="43"/>
      <c r="O15" s="43"/>
      <c r="P15" s="43"/>
      <c r="Q15" s="43"/>
      <c r="R15" s="43"/>
      <c r="S15" s="43"/>
      <c r="T15" s="44"/>
      <c r="U15" s="42" t="s">
        <v>111</v>
      </c>
      <c r="X15" s="28" t="s">
        <v>65</v>
      </c>
      <c r="Y15" s="6" t="s">
        <v>69</v>
      </c>
      <c r="Z15" s="6"/>
    </row>
    <row r="16" spans="2:29" s="62" customFormat="1" ht="45" customHeight="1" thickBot="1" x14ac:dyDescent="0.3">
      <c r="B16" s="379"/>
      <c r="C16" s="118" t="s">
        <v>158</v>
      </c>
      <c r="D16" s="117">
        <f>NETWORKDAYS.INTL(E16,F16,"0000110",$AB$5:$AB$12)</f>
        <v>1</v>
      </c>
      <c r="E16" s="113">
        <f>WORKDAY.INTL(F15,0,"0000110",$AB$5:$AB$10)</f>
        <v>46224</v>
      </c>
      <c r="F16" s="113">
        <f>WORKDAY.INTL(E16,0,"0000110",$AB$5:$AB$11)</f>
        <v>46224</v>
      </c>
      <c r="G16" s="113">
        <f>WORKDAY.INTL(H15,0,"0000110",$AB$5:$AB$10)</f>
        <v>46224</v>
      </c>
      <c r="H16" s="113">
        <f>WORKDAY.INTL(G16,0,"0000110",$AB$5:$AB$11)</f>
        <v>46224</v>
      </c>
      <c r="I16" s="113"/>
      <c r="J16" s="113"/>
      <c r="K16" s="119"/>
      <c r="L16" s="119" t="str">
        <f ca="1">IF(OR(K16=100%,J16&lt;&gt;""),"Completed",IF(AND(OR(K16="",K16=0),E16&gt;TODAY()),"Not Started",IF(AND(OR(K16="",K16=0),E16&lt;=TODAY()),"Delayed",IF(AND(K16&gt;0,K16&lt;100%,F16&lt;TODAY()),"Delayed",IF(AND(K16&gt;0,K16&lt;100%),"In Progress","")))))</f>
        <v>Not Started</v>
      </c>
      <c r="M16" s="73"/>
      <c r="N16" s="69"/>
      <c r="O16" s="69"/>
      <c r="P16" s="69"/>
      <c r="Q16" s="69"/>
      <c r="R16" s="69"/>
      <c r="S16" s="69"/>
      <c r="T16" s="70"/>
      <c r="U16" s="71"/>
      <c r="X16" s="66" t="s">
        <v>66</v>
      </c>
      <c r="Y16" s="67" t="s">
        <v>69</v>
      </c>
      <c r="Z16" s="67"/>
    </row>
    <row r="17" spans="2:29" s="1" customFormat="1" ht="4.5" customHeight="1" thickBot="1" x14ac:dyDescent="0.2">
      <c r="B17" s="23"/>
      <c r="C17" s="23"/>
      <c r="D17" s="24"/>
      <c r="E17" s="23"/>
      <c r="F17" s="23"/>
      <c r="G17" s="23"/>
      <c r="H17" s="23"/>
      <c r="I17" s="23"/>
      <c r="J17" s="23"/>
      <c r="K17" s="25"/>
      <c r="L17" s="25"/>
      <c r="M17" s="23"/>
      <c r="N17" s="23"/>
      <c r="O17" s="23"/>
      <c r="P17" s="23"/>
      <c r="Q17" s="23"/>
      <c r="R17" s="23"/>
      <c r="S17" s="23"/>
      <c r="T17" s="23"/>
      <c r="U17" s="26"/>
      <c r="X17" s="27"/>
      <c r="Y17" s="27"/>
    </row>
    <row r="18" spans="2:29" ht="45" customHeight="1" x14ac:dyDescent="0.15">
      <c r="B18" s="380" t="s">
        <v>160</v>
      </c>
      <c r="C18" s="106" t="s">
        <v>157</v>
      </c>
      <c r="D18" s="107">
        <f>NETWORKDAYS.INTL(E18,F18,"0000100",$AB$5:$AB$12)</f>
        <v>13</v>
      </c>
      <c r="E18" s="108">
        <f>WORKDAY.INTL(F12,1,"0000100",$AB$5:$AB$11)</f>
        <v>46183</v>
      </c>
      <c r="F18" s="108">
        <f>WORKDAY.INTL(E18,12,"0000100",$AB$5:$AB$11)</f>
        <v>46197</v>
      </c>
      <c r="G18" s="108">
        <f>WORKDAY.INTL(H12,1,"0000100",$AB$5:$AB$11)</f>
        <v>46183</v>
      </c>
      <c r="H18" s="108">
        <f>WORKDAY.INTL(G18,12,"0000100",$AB$5:$AB$11)</f>
        <v>46197</v>
      </c>
      <c r="I18" s="108">
        <v>46171</v>
      </c>
      <c r="J18" s="108"/>
      <c r="K18" s="109">
        <v>0.9</v>
      </c>
      <c r="L18" s="109" t="str">
        <f ca="1">IF(OR(K18=100%,J18&lt;&gt;""),"Completed",IF(AND(OR(K18="",K18=0),E18&gt;TODAY()),"Not Started",IF(AND(OR(K18="",K18=0),E18&lt;=TODAY()),"Delayed",IF(AND(K18&gt;0,K18&lt;100%,F18&lt;TODAY()),"Delayed",IF(AND(K18&gt;0,K18&lt;100%),"In Progress","")))))</f>
        <v>Delayed</v>
      </c>
      <c r="M18" s="29"/>
      <c r="N18" s="30"/>
      <c r="O18" s="30"/>
      <c r="P18" s="30"/>
      <c r="Q18" s="30"/>
      <c r="R18" s="30"/>
      <c r="S18" s="30"/>
      <c r="T18" s="31"/>
      <c r="U18" s="32"/>
      <c r="X18" s="28" t="s">
        <v>62</v>
      </c>
      <c r="Y18" s="6" t="s">
        <v>70</v>
      </c>
      <c r="Z18" s="6"/>
    </row>
    <row r="19" spans="2:29" ht="45" customHeight="1" x14ac:dyDescent="0.15">
      <c r="B19" s="376"/>
      <c r="C19" s="106" t="s">
        <v>104</v>
      </c>
      <c r="D19" s="107">
        <f>NETWORKDAYS.INTL(E19,F19,"0000100",$AB$5:$AB$12)</f>
        <v>5</v>
      </c>
      <c r="E19" s="108">
        <f>WORKDAY.INTL(F13,1,"0000100",$AB$5:$AB$11)</f>
        <v>46208</v>
      </c>
      <c r="F19" s="108">
        <f>WORKDAY.INTL(E19,4,"0000100",$AB$5:$AB$11)</f>
        <v>46212</v>
      </c>
      <c r="G19" s="108">
        <f>WORKDAY.INTL(H13,1,"0000100",$AB$5:$AB$11)</f>
        <v>46208</v>
      </c>
      <c r="H19" s="108">
        <f>WORKDAY.INTL(G19,4,"0000100",$AB$5:$AB$11)</f>
        <v>46212</v>
      </c>
      <c r="I19" s="108"/>
      <c r="J19" s="108"/>
      <c r="K19" s="109"/>
      <c r="L19" s="109" t="str">
        <f ca="1">IF(OR(K19=100%,J19&lt;&gt;""),"Completed",IF(AND(OR(K19="",K19=0),E19&gt;TODAY()),"Not Started",IF(AND(OR(K19="",K19=0),E19&lt;=TODAY()),"Delayed",IF(AND(K19&gt;0,K19&lt;100%,F19&lt;TODAY()),"Delayed",IF(AND(K19&gt;0,K19&lt;100%),"In Progress","")))))</f>
        <v>Not Started</v>
      </c>
      <c r="M19" s="29"/>
      <c r="N19" s="30"/>
      <c r="O19" s="30"/>
      <c r="P19" s="30"/>
      <c r="Q19" s="30"/>
      <c r="R19" s="30"/>
      <c r="S19" s="30"/>
      <c r="T19" s="31"/>
      <c r="U19" s="32"/>
      <c r="X19" s="28" t="s">
        <v>63</v>
      </c>
      <c r="Y19" s="6" t="s">
        <v>70</v>
      </c>
      <c r="Z19" s="6"/>
    </row>
    <row r="20" spans="2:29" ht="45" customHeight="1" x14ac:dyDescent="0.15">
      <c r="B20" s="376"/>
      <c r="C20" s="106" t="s">
        <v>107</v>
      </c>
      <c r="D20" s="107">
        <f>NETWORKDAYS.INTL(E20,F20,"0000110",$AB$5:$AB$12)</f>
        <v>4</v>
      </c>
      <c r="E20" s="108">
        <f>WORKDAY.INTL(F14,1,"0000110",$AB$5:$AB$10)</f>
        <v>46223</v>
      </c>
      <c r="F20" s="108">
        <f>WORKDAY.INTL(E20,3,"0000110",$AB$5:$AB$11)</f>
        <v>46226</v>
      </c>
      <c r="G20" s="108">
        <f>WORKDAY.INTL(H14,1,"0000110",$AB$5:$AB$10)</f>
        <v>46223</v>
      </c>
      <c r="H20" s="108">
        <f>WORKDAY.INTL(G20,3,"0000110",$AB$5:$AB$11)</f>
        <v>46226</v>
      </c>
      <c r="I20" s="108"/>
      <c r="J20" s="108"/>
      <c r="K20" s="109"/>
      <c r="L20" s="109" t="str">
        <f ca="1">IF(OR(K20=100%,J20&lt;&gt;""),"Completed",IF(AND(OR(K20="",K20=0),E20&gt;TODAY()),"Not Started",IF(AND(OR(K20="",K20=0),E20&lt;=TODAY()),"Delayed",IF(AND(K20&gt;0,K20&lt;100%,F20&lt;TODAY()),"Delayed",IF(AND(K20&gt;0,K20&lt;100%),"In Progress","")))))</f>
        <v>Not Started</v>
      </c>
      <c r="M20" s="29"/>
      <c r="N20" s="30"/>
      <c r="O20" s="30"/>
      <c r="P20" s="30"/>
      <c r="Q20" s="30"/>
      <c r="R20" s="30"/>
      <c r="S20" s="30"/>
      <c r="T20" s="31"/>
      <c r="U20" s="32" t="s">
        <v>108</v>
      </c>
      <c r="X20" s="28" t="s">
        <v>64</v>
      </c>
      <c r="Y20" s="6" t="s">
        <v>70</v>
      </c>
      <c r="Z20" s="6"/>
    </row>
    <row r="21" spans="2:29" ht="45" customHeight="1" x14ac:dyDescent="0.15">
      <c r="B21" s="376"/>
      <c r="C21" s="110" t="s">
        <v>110</v>
      </c>
      <c r="D21" s="107">
        <f>NETWORKDAYS.INTL(E21,F21,"0000110",$AB$5:$AB$12)</f>
        <v>4</v>
      </c>
      <c r="E21" s="108">
        <f>WORKDAY.INTL(F20,1,"0000110",$AB$5:$AB$10)</f>
        <v>46229</v>
      </c>
      <c r="F21" s="108">
        <f>WORKDAY.INTL(E21,3,"0000110",$AB$5:$AB$11)</f>
        <v>46232</v>
      </c>
      <c r="G21" s="108">
        <f>WORKDAY.INTL(H20,1,"0000110",$AB$5:$AB$10)</f>
        <v>46229</v>
      </c>
      <c r="H21" s="108">
        <f>WORKDAY.INTL(G21,3,"0000110",$AB$5:$AB$11)</f>
        <v>46232</v>
      </c>
      <c r="I21" s="108"/>
      <c r="J21" s="108"/>
      <c r="K21" s="109"/>
      <c r="L21" s="109" t="str">
        <f ca="1">IF(OR(K21=100%,J21&lt;&gt;""),"Completed",IF(AND(OR(K21="",K21=0),E21&gt;TODAY()),"Not Started",IF(AND(OR(K21="",K21=0),E21&lt;=TODAY()),"Delayed",IF(AND(K21&gt;0,K21&lt;100%,F21&lt;TODAY()),"Delayed",IF(AND(K21&gt;0,K21&lt;100%),"In Progress","")))))</f>
        <v>Not Started</v>
      </c>
      <c r="M21" s="29"/>
      <c r="N21" s="34"/>
      <c r="O21" s="34"/>
      <c r="P21" s="34"/>
      <c r="Q21" s="34"/>
      <c r="R21" s="34"/>
      <c r="S21" s="34"/>
      <c r="T21" s="35"/>
      <c r="U21" s="32" t="s">
        <v>111</v>
      </c>
      <c r="X21" s="28" t="s">
        <v>65</v>
      </c>
      <c r="Y21" s="6" t="s">
        <v>70</v>
      </c>
      <c r="Z21" s="6"/>
    </row>
    <row r="22" spans="2:29" s="62" customFormat="1" ht="45" customHeight="1" thickBot="1" x14ac:dyDescent="0.3">
      <c r="B22" s="381"/>
      <c r="C22" s="110" t="s">
        <v>158</v>
      </c>
      <c r="D22" s="107">
        <f>NETWORKDAYS.INTL(E22,F22,"0000110",$AB$5:$AB$12)</f>
        <v>1</v>
      </c>
      <c r="E22" s="108">
        <f>WORKDAY.INTL(F21,0,"0000110",$AB$5:$AB$10)</f>
        <v>46232</v>
      </c>
      <c r="F22" s="108">
        <f>WORKDAY.INTL(E22,0,"0000110",$AB$5:$AB$11)</f>
        <v>46232</v>
      </c>
      <c r="G22" s="108">
        <f>WORKDAY.INTL(H21,0,"0000110",$AB$5:$AB$10)</f>
        <v>46232</v>
      </c>
      <c r="H22" s="108">
        <f>WORKDAY.INTL(G22,0,"0000110",$AB$5:$AB$11)</f>
        <v>46232</v>
      </c>
      <c r="I22" s="108"/>
      <c r="J22" s="108"/>
      <c r="K22" s="109"/>
      <c r="L22" s="109" t="str">
        <f ca="1">IF(OR(K22=100%,J22&lt;&gt;""),"Completed",IF(AND(OR(K22="",K22=0),E22&gt;TODAY()),"Not Started",IF(AND(OR(K22="",K22=0),E22&lt;=TODAY()),"Delayed",IF(AND(K22&gt;0,K22&lt;100%,F22&lt;TODAY()),"Delayed",IF(AND(K22&gt;0,K22&lt;100%),"In Progress","")))))</f>
        <v>Not Started</v>
      </c>
      <c r="M22" s="29"/>
      <c r="N22" s="34"/>
      <c r="O22" s="34"/>
      <c r="P22" s="34"/>
      <c r="Q22" s="34"/>
      <c r="R22" s="34"/>
      <c r="S22" s="34"/>
      <c r="T22" s="35"/>
      <c r="U22" s="32"/>
      <c r="X22" s="66" t="s">
        <v>66</v>
      </c>
      <c r="Y22" s="67" t="s">
        <v>70</v>
      </c>
      <c r="Z22" s="67"/>
    </row>
    <row r="23" spans="2:29" s="1" customFormat="1" ht="4.5" customHeight="1" thickBot="1" x14ac:dyDescent="0.2">
      <c r="B23" s="23"/>
      <c r="C23" s="23"/>
      <c r="D23" s="24"/>
      <c r="E23" s="23"/>
      <c r="F23" s="23"/>
      <c r="G23" s="23"/>
      <c r="H23" s="23"/>
      <c r="I23" s="23"/>
      <c r="J23" s="23"/>
      <c r="K23" s="25"/>
      <c r="L23" s="25"/>
      <c r="M23" s="23"/>
      <c r="N23" s="23"/>
      <c r="O23" s="23"/>
      <c r="P23" s="23"/>
      <c r="Q23" s="23"/>
      <c r="R23" s="23"/>
      <c r="S23" s="23"/>
      <c r="T23" s="23"/>
      <c r="U23" s="26"/>
      <c r="X23" s="27"/>
      <c r="Y23" s="27"/>
    </row>
    <row r="24" spans="2:29" ht="45" customHeight="1" x14ac:dyDescent="0.15">
      <c r="B24" s="377" t="s">
        <v>161</v>
      </c>
      <c r="C24" s="111" t="s">
        <v>157</v>
      </c>
      <c r="D24" s="112">
        <f>NETWORKDAYS.INTL(E24,F24,"0000100",$AB$5:$AB$12)</f>
        <v>7</v>
      </c>
      <c r="E24" s="113">
        <f>WORKDAY.INTL(F18,1,"0000100",$AB$5:$AB$11)</f>
        <v>46198</v>
      </c>
      <c r="F24" s="114">
        <f>WORKDAY.INTL(E24,6,"0000100",$AB$5:$AB$11)</f>
        <v>46205</v>
      </c>
      <c r="G24" s="113">
        <f>WORKDAY.INTL(H18,1,"0000100",$AB$5:$AB$11)</f>
        <v>46198</v>
      </c>
      <c r="H24" s="114">
        <f>WORKDAY.INTL(G24,6,"0000100",$AB$5:$AB$11)</f>
        <v>46205</v>
      </c>
      <c r="I24" s="114"/>
      <c r="J24" s="114"/>
      <c r="K24" s="115"/>
      <c r="L24" s="115" t="str">
        <f ca="1">IF(OR(K24=100%,J24&lt;&gt;""),"Completed",IF(AND(OR(K24="",K24=0),E24&gt;TODAY()),"Not Started",IF(AND(OR(K24="",K24=0),E24&lt;=TODAY()),"Delayed",IF(AND(K24&gt;0,K24&lt;100%,F24&lt;TODAY()),"Delayed",IF(AND(K24&gt;0,K24&lt;100%),"In Progress","")))))</f>
        <v>Delayed</v>
      </c>
      <c r="M24" s="36"/>
      <c r="N24" s="37"/>
      <c r="O24" s="37"/>
      <c r="P24" s="37"/>
      <c r="Q24" s="37"/>
      <c r="R24" s="37"/>
      <c r="S24" s="37"/>
      <c r="T24" s="38"/>
      <c r="U24" s="39"/>
      <c r="X24" s="28" t="s">
        <v>62</v>
      </c>
      <c r="Y24" s="6" t="s">
        <v>71</v>
      </c>
      <c r="Z24" s="6"/>
      <c r="AC24" s="33"/>
    </row>
    <row r="25" spans="2:29" ht="45" customHeight="1" x14ac:dyDescent="0.15">
      <c r="B25" s="378"/>
      <c r="C25" s="116" t="s">
        <v>104</v>
      </c>
      <c r="D25" s="117">
        <f>NETWORKDAYS.INTL(E25,F25,"0000100",$AB$5:$AB$12)</f>
        <v>5</v>
      </c>
      <c r="E25" s="113">
        <f>WORKDAY.INTL(F19,1,"0000100",$AB$5:$AB$11)</f>
        <v>46214</v>
      </c>
      <c r="F25" s="114">
        <f>WORKDAY.INTL(E25,4,"0000100",$AB$5:$AB$11)</f>
        <v>46218</v>
      </c>
      <c r="G25" s="113">
        <f>WORKDAY.INTL(H19,1,"0000100",$AB$5:$AB$11)</f>
        <v>46214</v>
      </c>
      <c r="H25" s="114">
        <f>WORKDAY.INTL(G25,4,"0000100",$AB$5:$AB$11)</f>
        <v>46218</v>
      </c>
      <c r="I25" s="114"/>
      <c r="J25" s="114"/>
      <c r="K25" s="115"/>
      <c r="L25" s="115" t="str">
        <f ca="1">IF(OR(K25=100%,J25&lt;&gt;""),"Completed",IF(AND(OR(K25="",K25=0),E25&gt;TODAY()),"Not Started",IF(AND(OR(K25="",K25=0),E25&lt;=TODAY()),"Delayed",IF(AND(K25&gt;0,K25&lt;100%,F25&lt;TODAY()),"Delayed",IF(AND(K25&gt;0,K25&lt;100%),"In Progress","")))))</f>
        <v>Not Started</v>
      </c>
      <c r="M25" s="36"/>
      <c r="N25" s="40"/>
      <c r="O25" s="40"/>
      <c r="P25" s="40"/>
      <c r="Q25" s="40"/>
      <c r="R25" s="40"/>
      <c r="S25" s="40"/>
      <c r="T25" s="41"/>
      <c r="U25" s="42"/>
      <c r="X25" s="28" t="s">
        <v>63</v>
      </c>
      <c r="Y25" s="6" t="s">
        <v>71</v>
      </c>
      <c r="Z25" s="6"/>
    </row>
    <row r="26" spans="2:29" ht="45" customHeight="1" x14ac:dyDescent="0.15">
      <c r="B26" s="378"/>
      <c r="C26" s="118" t="s">
        <v>107</v>
      </c>
      <c r="D26" s="117">
        <f>NETWORKDAYS.INTL(E26,F26,"0000110",$AB$5:$AB$12)</f>
        <v>4</v>
      </c>
      <c r="E26" s="113">
        <f>WORKDAY.INTL(F20,1,"0000110",$AB$5:$AB$11)</f>
        <v>46229</v>
      </c>
      <c r="F26" s="113">
        <f>WORKDAY.INTL(E26,3,"0000110",$AB$5:$AB$11)</f>
        <v>46232</v>
      </c>
      <c r="G26" s="113">
        <f>WORKDAY.INTL(H20,1,"0000110",$AB$5:$AB$11)</f>
        <v>46229</v>
      </c>
      <c r="H26" s="113">
        <f>WORKDAY.INTL(G26,3,"0000110",$AB$5:$AB$11)</f>
        <v>46232</v>
      </c>
      <c r="I26" s="113"/>
      <c r="J26" s="113"/>
      <c r="K26" s="119"/>
      <c r="L26" s="119" t="str">
        <f ca="1">IF(OR(K26=100%,J26&lt;&gt;""),"Completed",IF(AND(OR(K26="",K26=0),E26&gt;TODAY()),"Not Started",IF(AND(OR(K26="",K26=0),E26&lt;=TODAY()),"Delayed",IF(AND(K26&gt;0,K26&lt;100%,F26&lt;TODAY()),"Delayed",IF(AND(K26&gt;0,K26&lt;100%),"In Progress","")))))</f>
        <v>Not Started</v>
      </c>
      <c r="M26" s="36"/>
      <c r="N26" s="43"/>
      <c r="O26" s="43"/>
      <c r="P26" s="43"/>
      <c r="Q26" s="43"/>
      <c r="R26" s="43"/>
      <c r="S26" s="43"/>
      <c r="T26" s="44"/>
      <c r="U26" s="42" t="s">
        <v>108</v>
      </c>
      <c r="X26" s="28" t="s">
        <v>64</v>
      </c>
      <c r="Y26" s="6" t="s">
        <v>71</v>
      </c>
      <c r="Z26" s="6"/>
    </row>
    <row r="27" spans="2:29" ht="45" customHeight="1" x14ac:dyDescent="0.15">
      <c r="B27" s="378"/>
      <c r="C27" s="118" t="s">
        <v>110</v>
      </c>
      <c r="D27" s="117">
        <f>NETWORKDAYS.INTL(E27,F27,"0000110",$AB$5:$AB$12)</f>
        <v>2</v>
      </c>
      <c r="E27" s="113">
        <f>WORKDAY.INTL(F26,1,"0000110",$AB$5:$AB$11)</f>
        <v>46233</v>
      </c>
      <c r="F27" s="113">
        <f>WORKDAY.INTL(E27,1,"0000110",$AB$5:$AB$11)</f>
        <v>46236</v>
      </c>
      <c r="G27" s="113">
        <f>WORKDAY.INTL(H26,1,"0000110",$AB$5:$AB$11)</f>
        <v>46233</v>
      </c>
      <c r="H27" s="113">
        <f>WORKDAY.INTL(G27,1,"0000110",$AB$5:$AB$11)</f>
        <v>46236</v>
      </c>
      <c r="I27" s="113"/>
      <c r="J27" s="113"/>
      <c r="K27" s="119"/>
      <c r="L27" s="119" t="str">
        <f ca="1">IF(OR(K27=100%,J27&lt;&gt;""),"Completed",IF(AND(OR(K27="",K27=0),E27&gt;TODAY()),"Not Started",IF(AND(OR(K27="",K27=0),E27&lt;=TODAY()),"Delayed",IF(AND(K27&gt;0,K27&lt;100%,F27&lt;TODAY()),"Delayed",IF(AND(K27&gt;0,K27&lt;100%),"In Progress","")))))</f>
        <v>Not Started</v>
      </c>
      <c r="M27" s="36"/>
      <c r="N27" s="43"/>
      <c r="O27" s="43"/>
      <c r="P27" s="43"/>
      <c r="Q27" s="43"/>
      <c r="R27" s="43"/>
      <c r="S27" s="43"/>
      <c r="T27" s="44"/>
      <c r="U27" s="42" t="s">
        <v>111</v>
      </c>
      <c r="X27" s="28" t="s">
        <v>65</v>
      </c>
      <c r="Y27" s="6" t="s">
        <v>71</v>
      </c>
      <c r="Z27" s="6"/>
    </row>
    <row r="28" spans="2:29" s="62" customFormat="1" ht="45" customHeight="1" thickBot="1" x14ac:dyDescent="0.3">
      <c r="B28" s="379"/>
      <c r="C28" s="118" t="s">
        <v>158</v>
      </c>
      <c r="D28" s="117">
        <f>NETWORKDAYS.INTL(E28,F28,"0000110",$AB$5:$AB$12)</f>
        <v>1</v>
      </c>
      <c r="E28" s="113">
        <f>WORKDAY.INTL(F27,0,"0000110",$AB$5:$AB$11)</f>
        <v>46236</v>
      </c>
      <c r="F28" s="113">
        <f>WORKDAY.INTL(E28,0,"0000110",$AB$5:$AB$11)</f>
        <v>46236</v>
      </c>
      <c r="G28" s="113">
        <f>WORKDAY.INTL(H27,0,"0000110",$AB$5:$AB$11)</f>
        <v>46236</v>
      </c>
      <c r="H28" s="113">
        <f>WORKDAY.INTL(G28,0,"0000110",$AB$5:$AB$11)</f>
        <v>46236</v>
      </c>
      <c r="I28" s="113"/>
      <c r="J28" s="113"/>
      <c r="K28" s="119"/>
      <c r="L28" s="119" t="str">
        <f ca="1">IF(OR(K28=100%,J28&lt;&gt;""),"Completed",IF(AND(OR(K28="",K28=0),E28&gt;TODAY()),"Not Started",IF(AND(OR(K28="",K28=0),E28&lt;=TODAY()),"Delayed",IF(AND(K28&gt;0,K28&lt;100%,F28&lt;TODAY()),"Delayed",IF(AND(K28&gt;0,K28&lt;100%),"In Progress","")))))</f>
        <v>Not Started</v>
      </c>
      <c r="M28" s="73"/>
      <c r="N28" s="69"/>
      <c r="O28" s="69"/>
      <c r="P28" s="69"/>
      <c r="Q28" s="69"/>
      <c r="R28" s="69"/>
      <c r="S28" s="69"/>
      <c r="T28" s="70"/>
      <c r="U28" s="71"/>
      <c r="X28" s="66" t="s">
        <v>66</v>
      </c>
      <c r="Y28" s="67" t="s">
        <v>71</v>
      </c>
      <c r="Z28" s="67"/>
    </row>
    <row r="29" spans="2:29" s="1" customFormat="1" ht="4.5" customHeight="1" thickBot="1" x14ac:dyDescent="0.2">
      <c r="B29" s="23"/>
      <c r="C29" s="23"/>
      <c r="D29" s="24"/>
      <c r="E29" s="23"/>
      <c r="F29" s="23"/>
      <c r="G29" s="23"/>
      <c r="H29" s="23"/>
      <c r="I29" s="23"/>
      <c r="J29" s="23"/>
      <c r="K29" s="25"/>
      <c r="L29" s="25"/>
      <c r="M29" s="23"/>
      <c r="N29" s="23"/>
      <c r="O29" s="23"/>
      <c r="P29" s="23"/>
      <c r="Q29" s="23"/>
      <c r="R29" s="23"/>
      <c r="S29" s="23"/>
      <c r="T29" s="23"/>
      <c r="U29" s="26"/>
      <c r="X29" s="27"/>
      <c r="Y29" s="27"/>
    </row>
    <row r="30" spans="2:29" ht="45" customHeight="1" x14ac:dyDescent="0.15">
      <c r="B30" s="380" t="s">
        <v>162</v>
      </c>
      <c r="C30" s="106" t="s">
        <v>157</v>
      </c>
      <c r="D30" s="107">
        <f>NETWORKDAYS.INTL(E30,F30,"0000100",$AB$5:$AB$12)</f>
        <v>7</v>
      </c>
      <c r="E30" s="108">
        <f>WORKDAY.INTL(F24,1,"0000100",$AB$5:$AB$11)</f>
        <v>46207</v>
      </c>
      <c r="F30" s="108">
        <f>WORKDAY.INTL(E30,6,"0000100",$AB$5:$AB$11)</f>
        <v>46214</v>
      </c>
      <c r="G30" s="108">
        <f>WORKDAY.INTL(H24,1,"0000100",$AB$5:$AB$11)</f>
        <v>46207</v>
      </c>
      <c r="H30" s="108">
        <f>WORKDAY.INTL(G30,6,"0000100",$AB$5:$AB$11)</f>
        <v>46214</v>
      </c>
      <c r="I30" s="108"/>
      <c r="J30" s="108"/>
      <c r="K30" s="109"/>
      <c r="L30" s="109" t="str">
        <f ca="1">IF(OR(K30=100%,J30&lt;&gt;""),"Completed",IF(AND(OR(K30="",K30=0),E30&gt;TODAY()),"Not Started",IF(AND(OR(K30="",K30=0),E30&lt;=TODAY()),"Delayed",IF(AND(K30&gt;0,K30&lt;100%,F30&lt;TODAY()),"Delayed",IF(AND(K30&gt;0,K30&lt;100%),"In Progress","")))))</f>
        <v>Not Started</v>
      </c>
      <c r="M30" s="29"/>
      <c r="N30" s="30"/>
      <c r="O30" s="30"/>
      <c r="P30" s="30"/>
      <c r="Q30" s="30"/>
      <c r="R30" s="30"/>
      <c r="S30" s="30"/>
      <c r="T30" s="31"/>
      <c r="U30" s="32"/>
      <c r="X30" s="28" t="s">
        <v>62</v>
      </c>
      <c r="Y30" s="6" t="s">
        <v>72</v>
      </c>
      <c r="Z30" s="6"/>
    </row>
    <row r="31" spans="2:29" ht="45" customHeight="1" x14ac:dyDescent="0.15">
      <c r="B31" s="376"/>
      <c r="C31" s="106" t="s">
        <v>104</v>
      </c>
      <c r="D31" s="107">
        <f>NETWORKDAYS.INTL(E31,F31,"0000100",$AB$5:$AB$12)</f>
        <v>5</v>
      </c>
      <c r="E31" s="108">
        <f>WORKDAY.INTL(F25,1,"0000100",$AB$5:$AB$11)</f>
        <v>46219</v>
      </c>
      <c r="F31" s="108">
        <f>WORKDAY.INTL(E31,4,"0000100",$AB$5:$AB$11)</f>
        <v>46224</v>
      </c>
      <c r="G31" s="108">
        <f>WORKDAY.INTL(H25,1,"0000100",$AB$5:$AB$11)</f>
        <v>46219</v>
      </c>
      <c r="H31" s="108">
        <f>WORKDAY.INTL(G31,4,"0000100",$AB$5:$AB$11)</f>
        <v>46224</v>
      </c>
      <c r="I31" s="108"/>
      <c r="J31" s="108"/>
      <c r="K31" s="109"/>
      <c r="L31" s="109" t="str">
        <f ca="1">IF(OR(K31=100%,J31&lt;&gt;""),"Completed",IF(AND(OR(K31="",K31=0),E31&gt;TODAY()),"Not Started",IF(AND(OR(K31="",K31=0),E31&lt;=TODAY()),"Delayed",IF(AND(K31&gt;0,K31&lt;100%,F31&lt;TODAY()),"Delayed",IF(AND(K31&gt;0,K31&lt;100%),"In Progress","")))))</f>
        <v>Not Started</v>
      </c>
      <c r="M31" s="29"/>
      <c r="N31" s="30"/>
      <c r="O31" s="30"/>
      <c r="P31" s="30"/>
      <c r="Q31" s="30"/>
      <c r="R31" s="30"/>
      <c r="S31" s="30"/>
      <c r="T31" s="31"/>
      <c r="U31" s="32"/>
      <c r="X31" s="28" t="s">
        <v>63</v>
      </c>
      <c r="Y31" s="6" t="s">
        <v>72</v>
      </c>
      <c r="Z31" s="6"/>
    </row>
    <row r="32" spans="2:29" ht="45" customHeight="1" x14ac:dyDescent="0.15">
      <c r="B32" s="376"/>
      <c r="C32" s="106" t="s">
        <v>107</v>
      </c>
      <c r="D32" s="107">
        <f>NETWORKDAYS.INTL(E32,F32,"0000110",$AB$5:$AB$12)</f>
        <v>4</v>
      </c>
      <c r="E32" s="108">
        <f>WORKDAY.INTL(F26,1,"0000110")</f>
        <v>46233</v>
      </c>
      <c r="F32" s="108">
        <f>WORKDAY.INTL(E32,3,"0000110")</f>
        <v>46238</v>
      </c>
      <c r="G32" s="108">
        <f>WORKDAY.INTL(H26,1,"0000110")</f>
        <v>46233</v>
      </c>
      <c r="H32" s="108">
        <f>WORKDAY.INTL(G32,3,"0000110")</f>
        <v>46238</v>
      </c>
      <c r="I32" s="108"/>
      <c r="J32" s="108"/>
      <c r="K32" s="109"/>
      <c r="L32" s="109" t="str">
        <f ca="1">IF(OR(K32=100%,J32&lt;&gt;""),"Completed",IF(AND(OR(K32="",K32=0),E32&gt;TODAY()),"Not Started",IF(AND(OR(K32="",K32=0),E32&lt;=TODAY()),"Delayed",IF(AND(K32&gt;0,K32&lt;100%,F32&lt;TODAY()),"Delayed",IF(AND(K32&gt;0,K32&lt;100%),"In Progress","")))))</f>
        <v>Not Started</v>
      </c>
      <c r="M32" s="29"/>
      <c r="N32" s="30"/>
      <c r="O32" s="30"/>
      <c r="P32" s="30"/>
      <c r="Q32" s="30"/>
      <c r="R32" s="30"/>
      <c r="S32" s="30"/>
      <c r="T32" s="31"/>
      <c r="U32" s="32" t="s">
        <v>108</v>
      </c>
      <c r="X32" s="28" t="s">
        <v>64</v>
      </c>
      <c r="Y32" s="6" t="s">
        <v>72</v>
      </c>
      <c r="Z32" s="6"/>
    </row>
    <row r="33" spans="2:29" ht="45" customHeight="1" x14ac:dyDescent="0.15">
      <c r="B33" s="376"/>
      <c r="C33" s="110" t="s">
        <v>110</v>
      </c>
      <c r="D33" s="107">
        <f>NETWORKDAYS.INTL(E33,F33,"0000110",$AB$5:$AB$12)</f>
        <v>2</v>
      </c>
      <c r="E33" s="108">
        <f>WORKDAY.INTL(F32,1,"0000110")</f>
        <v>46239</v>
      </c>
      <c r="F33" s="108">
        <f>WORKDAY.INTL(E33,1,"0000110")</f>
        <v>46240</v>
      </c>
      <c r="G33" s="108">
        <f>WORKDAY.INTL(H32,1,"0000110")</f>
        <v>46239</v>
      </c>
      <c r="H33" s="108">
        <f>WORKDAY.INTL(G33,1,"0000110")</f>
        <v>46240</v>
      </c>
      <c r="I33" s="108"/>
      <c r="J33" s="108"/>
      <c r="K33" s="109"/>
      <c r="L33" s="109" t="str">
        <f ca="1">IF(OR(K33=100%,J33&lt;&gt;""),"Completed",IF(AND(OR(K33="",K33=0),E33&gt;TODAY()),"Not Started",IF(AND(OR(K33="",K33=0),E33&lt;=TODAY()),"Delayed",IF(AND(K33&gt;0,K33&lt;100%,F33&lt;TODAY()),"Delayed",IF(AND(K33&gt;0,K33&lt;100%),"In Progress","")))))</f>
        <v>Not Started</v>
      </c>
      <c r="M33" s="29"/>
      <c r="N33" s="34"/>
      <c r="O33" s="34"/>
      <c r="P33" s="34"/>
      <c r="Q33" s="34"/>
      <c r="R33" s="34"/>
      <c r="S33" s="34"/>
      <c r="T33" s="35"/>
      <c r="U33" s="32" t="s">
        <v>111</v>
      </c>
      <c r="X33" s="28" t="s">
        <v>65</v>
      </c>
      <c r="Y33" s="6" t="s">
        <v>72</v>
      </c>
      <c r="Z33" s="6"/>
    </row>
    <row r="34" spans="2:29" s="62" customFormat="1" ht="45" customHeight="1" thickBot="1" x14ac:dyDescent="0.3">
      <c r="B34" s="381"/>
      <c r="C34" s="110" t="s">
        <v>158</v>
      </c>
      <c r="D34" s="107">
        <f>NETWORKDAYS.INTL(E34,F34,"0000110",$AB$5:$AB$12)</f>
        <v>1</v>
      </c>
      <c r="E34" s="108">
        <f>WORKDAY.INTL(F33,0,"0000110")</f>
        <v>46240</v>
      </c>
      <c r="F34" s="108">
        <f>WORKDAY.INTL(E34,0,"0000110")</f>
        <v>46240</v>
      </c>
      <c r="G34" s="108">
        <f>WORKDAY.INTL(H33,0,"0000110")</f>
        <v>46240</v>
      </c>
      <c r="H34" s="108">
        <f>WORKDAY.INTL(G34,0,"0000110")</f>
        <v>46240</v>
      </c>
      <c r="I34" s="108"/>
      <c r="J34" s="108"/>
      <c r="K34" s="109"/>
      <c r="L34" s="109" t="str">
        <f ca="1">IF(OR(K34=100%,J34&lt;&gt;""),"Completed",IF(AND(OR(K34="",K34=0),E34&gt;TODAY()),"Not Started",IF(AND(OR(K34="",K34=0),E34&lt;=TODAY()),"Delayed",IF(AND(K34&gt;0,K34&lt;100%,F34&lt;TODAY()),"Delayed",IF(AND(K34&gt;0,K34&lt;100%),"In Progress","")))))</f>
        <v>Not Started</v>
      </c>
      <c r="M34" s="29"/>
      <c r="N34" s="34"/>
      <c r="O34" s="34"/>
      <c r="P34" s="34"/>
      <c r="Q34" s="34"/>
      <c r="R34" s="34"/>
      <c r="S34" s="34"/>
      <c r="T34" s="35"/>
      <c r="U34" s="32"/>
      <c r="X34" s="66" t="s">
        <v>66</v>
      </c>
      <c r="Y34" s="67" t="s">
        <v>72</v>
      </c>
      <c r="Z34" s="67"/>
    </row>
    <row r="35" spans="2:29" s="1" customFormat="1" ht="4.5" customHeight="1" thickBot="1" x14ac:dyDescent="0.2">
      <c r="B35" s="23"/>
      <c r="C35" s="23"/>
      <c r="D35" s="24"/>
      <c r="E35" s="23"/>
      <c r="F35" s="23"/>
      <c r="G35" s="23"/>
      <c r="H35" s="23"/>
      <c r="I35" s="23"/>
      <c r="J35" s="23"/>
      <c r="K35" s="25"/>
      <c r="L35" s="25"/>
      <c r="M35" s="23"/>
      <c r="N35" s="23"/>
      <c r="O35" s="23"/>
      <c r="P35" s="23"/>
      <c r="Q35" s="23"/>
      <c r="R35" s="23"/>
      <c r="S35" s="23"/>
      <c r="T35" s="23"/>
      <c r="U35" s="26"/>
      <c r="X35" s="27"/>
      <c r="Y35" s="27"/>
    </row>
    <row r="36" spans="2:29" ht="45" customHeight="1" x14ac:dyDescent="0.15">
      <c r="B36" s="377" t="s">
        <v>163</v>
      </c>
      <c r="C36" s="111" t="s">
        <v>157</v>
      </c>
      <c r="D36" s="112">
        <f>NETWORKDAYS.INTL(E36,F36,"0000100",$AB$5:$AB$12)</f>
        <v>7</v>
      </c>
      <c r="E36" s="113">
        <f>WORKDAY.INTL(F30,1,"0000100",$AB$5:$AB$11)</f>
        <v>46215</v>
      </c>
      <c r="F36" s="114">
        <f>WORKDAY.INTL(E36,6,"0000100",$AB$5:$AB$11)</f>
        <v>46222</v>
      </c>
      <c r="G36" s="113">
        <f>WORKDAY.INTL(H30,1,"0000100",$AB$5:$AB$11)</f>
        <v>46215</v>
      </c>
      <c r="H36" s="114">
        <f>WORKDAY.INTL(G36,6,"0000100",$AB$5:$AB$11)</f>
        <v>46222</v>
      </c>
      <c r="I36" s="114"/>
      <c r="J36" s="114"/>
      <c r="K36" s="115"/>
      <c r="L36" s="115" t="str">
        <f ca="1">IF(OR(K36=100%,J36&lt;&gt;""),"Completed",IF(AND(OR(K36="",K36=0),E36&gt;TODAY()),"Not Started",IF(AND(OR(K36="",K36=0),E36&lt;=TODAY()),"Delayed",IF(AND(K36&gt;0,K36&lt;100%,F36&lt;TODAY()),"Delayed",IF(AND(K36&gt;0,K36&lt;100%),"In Progress","")))))</f>
        <v>Not Started</v>
      </c>
      <c r="M36" s="36"/>
      <c r="N36" s="37"/>
      <c r="O36" s="37"/>
      <c r="P36" s="37"/>
      <c r="Q36" s="37"/>
      <c r="R36" s="37"/>
      <c r="S36" s="37"/>
      <c r="T36" s="38"/>
      <c r="U36" s="39"/>
      <c r="X36" s="28" t="s">
        <v>62</v>
      </c>
      <c r="Y36" s="6" t="s">
        <v>73</v>
      </c>
      <c r="Z36" s="6"/>
      <c r="AC36" s="33"/>
    </row>
    <row r="37" spans="2:29" ht="45" customHeight="1" x14ac:dyDescent="0.15">
      <c r="B37" s="378"/>
      <c r="C37" s="116" t="s">
        <v>104</v>
      </c>
      <c r="D37" s="117">
        <f>NETWORKDAYS.INTL(E37,F37,"0000100",$AB$5:$AB$12)</f>
        <v>5</v>
      </c>
      <c r="E37" s="113">
        <f>WORKDAY.INTL(F31,1,"0000100",$AB$5:$AB$11)</f>
        <v>46225</v>
      </c>
      <c r="F37" s="114">
        <f>WORKDAY.INTL(E37,4,"0000100",$AB$5:$AB$11)</f>
        <v>46230</v>
      </c>
      <c r="G37" s="113">
        <f>WORKDAY.INTL(H31,1,"0000100",$AB$5:$AB$11)</f>
        <v>46225</v>
      </c>
      <c r="H37" s="114">
        <f>WORKDAY.INTL(G37,4,"0000100",$AB$5:$AB$11)</f>
        <v>46230</v>
      </c>
      <c r="I37" s="114"/>
      <c r="J37" s="114"/>
      <c r="K37" s="115"/>
      <c r="L37" s="115" t="str">
        <f ca="1">IF(OR(K37=100%,J37&lt;&gt;""),"Completed",IF(AND(OR(K37="",K37=0),E37&gt;TODAY()),"Not Started",IF(AND(OR(K37="",K37=0),E37&lt;=TODAY()),"Delayed",IF(AND(K37&gt;0,K37&lt;100%,F37&lt;TODAY()),"Delayed",IF(AND(K37&gt;0,K37&lt;100%),"In Progress","")))))</f>
        <v>Not Started</v>
      </c>
      <c r="M37" s="36"/>
      <c r="N37" s="40"/>
      <c r="O37" s="40"/>
      <c r="P37" s="40"/>
      <c r="Q37" s="40"/>
      <c r="R37" s="40"/>
      <c r="S37" s="40"/>
      <c r="T37" s="41"/>
      <c r="U37" s="42"/>
      <c r="X37" s="28" t="s">
        <v>63</v>
      </c>
      <c r="Y37" s="6" t="s">
        <v>73</v>
      </c>
      <c r="Z37" s="6"/>
    </row>
    <row r="38" spans="2:29" ht="45" customHeight="1" x14ac:dyDescent="0.15">
      <c r="B38" s="378"/>
      <c r="C38" s="118" t="s">
        <v>107</v>
      </c>
      <c r="D38" s="117">
        <f>NETWORKDAYS.INTL(E38,F38,"0000110",$AB$5:$AB$12)</f>
        <v>4</v>
      </c>
      <c r="E38" s="113">
        <f>WORKDAY.INTL(F32,1,"0000110",$AB$5:$AB$11)</f>
        <v>46239</v>
      </c>
      <c r="F38" s="113">
        <f>WORKDAY.INTL(E38,3,"0000110",$AB$5:$AB$11)</f>
        <v>46244</v>
      </c>
      <c r="G38" s="113">
        <f>WORKDAY.INTL(H32,1,"0000110",$AB$5:$AB$11)</f>
        <v>46239</v>
      </c>
      <c r="H38" s="113">
        <f>WORKDAY.INTL(G38,3,"0000110",$AB$5:$AB$11)</f>
        <v>46244</v>
      </c>
      <c r="I38" s="113"/>
      <c r="J38" s="113"/>
      <c r="K38" s="119"/>
      <c r="L38" s="119" t="str">
        <f ca="1">IF(OR(K38=100%,J38&lt;&gt;""),"Completed",IF(AND(OR(K38="",K38=0),E38&gt;TODAY()),"Not Started",IF(AND(OR(K38="",K38=0),E38&lt;=TODAY()),"Delayed",IF(AND(K38&gt;0,K38&lt;100%,F38&lt;TODAY()),"Delayed",IF(AND(K38&gt;0,K38&lt;100%),"In Progress","")))))</f>
        <v>Not Started</v>
      </c>
      <c r="M38" s="36"/>
      <c r="N38" s="43"/>
      <c r="O38" s="43"/>
      <c r="P38" s="43"/>
      <c r="Q38" s="43"/>
      <c r="R38" s="43"/>
      <c r="S38" s="43"/>
      <c r="T38" s="44"/>
      <c r="U38" s="42" t="s">
        <v>108</v>
      </c>
      <c r="X38" s="28" t="s">
        <v>64</v>
      </c>
      <c r="Y38" s="6" t="s">
        <v>73</v>
      </c>
      <c r="Z38" s="6"/>
    </row>
    <row r="39" spans="2:29" ht="45" customHeight="1" x14ac:dyDescent="0.15">
      <c r="B39" s="378"/>
      <c r="C39" s="118" t="s">
        <v>110</v>
      </c>
      <c r="D39" s="117">
        <f>NETWORKDAYS.INTL(E39,F39,"0000110",$AB$5:$AB$12)</f>
        <v>2</v>
      </c>
      <c r="E39" s="113">
        <f>WORKDAY.INTL(F38,1,"0000110",$AB$5:$AB$11)</f>
        <v>46245</v>
      </c>
      <c r="F39" s="113">
        <f>WORKDAY.INTL(E39,1,"0000110",$AB$5:$AB$11)</f>
        <v>46246</v>
      </c>
      <c r="G39" s="113">
        <f>WORKDAY.INTL(H38,1,"0000110",$AB$5:$AB$11)</f>
        <v>46245</v>
      </c>
      <c r="H39" s="113">
        <f>WORKDAY.INTL(G39,1,"0000110",$AB$5:$AB$11)</f>
        <v>46246</v>
      </c>
      <c r="I39" s="113"/>
      <c r="J39" s="113"/>
      <c r="K39" s="119"/>
      <c r="L39" s="119" t="str">
        <f ca="1">IF(OR(K39=100%,J39&lt;&gt;""),"Completed",IF(AND(OR(K39="",K39=0),E39&gt;TODAY()),"Not Started",IF(AND(OR(K39="",K39=0),E39&lt;=TODAY()),"Delayed",IF(AND(K39&gt;0,K39&lt;100%,F39&lt;TODAY()),"Delayed",IF(AND(K39&gt;0,K39&lt;100%),"In Progress","")))))</f>
        <v>Not Started</v>
      </c>
      <c r="M39" s="36"/>
      <c r="N39" s="43"/>
      <c r="O39" s="43"/>
      <c r="P39" s="43"/>
      <c r="Q39" s="43"/>
      <c r="R39" s="43"/>
      <c r="S39" s="43"/>
      <c r="T39" s="44"/>
      <c r="U39" s="42" t="s">
        <v>111</v>
      </c>
      <c r="X39" s="28" t="s">
        <v>65</v>
      </c>
      <c r="Y39" s="6" t="s">
        <v>73</v>
      </c>
      <c r="Z39" s="6"/>
    </row>
    <row r="40" spans="2:29" s="62" customFormat="1" ht="45" customHeight="1" thickBot="1" x14ac:dyDescent="0.3">
      <c r="B40" s="379"/>
      <c r="C40" s="118" t="s">
        <v>158</v>
      </c>
      <c r="D40" s="117">
        <f>NETWORKDAYS.INTL(E40,F40,"0000110",$AB$5:$AB$12)</f>
        <v>1</v>
      </c>
      <c r="E40" s="113">
        <f>WORKDAY.INTL(F39,0,"0000110",$AB$5:$AB$11)</f>
        <v>46246</v>
      </c>
      <c r="F40" s="113">
        <f>WORKDAY.INTL(E40,0,"0000110",$AB$5:$AB$11)</f>
        <v>46246</v>
      </c>
      <c r="G40" s="113">
        <f>WORKDAY.INTL(H39,0,"0000110",$AB$5:$AB$11)</f>
        <v>46246</v>
      </c>
      <c r="H40" s="113">
        <f>WORKDAY.INTL(G40,0,"0000110",$AB$5:$AB$11)</f>
        <v>46246</v>
      </c>
      <c r="I40" s="113"/>
      <c r="J40" s="113"/>
      <c r="K40" s="119"/>
      <c r="L40" s="119" t="str">
        <f ca="1">IF(OR(K40=100%,J40&lt;&gt;""),"Completed",IF(AND(OR(K40="",K40=0),E40&gt;TODAY()),"Not Started",IF(AND(OR(K40="",K40=0),E40&lt;=TODAY()),"Delayed",IF(AND(K40&gt;0,K40&lt;100%,F40&lt;TODAY()),"Delayed",IF(AND(K40&gt;0,K40&lt;100%),"In Progress","")))))</f>
        <v>Not Started</v>
      </c>
      <c r="M40" s="73"/>
      <c r="N40" s="69"/>
      <c r="O40" s="69"/>
      <c r="P40" s="69"/>
      <c r="Q40" s="69"/>
      <c r="R40" s="69"/>
      <c r="S40" s="69"/>
      <c r="T40" s="70"/>
      <c r="U40" s="71"/>
      <c r="X40" s="66" t="s">
        <v>66</v>
      </c>
      <c r="Y40" s="67" t="s">
        <v>73</v>
      </c>
      <c r="Z40" s="67"/>
    </row>
    <row r="41" spans="2:29" s="1" customFormat="1" ht="4.5" customHeight="1" thickBot="1" x14ac:dyDescent="0.2">
      <c r="B41" s="23"/>
      <c r="C41" s="23"/>
      <c r="D41" s="24"/>
      <c r="E41" s="23"/>
      <c r="F41" s="23"/>
      <c r="G41" s="23"/>
      <c r="H41" s="23"/>
      <c r="I41" s="23"/>
      <c r="J41" s="23"/>
      <c r="K41" s="25"/>
      <c r="L41" s="25"/>
      <c r="M41" s="23"/>
      <c r="N41" s="23"/>
      <c r="O41" s="23"/>
      <c r="P41" s="23"/>
      <c r="Q41" s="23"/>
      <c r="R41" s="23"/>
      <c r="S41" s="23"/>
      <c r="T41" s="23"/>
      <c r="U41" s="26"/>
      <c r="X41" s="27"/>
      <c r="Y41" s="27"/>
    </row>
    <row r="42" spans="2:29" ht="45" customHeight="1" x14ac:dyDescent="0.15">
      <c r="B42" s="380" t="s">
        <v>164</v>
      </c>
      <c r="C42" s="106" t="s">
        <v>157</v>
      </c>
      <c r="D42" s="107">
        <f>NETWORKDAYS.INTL(E42,F42,"0000100",$AB$5:$AB$12)</f>
        <v>7</v>
      </c>
      <c r="E42" s="108">
        <f>WORKDAY.INTL(F36,1,"0000100",$AB$5:$AB$11)</f>
        <v>46223</v>
      </c>
      <c r="F42" s="108">
        <f>WORKDAY.INTL(E42,6,"0000100",$AB$5:$AB$11)</f>
        <v>46230</v>
      </c>
      <c r="G42" s="108">
        <f>WORKDAY.INTL(H36,1,"0000100",$AB$5:$AB$11)</f>
        <v>46223</v>
      </c>
      <c r="H42" s="108">
        <f>WORKDAY.INTL(G42,6,"0000100",$AB$5:$AB$11)</f>
        <v>46230</v>
      </c>
      <c r="I42" s="108"/>
      <c r="J42" s="108"/>
      <c r="K42" s="109"/>
      <c r="L42" s="109" t="str">
        <f ca="1">IF(OR(K42=100%,J42&lt;&gt;""),"Completed",IF(AND(OR(K42="",K42=0),E42&gt;TODAY()),"Not Started",IF(AND(OR(K42="",K42=0),E42&lt;=TODAY()),"Delayed",IF(AND(K42&gt;0,K42&lt;100%,F42&lt;TODAY()),"Delayed",IF(AND(K42&gt;0,K42&lt;100%),"In Progress","")))))</f>
        <v>Not Started</v>
      </c>
      <c r="M42" s="29"/>
      <c r="N42" s="30"/>
      <c r="O42" s="30"/>
      <c r="P42" s="30"/>
      <c r="Q42" s="30"/>
      <c r="R42" s="30"/>
      <c r="S42" s="30"/>
      <c r="T42" s="31"/>
      <c r="U42" s="32"/>
      <c r="X42" s="28" t="s">
        <v>62</v>
      </c>
      <c r="Y42" s="6" t="s">
        <v>74</v>
      </c>
      <c r="Z42" s="6"/>
    </row>
    <row r="43" spans="2:29" ht="45" customHeight="1" x14ac:dyDescent="0.15">
      <c r="B43" s="376"/>
      <c r="C43" s="106" t="s">
        <v>104</v>
      </c>
      <c r="D43" s="107">
        <f>NETWORKDAYS.INTL(E43,F43,"0000100",$AB$5:$AB$12)</f>
        <v>5</v>
      </c>
      <c r="E43" s="108">
        <f>WORKDAY.INTL(F37,1,"0000100",$AB$5:$AB$11)</f>
        <v>46231</v>
      </c>
      <c r="F43" s="108">
        <f>WORKDAY.INTL(E43,4,"0000100",$AB$5:$AB$11)</f>
        <v>46236</v>
      </c>
      <c r="G43" s="108">
        <f>WORKDAY.INTL(H37,1,"0000100",$AB$5:$AB$11)</f>
        <v>46231</v>
      </c>
      <c r="H43" s="108">
        <f>WORKDAY.INTL(G43,4,"0000100",$AB$5:$AB$11)</f>
        <v>46236</v>
      </c>
      <c r="I43" s="108"/>
      <c r="J43" s="108"/>
      <c r="K43" s="109"/>
      <c r="L43" s="109" t="str">
        <f ca="1">IF(OR(K43=100%,J43&lt;&gt;""),"Completed",IF(AND(OR(K43="",K43=0),E43&gt;TODAY()),"Not Started",IF(AND(OR(K43="",K43=0),E43&lt;=TODAY()),"Delayed",IF(AND(K43&gt;0,K43&lt;100%,F43&lt;TODAY()),"Delayed",IF(AND(K43&gt;0,K43&lt;100%),"In Progress","")))))</f>
        <v>Not Started</v>
      </c>
      <c r="M43" s="29"/>
      <c r="N43" s="30"/>
      <c r="O43" s="30"/>
      <c r="P43" s="30"/>
      <c r="Q43" s="30"/>
      <c r="R43" s="30"/>
      <c r="S43" s="30"/>
      <c r="T43" s="31"/>
      <c r="U43" s="32"/>
      <c r="X43" s="28" t="s">
        <v>63</v>
      </c>
      <c r="Y43" s="6" t="s">
        <v>74</v>
      </c>
      <c r="Z43" s="6"/>
    </row>
    <row r="44" spans="2:29" ht="45" customHeight="1" x14ac:dyDescent="0.15">
      <c r="B44" s="376"/>
      <c r="C44" s="106" t="s">
        <v>107</v>
      </c>
      <c r="D44" s="107">
        <f>NETWORKDAYS.INTL(E44,F44,"0000110",$AB$5:$AB$12)</f>
        <v>4</v>
      </c>
      <c r="E44" s="108">
        <f>WORKDAY.INTL(F38,1,"0000110",$AB$5:$AB$11)</f>
        <v>46245</v>
      </c>
      <c r="F44" s="108">
        <f>WORKDAY.INTL(E44,3,"0000110",$AB$5:$AB$11)</f>
        <v>46250</v>
      </c>
      <c r="G44" s="108">
        <f>WORKDAY.INTL(H38,1,"0000110",$AB$5:$AB$11)</f>
        <v>46245</v>
      </c>
      <c r="H44" s="108">
        <f>WORKDAY.INTL(G44,3,"0000110",$AB$5:$AB$11)</f>
        <v>46250</v>
      </c>
      <c r="I44" s="108"/>
      <c r="J44" s="108"/>
      <c r="K44" s="109"/>
      <c r="L44" s="109" t="str">
        <f ca="1">IF(OR(K44=100%,J44&lt;&gt;""),"Completed",IF(AND(OR(K44="",K44=0),E44&gt;TODAY()),"Not Started",IF(AND(OR(K44="",K44=0),E44&lt;=TODAY()),"Delayed",IF(AND(K44&gt;0,K44&lt;100%,F44&lt;TODAY()),"Delayed",IF(AND(K44&gt;0,K44&lt;100%),"In Progress","")))))</f>
        <v>Not Started</v>
      </c>
      <c r="M44" s="29"/>
      <c r="N44" s="30"/>
      <c r="O44" s="30"/>
      <c r="P44" s="30"/>
      <c r="Q44" s="30"/>
      <c r="R44" s="30"/>
      <c r="S44" s="30"/>
      <c r="T44" s="31"/>
      <c r="U44" s="32" t="s">
        <v>108</v>
      </c>
      <c r="X44" s="28" t="s">
        <v>64</v>
      </c>
      <c r="Y44" s="6" t="s">
        <v>74</v>
      </c>
      <c r="Z44" s="6"/>
    </row>
    <row r="45" spans="2:29" ht="45" customHeight="1" x14ac:dyDescent="0.15">
      <c r="B45" s="376"/>
      <c r="C45" s="110" t="s">
        <v>110</v>
      </c>
      <c r="D45" s="107">
        <f>NETWORKDAYS.INTL(E45,F45,"0000110",$AB$5:$AB$12)</f>
        <v>2</v>
      </c>
      <c r="E45" s="108">
        <f>WORKDAY.INTL(F44,1,"0000110",$AB$5:$AB$11)</f>
        <v>46251</v>
      </c>
      <c r="F45" s="108">
        <f>WORKDAY.INTL(E45,1,"0000110",$AB$5:$AB$11)</f>
        <v>46252</v>
      </c>
      <c r="G45" s="108">
        <f>WORKDAY.INTL(H44,1,"0000110",$AB$5:$AB$11)</f>
        <v>46251</v>
      </c>
      <c r="H45" s="108">
        <f>WORKDAY.INTL(G45,1,"0000110",$AB$5:$AB$11)</f>
        <v>46252</v>
      </c>
      <c r="I45" s="108"/>
      <c r="J45" s="108"/>
      <c r="K45" s="109"/>
      <c r="L45" s="109" t="str">
        <f ca="1">IF(OR(K45=100%,J45&lt;&gt;""),"Completed",IF(AND(OR(K45="",K45=0),E45&gt;TODAY()),"Not Started",IF(AND(OR(K45="",K45=0),E45&lt;=TODAY()),"Delayed",IF(AND(K45&gt;0,K45&lt;100%,F45&lt;TODAY()),"Delayed",IF(AND(K45&gt;0,K45&lt;100%),"In Progress","")))))</f>
        <v>Not Started</v>
      </c>
      <c r="M45" s="29"/>
      <c r="N45" s="34"/>
      <c r="O45" s="34"/>
      <c r="P45" s="34"/>
      <c r="Q45" s="34"/>
      <c r="R45" s="34"/>
      <c r="S45" s="34"/>
      <c r="T45" s="35"/>
      <c r="U45" s="32" t="s">
        <v>111</v>
      </c>
      <c r="X45" s="28" t="s">
        <v>65</v>
      </c>
      <c r="Y45" s="6" t="s">
        <v>74</v>
      </c>
      <c r="Z45" s="6"/>
    </row>
    <row r="46" spans="2:29" s="62" customFormat="1" ht="45" customHeight="1" thickBot="1" x14ac:dyDescent="0.3">
      <c r="B46" s="381"/>
      <c r="C46" s="110" t="s">
        <v>158</v>
      </c>
      <c r="D46" s="107">
        <f>NETWORKDAYS.INTL(E46,F46,"0000110",$AB$5:$AB$12)</f>
        <v>1</v>
      </c>
      <c r="E46" s="108">
        <f>WORKDAY.INTL(F45,0,"0000110",$AB$5:$AB$11)</f>
        <v>46252</v>
      </c>
      <c r="F46" s="108">
        <f>WORKDAY.INTL(E46,0,"0000110",$AB$5:$AB$11)</f>
        <v>46252</v>
      </c>
      <c r="G46" s="108">
        <f>WORKDAY.INTL(H45,0,"0000110",$AB$5:$AB$11)</f>
        <v>46252</v>
      </c>
      <c r="H46" s="108">
        <f>WORKDAY.INTL(G46,0,"0000110",$AB$5:$AB$11)</f>
        <v>46252</v>
      </c>
      <c r="I46" s="108"/>
      <c r="J46" s="108"/>
      <c r="K46" s="109"/>
      <c r="L46" s="109" t="str">
        <f ca="1">IF(OR(K46=100%,J46&lt;&gt;""),"Completed",IF(AND(OR(K46="",K46=0),E46&gt;TODAY()),"Not Started",IF(AND(OR(K46="",K46=0),E46&lt;=TODAY()),"Delayed",IF(AND(K46&gt;0,K46&lt;100%,F46&lt;TODAY()),"Delayed",IF(AND(K46&gt;0,K46&lt;100%),"In Progress","")))))</f>
        <v>Not Started</v>
      </c>
      <c r="M46" s="29"/>
      <c r="N46" s="34"/>
      <c r="O46" s="34"/>
      <c r="P46" s="34"/>
      <c r="Q46" s="34"/>
      <c r="R46" s="34"/>
      <c r="S46" s="34"/>
      <c r="T46" s="35"/>
      <c r="U46" s="32"/>
      <c r="X46" s="66" t="s">
        <v>66</v>
      </c>
      <c r="Y46" s="67" t="s">
        <v>74</v>
      </c>
      <c r="Z46" s="67"/>
    </row>
    <row r="47" spans="2:29" s="1" customFormat="1" ht="4.5" customHeight="1" thickBot="1" x14ac:dyDescent="0.2">
      <c r="B47" s="23"/>
      <c r="C47" s="23"/>
      <c r="D47" s="24"/>
      <c r="E47" s="23"/>
      <c r="F47" s="23"/>
      <c r="G47" s="23"/>
      <c r="H47" s="23"/>
      <c r="I47" s="23"/>
      <c r="J47" s="23"/>
      <c r="K47" s="25"/>
      <c r="L47" s="25"/>
      <c r="M47" s="23"/>
      <c r="N47" s="23"/>
      <c r="O47" s="23"/>
      <c r="P47" s="23"/>
      <c r="Q47" s="23"/>
      <c r="R47" s="23"/>
      <c r="S47" s="23"/>
      <c r="T47" s="23"/>
      <c r="U47" s="26"/>
      <c r="X47" s="27"/>
      <c r="Y47" s="27"/>
    </row>
    <row r="48" spans="2:29" ht="45" customHeight="1" x14ac:dyDescent="0.15">
      <c r="B48" s="377" t="s">
        <v>165</v>
      </c>
      <c r="C48" s="111" t="s">
        <v>157</v>
      </c>
      <c r="D48" s="112">
        <f>NETWORKDAYS.INTL(E48,F48,"0000100",$AB$5:$AB$12)</f>
        <v>7</v>
      </c>
      <c r="E48" s="113">
        <f>WORKDAY.INTL(F42,1,"0000100",$AB$5:$AB$11)</f>
        <v>46231</v>
      </c>
      <c r="F48" s="114">
        <f>WORKDAY.INTL(E48,6,"0000100",$AB$5:$AB$11)</f>
        <v>46238</v>
      </c>
      <c r="G48" s="113">
        <f>WORKDAY.INTL(H42,1,"0000100",$AB$5:$AB$11)</f>
        <v>46231</v>
      </c>
      <c r="H48" s="114">
        <f>WORKDAY.INTL(G48,6,"0000100",$AB$5:$AB$11)</f>
        <v>46238</v>
      </c>
      <c r="I48" s="114"/>
      <c r="J48" s="114"/>
      <c r="K48" s="115"/>
      <c r="L48" s="115" t="str">
        <f ca="1">IF(OR(K48=100%,J48&lt;&gt;""),"Completed",IF(AND(OR(K48="",K48=0),E48&gt;TODAY()),"Not Started",IF(AND(OR(K48="",K48=0),E48&lt;=TODAY()),"Delayed",IF(AND(K48&gt;0,K48&lt;100%,F48&lt;TODAY()),"Delayed",IF(AND(K48&gt;0,K48&lt;100%),"In Progress","")))))</f>
        <v>Not Started</v>
      </c>
      <c r="M48" s="36"/>
      <c r="N48" s="37"/>
      <c r="O48" s="37"/>
      <c r="P48" s="37"/>
      <c r="Q48" s="37"/>
      <c r="R48" s="37"/>
      <c r="S48" s="37"/>
      <c r="T48" s="38"/>
      <c r="U48" s="39"/>
      <c r="X48" s="28" t="s">
        <v>62</v>
      </c>
      <c r="Y48" s="6" t="s">
        <v>75</v>
      </c>
      <c r="Z48" s="6"/>
      <c r="AC48" s="33"/>
    </row>
    <row r="49" spans="2:29" ht="45" customHeight="1" x14ac:dyDescent="0.15">
      <c r="B49" s="378"/>
      <c r="C49" s="116" t="s">
        <v>104</v>
      </c>
      <c r="D49" s="117">
        <f>NETWORKDAYS.INTL(E49,F49,"0000100",$AB$5:$AB$12)</f>
        <v>5</v>
      </c>
      <c r="E49" s="113">
        <f>WORKDAY.INTL(F43,3,"0000100",$AB$5:$AB$11)</f>
        <v>46239</v>
      </c>
      <c r="F49" s="114">
        <f>WORKDAY.INTL(E49,4,"0000100",$AB$5:$AB$11)</f>
        <v>46244</v>
      </c>
      <c r="G49" s="113">
        <f>WORKDAY.INTL(H43,3,"0000100",$AB$5:$AB$11)</f>
        <v>46239</v>
      </c>
      <c r="H49" s="114">
        <f>WORKDAY.INTL(G49,4,"0000100",$AB$5:$AB$11)</f>
        <v>46244</v>
      </c>
      <c r="I49" s="114"/>
      <c r="J49" s="114"/>
      <c r="K49" s="115"/>
      <c r="L49" s="115" t="str">
        <f ca="1">IF(OR(K49=100%,J49&lt;&gt;""),"Completed",IF(AND(OR(K49="",K49=0),E49&gt;TODAY()),"Not Started",IF(AND(OR(K49="",K49=0),E49&lt;=TODAY()),"Delayed",IF(AND(K49&gt;0,K49&lt;100%,F49&lt;TODAY()),"Delayed",IF(AND(K49&gt;0,K49&lt;100%),"In Progress","")))))</f>
        <v>Not Started</v>
      </c>
      <c r="M49" s="36"/>
      <c r="N49" s="40"/>
      <c r="O49" s="40"/>
      <c r="P49" s="40"/>
      <c r="Q49" s="40"/>
      <c r="R49" s="40"/>
      <c r="S49" s="40"/>
      <c r="T49" s="41"/>
      <c r="U49" s="42"/>
      <c r="X49" s="28" t="s">
        <v>63</v>
      </c>
      <c r="Y49" s="6" t="s">
        <v>75</v>
      </c>
      <c r="Z49" s="6"/>
    </row>
    <row r="50" spans="2:29" ht="45" customHeight="1" x14ac:dyDescent="0.15">
      <c r="B50" s="378"/>
      <c r="C50" s="118" t="s">
        <v>107</v>
      </c>
      <c r="D50" s="117">
        <f>NETWORKDAYS.INTL(E50,F50,"0000110",$AB$5:$AB$12)</f>
        <v>4</v>
      </c>
      <c r="E50" s="113">
        <f>WORKDAY.INTL(F44,1,"0000110",$AB$5:$AB$11)</f>
        <v>46251</v>
      </c>
      <c r="F50" s="113">
        <f>WORKDAY.INTL(E50,3,"0000110",$AB$5:$AB$11)</f>
        <v>46254</v>
      </c>
      <c r="G50" s="113">
        <f>WORKDAY.INTL(H44,1,"0000110",$AB$5:$AB$11)</f>
        <v>46251</v>
      </c>
      <c r="H50" s="113">
        <f>WORKDAY.INTL(G50,3,"0000110",$AB$5:$AB$11)</f>
        <v>46254</v>
      </c>
      <c r="I50" s="113"/>
      <c r="J50" s="113"/>
      <c r="K50" s="119"/>
      <c r="L50" s="119" t="str">
        <f ca="1">IF(OR(K50=100%,J50&lt;&gt;""),"Completed",IF(AND(OR(K50="",K50=0),E50&gt;TODAY()),"Not Started",IF(AND(OR(K50="",K50=0),E50&lt;=TODAY()),"Delayed",IF(AND(K50&gt;0,K50&lt;100%,F50&lt;TODAY()),"Delayed",IF(AND(K50&gt;0,K50&lt;100%),"In Progress","")))))</f>
        <v>Not Started</v>
      </c>
      <c r="M50" s="36"/>
      <c r="N50" s="43"/>
      <c r="O50" s="43"/>
      <c r="P50" s="43"/>
      <c r="Q50" s="43"/>
      <c r="R50" s="43"/>
      <c r="S50" s="43"/>
      <c r="T50" s="44"/>
      <c r="U50" s="42" t="s">
        <v>108</v>
      </c>
      <c r="X50" s="28" t="s">
        <v>64</v>
      </c>
      <c r="Y50" s="6" t="s">
        <v>75</v>
      </c>
      <c r="Z50" s="6"/>
    </row>
    <row r="51" spans="2:29" ht="45" customHeight="1" x14ac:dyDescent="0.15">
      <c r="B51" s="378"/>
      <c r="C51" s="118" t="s">
        <v>110</v>
      </c>
      <c r="D51" s="117">
        <f>NETWORKDAYS.INTL(E51,F51,"0000110",$AB$5:$AB$12)</f>
        <v>2</v>
      </c>
      <c r="E51" s="113">
        <f>WORKDAY.INTL(F50,1,"0000110",$AB$5:$AB$11)</f>
        <v>46257</v>
      </c>
      <c r="F51" s="113">
        <f>WORKDAY.INTL(E51,1,"0000110",$AB$5:$AB$11)</f>
        <v>46258</v>
      </c>
      <c r="G51" s="113">
        <f>WORKDAY.INTL(H50,1,"0000110",$AB$5:$AB$11)</f>
        <v>46257</v>
      </c>
      <c r="H51" s="113">
        <f>WORKDAY.INTL(G51,1,"0000110",$AB$5:$AB$11)</f>
        <v>46258</v>
      </c>
      <c r="I51" s="113"/>
      <c r="J51" s="113"/>
      <c r="K51" s="119"/>
      <c r="L51" s="119" t="str">
        <f ca="1">IF(OR(K51=100%,J51&lt;&gt;""),"Completed",IF(AND(OR(K51="",K51=0),E51&gt;TODAY()),"Not Started",IF(AND(OR(K51="",K51=0),E51&lt;=TODAY()),"Delayed",IF(AND(K51&gt;0,K51&lt;100%,F51&lt;TODAY()),"Delayed",IF(AND(K51&gt;0,K51&lt;100%),"In Progress","")))))</f>
        <v>Not Started</v>
      </c>
      <c r="M51" s="36"/>
      <c r="N51" s="43"/>
      <c r="O51" s="43"/>
      <c r="P51" s="43"/>
      <c r="Q51" s="43"/>
      <c r="R51" s="43"/>
      <c r="S51" s="43"/>
      <c r="T51" s="44"/>
      <c r="U51" s="42" t="s">
        <v>111</v>
      </c>
      <c r="X51" s="28" t="s">
        <v>65</v>
      </c>
      <c r="Y51" s="6" t="s">
        <v>75</v>
      </c>
      <c r="Z51" s="6"/>
    </row>
    <row r="52" spans="2:29" s="62" customFormat="1" ht="45" customHeight="1" thickBot="1" x14ac:dyDescent="0.3">
      <c r="B52" s="379"/>
      <c r="C52" s="118" t="s">
        <v>158</v>
      </c>
      <c r="D52" s="117">
        <f>NETWORKDAYS.INTL(E52,F52,"0000110",$AB$5:$AB$12)</f>
        <v>1</v>
      </c>
      <c r="E52" s="113">
        <f>WORKDAY.INTL(F51,0,"0000110",$AB$5:$AB$11)</f>
        <v>46258</v>
      </c>
      <c r="F52" s="113">
        <f>WORKDAY.INTL(E52,0,"0000110",$AB$5:$AB$11)</f>
        <v>46258</v>
      </c>
      <c r="G52" s="113">
        <f>WORKDAY.INTL(H51,0,"0000110",$AB$5:$AB$11)</f>
        <v>46258</v>
      </c>
      <c r="H52" s="113">
        <f>WORKDAY.INTL(G52,0,"0000110",$AB$5:$AB$11)</f>
        <v>46258</v>
      </c>
      <c r="I52" s="113"/>
      <c r="J52" s="113"/>
      <c r="K52" s="119"/>
      <c r="L52" s="119" t="str">
        <f ca="1">IF(OR(K52=100%,J52&lt;&gt;""),"Completed",IF(AND(OR(K52="",K52=0),E52&gt;TODAY()),"Not Started",IF(AND(OR(K52="",K52=0),E52&lt;=TODAY()),"Delayed",IF(AND(K52&gt;0,K52&lt;100%,F52&lt;TODAY()),"Delayed",IF(AND(K52&gt;0,K52&lt;100%),"In Progress","")))))</f>
        <v>Not Started</v>
      </c>
      <c r="M52" s="73"/>
      <c r="N52" s="69"/>
      <c r="O52" s="69"/>
      <c r="P52" s="69"/>
      <c r="Q52" s="69"/>
      <c r="R52" s="69"/>
      <c r="S52" s="69"/>
      <c r="T52" s="70"/>
      <c r="U52" s="71"/>
      <c r="X52" s="66" t="s">
        <v>66</v>
      </c>
      <c r="Y52" s="67" t="s">
        <v>75</v>
      </c>
      <c r="Z52" s="67"/>
    </row>
    <row r="53" spans="2:29" s="1" customFormat="1" ht="4.5" customHeight="1" thickBot="1" x14ac:dyDescent="0.2">
      <c r="B53" s="23"/>
      <c r="C53" s="23"/>
      <c r="D53" s="24"/>
      <c r="E53" s="23"/>
      <c r="F53" s="23"/>
      <c r="G53" s="23"/>
      <c r="H53" s="23"/>
      <c r="I53" s="23"/>
      <c r="J53" s="23"/>
      <c r="K53" s="25"/>
      <c r="L53" s="25"/>
      <c r="M53" s="23"/>
      <c r="N53" s="23"/>
      <c r="O53" s="23"/>
      <c r="P53" s="23"/>
      <c r="Q53" s="23"/>
      <c r="R53" s="23"/>
      <c r="S53" s="23"/>
      <c r="T53" s="23"/>
      <c r="U53" s="26"/>
      <c r="X53" s="27"/>
      <c r="Y53" s="27"/>
    </row>
    <row r="54" spans="2:29" ht="45" customHeight="1" x14ac:dyDescent="0.15">
      <c r="B54" s="380" t="s">
        <v>166</v>
      </c>
      <c r="C54" s="106" t="s">
        <v>157</v>
      </c>
      <c r="D54" s="107">
        <f>NETWORKDAYS.INTL(E54,F54,"0000100",$AB$5:$AB$12)</f>
        <v>7</v>
      </c>
      <c r="E54" s="108">
        <f>WORKDAY.INTL(F48,1,"0000100",$AB$5:$AB$11)</f>
        <v>46239</v>
      </c>
      <c r="F54" s="108">
        <f>WORKDAY.INTL(E54,6,"0000100",$AB$5:$AB$11)</f>
        <v>46246</v>
      </c>
      <c r="G54" s="108">
        <f>WORKDAY.INTL(H48,1,"0000100",$AB$5:$AB$11)</f>
        <v>46239</v>
      </c>
      <c r="H54" s="108">
        <f>WORKDAY.INTL(G54,6,"0000100",$AB$5:$AB$11)</f>
        <v>46246</v>
      </c>
      <c r="I54" s="108"/>
      <c r="J54" s="108"/>
      <c r="K54" s="109"/>
      <c r="L54" s="109" t="str">
        <f ca="1">IF(OR(K54=100%,J54&lt;&gt;""),"Completed",IF(AND(OR(K54="",K54=0),E54&gt;TODAY()),"Not Started",IF(AND(OR(K54="",K54=0),E54&lt;=TODAY()),"Delayed",IF(AND(K54&gt;0,K54&lt;100%,F54&lt;TODAY()),"Delayed",IF(AND(K54&gt;0,K54&lt;100%),"In Progress","")))))</f>
        <v>Not Started</v>
      </c>
      <c r="M54" s="29"/>
      <c r="N54" s="30"/>
      <c r="O54" s="30"/>
      <c r="P54" s="30"/>
      <c r="Q54" s="30"/>
      <c r="R54" s="30"/>
      <c r="S54" s="30"/>
      <c r="T54" s="31"/>
      <c r="U54" s="32"/>
      <c r="X54" s="28" t="s">
        <v>62</v>
      </c>
      <c r="Y54" s="6" t="s">
        <v>76</v>
      </c>
      <c r="Z54" s="6"/>
    </row>
    <row r="55" spans="2:29" ht="45" customHeight="1" x14ac:dyDescent="0.15">
      <c r="B55" s="376"/>
      <c r="C55" s="106" t="s">
        <v>104</v>
      </c>
      <c r="D55" s="107">
        <f>NETWORKDAYS.INTL(E55,F55,"0000100",$AB$5:$AB$12)</f>
        <v>4</v>
      </c>
      <c r="E55" s="108">
        <f>WORKDAY.INTL(F49,3,"0000100",$AB$5:$AB$11)</f>
        <v>46247</v>
      </c>
      <c r="F55" s="108">
        <f>WORKDAY.INTL(E55,3,"0000100",$AB$5:$AB$11)</f>
        <v>46251</v>
      </c>
      <c r="G55" s="108">
        <f>WORKDAY.INTL(H49,3,"0000100",$AB$5:$AB$11)</f>
        <v>46247</v>
      </c>
      <c r="H55" s="108">
        <f>WORKDAY.INTL(G55,3,"0000100",$AB$5:$AB$11)</f>
        <v>46251</v>
      </c>
      <c r="I55" s="108"/>
      <c r="J55" s="108"/>
      <c r="K55" s="109"/>
      <c r="L55" s="109" t="str">
        <f ca="1">IF(OR(K55=100%,J55&lt;&gt;""),"Completed",IF(AND(OR(K55="",K55=0),E55&gt;TODAY()),"Not Started",IF(AND(OR(K55="",K55=0),E55&lt;=TODAY()),"Delayed",IF(AND(K55&gt;0,K55&lt;100%,F55&lt;TODAY()),"Delayed",IF(AND(K55&gt;0,K55&lt;100%),"In Progress","")))))</f>
        <v>Not Started</v>
      </c>
      <c r="M55" s="29"/>
      <c r="N55" s="30"/>
      <c r="O55" s="30"/>
      <c r="P55" s="30"/>
      <c r="Q55" s="30"/>
      <c r="R55" s="30"/>
      <c r="S55" s="30"/>
      <c r="T55" s="31"/>
      <c r="U55" s="32"/>
      <c r="X55" s="28" t="s">
        <v>63</v>
      </c>
      <c r="Y55" s="6" t="s">
        <v>76</v>
      </c>
      <c r="Z55" s="6"/>
    </row>
    <row r="56" spans="2:29" ht="45" customHeight="1" x14ac:dyDescent="0.15">
      <c r="B56" s="376"/>
      <c r="C56" s="106" t="s">
        <v>107</v>
      </c>
      <c r="D56" s="107">
        <f>NETWORKDAYS.INTL(E56,F56,"0000110",$AB$5:$AB$12)</f>
        <v>4</v>
      </c>
      <c r="E56" s="108">
        <f>WORKDAY.INTL(F50,1,"0000110")</f>
        <v>46257</v>
      </c>
      <c r="F56" s="108">
        <f>WORKDAY.INTL(E56,3,"0000110")</f>
        <v>46260</v>
      </c>
      <c r="G56" s="108">
        <f>WORKDAY.INTL(H50,1,"0000110")</f>
        <v>46257</v>
      </c>
      <c r="H56" s="108">
        <f>WORKDAY.INTL(G56,3,"0000110")</f>
        <v>46260</v>
      </c>
      <c r="I56" s="108"/>
      <c r="J56" s="108"/>
      <c r="K56" s="109"/>
      <c r="L56" s="109" t="str">
        <f ca="1">IF(OR(K56=100%,J56&lt;&gt;""),"Completed",IF(AND(OR(K56="",K56=0),E56&gt;TODAY()),"Not Started",IF(AND(OR(K56="",K56=0),E56&lt;=TODAY()),"Delayed",IF(AND(K56&gt;0,K56&lt;100%,F56&lt;TODAY()),"Delayed",IF(AND(K56&gt;0,K56&lt;100%),"In Progress","")))))</f>
        <v>Not Started</v>
      </c>
      <c r="M56" s="29"/>
      <c r="N56" s="30"/>
      <c r="O56" s="30"/>
      <c r="P56" s="30"/>
      <c r="Q56" s="30"/>
      <c r="R56" s="30"/>
      <c r="S56" s="30"/>
      <c r="T56" s="31"/>
      <c r="U56" s="32" t="s">
        <v>108</v>
      </c>
      <c r="X56" s="28" t="s">
        <v>64</v>
      </c>
      <c r="Y56" s="6" t="s">
        <v>76</v>
      </c>
      <c r="Z56" s="6"/>
    </row>
    <row r="57" spans="2:29" ht="45" customHeight="1" x14ac:dyDescent="0.15">
      <c r="B57" s="376"/>
      <c r="C57" s="110" t="s">
        <v>110</v>
      </c>
      <c r="D57" s="107">
        <f>NETWORKDAYS.INTL(E57,F57,"0000110",$AB$5:$AB$12)</f>
        <v>2</v>
      </c>
      <c r="E57" s="108">
        <f>WORKDAY.INTL(F56,1,"0000110")</f>
        <v>46261</v>
      </c>
      <c r="F57" s="108">
        <f>WORKDAY.INTL(E57,1,"0000110")</f>
        <v>46264</v>
      </c>
      <c r="G57" s="108">
        <f>WORKDAY.INTL(H56,1,"0000110")</f>
        <v>46261</v>
      </c>
      <c r="H57" s="108">
        <f>WORKDAY.INTL(G57,1,"0000110")</f>
        <v>46264</v>
      </c>
      <c r="I57" s="108"/>
      <c r="J57" s="108"/>
      <c r="K57" s="109"/>
      <c r="L57" s="109" t="str">
        <f ca="1">IF(OR(K57=100%,J57&lt;&gt;""),"Completed",IF(AND(OR(K57="",K57=0),E57&gt;TODAY()),"Not Started",IF(AND(OR(K57="",K57=0),E57&lt;=TODAY()),"Delayed",IF(AND(K57&gt;0,K57&lt;100%,F57&lt;TODAY()),"Delayed",IF(AND(K57&gt;0,K57&lt;100%),"In Progress","")))))</f>
        <v>Not Started</v>
      </c>
      <c r="M57" s="29"/>
      <c r="N57" s="34"/>
      <c r="O57" s="34"/>
      <c r="P57" s="34"/>
      <c r="Q57" s="34"/>
      <c r="R57" s="34"/>
      <c r="S57" s="34"/>
      <c r="T57" s="35"/>
      <c r="U57" s="32" t="s">
        <v>111</v>
      </c>
      <c r="X57" s="28" t="s">
        <v>65</v>
      </c>
      <c r="Y57" s="6" t="s">
        <v>76</v>
      </c>
      <c r="Z57" s="6"/>
    </row>
    <row r="58" spans="2:29" s="62" customFormat="1" ht="45" customHeight="1" thickBot="1" x14ac:dyDescent="0.3">
      <c r="B58" s="381"/>
      <c r="C58" s="110" t="s">
        <v>158</v>
      </c>
      <c r="D58" s="107">
        <f>NETWORKDAYS.INTL(E58,F58,"0000110",$AB$5:$AB$12)</f>
        <v>1</v>
      </c>
      <c r="E58" s="108">
        <f>WORKDAY.INTL(F57,0,"0000110")</f>
        <v>46264</v>
      </c>
      <c r="F58" s="108">
        <f>WORKDAY.INTL(E58,0,"0000110")</f>
        <v>46264</v>
      </c>
      <c r="G58" s="108">
        <f>WORKDAY.INTL(H57,0,"0000110")</f>
        <v>46264</v>
      </c>
      <c r="H58" s="108">
        <f>WORKDAY.INTL(G58,0,"0000110")</f>
        <v>46264</v>
      </c>
      <c r="I58" s="108"/>
      <c r="J58" s="108"/>
      <c r="K58" s="109"/>
      <c r="L58" s="109" t="str">
        <f ca="1">IF(OR(K58=100%,J58&lt;&gt;""),"Completed",IF(AND(OR(K58="",K58=0),E58&gt;TODAY()),"Not Started",IF(AND(OR(K58="",K58=0),E58&lt;=TODAY()),"Delayed",IF(AND(K58&gt;0,K58&lt;100%,F58&lt;TODAY()),"Delayed",IF(AND(K58&gt;0,K58&lt;100%),"In Progress","")))))</f>
        <v>Not Started</v>
      </c>
      <c r="M58" s="29"/>
      <c r="N58" s="34"/>
      <c r="O58" s="34"/>
      <c r="P58" s="34"/>
      <c r="Q58" s="34"/>
      <c r="R58" s="34"/>
      <c r="S58" s="34"/>
      <c r="T58" s="35"/>
      <c r="U58" s="32"/>
      <c r="X58" s="66" t="s">
        <v>66</v>
      </c>
      <c r="Y58" s="67" t="s">
        <v>76</v>
      </c>
      <c r="Z58" s="67"/>
    </row>
    <row r="59" spans="2:29" s="1" customFormat="1" ht="4.5" customHeight="1" thickBot="1" x14ac:dyDescent="0.2">
      <c r="B59" s="23"/>
      <c r="C59" s="23"/>
      <c r="D59" s="24"/>
      <c r="E59" s="23"/>
      <c r="F59" s="23"/>
      <c r="G59" s="23"/>
      <c r="H59" s="23"/>
      <c r="I59" s="23"/>
      <c r="J59" s="23"/>
      <c r="K59" s="25"/>
      <c r="L59" s="25"/>
      <c r="M59" s="23"/>
      <c r="N59" s="23"/>
      <c r="O59" s="23"/>
      <c r="P59" s="23"/>
      <c r="Q59" s="23"/>
      <c r="R59" s="23"/>
      <c r="S59" s="23"/>
      <c r="T59" s="23"/>
      <c r="U59" s="26"/>
      <c r="V59" s="75"/>
      <c r="AB59"/>
    </row>
    <row r="60" spans="2:29" ht="45" customHeight="1" x14ac:dyDescent="0.15">
      <c r="B60" s="377" t="s">
        <v>167</v>
      </c>
      <c r="C60" s="111" t="s">
        <v>157</v>
      </c>
      <c r="D60" s="112">
        <f>NETWORKDAYS.INTL(E60,F60,"0000100",$AB$5:$AB$12)</f>
        <v>7</v>
      </c>
      <c r="E60" s="113">
        <f>WORKDAY.INTL(F54,1,"0000100",$AB$5:$AB$11)</f>
        <v>46247</v>
      </c>
      <c r="F60" s="114">
        <f>WORKDAY.INTL(E60,6,"0000100",$AB$5:$AB$11)</f>
        <v>46254</v>
      </c>
      <c r="G60" s="113">
        <f>WORKDAY.INTL(H54,1,"0000100",$AB$5:$AB$11)</f>
        <v>46247</v>
      </c>
      <c r="H60" s="114">
        <f>WORKDAY.INTL(G60,6,"0000100",$AB$5:$AB$11)</f>
        <v>46254</v>
      </c>
      <c r="I60" s="114"/>
      <c r="J60" s="114"/>
      <c r="K60" s="115"/>
      <c r="L60" s="115" t="str">
        <f ca="1">IF(OR(K60=100%,J60&lt;&gt;""),"Completed",IF(AND(OR(K60="",K60=0),E60&gt;TODAY()),"Not Started",IF(AND(OR(K60="",K60=0),E60&lt;=TODAY()),"Delayed",IF(AND(K60&gt;0,K60&lt;100%,F60&lt;TODAY()),"Delayed",IF(AND(K60&gt;0,K60&lt;100%),"In Progress","")))))</f>
        <v>Not Started</v>
      </c>
      <c r="M60" s="36"/>
      <c r="N60" s="37"/>
      <c r="O60" s="37"/>
      <c r="P60" s="37"/>
      <c r="Q60" s="37"/>
      <c r="R60" s="37"/>
      <c r="S60" s="37"/>
      <c r="T60" s="38"/>
      <c r="U60" s="39"/>
      <c r="X60" s="28" t="s">
        <v>62</v>
      </c>
      <c r="Y60" s="6" t="s">
        <v>77</v>
      </c>
      <c r="Z60" s="6"/>
      <c r="AC60" s="33"/>
    </row>
    <row r="61" spans="2:29" ht="45" customHeight="1" x14ac:dyDescent="0.15">
      <c r="B61" s="378"/>
      <c r="C61" s="116" t="s">
        <v>104</v>
      </c>
      <c r="D61" s="117">
        <f>NETWORKDAYS.INTL(E61,F61,"0000100",$AB$5:$AB$12)</f>
        <v>4</v>
      </c>
      <c r="E61" s="113">
        <f>WORKDAY.INTL(F55,4,"0000100",$AB$5:$AB$11)</f>
        <v>46256</v>
      </c>
      <c r="F61" s="114">
        <f>WORKDAY.INTL(E61,3,"0000100",$AB$5:$AB$11)</f>
        <v>46259</v>
      </c>
      <c r="G61" s="113">
        <f>WORKDAY.INTL(H55,4,"0000100",$AB$5:$AB$11)</f>
        <v>46256</v>
      </c>
      <c r="H61" s="114">
        <f>WORKDAY.INTL(G61,3,"0000100",$AB$5:$AB$11)</f>
        <v>46259</v>
      </c>
      <c r="I61" s="114"/>
      <c r="J61" s="114"/>
      <c r="K61" s="115"/>
      <c r="L61" s="115" t="str">
        <f ca="1">IF(OR(K61=100%,J61&lt;&gt;""),"Completed",IF(AND(OR(K61="",K61=0),E61&gt;TODAY()),"Not Started",IF(AND(OR(K61="",K61=0),E61&lt;=TODAY()),"Delayed",IF(AND(K61&gt;0,K61&lt;100%,F61&lt;TODAY()),"Delayed",IF(AND(K61&gt;0,K61&lt;100%),"In Progress","")))))</f>
        <v>Not Started</v>
      </c>
      <c r="M61" s="36"/>
      <c r="N61" s="40"/>
      <c r="O61" s="40"/>
      <c r="P61" s="40"/>
      <c r="Q61" s="40"/>
      <c r="R61" s="40"/>
      <c r="S61" s="40"/>
      <c r="T61" s="41"/>
      <c r="U61" s="42"/>
      <c r="X61" s="28" t="s">
        <v>63</v>
      </c>
      <c r="Y61" s="6" t="s">
        <v>77</v>
      </c>
      <c r="Z61" s="6"/>
    </row>
    <row r="62" spans="2:29" ht="45" customHeight="1" x14ac:dyDescent="0.15">
      <c r="B62" s="378"/>
      <c r="C62" s="118" t="s">
        <v>107</v>
      </c>
      <c r="D62" s="117">
        <f>NETWORKDAYS.INTL(E62,F62,"0000110",$AB$5:$AB$12)</f>
        <v>4</v>
      </c>
      <c r="E62" s="113">
        <f>WORKDAY.INTL(F56,1,"0000110")</f>
        <v>46261</v>
      </c>
      <c r="F62" s="113">
        <f>WORKDAY.INTL(E62,3,"0000110")</f>
        <v>46266</v>
      </c>
      <c r="G62" s="113">
        <f>WORKDAY.INTL(H56,1,"0000110")</f>
        <v>46261</v>
      </c>
      <c r="H62" s="113">
        <f>WORKDAY.INTL(G62,3,"0000110")</f>
        <v>46266</v>
      </c>
      <c r="I62" s="113"/>
      <c r="J62" s="113"/>
      <c r="K62" s="119"/>
      <c r="L62" s="119" t="str">
        <f ca="1">IF(OR(K62=100%,J62&lt;&gt;""),"Completed",IF(AND(OR(K62="",K62=0),E62&gt;TODAY()),"Not Started",IF(AND(OR(K62="",K62=0),E62&lt;=TODAY()),"Delayed",IF(AND(K62&gt;0,K62&lt;100%,F62&lt;TODAY()),"Delayed",IF(AND(K62&gt;0,K62&lt;100%),"In Progress","")))))</f>
        <v>Not Started</v>
      </c>
      <c r="M62" s="36"/>
      <c r="N62" s="43"/>
      <c r="O62" s="43"/>
      <c r="P62" s="43"/>
      <c r="Q62" s="43"/>
      <c r="R62" s="43"/>
      <c r="S62" s="43"/>
      <c r="T62" s="44"/>
      <c r="U62" s="42" t="s">
        <v>108</v>
      </c>
      <c r="X62" s="28" t="s">
        <v>64</v>
      </c>
      <c r="Y62" s="6" t="s">
        <v>77</v>
      </c>
      <c r="Z62" s="6"/>
    </row>
    <row r="63" spans="2:29" ht="45" customHeight="1" x14ac:dyDescent="0.15">
      <c r="B63" s="378"/>
      <c r="C63" s="118" t="s">
        <v>110</v>
      </c>
      <c r="D63" s="117">
        <f>NETWORKDAYS.INTL(E63,F63,"0000110",$AB$5:$AB$12)</f>
        <v>2</v>
      </c>
      <c r="E63" s="113">
        <f>WORKDAY.INTL(F62,1,"0000110")</f>
        <v>46267</v>
      </c>
      <c r="F63" s="113">
        <f>WORKDAY.INTL(E63,1,"0000110")</f>
        <v>46268</v>
      </c>
      <c r="G63" s="113">
        <f>WORKDAY.INTL(H62,1,"0000110")</f>
        <v>46267</v>
      </c>
      <c r="H63" s="113">
        <f>WORKDAY.INTL(G63,1,"0000110")</f>
        <v>46268</v>
      </c>
      <c r="I63" s="113"/>
      <c r="J63" s="113"/>
      <c r="K63" s="119"/>
      <c r="L63" s="119" t="str">
        <f ca="1">IF(OR(K63=100%,J63&lt;&gt;""),"Completed",IF(AND(OR(K63="",K63=0),E63&gt;TODAY()),"Not Started",IF(AND(OR(K63="",K63=0),E63&lt;=TODAY()),"Delayed",IF(AND(K63&gt;0,K63&lt;100%,F63&lt;TODAY()),"Delayed",IF(AND(K63&gt;0,K63&lt;100%),"In Progress","")))))</f>
        <v>Not Started</v>
      </c>
      <c r="M63" s="36"/>
      <c r="N63" s="43"/>
      <c r="O63" s="43"/>
      <c r="P63" s="43"/>
      <c r="Q63" s="43"/>
      <c r="R63" s="43"/>
      <c r="S63" s="43"/>
      <c r="T63" s="44"/>
      <c r="U63" s="42" t="s">
        <v>111</v>
      </c>
      <c r="X63" s="28" t="s">
        <v>65</v>
      </c>
      <c r="Y63" s="6" t="s">
        <v>77</v>
      </c>
      <c r="Z63" s="6"/>
    </row>
    <row r="64" spans="2:29" s="62" customFormat="1" ht="45" customHeight="1" thickBot="1" x14ac:dyDescent="0.3">
      <c r="B64" s="379"/>
      <c r="C64" s="118" t="s">
        <v>158</v>
      </c>
      <c r="D64" s="117">
        <f>NETWORKDAYS.INTL(E64,F64,"0000110",$AB$5:$AB$12)</f>
        <v>1</v>
      </c>
      <c r="E64" s="113">
        <f>WORKDAY.INTL(F63,0,"0000110")</f>
        <v>46268</v>
      </c>
      <c r="F64" s="113">
        <f>WORKDAY.INTL(E64,0,"0000110")</f>
        <v>46268</v>
      </c>
      <c r="G64" s="113">
        <f>WORKDAY.INTL(H63,0,"0000110")</f>
        <v>46268</v>
      </c>
      <c r="H64" s="113">
        <f>WORKDAY.INTL(G64,0,"0000110")</f>
        <v>46268</v>
      </c>
      <c r="I64" s="113"/>
      <c r="J64" s="113"/>
      <c r="K64" s="119"/>
      <c r="L64" s="119" t="str">
        <f ca="1">IF(OR(K64=100%,J64&lt;&gt;""),"Completed",IF(AND(OR(K64="",K64=0),E64&gt;TODAY()),"Not Started",IF(AND(OR(K64="",K64=0),E64&lt;=TODAY()),"Delayed",IF(AND(K64&gt;0,K64&lt;100%,F64&lt;TODAY()),"Delayed",IF(AND(K64&gt;0,K64&lt;100%),"In Progress","")))))</f>
        <v>Not Started</v>
      </c>
      <c r="M64" s="73"/>
      <c r="N64" s="69"/>
      <c r="O64" s="69"/>
      <c r="P64" s="69"/>
      <c r="Q64" s="69"/>
      <c r="R64" s="69"/>
      <c r="S64" s="69"/>
      <c r="T64" s="70"/>
      <c r="U64" s="71"/>
      <c r="X64" s="66" t="s">
        <v>66</v>
      </c>
      <c r="Y64" s="67" t="s">
        <v>77</v>
      </c>
      <c r="Z64" s="67"/>
    </row>
    <row r="65" spans="2:28" s="1" customFormat="1" ht="4.5" customHeight="1" thickBot="1" x14ac:dyDescent="0.2">
      <c r="B65" s="23"/>
      <c r="C65" s="23"/>
      <c r="D65" s="24"/>
      <c r="E65" s="23"/>
      <c r="F65" s="23"/>
      <c r="G65" s="23"/>
      <c r="H65" s="23"/>
      <c r="I65" s="23"/>
      <c r="J65" s="23"/>
      <c r="K65" s="25"/>
      <c r="L65" s="25"/>
      <c r="M65" s="23"/>
      <c r="N65" s="23"/>
      <c r="O65" s="23"/>
      <c r="P65" s="23"/>
      <c r="Q65" s="23"/>
      <c r="R65" s="23"/>
      <c r="S65" s="23"/>
      <c r="T65" s="23"/>
      <c r="U65" s="26"/>
      <c r="V65" s="75"/>
      <c r="AB65"/>
    </row>
    <row r="66" spans="2:28" ht="45" customHeight="1" x14ac:dyDescent="0.15">
      <c r="B66" s="380" t="s">
        <v>121</v>
      </c>
      <c r="C66" s="106" t="s">
        <v>122</v>
      </c>
      <c r="D66" s="107">
        <f>NETWORKDAYS.INTL(E66,F66,"0000100",$AB$5:$AB$12)</f>
        <v>18</v>
      </c>
      <c r="E66" s="108">
        <f>WORKDAY.INTL(F6,1,"0000100",$AB$5:$AB$11)</f>
        <v>46202</v>
      </c>
      <c r="F66" s="108">
        <f>WORKDAY.INTL(E66,17,"0000100",$AB$5:$AB$11)</f>
        <v>46222</v>
      </c>
      <c r="G66" s="108">
        <f>WORKDAY.INTL(H6,1,"0000100",$AB$5:$AB$11)</f>
        <v>46202</v>
      </c>
      <c r="H66" s="108">
        <f>WORKDAY.INTL(G66,17,"0000100",$AB$5:$AB$11)</f>
        <v>46222</v>
      </c>
      <c r="I66" s="108"/>
      <c r="J66" s="108"/>
      <c r="K66" s="109"/>
      <c r="L66" s="109" t="str">
        <f ca="1">IF(OR(K66=100%,J66&lt;&gt;""),"Completed",IF(AND(OR(K66="",K66=0),E66&gt;TODAY()),"Not Started",IF(AND(OR(K66="",K66=0),E66&lt;=TODAY()),"Delayed",IF(AND(K66&gt;0,K66&lt;100%,F66&lt;TODAY()),"Delayed",IF(AND(K66&gt;0,K66&lt;100%),"In Progress","")))))</f>
        <v>Not Started</v>
      </c>
      <c r="M66" s="29"/>
      <c r="N66" s="31"/>
      <c r="O66" s="45"/>
      <c r="P66" s="45"/>
      <c r="Q66" s="45"/>
      <c r="R66" s="45"/>
      <c r="S66" s="45"/>
      <c r="T66" s="45"/>
      <c r="U66" s="32" t="s">
        <v>30</v>
      </c>
      <c r="V66" s="2"/>
      <c r="X66" s="28"/>
      <c r="Z66" s="6"/>
    </row>
    <row r="67" spans="2:28" ht="43.5" customHeight="1" x14ac:dyDescent="0.15">
      <c r="B67" s="376"/>
      <c r="C67" s="106" t="s">
        <v>123</v>
      </c>
      <c r="D67" s="107">
        <f>NETWORKDAYS.INTL(E67,F67,"0000100",$AB$5:$AB$12)</f>
        <v>18</v>
      </c>
      <c r="E67" s="108">
        <f>WORKDAY.INTL(F6,1,"0000100",$AB$5:$AB$11)</f>
        <v>46202</v>
      </c>
      <c r="F67" s="108">
        <f>WORKDAY.INTL(E67,17,"0000100",$AB$5:$AB$11)</f>
        <v>46222</v>
      </c>
      <c r="G67" s="108">
        <f>WORKDAY.INTL(H6,1,"0000100",$AB$5:$AB$11)</f>
        <v>46202</v>
      </c>
      <c r="H67" s="108">
        <f>WORKDAY.INTL(G67,17,"0000100",$AB$5:$AB$11)</f>
        <v>46222</v>
      </c>
      <c r="I67" s="108"/>
      <c r="J67" s="108"/>
      <c r="K67" s="109"/>
      <c r="L67" s="109" t="str">
        <f ca="1">IF(OR(K67=100%,J67&lt;&gt;""),"Completed",IF(AND(OR(K67="",K67=0),E67&gt;TODAY()),"Not Started",IF(AND(OR(K67="",K67=0),E67&lt;=TODAY()),"Delayed",IF(AND(K67&gt;0,K67&lt;100%,F67&lt;TODAY()),"Delayed",IF(AND(K67&gt;0,K67&lt;100%),"In Progress","")))))</f>
        <v>Not Started</v>
      </c>
      <c r="M67" s="29"/>
      <c r="N67" s="31"/>
      <c r="O67" s="45"/>
      <c r="P67" s="45"/>
      <c r="Q67" s="45"/>
      <c r="R67" s="45"/>
      <c r="S67" s="45"/>
      <c r="T67" s="45"/>
      <c r="U67" s="32" t="s">
        <v>30</v>
      </c>
      <c r="V67" s="2"/>
      <c r="X67" s="28"/>
      <c r="Z67" s="6"/>
    </row>
    <row r="68" spans="2:28" ht="36.75" thickBot="1" x14ac:dyDescent="0.2">
      <c r="B68" s="381"/>
      <c r="C68" s="106" t="s">
        <v>124</v>
      </c>
      <c r="D68" s="107">
        <f>NETWORKDAYS.INTL(E68,F68,"0000100",$AB$5:$AB$12)</f>
        <v>65</v>
      </c>
      <c r="E68" s="108">
        <f>WORKDAY.INTL(F6,1,"0000100",$AB$5:$AB$11)</f>
        <v>46202</v>
      </c>
      <c r="F68" s="108">
        <f>WORKDAY.INTL(E68,64,"0000100",$AB$5:$AB$11)</f>
        <v>46277</v>
      </c>
      <c r="G68" s="108">
        <f>WORKDAY.INTL(H6,1,"0000100",$AB$5:$AB$11)</f>
        <v>46202</v>
      </c>
      <c r="H68" s="108">
        <f>WORKDAY.INTL(G68,64,"0000100",$AB$5:$AB$11)</f>
        <v>46277</v>
      </c>
      <c r="I68" s="108"/>
      <c r="J68" s="108"/>
      <c r="K68" s="109"/>
      <c r="L68" s="109" t="str">
        <f ca="1">IF(OR(K68=100%,J68&lt;&gt;""),"Completed",IF(AND(OR(K68="",K68=0),E68&gt;TODAY()),"Not Started",IF(AND(OR(K68="",K68=0),E68&lt;=TODAY()),"Delayed",IF(AND(K68&gt;0,K68&lt;100%,F68&lt;TODAY()),"Delayed",IF(AND(K68&gt;0,K68&lt;100%),"In Progress","")))))</f>
        <v>Not Started</v>
      </c>
      <c r="M68" s="29"/>
      <c r="N68" s="30"/>
      <c r="O68" s="30"/>
      <c r="P68" s="30"/>
      <c r="Q68" s="30"/>
      <c r="R68" s="30"/>
      <c r="S68" s="30"/>
      <c r="T68" s="31"/>
      <c r="U68" s="32" t="s">
        <v>33</v>
      </c>
      <c r="V68" s="2"/>
      <c r="X68" s="28"/>
      <c r="Z68" s="6"/>
    </row>
    <row r="69" spans="2:28" s="1" customFormat="1" ht="4.5" customHeight="1" thickBot="1" x14ac:dyDescent="0.2">
      <c r="B69" s="23"/>
      <c r="C69" s="23"/>
      <c r="D69" s="24"/>
      <c r="E69" s="23"/>
      <c r="F69" s="23"/>
      <c r="G69" s="23"/>
      <c r="H69" s="23"/>
      <c r="I69" s="23"/>
      <c r="J69" s="23"/>
      <c r="K69" s="25"/>
      <c r="L69" s="25"/>
      <c r="M69" s="23"/>
      <c r="N69" s="23"/>
      <c r="O69" s="23"/>
      <c r="P69" s="23"/>
      <c r="Q69" s="23"/>
      <c r="R69" s="23"/>
      <c r="S69" s="23"/>
      <c r="T69" s="23"/>
      <c r="U69" s="26"/>
      <c r="X69" s="27"/>
      <c r="Y69" s="27"/>
    </row>
    <row r="70" spans="2:28" s="1" customFormat="1" ht="110.1" customHeight="1" x14ac:dyDescent="0.15">
      <c r="B70" s="385" t="s">
        <v>125</v>
      </c>
      <c r="C70" s="135" t="s">
        <v>126</v>
      </c>
      <c r="D70" s="136">
        <f>NETWORKDAYS.INTL(E70,F70,"0000100",$AB$5:$AB$12)</f>
        <v>26</v>
      </c>
      <c r="E70" s="137">
        <f>WORKDAY.INTL(F64,1,"0000100",$AB$5:$AB$11)</f>
        <v>46270</v>
      </c>
      <c r="F70" s="137">
        <f>WORKDAY.INTL(E70,25,"0000100",$AB$5:$AB$11)</f>
        <v>46300</v>
      </c>
      <c r="G70" s="137">
        <f>WORKDAY.INTL(H64,1,"0000100",$AB$5:$AB$11)</f>
        <v>46270</v>
      </c>
      <c r="H70" s="137">
        <f>WORKDAY.INTL(G70,25,"0000100",$AB$5:$AB$11)</f>
        <v>46300</v>
      </c>
      <c r="I70" s="137"/>
      <c r="J70" s="137"/>
      <c r="K70" s="138"/>
      <c r="L70" s="138" t="str">
        <f t="shared" ref="L70:L74" ca="1" si="1">IF(OR(K70=100%,J70&lt;&gt;""),"Completed",IF(AND(OR(K70="",K70=0),E70&gt;TODAY()),"Not Started",IF(AND(OR(K70="",K70=0),E70&lt;=TODAY()),"Delayed",IF(AND(K70&gt;0,K70&lt;100%,F70&lt;TODAY()),"Delayed",IF(AND(K70&gt;0,K70&lt;100%),"In Progress","")))))</f>
        <v>Not Started</v>
      </c>
      <c r="M70" s="139"/>
      <c r="N70" s="140"/>
      <c r="O70" s="140"/>
      <c r="P70" s="140"/>
      <c r="Q70" s="140"/>
      <c r="R70" s="140"/>
      <c r="S70" s="140"/>
      <c r="T70" s="141"/>
      <c r="U70" s="142" t="s">
        <v>127</v>
      </c>
      <c r="X70" s="27"/>
      <c r="Y70" s="27"/>
    </row>
    <row r="71" spans="2:28" s="1" customFormat="1" ht="34.5" customHeight="1" x14ac:dyDescent="0.15">
      <c r="B71" s="386"/>
      <c r="C71" s="131" t="s">
        <v>128</v>
      </c>
      <c r="D71" s="132">
        <f>NETWORKDAYS.INTL(E71,F71,"0000100",$AB$5:$AB$12)</f>
        <v>7</v>
      </c>
      <c r="E71" s="133">
        <v>46203</v>
      </c>
      <c r="F71" s="133">
        <f>WORKDAY.INTL(E71,6,"0000100",$AB$5:$AB$11)</f>
        <v>46210</v>
      </c>
      <c r="G71" s="133">
        <v>46203</v>
      </c>
      <c r="H71" s="133">
        <f>WORKDAY.INTL(G71,6,"0000100",$AB$5:$AB$11)</f>
        <v>46210</v>
      </c>
      <c r="I71" s="133"/>
      <c r="J71" s="133"/>
      <c r="K71" s="134"/>
      <c r="L71" s="134" t="str">
        <f t="shared" ca="1" si="1"/>
        <v>Not Started</v>
      </c>
      <c r="M71" s="128"/>
      <c r="N71" s="129"/>
      <c r="O71" s="129"/>
      <c r="P71" s="129"/>
      <c r="Q71" s="129"/>
      <c r="R71" s="129"/>
      <c r="S71" s="129"/>
      <c r="T71" s="130"/>
      <c r="U71" s="143"/>
      <c r="X71" s="27"/>
      <c r="Y71" s="27"/>
    </row>
    <row r="72" spans="2:28" s="1" customFormat="1" ht="124.5" customHeight="1" x14ac:dyDescent="0.15">
      <c r="B72" s="386"/>
      <c r="C72" s="131" t="s">
        <v>129</v>
      </c>
      <c r="D72" s="132">
        <f>NETWORKDAYS.INTL(E72,F72,"0000100",$AB$5:$AB$12)</f>
        <v>166</v>
      </c>
      <c r="E72" s="133">
        <v>46194</v>
      </c>
      <c r="F72" s="133">
        <f>WORKDAY.INTL(E72,165,"0000100",$AB$5:$AB$11)</f>
        <v>46387</v>
      </c>
      <c r="G72" s="133">
        <v>46194</v>
      </c>
      <c r="H72" s="133">
        <f>WORKDAY.INTL(G72,165,"0000100",$AB$5:$AB$11)</f>
        <v>46387</v>
      </c>
      <c r="I72" s="133"/>
      <c r="J72" s="133"/>
      <c r="K72" s="134"/>
      <c r="L72" s="134" t="str">
        <f t="shared" ca="1" si="1"/>
        <v>Delayed</v>
      </c>
      <c r="M72" s="128"/>
      <c r="N72" s="129"/>
      <c r="O72" s="129"/>
      <c r="P72" s="129"/>
      <c r="Q72" s="129"/>
      <c r="R72" s="129"/>
      <c r="S72" s="129"/>
      <c r="T72" s="130"/>
      <c r="U72" s="144" t="s">
        <v>130</v>
      </c>
      <c r="X72" s="27"/>
      <c r="Y72" s="27"/>
    </row>
    <row r="73" spans="2:28" s="1" customFormat="1" ht="124.5" customHeight="1" x14ac:dyDescent="0.15">
      <c r="B73" s="386"/>
      <c r="C73" s="131" t="s">
        <v>131</v>
      </c>
      <c r="D73" s="132">
        <f>NETWORKDAYS.INTL(E73,F73,"0000100",$AB$5:$AB$12)</f>
        <v>129</v>
      </c>
      <c r="E73" s="133">
        <f>WORKDAY.INTL(F72,1,"0000100",$AB$5:$AB$11)</f>
        <v>46389</v>
      </c>
      <c r="F73" s="133">
        <f>WORKDAY.INTL(E73,128,"0000100",$AB$5:$AB$11)</f>
        <v>46538</v>
      </c>
      <c r="G73" s="133">
        <f>WORKDAY.INTL(H72,1,"0000100",$AB$5:$AB$11)</f>
        <v>46389</v>
      </c>
      <c r="H73" s="133">
        <f>WORKDAY.INTL(G73,128,"0000100",$AB$5:$AB$11)</f>
        <v>46538</v>
      </c>
      <c r="I73" s="133"/>
      <c r="J73" s="133"/>
      <c r="K73" s="134"/>
      <c r="L73" s="134" t="str">
        <f t="shared" ca="1" si="1"/>
        <v>Not Started</v>
      </c>
      <c r="M73" s="128"/>
      <c r="N73" s="129"/>
      <c r="O73" s="129"/>
      <c r="P73" s="129"/>
      <c r="Q73" s="129"/>
      <c r="R73" s="129"/>
      <c r="S73" s="129"/>
      <c r="T73" s="130"/>
      <c r="U73" s="144" t="s">
        <v>130</v>
      </c>
      <c r="X73" s="27"/>
      <c r="Y73" s="27"/>
    </row>
    <row r="74" spans="2:28" s="1" customFormat="1" ht="34.5" customHeight="1" thickBot="1" x14ac:dyDescent="0.2">
      <c r="B74" s="387"/>
      <c r="C74" s="145" t="s">
        <v>132</v>
      </c>
      <c r="D74" s="146">
        <f>NETWORKDAYS.INTL(E74,F74,"0000100",$AB$5:$AB$12)</f>
        <v>18</v>
      </c>
      <c r="E74" s="147">
        <v>46357</v>
      </c>
      <c r="F74" s="147">
        <f>WORKDAY.INTL(E74,17,"0000100",$AB$5:$AB$11)</f>
        <v>46377</v>
      </c>
      <c r="G74" s="147">
        <v>46357</v>
      </c>
      <c r="H74" s="147">
        <f>WORKDAY.INTL(G74,17,"0000100",$AB$5:$AB$11)</f>
        <v>46377</v>
      </c>
      <c r="I74" s="147"/>
      <c r="J74" s="147"/>
      <c r="K74" s="148"/>
      <c r="L74" s="148" t="str">
        <f t="shared" ca="1" si="1"/>
        <v>Not Started</v>
      </c>
      <c r="M74" s="149"/>
      <c r="N74" s="150"/>
      <c r="O74" s="150"/>
      <c r="P74" s="150"/>
      <c r="Q74" s="150"/>
      <c r="R74" s="150"/>
      <c r="S74" s="150"/>
      <c r="T74" s="151"/>
      <c r="U74" s="152" t="s">
        <v>168</v>
      </c>
      <c r="X74" s="27"/>
      <c r="Y74" s="27"/>
    </row>
    <row r="75" spans="2:28" s="1" customFormat="1" ht="4.5" customHeight="1" thickBot="1" x14ac:dyDescent="0.2">
      <c r="B75" s="46"/>
      <c r="C75" s="46"/>
      <c r="D75" s="47"/>
      <c r="E75" s="46"/>
      <c r="F75" s="46"/>
      <c r="G75" s="46"/>
      <c r="H75" s="46"/>
      <c r="I75" s="46"/>
      <c r="J75" s="46"/>
      <c r="K75" s="48"/>
      <c r="L75" s="48"/>
      <c r="M75" s="46"/>
      <c r="N75" s="46"/>
      <c r="O75" s="46"/>
      <c r="P75" s="46"/>
      <c r="Q75" s="46"/>
      <c r="R75" s="46"/>
      <c r="S75" s="46"/>
      <c r="T75" s="46"/>
      <c r="U75" s="49"/>
      <c r="X75" s="27"/>
      <c r="Y75" s="27"/>
    </row>
    <row r="76" spans="2:28" s="1" customFormat="1" ht="85.5" customHeight="1" thickBot="1" x14ac:dyDescent="0.3">
      <c r="B76" s="182" t="s">
        <v>134</v>
      </c>
      <c r="C76" s="153" t="s">
        <v>169</v>
      </c>
      <c r="D76" s="154">
        <f>NETWORKDAYS.INTL(E76,F76,"0000110",$AB$5:$AB$12)</f>
        <v>3</v>
      </c>
      <c r="E76" s="155">
        <f>MAX(WORKDAY.INTL(F63,1,"0000110"),WORKDAY.INTL(F84,1,"0000110"),WORKDAY.INTL(F82,1,"0000110"))</f>
        <v>46278</v>
      </c>
      <c r="F76" s="155">
        <f>WORKDAY.INTL(E76,2,"0000110")</f>
        <v>46280</v>
      </c>
      <c r="G76" s="155">
        <f>MAX(WORKDAY.INTL(H63,1,"0000110"),WORKDAY.INTL(H84,1,"0000110"),WORKDAY.INTL(H82,1,"0000110"))</f>
        <v>46278</v>
      </c>
      <c r="H76" s="155">
        <f>WORKDAY.INTL(G76,2,"0000110")</f>
        <v>46280</v>
      </c>
      <c r="I76" s="155"/>
      <c r="J76" s="155"/>
      <c r="K76" s="156"/>
      <c r="L76" s="156" t="str">
        <f ca="1">IF(OR(K76=100%,J76&lt;&gt;""),"Completed",IF(AND(OR(K76="",K76=0),E76&gt;TODAY()),"Not Started",IF(AND(OR(K76="",K76=0),E76&lt;=TODAY()),"Delayed",IF(AND(K76&gt;0,K76&lt;100%,F76&lt;TODAY()),"Delayed",IF(AND(K76&gt;0,K76&lt;100%),"In Progress","")))))</f>
        <v>Not Started</v>
      </c>
      <c r="M76" s="157"/>
      <c r="N76" s="158"/>
      <c r="O76" s="158"/>
      <c r="P76" s="158"/>
      <c r="Q76" s="158"/>
      <c r="R76" s="158"/>
      <c r="S76" s="158"/>
      <c r="T76" s="159"/>
      <c r="U76" s="160" t="s">
        <v>136</v>
      </c>
      <c r="X76" s="27"/>
      <c r="Y76" s="27"/>
    </row>
    <row r="77" spans="2:28" s="1" customFormat="1" ht="4.5" customHeight="1" thickBot="1" x14ac:dyDescent="0.2">
      <c r="B77" s="46"/>
      <c r="C77" s="46"/>
      <c r="D77" s="47"/>
      <c r="E77" s="46"/>
      <c r="F77" s="46"/>
      <c r="G77" s="46"/>
      <c r="H77" s="46"/>
      <c r="I77" s="46"/>
      <c r="J77" s="46"/>
      <c r="K77" s="48"/>
      <c r="L77" s="48"/>
      <c r="M77" s="46"/>
      <c r="N77" s="46"/>
      <c r="O77" s="46"/>
      <c r="P77" s="46"/>
      <c r="Q77" s="46"/>
      <c r="R77" s="46"/>
      <c r="S77" s="46"/>
      <c r="T77" s="46"/>
      <c r="U77" s="49"/>
      <c r="X77" s="28"/>
      <c r="Y77" s="6"/>
    </row>
    <row r="78" spans="2:28" ht="28.9" customHeight="1" x14ac:dyDescent="0.25">
      <c r="B78" s="388" t="s">
        <v>170</v>
      </c>
      <c r="C78" s="162" t="s">
        <v>171</v>
      </c>
      <c r="D78" s="163">
        <f>NETWORKDAYS.INTL(E78,F78,"0000110",$AB$5:$AB$12)</f>
        <v>3</v>
      </c>
      <c r="E78" s="164">
        <f>MAX(WORKDAY.INTL(F61,1,"0000110",$AB$5:$AB$11),WORKDAY.INTL(F67,1,"0000110",$AB$5:$AB$11),WORKDAY.INTL(F51,1,"0000110",$AB$5:$AB$11))</f>
        <v>46260</v>
      </c>
      <c r="F78" s="164">
        <f>WORKDAY.INTL(E78,2,"0000110",$AB$5:$AB$11)</f>
        <v>46264</v>
      </c>
      <c r="G78" s="164">
        <f>MAX(WORKDAY.INTL(H61,1,"0000110",$AB$5:$AB$11),WORKDAY.INTL(H67,1,"0000110",$AB$5:$AB$11),WORKDAY.INTL(H51,1,"0000110",$AB$5:$AB$11))</f>
        <v>46260</v>
      </c>
      <c r="H78" s="164">
        <f>WORKDAY.INTL(G78,2,"0000110",$AB$5:$AB$11)</f>
        <v>46264</v>
      </c>
      <c r="I78" s="164"/>
      <c r="J78" s="164"/>
      <c r="K78" s="165"/>
      <c r="L78" s="165" t="str">
        <f t="shared" ref="L78:L82" ca="1" si="2">IF(OR(K78=100%,J78&lt;&gt;""),"Completed",IF(AND(OR(K78="",K78=0),E78&gt;TODAY()),"Not Started",IF(AND(OR(K78="",K78=0),E78&lt;=TODAY()),"Delayed",IF(AND(K78&gt;0,K78&lt;100%,F78&lt;TODAY()),"Delayed",IF(AND(K78&gt;0,K78&lt;100%),"In Progress","")))))</f>
        <v>Not Started</v>
      </c>
      <c r="M78" s="166"/>
      <c r="N78" s="167"/>
      <c r="O78" s="167"/>
      <c r="P78" s="167"/>
      <c r="Q78" s="167"/>
      <c r="R78" s="167"/>
      <c r="S78" s="167"/>
      <c r="T78" s="168"/>
      <c r="U78" s="169"/>
      <c r="V78" s="2"/>
      <c r="X78" s="28"/>
      <c r="Z78" s="6"/>
    </row>
    <row r="79" spans="2:28" ht="28.9" customHeight="1" x14ac:dyDescent="0.25">
      <c r="B79" s="389"/>
      <c r="C79" s="118" t="s">
        <v>172</v>
      </c>
      <c r="D79" s="117">
        <f>NETWORKDAYS.INTL(E79,F79,"0000110",$AB$5:$AB$12)</f>
        <v>5</v>
      </c>
      <c r="E79" s="113">
        <f>WORKDAY.INTL(F78,1,"0000110",$AB$5:$AB$11)</f>
        <v>46265</v>
      </c>
      <c r="F79" s="113">
        <f>WORKDAY.INTL(E79,4,"0000110",$AB$5:$AB$11)</f>
        <v>46271</v>
      </c>
      <c r="G79" s="113">
        <f>WORKDAY.INTL(H78,1,"0000110",$AB$5:$AB$11)</f>
        <v>46265</v>
      </c>
      <c r="H79" s="113">
        <f>WORKDAY.INTL(G79,4,"0000110",$AB$5:$AB$11)</f>
        <v>46271</v>
      </c>
      <c r="I79" s="113"/>
      <c r="J79" s="113"/>
      <c r="K79" s="119"/>
      <c r="L79" s="119" t="str">
        <f t="shared" ca="1" si="2"/>
        <v>Not Started</v>
      </c>
      <c r="M79" s="170"/>
      <c r="N79" s="171"/>
      <c r="O79" s="171"/>
      <c r="P79" s="171"/>
      <c r="Q79" s="171"/>
      <c r="R79" s="171"/>
      <c r="S79" s="171"/>
      <c r="T79" s="172"/>
      <c r="U79" s="173"/>
      <c r="V79" s="2"/>
      <c r="X79" s="1"/>
      <c r="Y79" s="1"/>
      <c r="Z79" s="6"/>
    </row>
    <row r="80" spans="2:28" ht="28.9" customHeight="1" x14ac:dyDescent="0.25">
      <c r="B80" s="389"/>
      <c r="C80" s="118" t="s">
        <v>43</v>
      </c>
      <c r="D80" s="117">
        <f>NETWORKDAYS.INTL(E80,F80,"0000110",$AC$5:$AC$12)</f>
        <v>2</v>
      </c>
      <c r="E80" s="113">
        <f>WORKDAY.INTL(F79,1,"0000110",$AC$5:$AC$11)</f>
        <v>46272</v>
      </c>
      <c r="F80" s="113">
        <f>WORKDAY.INTL(E80,1,"0000110",$AC$5:$AC$11)</f>
        <v>46273</v>
      </c>
      <c r="G80" s="113">
        <f>WORKDAY.INTL(H79,1,"0000110",$AC$5:$AC$11)</f>
        <v>46272</v>
      </c>
      <c r="H80" s="113">
        <f>WORKDAY.INTL(G80,1,"0000110",$AC$5:$AC$11)</f>
        <v>46273</v>
      </c>
      <c r="I80" s="113"/>
      <c r="J80" s="113"/>
      <c r="K80" s="119"/>
      <c r="L80" s="119" t="str">
        <f t="shared" ca="1" si="2"/>
        <v>Not Started</v>
      </c>
      <c r="M80" s="170"/>
      <c r="N80" s="171"/>
      <c r="O80" s="171"/>
      <c r="P80" s="171"/>
      <c r="Q80" s="171"/>
      <c r="R80" s="171"/>
      <c r="S80" s="171"/>
      <c r="T80" s="172"/>
      <c r="U80" s="173"/>
      <c r="V80" s="2" t="s">
        <v>109</v>
      </c>
      <c r="X80" s="28"/>
      <c r="Z80" s="6"/>
    </row>
    <row r="81" spans="2:26" ht="28.9" customHeight="1" x14ac:dyDescent="0.25">
      <c r="B81" s="389"/>
      <c r="C81" s="118" t="s">
        <v>44</v>
      </c>
      <c r="D81" s="117">
        <f>NETWORKDAYS.INTL(E81,F81,"0000110",$AB$5:$AB$12)</f>
        <v>1</v>
      </c>
      <c r="E81" s="113">
        <f>WORKDAY.INTL(F80,1,"0000110",$AB$5:$AB$11)</f>
        <v>46274</v>
      </c>
      <c r="F81" s="113">
        <f>WORKDAY.INTL(E81,0,"0000110",$AB$5:$AB$11)</f>
        <v>46274</v>
      </c>
      <c r="G81" s="113">
        <f>WORKDAY.INTL(H80,1,"0000110",$AB$5:$AB$11)</f>
        <v>46274</v>
      </c>
      <c r="H81" s="113">
        <f>WORKDAY.INTL(G81,0,"0000110",$AB$5:$AB$11)</f>
        <v>46274</v>
      </c>
      <c r="I81" s="113"/>
      <c r="J81" s="113"/>
      <c r="K81" s="119"/>
      <c r="L81" s="119" t="str">
        <f t="shared" ca="1" si="2"/>
        <v>Not Started</v>
      </c>
      <c r="M81" s="170"/>
      <c r="N81" s="171"/>
      <c r="O81" s="171"/>
      <c r="P81" s="171"/>
      <c r="Q81" s="171"/>
      <c r="R81" s="171"/>
      <c r="S81" s="171"/>
      <c r="T81" s="172"/>
      <c r="U81" s="173"/>
      <c r="V81" s="2"/>
      <c r="X81" s="28"/>
      <c r="Z81" s="6"/>
    </row>
    <row r="82" spans="2:26" ht="28.9" customHeight="1" thickBot="1" x14ac:dyDescent="0.3">
      <c r="B82" s="390"/>
      <c r="C82" s="174" t="s">
        <v>46</v>
      </c>
      <c r="D82" s="175">
        <f>NETWORKDAYS.INTL(E82,F82,"0000110",$AB$5:$AB$12)</f>
        <v>1</v>
      </c>
      <c r="E82" s="176">
        <f>WORKDAY.INTL(F81,1,"0000110",$AB$5:$AB$11)</f>
        <v>46275</v>
      </c>
      <c r="F82" s="176">
        <f>WORKDAY.INTL(E82,0,"0000110",$AB$5:$AB$11)</f>
        <v>46275</v>
      </c>
      <c r="G82" s="176">
        <f>WORKDAY.INTL(H81,1,"0000110",$AB$5:$AB$11)</f>
        <v>46275</v>
      </c>
      <c r="H82" s="176">
        <f>WORKDAY.INTL(G82,0,"0000110",$AB$5:$AB$11)</f>
        <v>46275</v>
      </c>
      <c r="I82" s="176"/>
      <c r="J82" s="176"/>
      <c r="K82" s="177"/>
      <c r="L82" s="177" t="str">
        <f t="shared" ca="1" si="2"/>
        <v>Not Started</v>
      </c>
      <c r="M82" s="178"/>
      <c r="N82" s="179"/>
      <c r="O82" s="179"/>
      <c r="P82" s="179"/>
      <c r="Q82" s="179"/>
      <c r="R82" s="179"/>
      <c r="S82" s="179"/>
      <c r="T82" s="180"/>
      <c r="U82" s="181"/>
      <c r="V82" s="2"/>
      <c r="X82" s="28"/>
      <c r="Z82" s="6"/>
    </row>
    <row r="83" spans="2:26" s="1" customFormat="1" ht="4.5" customHeight="1" thickBot="1" x14ac:dyDescent="0.2">
      <c r="B83" s="23"/>
      <c r="C83" s="23"/>
      <c r="D83" s="24"/>
      <c r="E83" s="23"/>
      <c r="F83" s="23"/>
      <c r="G83" s="23"/>
      <c r="H83" s="23"/>
      <c r="I83" s="23"/>
      <c r="J83" s="23"/>
      <c r="K83" s="25"/>
      <c r="L83" s="25"/>
      <c r="M83" s="23"/>
      <c r="N83" s="23"/>
      <c r="O83" s="23"/>
      <c r="P83" s="23"/>
      <c r="Q83" s="23"/>
      <c r="R83" s="23"/>
      <c r="S83" s="23"/>
      <c r="T83" s="23"/>
      <c r="U83" s="26"/>
    </row>
    <row r="84" spans="2:26" ht="34.5" customHeight="1" x14ac:dyDescent="0.15">
      <c r="B84" s="391" t="s">
        <v>137</v>
      </c>
      <c r="C84" s="183" t="s">
        <v>47</v>
      </c>
      <c r="D84" s="184">
        <f>NETWORKDAYS.INTL(E84,F84,"0000110",$AB$5:$AB$12)</f>
        <v>30</v>
      </c>
      <c r="E84" s="185">
        <v>46235</v>
      </c>
      <c r="F84" s="185">
        <f>WORKDAY.INTL(E84,30,"0000110",$AB$5:$AB$11)</f>
        <v>46275</v>
      </c>
      <c r="G84" s="185">
        <v>46235</v>
      </c>
      <c r="H84" s="185">
        <f>WORKDAY.INTL(G84,30,"0000110",$AB$5:$AB$11)</f>
        <v>46275</v>
      </c>
      <c r="I84" s="185"/>
      <c r="J84" s="185"/>
      <c r="K84" s="186"/>
      <c r="L84" s="186" t="str">
        <f ca="1">IF(OR(K84=100%,J84&lt;&gt;""),"Completed",IF(AND(OR(K84="",K84=0),E84&gt;TODAY()),"Not Started",IF(AND(OR(K84="",K84=0),E84&lt;=TODAY()),"Delayed",IF(AND(K84&gt;0,K84&lt;100%,F84&lt;TODAY()),"Delayed",IF(AND(K84&gt;0,K84&lt;100%),"In Progress","")))))</f>
        <v>Not Started</v>
      </c>
      <c r="M84" s="58"/>
      <c r="N84" s="59"/>
      <c r="O84" s="59"/>
      <c r="P84" s="59"/>
      <c r="Q84" s="59"/>
      <c r="R84" s="59"/>
      <c r="S84" s="59"/>
      <c r="T84" s="59"/>
      <c r="U84" s="53" t="s">
        <v>173</v>
      </c>
      <c r="V84" s="2"/>
      <c r="X84"/>
      <c r="Z84" s="6"/>
    </row>
    <row r="85" spans="2:26" ht="45.75" customHeight="1" thickBot="1" x14ac:dyDescent="0.2">
      <c r="B85" s="392"/>
      <c r="C85" s="187" t="s">
        <v>139</v>
      </c>
      <c r="D85" s="188">
        <f>NETWORKDAYS.INTL(E85,F85,"0000110",$AB$5:$AB$12)</f>
        <v>30</v>
      </c>
      <c r="E85" s="189">
        <f>F76+7</f>
        <v>46287</v>
      </c>
      <c r="F85" s="189">
        <f>WORKDAY.INTL(E85,29,"0000110",$AB$5:$AB$11)</f>
        <v>46329</v>
      </c>
      <c r="G85" s="189">
        <f>H76+7</f>
        <v>46287</v>
      </c>
      <c r="H85" s="189">
        <f>WORKDAY.INTL(G85,29,"0000110",$AB$5:$AB$11)</f>
        <v>46329</v>
      </c>
      <c r="I85" s="189"/>
      <c r="J85" s="189"/>
      <c r="K85" s="190"/>
      <c r="L85" s="190" t="str">
        <f ca="1">IF(OR(K85=100%,J85&lt;&gt;""),"Completed",IF(AND(OR(K85="",K85=0),E85&gt;TODAY()),"Not Started",IF(AND(OR(K85="",K85=0),E85&lt;=TODAY()),"Delayed",IF(AND(K85&gt;0,K85&lt;100%,F85&lt;TODAY()),"Delayed",IF(AND(K85&gt;0,K85&lt;100%),"In Progress","")))))</f>
        <v>Not Started</v>
      </c>
      <c r="M85" s="60"/>
      <c r="N85" s="61"/>
      <c r="O85" s="61"/>
      <c r="P85" s="61"/>
      <c r="Q85" s="61"/>
      <c r="R85" s="61"/>
      <c r="S85" s="61"/>
      <c r="T85" s="61"/>
      <c r="U85" s="57"/>
      <c r="V85" s="2"/>
      <c r="X85"/>
      <c r="Z85" s="6"/>
    </row>
    <row r="86" spans="2:26" s="1" customFormat="1" ht="4.5" customHeight="1" thickBot="1" x14ac:dyDescent="0.2">
      <c r="B86" s="23"/>
      <c r="C86" s="23"/>
      <c r="D86" s="24"/>
      <c r="E86" s="23"/>
      <c r="F86" s="23"/>
      <c r="G86" s="23"/>
      <c r="H86" s="23"/>
      <c r="I86" s="23"/>
      <c r="J86" s="23"/>
      <c r="K86" s="25"/>
      <c r="L86" s="25"/>
      <c r="M86" s="23"/>
      <c r="N86" s="23"/>
      <c r="O86" s="23"/>
      <c r="P86" s="23"/>
      <c r="Q86" s="23"/>
      <c r="R86" s="23"/>
      <c r="S86" s="23"/>
      <c r="T86" s="23"/>
      <c r="U86" s="26"/>
      <c r="Y86" s="6"/>
      <c r="Z86" s="6"/>
    </row>
    <row r="87" spans="2:26" ht="36" customHeight="1" thickBot="1" x14ac:dyDescent="0.2">
      <c r="B87" s="385" t="s">
        <v>140</v>
      </c>
      <c r="C87" s="213" t="s">
        <v>141</v>
      </c>
      <c r="D87" s="214">
        <f>NETWORKDAYS.INTL(E87,F87,"0000100",$AB$5:$AB$12)</f>
        <v>19</v>
      </c>
      <c r="E87" s="215">
        <v>46231</v>
      </c>
      <c r="F87" s="137">
        <f>E87+21</f>
        <v>46252</v>
      </c>
      <c r="G87" s="137">
        <v>46187</v>
      </c>
      <c r="H87" s="137">
        <f>G87+21</f>
        <v>46208</v>
      </c>
      <c r="I87" s="137"/>
      <c r="J87" s="137"/>
      <c r="K87" s="138"/>
      <c r="L87" s="138" t="str">
        <f ca="1">IF(OR(K87=100%,J87&lt;&gt;""),"Completed",IF(AND(OR(K87="",K87=0),E87&gt;TODAY()),"Not Started",IF(AND(OR(K87="",K87=0),E87&lt;=TODAY()),"Delayed",IF(AND(K87&gt;0,K87&lt;100%,F87&lt;TODAY()),"Delayed",IF(AND(K87&gt;0,K87&lt;100%),"In Progress","")))))</f>
        <v>Not Started</v>
      </c>
      <c r="M87" s="216"/>
      <c r="N87" s="217"/>
      <c r="O87" s="217"/>
      <c r="P87" s="217"/>
      <c r="Q87" s="217"/>
      <c r="R87" s="217"/>
      <c r="S87" s="217"/>
      <c r="T87" s="217"/>
      <c r="U87" s="359" t="s">
        <v>142</v>
      </c>
      <c r="V87" s="2"/>
      <c r="X87"/>
      <c r="Y87" s="27"/>
      <c r="Z87" s="27"/>
    </row>
    <row r="88" spans="2:26" ht="36" customHeight="1" thickBot="1" x14ac:dyDescent="0.2">
      <c r="B88" s="387"/>
      <c r="C88" s="218" t="s">
        <v>51</v>
      </c>
      <c r="D88" s="219">
        <f>NETWORKDAYS.INTL(E88,F88,"0000110",$AB$5:$AB$12)</f>
        <v>12</v>
      </c>
      <c r="E88" s="147">
        <f>E95-23</f>
        <v>46348</v>
      </c>
      <c r="F88" s="147">
        <f>E88+15</f>
        <v>46363</v>
      </c>
      <c r="G88" s="147">
        <f>G95-23</f>
        <v>46348</v>
      </c>
      <c r="H88" s="147">
        <f>G88+15</f>
        <v>46363</v>
      </c>
      <c r="I88" s="147"/>
      <c r="J88" s="147"/>
      <c r="K88" s="148"/>
      <c r="L88" s="148" t="str">
        <f ca="1">IF(OR(K88=100%,J88&lt;&gt;""),"Completed",IF(AND(OR(K88="",K88=0),E88&gt;TODAY()),"Not Started",IF(AND(OR(K88="",K88=0),E88&lt;=TODAY()),"Delayed",IF(AND(K88&gt;0,K88&lt;100%,F88&lt;TODAY()),"Delayed",IF(AND(K88&gt;0,K88&lt;100%),"In Progress","")))))</f>
        <v>Not Started</v>
      </c>
      <c r="M88" s="220"/>
      <c r="N88" s="221"/>
      <c r="O88" s="221"/>
      <c r="P88" s="221"/>
      <c r="Q88" s="221"/>
      <c r="R88" s="221"/>
      <c r="S88" s="221"/>
      <c r="T88" s="221"/>
      <c r="U88" s="233" t="s">
        <v>143</v>
      </c>
      <c r="V88" s="2"/>
      <c r="X88"/>
      <c r="Z88" s="6"/>
    </row>
    <row r="89" spans="2:26" s="1" customFormat="1" ht="4.5" customHeight="1" thickBot="1" x14ac:dyDescent="0.2">
      <c r="B89" s="23"/>
      <c r="C89" s="23"/>
      <c r="D89" s="24"/>
      <c r="E89" s="23"/>
      <c r="F89" s="23"/>
      <c r="G89" s="23"/>
      <c r="H89" s="23"/>
      <c r="I89" s="23"/>
      <c r="J89" s="23"/>
      <c r="K89" s="25"/>
      <c r="L89" s="25"/>
      <c r="M89" s="23"/>
      <c r="N89" s="23"/>
      <c r="O89" s="23"/>
      <c r="P89" s="23"/>
      <c r="Q89" s="23"/>
      <c r="R89" s="23"/>
      <c r="S89" s="23"/>
      <c r="T89" s="23"/>
      <c r="U89" s="26"/>
      <c r="Y89" s="6"/>
      <c r="Z89" s="6"/>
    </row>
    <row r="90" spans="2:26" ht="28.9" customHeight="1" x14ac:dyDescent="0.15">
      <c r="B90" s="382" t="s">
        <v>144</v>
      </c>
      <c r="C90" s="183" t="s">
        <v>174</v>
      </c>
      <c r="D90" s="193">
        <f>NETWORKDAYS.INTL(E90,F90,"0000100",$AB$5:$AB$12)</f>
        <v>76</v>
      </c>
      <c r="E90" s="194">
        <f>WORKDAY.INTL(F63,1,"0000100",$AB$5:$AB$11)</f>
        <v>46270</v>
      </c>
      <c r="F90" s="195">
        <f>WORKDAY.INTL(E90,75,"0000100",$AB$5:$AB$11)</f>
        <v>46358</v>
      </c>
      <c r="G90" s="185">
        <f>WORKDAY.INTL(H63,1,"0000100",$AB$5:$AB$11)</f>
        <v>46270</v>
      </c>
      <c r="H90" s="196">
        <f>WORKDAY.INTL(G90,75,"0000100",$AB$5:$AB$11)</f>
        <v>46358</v>
      </c>
      <c r="I90" s="196"/>
      <c r="J90" s="196"/>
      <c r="K90" s="197"/>
      <c r="L90" s="197" t="str">
        <f ca="1">IF(OR(K90=100%,J90&lt;&gt;""),"Completed",IF(AND(OR(K90="",K90=0),E90&gt;TODAY()),"Not Started",IF(AND(OR(K90="",K90=0),E90&lt;=TODAY()),"Delayed",IF(AND(K90&gt;0,K90&lt;100%,F90&lt;TODAY()),"Delayed",IF(AND(K90&gt;0,K90&lt;100%),"In Progress","")))))</f>
        <v>Not Started</v>
      </c>
      <c r="M90" s="50"/>
      <c r="N90" s="51"/>
      <c r="O90" s="51"/>
      <c r="P90" s="51"/>
      <c r="Q90" s="51"/>
      <c r="R90" s="51"/>
      <c r="S90" s="51"/>
      <c r="T90" s="52"/>
      <c r="U90" s="161"/>
      <c r="V90" s="2"/>
      <c r="Z90" s="6"/>
    </row>
    <row r="91" spans="2:26" ht="28.9" customHeight="1" x14ac:dyDescent="0.15">
      <c r="B91" s="383"/>
      <c r="C91" s="211" t="s">
        <v>7</v>
      </c>
      <c r="D91" s="107">
        <f>NETWORKDAYS.INTL(E91,F91,"0000100",$AB$5:$AB$12)</f>
        <v>76</v>
      </c>
      <c r="E91" s="199">
        <f>WORKDAY.INTL(E90,14,"0000100",$AB$5:$AB$11)</f>
        <v>46286</v>
      </c>
      <c r="F91" s="200">
        <f>WORKDAY.INTL(F90,14,"0000100",$AB$5:$AB$11)</f>
        <v>46375</v>
      </c>
      <c r="G91" s="201">
        <f>WORKDAY.INTL(G90,14,"0000100",$AB$5:$AB$11)</f>
        <v>46286</v>
      </c>
      <c r="H91" s="202">
        <f>WORKDAY.INTL(H90,14,"0000100",$AB$5:$AB$11)</f>
        <v>46375</v>
      </c>
      <c r="I91" s="202"/>
      <c r="J91" s="202"/>
      <c r="K91" s="203"/>
      <c r="L91" s="203" t="str">
        <f ca="1">IF(OR(K91=100%,J91&lt;&gt;""),"Completed",IF(AND(OR(K91="",K91=0),E91&gt;TODAY()),"Not Started",IF(AND(OR(K91="",K91=0),E91&lt;=TODAY()),"Delayed",IF(AND(K91&gt;0,K91&lt;100%,F91&lt;TODAY()),"Delayed",IF(AND(K91&gt;0,K91&lt;100%),"In Progress","")))))</f>
        <v>Not Started</v>
      </c>
      <c r="M91" s="191"/>
      <c r="N91" s="34"/>
      <c r="O91" s="34"/>
      <c r="P91" s="34"/>
      <c r="Q91" s="34"/>
      <c r="R91" s="34"/>
      <c r="S91" s="34"/>
      <c r="T91" s="35"/>
      <c r="U91" s="235" t="s">
        <v>8</v>
      </c>
      <c r="V91" s="2"/>
      <c r="Z91" s="6"/>
    </row>
    <row r="92" spans="2:26" ht="28.9" customHeight="1" x14ac:dyDescent="0.15">
      <c r="B92" s="383"/>
      <c r="C92" s="211" t="s">
        <v>146</v>
      </c>
      <c r="D92" s="107">
        <f>NETWORKDAYS.INTL(E92,F92,"0000110",$AB$5:$AB$12)</f>
        <v>66</v>
      </c>
      <c r="E92" s="204">
        <f>WORKDAY.INTL(E91,5,"0000110")</f>
        <v>46293</v>
      </c>
      <c r="F92" s="205">
        <f>WORKDAY.INTL(E92,65,"0000110")</f>
        <v>46384</v>
      </c>
      <c r="G92" s="108">
        <f>WORKDAY.INTL(G91,5,"0000110")</f>
        <v>46293</v>
      </c>
      <c r="H92" s="206">
        <f>WORKDAY.INTL(G92,65,"0000110")</f>
        <v>46384</v>
      </c>
      <c r="I92" s="206"/>
      <c r="J92" s="206"/>
      <c r="K92" s="207"/>
      <c r="L92" s="207" t="str">
        <f ca="1">IF(OR(K92=100%,J92&lt;&gt;""),"Completed",IF(AND(OR(K92="",K92=0),E92&gt;TODAY()),"Not Started",IF(AND(OR(K92="",K92=0),E92&lt;=TODAY()),"Delayed",IF(AND(K92&gt;0,K92&lt;100%,F92&lt;TODAY()),"Delayed",IF(AND(K92&gt;0,K92&lt;100%),"In Progress","")))))</f>
        <v>Not Started</v>
      </c>
      <c r="M92" s="29"/>
      <c r="N92" s="34"/>
      <c r="O92" s="34"/>
      <c r="P92" s="34"/>
      <c r="Q92" s="34"/>
      <c r="R92" s="34"/>
      <c r="S92" s="34"/>
      <c r="T92" s="35"/>
      <c r="U92" s="235" t="s">
        <v>147</v>
      </c>
      <c r="V92" s="2"/>
      <c r="Z92" s="6"/>
    </row>
    <row r="93" spans="2:26" ht="28.9" customHeight="1" thickBot="1" x14ac:dyDescent="0.2">
      <c r="B93" s="384"/>
      <c r="C93" s="212" t="s">
        <v>148</v>
      </c>
      <c r="D93" s="209">
        <f>NETWORKDAYS.INTL(E93,F93,"0000110",$AB$5:$AB$12)</f>
        <v>1</v>
      </c>
      <c r="E93" s="210">
        <f>MAX(WORKDAY.INTL(F99,1,"0000100"),WORKDAY.INTL(F92,1,"0000100"))</f>
        <v>46386</v>
      </c>
      <c r="F93" s="210">
        <f>WORKDAY.INTL(E93,0,"0000100")</f>
        <v>46386</v>
      </c>
      <c r="G93" s="189">
        <f>MAX(WORKDAY.INTL(H99,1,"0000100"),WORKDAY.INTL(H92,1,"0000100"))</f>
        <v>46386</v>
      </c>
      <c r="H93" s="189">
        <f>WORKDAY.INTL(G93,0,"0000100")</f>
        <v>46386</v>
      </c>
      <c r="I93" s="189"/>
      <c r="J93" s="189"/>
      <c r="K93" s="190"/>
      <c r="L93" s="190" t="str">
        <f ca="1">IF(OR(K93=100%,J93&lt;&gt;""),"Completed",IF(AND(OR(K93="",K93=0),E93&gt;TODAY()),"Not Started",IF(AND(OR(K93="",K93=0),E93&lt;=TODAY()),"Delayed",IF(AND(K93&gt;0,K93&lt;100%,F93&lt;TODAY()),"Delayed",IF(AND(K93&gt;0,K93&lt;100%),"In Progress","")))))</f>
        <v>Not Started</v>
      </c>
      <c r="M93" s="54"/>
      <c r="N93" s="55"/>
      <c r="O93" s="55"/>
      <c r="P93" s="55"/>
      <c r="Q93" s="55"/>
      <c r="R93" s="55"/>
      <c r="S93" s="55"/>
      <c r="T93" s="56"/>
      <c r="U93" s="57"/>
      <c r="V93" s="2"/>
      <c r="Z93" s="6"/>
    </row>
    <row r="94" spans="2:26" s="1" customFormat="1" ht="4.5" customHeight="1" thickBot="1" x14ac:dyDescent="0.2">
      <c r="B94" s="23"/>
      <c r="C94" s="23"/>
      <c r="D94" s="24"/>
      <c r="E94" s="23"/>
      <c r="F94" s="23"/>
      <c r="G94" s="23"/>
      <c r="H94" s="23"/>
      <c r="I94" s="23"/>
      <c r="J94" s="23"/>
      <c r="K94" s="25"/>
      <c r="L94" s="25"/>
      <c r="M94" s="23"/>
      <c r="N94" s="23"/>
      <c r="O94" s="23"/>
      <c r="P94" s="23"/>
      <c r="Q94" s="23"/>
      <c r="R94" s="23"/>
      <c r="S94" s="23"/>
      <c r="T94" s="23"/>
      <c r="U94" s="26"/>
      <c r="Y94" s="6"/>
      <c r="Z94" s="6"/>
    </row>
    <row r="95" spans="2:26" ht="30.75" customHeight="1" x14ac:dyDescent="0.15">
      <c r="B95" s="385" t="s">
        <v>149</v>
      </c>
      <c r="C95" s="222" t="s">
        <v>150</v>
      </c>
      <c r="D95" s="214">
        <f t="shared" ref="D95:D100" si="3">NETWORKDAYS.INTL(E95,F95,"0000110",$AB$5:$AB$12)</f>
        <v>5</v>
      </c>
      <c r="E95" s="137">
        <f>WORKDAY.INTL(E91,72,"0000100",$AB$5:$AB$11)</f>
        <v>46371</v>
      </c>
      <c r="F95" s="137">
        <f>WORKDAY.INTL(E95,4,"0000110",$AB$5:$AB$11)</f>
        <v>46377</v>
      </c>
      <c r="G95" s="137">
        <f>WORKDAY.INTL(G91,72,"0000100",$AB$5:$AB$11)</f>
        <v>46371</v>
      </c>
      <c r="H95" s="137">
        <f>WORKDAY.INTL(G95,4,"0000110",$AB$5:$AB$11)</f>
        <v>46377</v>
      </c>
      <c r="I95" s="137"/>
      <c r="J95" s="137"/>
      <c r="K95" s="138"/>
      <c r="L95" s="138" t="str">
        <f t="shared" ref="L95:L100" ca="1" si="4">IF(OR(K95=100%,J95&lt;&gt;""),"Completed",IF(AND(OR(K95="",K95=0),E95&gt;TODAY()),"Not Started",IF(AND(OR(K95="",K95=0),E95&lt;=TODAY()),"Delayed",IF(AND(K95&gt;0,K95&lt;100%,F95&lt;TODAY()),"Delayed",IF(AND(K95&gt;0,K95&lt;100%),"In Progress","")))))</f>
        <v>Not Started</v>
      </c>
      <c r="M95" s="216"/>
      <c r="N95" s="223"/>
      <c r="O95" s="223"/>
      <c r="P95" s="223"/>
      <c r="Q95" s="223"/>
      <c r="R95" s="223"/>
      <c r="S95" s="223"/>
      <c r="T95" s="223"/>
      <c r="U95" s="224"/>
      <c r="V95" s="2"/>
      <c r="Y95" s="27"/>
      <c r="Z95" s="27"/>
    </row>
    <row r="96" spans="2:26" ht="30.75" customHeight="1" x14ac:dyDescent="0.15">
      <c r="B96" s="386"/>
      <c r="C96" s="225" t="s">
        <v>151</v>
      </c>
      <c r="D96" s="226">
        <f t="shared" si="3"/>
        <v>2</v>
      </c>
      <c r="E96" s="133">
        <f>WORKDAY.INTL(F95,1,"0000110",$AB$5:$AB$11)</f>
        <v>46378</v>
      </c>
      <c r="F96" s="133">
        <f>WORKDAY.INTL(E96,1,"0000110",$AB$5:$AB$11)</f>
        <v>46379</v>
      </c>
      <c r="G96" s="133">
        <f>WORKDAY.INTL(H95,1,"0000110",$AB$5:$AB$11)</f>
        <v>46378</v>
      </c>
      <c r="H96" s="133">
        <f>WORKDAY.INTL(G96,1,"0000110",$AB$5:$AB$11)</f>
        <v>46379</v>
      </c>
      <c r="I96" s="133"/>
      <c r="J96" s="133"/>
      <c r="K96" s="134"/>
      <c r="L96" s="134" t="str">
        <f t="shared" ca="1" si="4"/>
        <v>Not Started</v>
      </c>
      <c r="M96" s="227"/>
      <c r="N96" s="228"/>
      <c r="O96" s="228"/>
      <c r="P96" s="228"/>
      <c r="Q96" s="228"/>
      <c r="R96" s="228"/>
      <c r="S96" s="228"/>
      <c r="T96" s="228"/>
      <c r="U96" s="229"/>
      <c r="V96" s="2"/>
      <c r="Z96" s="6"/>
    </row>
    <row r="97" spans="2:26" ht="30.75" customHeight="1" x14ac:dyDescent="0.15">
      <c r="B97" s="386"/>
      <c r="C97" s="225" t="s">
        <v>152</v>
      </c>
      <c r="D97" s="226">
        <f t="shared" si="3"/>
        <v>2</v>
      </c>
      <c r="E97" s="133">
        <f>WORKDAY.INTL(F96,1,"0000110",$AB$5:$AB$11)</f>
        <v>46380</v>
      </c>
      <c r="F97" s="133">
        <f>WORKDAY.INTL(E97,1,"0000110",$AB$5:$AB$11)</f>
        <v>46383</v>
      </c>
      <c r="G97" s="133">
        <f>WORKDAY.INTL(H96,1,"0000110",$AB$5:$AB$11)</f>
        <v>46380</v>
      </c>
      <c r="H97" s="133">
        <f>WORKDAY.INTL(G97,1,"0000110",$AB$5:$AB$11)</f>
        <v>46383</v>
      </c>
      <c r="I97" s="133"/>
      <c r="J97" s="133"/>
      <c r="K97" s="134"/>
      <c r="L97" s="134" t="str">
        <f t="shared" ca="1" si="4"/>
        <v>Not Started</v>
      </c>
      <c r="M97" s="227"/>
      <c r="N97" s="228"/>
      <c r="O97" s="228"/>
      <c r="P97" s="228"/>
      <c r="Q97" s="228"/>
      <c r="R97" s="228"/>
      <c r="S97" s="228"/>
      <c r="T97" s="228"/>
      <c r="U97" s="229"/>
      <c r="V97" s="2"/>
      <c r="Y97" s="27"/>
      <c r="Z97" s="27"/>
    </row>
    <row r="98" spans="2:26" ht="30.75" customHeight="1" x14ac:dyDescent="0.15">
      <c r="B98" s="386"/>
      <c r="C98" s="225" t="s">
        <v>153</v>
      </c>
      <c r="D98" s="226">
        <f t="shared" si="3"/>
        <v>1</v>
      </c>
      <c r="E98" s="133">
        <f>WORKDAY.INTL(F97,1,"0000110",$AB$5:$AB$11)</f>
        <v>46384</v>
      </c>
      <c r="F98" s="133">
        <f>WORKDAY.INTL(E98,0,"0000110",$AB$5:$AB$11)</f>
        <v>46384</v>
      </c>
      <c r="G98" s="133">
        <f>WORKDAY.INTL(H97,1,"0000110",$AB$5:$AB$11)</f>
        <v>46384</v>
      </c>
      <c r="H98" s="133">
        <f>WORKDAY.INTL(G98,0,"0000110",$AB$5:$AB$11)</f>
        <v>46384</v>
      </c>
      <c r="I98" s="133"/>
      <c r="J98" s="133"/>
      <c r="K98" s="134"/>
      <c r="L98" s="134" t="str">
        <f t="shared" ca="1" si="4"/>
        <v>Not Started</v>
      </c>
      <c r="M98" s="227"/>
      <c r="N98" s="228"/>
      <c r="O98" s="228"/>
      <c r="P98" s="228"/>
      <c r="Q98" s="228"/>
      <c r="R98" s="228"/>
      <c r="S98" s="228"/>
      <c r="T98" s="228"/>
      <c r="U98" s="229"/>
      <c r="V98" s="2"/>
      <c r="Z98" s="6"/>
    </row>
    <row r="99" spans="2:26" ht="30.75" customHeight="1" x14ac:dyDescent="0.15">
      <c r="B99" s="386"/>
      <c r="C99" s="225" t="s">
        <v>46</v>
      </c>
      <c r="D99" s="226">
        <f t="shared" si="3"/>
        <v>1</v>
      </c>
      <c r="E99" s="133">
        <f>WORKDAY.INTL(F98,1,"0000110",$AB$5:$AB$11)</f>
        <v>46385</v>
      </c>
      <c r="F99" s="133">
        <f>WORKDAY.INTL(E99,0,"0000110",$AB$5:$AB$11)</f>
        <v>46385</v>
      </c>
      <c r="G99" s="133">
        <f>WORKDAY.INTL(H98,1,"0000110",$AB$5:$AB$11)</f>
        <v>46385</v>
      </c>
      <c r="H99" s="133">
        <f>WORKDAY.INTL(G99,0,"0000110",$AB$5:$AB$11)</f>
        <v>46385</v>
      </c>
      <c r="I99" s="133"/>
      <c r="J99" s="133"/>
      <c r="K99" s="134"/>
      <c r="L99" s="134" t="str">
        <f t="shared" ca="1" si="4"/>
        <v>Not Started</v>
      </c>
      <c r="M99" s="227"/>
      <c r="N99" s="228"/>
      <c r="O99" s="228"/>
      <c r="P99" s="228"/>
      <c r="Q99" s="228"/>
      <c r="R99" s="228"/>
      <c r="S99" s="228"/>
      <c r="T99" s="228"/>
      <c r="U99" s="229"/>
      <c r="V99" s="2"/>
      <c r="Z99" s="6"/>
    </row>
    <row r="100" spans="2:26" ht="30.75" customHeight="1" thickBot="1" x14ac:dyDescent="0.2">
      <c r="B100" s="387"/>
      <c r="C100" s="230" t="s">
        <v>154</v>
      </c>
      <c r="D100" s="219">
        <f t="shared" si="3"/>
        <v>3</v>
      </c>
      <c r="E100" s="147">
        <f>MAX(WORKDAY.INTL(F93,1,"0000110",$AB$5:$AB$12),WORKDAY.INTL(F95,1,"0000110",$AB$5:$AB$12))</f>
        <v>46387</v>
      </c>
      <c r="F100" s="147">
        <f>WORKDAY.INTL(E100,2,"0000110",$AB$5:$AB$11)</f>
        <v>46391</v>
      </c>
      <c r="G100" s="147">
        <f>MAX(WORKDAY.INTL(H93,1,"0000110",$AB$5:$AB$12),WORKDAY.INTL(H95,1,"0000110",$AB$5:$AB$12))</f>
        <v>46387</v>
      </c>
      <c r="H100" s="147">
        <f>WORKDAY.INTL(G100,2,"0000110",$AB$5:$AB$11)</f>
        <v>46391</v>
      </c>
      <c r="I100" s="147"/>
      <c r="J100" s="147"/>
      <c r="K100" s="148"/>
      <c r="L100" s="148" t="str">
        <f t="shared" ca="1" si="4"/>
        <v>Not Started</v>
      </c>
      <c r="M100" s="220"/>
      <c r="N100" s="231"/>
      <c r="O100" s="231"/>
      <c r="P100" s="231"/>
      <c r="Q100" s="231"/>
      <c r="R100" s="231"/>
      <c r="S100" s="231"/>
      <c r="T100" s="231"/>
      <c r="U100" s="232"/>
      <c r="V100" s="2"/>
      <c r="Z100" s="6"/>
    </row>
  </sheetData>
  <mergeCells count="17">
    <mergeCell ref="B90:B93"/>
    <mergeCell ref="B95:B100"/>
    <mergeCell ref="B66:B68"/>
    <mergeCell ref="B70:B74"/>
    <mergeCell ref="B78:B82"/>
    <mergeCell ref="B84:B85"/>
    <mergeCell ref="B87:B88"/>
    <mergeCell ref="B36:B40"/>
    <mergeCell ref="B42:B46"/>
    <mergeCell ref="B48:B52"/>
    <mergeCell ref="B54:B58"/>
    <mergeCell ref="B60:B64"/>
    <mergeCell ref="B5:B10"/>
    <mergeCell ref="B12:B16"/>
    <mergeCell ref="B18:B22"/>
    <mergeCell ref="B24:B28"/>
    <mergeCell ref="B30:B34"/>
  </mergeCells>
  <conditionalFormatting sqref="L1:L1048576">
    <cfRule type="cellIs" dxfId="11" priority="1" operator="equal">
      <formula>"Delayed"</formula>
    </cfRule>
    <cfRule type="cellIs" dxfId="10" priority="2" operator="equal">
      <formula>"In Progress"</formula>
    </cfRule>
    <cfRule type="cellIs" dxfId="9" priority="3" operator="equal">
      <formula>"Completed"</formula>
    </cfRule>
  </conditionalFormatting>
  <dataValidations disablePrompts="1" count="2">
    <dataValidation type="list" allowBlank="1" showInputMessage="1" showErrorMessage="1" sqref="V90:V93 V95:V100 V3:V79 V81:V88" xr:uid="{00000000-0002-0000-0300-000000000000}">
      <formula1>$W$2:$W$5</formula1>
    </dataValidation>
    <dataValidation type="list" allowBlank="1" showInputMessage="1" showErrorMessage="1" sqref="V80" xr:uid="{D3FD5C62-968A-47A6-BA8C-DC2DD1E030E4}">
      <formula1>$X$2:$X$4</formula1>
    </dataValidation>
  </dataValidations>
  <pageMargins left="0.7" right="0.7" top="0.75" bottom="0.75" header="0.3" footer="0.3"/>
  <pageSetup paperSize="8" scale="81"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B1:AC88"/>
  <sheetViews>
    <sheetView showGridLines="0" zoomScale="83" zoomScaleNormal="100" workbookViewId="0">
      <pane ySplit="2" topLeftCell="A61" activePane="bottomLeft" state="frozen"/>
      <selection pane="bottomLeft" activeCell="C67" sqref="C67"/>
    </sheetView>
  </sheetViews>
  <sheetFormatPr defaultColWidth="9" defaultRowHeight="13.5" x14ac:dyDescent="0.15"/>
  <cols>
    <col min="1" max="1" width="0.75" customWidth="1"/>
    <col min="2" max="2" width="16" customWidth="1"/>
    <col min="3" max="3" width="32.375" customWidth="1"/>
    <col min="4" max="4" width="12.875" style="2" customWidth="1"/>
    <col min="5" max="5" width="16.75" style="3" customWidth="1"/>
    <col min="6" max="6" width="13.375" style="3" customWidth="1"/>
    <col min="7" max="7" width="16.75" style="3" customWidth="1"/>
    <col min="8" max="8" width="15.125" style="3" customWidth="1"/>
    <col min="9" max="9" width="18.375" style="3" customWidth="1"/>
    <col min="10" max="10" width="16.5" style="3" customWidth="1"/>
    <col min="11" max="11" width="10.875" style="4" customWidth="1"/>
    <col min="12" max="12" width="15.125" style="4" customWidth="1"/>
    <col min="13" max="13" width="0.875" customWidth="1"/>
    <col min="14" max="20" width="9.125" customWidth="1"/>
    <col min="21" max="21" width="42.75" style="5" customWidth="1"/>
    <col min="22" max="22" width="9" hidden="1" customWidth="1"/>
    <col min="24" max="24" width="9" hidden="1" customWidth="1"/>
    <col min="25" max="25" width="12.25" style="6" hidden="1" customWidth="1"/>
    <col min="26" max="26" width="10.125" style="6" customWidth="1"/>
    <col min="27" max="27" width="10.125" hidden="1" customWidth="1"/>
  </cols>
  <sheetData>
    <row r="1" spans="2:29" ht="5.45" customHeight="1" x14ac:dyDescent="0.15">
      <c r="E1" s="7"/>
      <c r="F1" s="7"/>
      <c r="G1" s="7"/>
      <c r="H1" s="7"/>
      <c r="I1" s="7"/>
      <c r="J1" s="7"/>
      <c r="K1" s="8"/>
      <c r="L1" s="8"/>
      <c r="M1" s="9"/>
    </row>
    <row r="2" spans="2:29" ht="24" customHeight="1" thickBot="1" x14ac:dyDescent="0.3">
      <c r="B2" s="10"/>
      <c r="C2" s="120" t="s">
        <v>1</v>
      </c>
      <c r="D2" s="120" t="s">
        <v>90</v>
      </c>
      <c r="E2" s="121" t="s">
        <v>91</v>
      </c>
      <c r="F2" s="121" t="s">
        <v>92</v>
      </c>
      <c r="G2" s="121" t="s">
        <v>93</v>
      </c>
      <c r="H2" s="121" t="s">
        <v>94</v>
      </c>
      <c r="I2" s="122" t="s">
        <v>95</v>
      </c>
      <c r="J2" s="122" t="s">
        <v>96</v>
      </c>
      <c r="K2" s="123" t="s">
        <v>97</v>
      </c>
      <c r="L2" s="123" t="s">
        <v>98</v>
      </c>
      <c r="M2" s="124"/>
      <c r="N2" s="125">
        <v>46113</v>
      </c>
      <c r="O2" s="126">
        <v>46143</v>
      </c>
      <c r="P2" s="126">
        <v>46174</v>
      </c>
      <c r="Q2" s="126">
        <v>46204</v>
      </c>
      <c r="R2" s="126">
        <v>46235</v>
      </c>
      <c r="S2" s="126">
        <v>46266</v>
      </c>
      <c r="T2" s="126">
        <v>46296</v>
      </c>
      <c r="U2" s="127" t="s">
        <v>2</v>
      </c>
      <c r="V2" t="s">
        <v>155</v>
      </c>
    </row>
    <row r="3" spans="2:29" ht="45" hidden="1" customHeight="1" x14ac:dyDescent="0.15">
      <c r="B3" s="15"/>
      <c r="C3" s="16" t="s">
        <v>3</v>
      </c>
      <c r="D3" s="17"/>
      <c r="E3" s="18"/>
      <c r="F3" s="18"/>
      <c r="G3" s="18"/>
      <c r="H3" s="18"/>
      <c r="I3" s="18"/>
      <c r="J3" s="18"/>
      <c r="K3" s="19">
        <v>1</v>
      </c>
      <c r="L3" s="19" t="str">
        <f ca="1">IF(OR(K3=100%,J3&lt;&gt;""),"Completed",IF(AND(OR(K3="",K3=0),E3&gt;TODAY()),"Not Started",IF(AND(OR(K3="",K3=0),E3&lt;=TODAY()),"Delayed",IF(AND(K3&gt;0,K3&lt;100%,F3&lt;TODAY()),"Delayed",IF(AND(K3&gt;0,K3&lt;100%),"In Progress","")))))</f>
        <v>Completed</v>
      </c>
      <c r="M3" s="12"/>
      <c r="N3" s="20"/>
      <c r="O3" s="21"/>
      <c r="P3" s="21"/>
      <c r="Q3" s="21"/>
      <c r="R3" s="21"/>
      <c r="S3" s="21"/>
      <c r="T3" s="21"/>
      <c r="U3" s="22" t="s">
        <v>175</v>
      </c>
      <c r="V3" t="s">
        <v>103</v>
      </c>
    </row>
    <row r="4" spans="2:29" s="1" customFormat="1" ht="4.5" hidden="1" customHeight="1" x14ac:dyDescent="0.15">
      <c r="B4" s="23"/>
      <c r="C4" s="23"/>
      <c r="D4" s="24"/>
      <c r="E4" s="23"/>
      <c r="F4" s="23"/>
      <c r="G4" s="23"/>
      <c r="H4" s="23"/>
      <c r="I4" s="23"/>
      <c r="J4" s="23"/>
      <c r="K4" s="25"/>
      <c r="L4" s="25"/>
      <c r="M4" s="23"/>
      <c r="N4" s="23"/>
      <c r="O4" s="23"/>
      <c r="P4" s="23"/>
      <c r="Q4" s="23"/>
      <c r="R4" s="23"/>
      <c r="S4" s="23"/>
      <c r="T4" s="23"/>
      <c r="U4" s="26"/>
      <c r="Y4" s="27"/>
      <c r="Z4" s="27"/>
    </row>
    <row r="5" spans="2:29" ht="45" customHeight="1" x14ac:dyDescent="0.15">
      <c r="B5" s="380" t="s">
        <v>176</v>
      </c>
      <c r="C5" s="106" t="s">
        <v>102</v>
      </c>
      <c r="D5" s="107">
        <f>NETWORKDAYS.INTL(E5,F5,"0000100",$AA$5:$AA$12)</f>
        <v>19</v>
      </c>
      <c r="E5" s="108">
        <v>46148</v>
      </c>
      <c r="F5" s="108">
        <v>46175</v>
      </c>
      <c r="G5" s="108">
        <v>46148</v>
      </c>
      <c r="H5" s="108">
        <v>46175</v>
      </c>
      <c r="I5" s="108">
        <v>46148</v>
      </c>
      <c r="J5" s="108">
        <v>46163</v>
      </c>
      <c r="K5" s="109">
        <v>1</v>
      </c>
      <c r="L5" s="109" t="str">
        <f t="shared" ref="L5:L10" ca="1" si="0">IF(OR(K5=100%,J5&lt;&gt;""),"Completed",IF(AND(OR(K5="",K5=0),E5&gt;TODAY()),"Not Started",IF(AND(OR(K5="",K5=0),E5&lt;=TODAY()),"Delayed",IF(AND(K5&gt;0,K5&lt;100%,F5&lt;TODAY()),"Delayed",IF(AND(K5&gt;0,K5&lt;100%),"In Progress","")))))</f>
        <v>Completed</v>
      </c>
      <c r="M5" s="29"/>
      <c r="N5" s="30"/>
      <c r="O5" s="30"/>
      <c r="P5" s="30"/>
      <c r="Q5" s="30"/>
      <c r="R5" s="30"/>
      <c r="S5" s="30"/>
      <c r="T5" s="31"/>
      <c r="U5" s="32"/>
      <c r="V5" t="s">
        <v>109</v>
      </c>
      <c r="X5" s="28" t="s">
        <v>62</v>
      </c>
      <c r="Y5" s="6" t="s">
        <v>68</v>
      </c>
      <c r="AA5">
        <v>46166</v>
      </c>
      <c r="AC5" s="33"/>
    </row>
    <row r="6" spans="2:29" ht="45" customHeight="1" x14ac:dyDescent="0.15">
      <c r="B6" s="376"/>
      <c r="C6" s="106" t="s">
        <v>104</v>
      </c>
      <c r="D6" s="107">
        <f>NETWORKDAYS.INTL(E6,F6,"0000100",$AA$5:$AA$12)</f>
        <v>22</v>
      </c>
      <c r="E6" s="108">
        <v>46174</v>
      </c>
      <c r="F6" s="108">
        <f>WORKDAY.INTL(E6,21,"0000100",$AA$5:$AA$11)</f>
        <v>46198</v>
      </c>
      <c r="G6" s="108">
        <v>46174</v>
      </c>
      <c r="H6" s="108">
        <f>WORKDAY.INTL(G6,21,"0000100",$AA$5:$AA$11)</f>
        <v>46198</v>
      </c>
      <c r="I6" s="108"/>
      <c r="J6" s="108"/>
      <c r="K6" s="109">
        <v>0.5</v>
      </c>
      <c r="L6" s="109" t="str">
        <f t="shared" ca="1" si="0"/>
        <v>In Progress</v>
      </c>
      <c r="M6" s="29"/>
      <c r="N6" s="30"/>
      <c r="O6" s="30"/>
      <c r="P6" s="30"/>
      <c r="Q6" s="30"/>
      <c r="R6" s="30"/>
      <c r="S6" s="30"/>
      <c r="T6" s="31"/>
      <c r="U6" s="32"/>
      <c r="X6" s="28" t="s">
        <v>63</v>
      </c>
      <c r="Y6" s="6" t="s">
        <v>68</v>
      </c>
      <c r="AA6">
        <v>46167</v>
      </c>
      <c r="AC6" s="33"/>
    </row>
    <row r="7" spans="2:29" ht="45" customHeight="1" x14ac:dyDescent="0.15">
      <c r="B7" s="376"/>
      <c r="C7" s="106" t="s">
        <v>105</v>
      </c>
      <c r="D7" s="107"/>
      <c r="E7" s="108" t="s">
        <v>106</v>
      </c>
      <c r="F7" s="108">
        <v>46222</v>
      </c>
      <c r="G7" s="108" t="s">
        <v>106</v>
      </c>
      <c r="H7" s="108">
        <v>46222</v>
      </c>
      <c r="I7" s="108"/>
      <c r="J7" s="108"/>
      <c r="K7" s="109"/>
      <c r="L7" s="109" t="str">
        <f t="shared" ca="1" si="0"/>
        <v>Not Started</v>
      </c>
      <c r="M7" s="29"/>
      <c r="N7" s="30"/>
      <c r="O7" s="30"/>
      <c r="P7" s="30"/>
      <c r="Q7" s="30"/>
      <c r="R7" s="30"/>
      <c r="S7" s="30"/>
      <c r="T7" s="31"/>
      <c r="U7" s="32"/>
      <c r="X7" s="6"/>
      <c r="AA7">
        <v>46168</v>
      </c>
      <c r="AC7" s="33"/>
    </row>
    <row r="8" spans="2:29" ht="45" customHeight="1" x14ac:dyDescent="0.15">
      <c r="B8" s="376"/>
      <c r="C8" s="110" t="s">
        <v>107</v>
      </c>
      <c r="D8" s="107">
        <f>NETWORKDAYS.INTL(E8,F8,"0000110",$AA$5:$AA$12)</f>
        <v>3</v>
      </c>
      <c r="E8" s="108">
        <f>WORKDAY.INTL(F7,1,"0000110")</f>
        <v>46223</v>
      </c>
      <c r="F8" s="108">
        <f>WORKDAY.INTL(E8,2,"0000110")</f>
        <v>46225</v>
      </c>
      <c r="G8" s="108">
        <f>WORKDAY.INTL(H7,1,"0000110")</f>
        <v>46223</v>
      </c>
      <c r="H8" s="108">
        <f>WORKDAY.INTL(G8,2,"0000110")</f>
        <v>46225</v>
      </c>
      <c r="I8" s="108"/>
      <c r="J8" s="108"/>
      <c r="K8" s="109"/>
      <c r="L8" s="109" t="str">
        <f t="shared" ca="1" si="0"/>
        <v>Not Started</v>
      </c>
      <c r="M8" s="29"/>
      <c r="N8" s="34"/>
      <c r="O8" s="34"/>
      <c r="P8" s="34"/>
      <c r="Q8" s="34"/>
      <c r="R8" s="34"/>
      <c r="S8" s="34"/>
      <c r="T8" s="35"/>
      <c r="U8" s="32" t="s">
        <v>177</v>
      </c>
      <c r="X8" s="28" t="s">
        <v>64</v>
      </c>
      <c r="Y8" s="6" t="s">
        <v>68</v>
      </c>
      <c r="AA8">
        <v>46169</v>
      </c>
      <c r="AC8" s="33"/>
    </row>
    <row r="9" spans="2:29" ht="45" customHeight="1" x14ac:dyDescent="0.15">
      <c r="B9" s="376"/>
      <c r="C9" s="110" t="s">
        <v>110</v>
      </c>
      <c r="D9" s="107">
        <f>NETWORKDAYS.INTL(E9,F9,"0000110",$AA$5:$AA$12)</f>
        <v>2</v>
      </c>
      <c r="E9" s="108">
        <f>WORKDAY.INTL(F8,1,"0000110")</f>
        <v>46226</v>
      </c>
      <c r="F9" s="108">
        <f>WORKDAY.INTL(E9,1,"0000110")</f>
        <v>46229</v>
      </c>
      <c r="G9" s="108">
        <f>WORKDAY.INTL(H8,1,"0000110")</f>
        <v>46226</v>
      </c>
      <c r="H9" s="108">
        <f>WORKDAY.INTL(G9,1,"0000110")</f>
        <v>46229</v>
      </c>
      <c r="I9" s="108"/>
      <c r="J9" s="108"/>
      <c r="K9" s="109"/>
      <c r="L9" s="109" t="str">
        <f t="shared" ca="1" si="0"/>
        <v>Not Started</v>
      </c>
      <c r="M9" s="29"/>
      <c r="N9" s="34"/>
      <c r="O9" s="34"/>
      <c r="P9" s="34"/>
      <c r="Q9" s="34"/>
      <c r="R9" s="34"/>
      <c r="S9" s="34"/>
      <c r="T9" s="35"/>
      <c r="U9" s="32" t="s">
        <v>111</v>
      </c>
      <c r="X9" s="28" t="s">
        <v>65</v>
      </c>
      <c r="Y9" s="6" t="s">
        <v>68</v>
      </c>
      <c r="AA9">
        <v>46170</v>
      </c>
      <c r="AC9" s="33"/>
    </row>
    <row r="10" spans="2:29" s="62" customFormat="1" ht="45" customHeight="1" thickBot="1" x14ac:dyDescent="0.3">
      <c r="B10" s="381"/>
      <c r="C10" s="110" t="s">
        <v>112</v>
      </c>
      <c r="D10" s="107">
        <f>NETWORKDAYS.INTL(E10,F10,"0000110",$AA$5:$AA$12)</f>
        <v>1</v>
      </c>
      <c r="E10" s="108">
        <f>WORKDAY.INTL(F9,0,"0000110")</f>
        <v>46229</v>
      </c>
      <c r="F10" s="108">
        <f>WORKDAY.INTL(E10,0,"0000110")</f>
        <v>46229</v>
      </c>
      <c r="G10" s="108">
        <f>WORKDAY.INTL(H9,0,"0000110")</f>
        <v>46229</v>
      </c>
      <c r="H10" s="108">
        <f>WORKDAY.INTL(G10,0,"0000110")</f>
        <v>46229</v>
      </c>
      <c r="I10" s="108"/>
      <c r="J10" s="108"/>
      <c r="K10" s="109"/>
      <c r="L10" s="109" t="str">
        <f t="shared" ca="1" si="0"/>
        <v>Not Started</v>
      </c>
      <c r="M10" s="72"/>
      <c r="N10" s="63"/>
      <c r="O10" s="63"/>
      <c r="P10" s="63"/>
      <c r="Q10" s="63"/>
      <c r="R10" s="63"/>
      <c r="S10" s="63"/>
      <c r="T10" s="64"/>
      <c r="U10" s="65"/>
      <c r="X10" s="66" t="s">
        <v>66</v>
      </c>
      <c r="Y10" s="67" t="s">
        <v>68</v>
      </c>
      <c r="Z10" s="67"/>
      <c r="AA10" s="62">
        <v>46171</v>
      </c>
      <c r="AC10" s="68"/>
    </row>
    <row r="11" spans="2:29" s="1" customFormat="1" ht="4.5" customHeight="1" thickBot="1" x14ac:dyDescent="0.2">
      <c r="B11" s="23"/>
      <c r="C11" s="23" t="s">
        <v>178</v>
      </c>
      <c r="D11" s="24"/>
      <c r="E11" s="23"/>
      <c r="F11" s="23"/>
      <c r="G11" s="23"/>
      <c r="H11" s="23"/>
      <c r="I11" s="23"/>
      <c r="J11" s="23"/>
      <c r="K11" s="25"/>
      <c r="L11" s="25"/>
      <c r="M11" s="23"/>
      <c r="N11" s="23"/>
      <c r="O11" s="23"/>
      <c r="P11" s="23"/>
      <c r="Q11" s="23"/>
      <c r="R11" s="23"/>
      <c r="S11" s="23"/>
      <c r="T11" s="23"/>
      <c r="U11" s="26"/>
      <c r="X11" s="27"/>
      <c r="Y11" s="27"/>
      <c r="AA11" s="1">
        <v>46288</v>
      </c>
      <c r="AC11" s="33"/>
    </row>
    <row r="12" spans="2:29" ht="45" customHeight="1" x14ac:dyDescent="0.15">
      <c r="B12" s="377" t="s">
        <v>179</v>
      </c>
      <c r="C12" s="111" t="s">
        <v>102</v>
      </c>
      <c r="D12" s="112">
        <f>NETWORKDAYS.INTL(E12,F12,"0000100",$AA$5:$AA$12)</f>
        <v>7</v>
      </c>
      <c r="E12" s="113">
        <f>WORKDAY.INTL(F5,1,"0000100",$AA$5:$AA$11)</f>
        <v>46176</v>
      </c>
      <c r="F12" s="114">
        <f>WORKDAY.INTL(E12,6,"0000100",$AA$5:$AA$11)</f>
        <v>46183</v>
      </c>
      <c r="G12" s="113">
        <f>WORKDAY.INTL(H5,1,"0000100",$AA$5:$AA$11)</f>
        <v>46176</v>
      </c>
      <c r="H12" s="114">
        <f>WORKDAY.INTL(G12,6,"0000100",$AA$5:$AA$11)</f>
        <v>46183</v>
      </c>
      <c r="I12" s="114">
        <v>46164</v>
      </c>
      <c r="J12" s="114">
        <v>46182</v>
      </c>
      <c r="K12" s="115">
        <v>1</v>
      </c>
      <c r="L12" s="115" t="str">
        <f ca="1">IF(OR(K12=100%,J12&lt;&gt;""),"Completed",IF(AND(OR(K12="",K12=0),E12&gt;TODAY()),"Not Started",IF(AND(OR(K12="",K12=0),E12&lt;=TODAY()),"Delayed",IF(AND(K12&gt;0,K12&lt;100%,F12&lt;TODAY()),"Delayed",IF(AND(K12&gt;0,K12&lt;100%),"In Progress","")))))</f>
        <v>Completed</v>
      </c>
      <c r="M12" s="36"/>
      <c r="N12" s="37"/>
      <c r="O12" s="37"/>
      <c r="P12" s="37"/>
      <c r="Q12" s="37"/>
      <c r="R12" s="37"/>
      <c r="S12" s="37"/>
      <c r="T12" s="38"/>
      <c r="U12" s="39"/>
      <c r="X12" s="28" t="s">
        <v>62</v>
      </c>
      <c r="Y12" s="6" t="s">
        <v>69</v>
      </c>
      <c r="AA12">
        <v>46288</v>
      </c>
      <c r="AC12" s="33"/>
    </row>
    <row r="13" spans="2:29" ht="45" customHeight="1" x14ac:dyDescent="0.15">
      <c r="B13" s="378"/>
      <c r="C13" s="116" t="s">
        <v>104</v>
      </c>
      <c r="D13" s="117">
        <f>NETWORKDAYS.INTL(E13,F13,"0000100",$AA$5:$AA$12)</f>
        <v>20</v>
      </c>
      <c r="E13" s="113">
        <v>46183</v>
      </c>
      <c r="F13" s="114">
        <f>WORKDAY.INTL(E13,19,"0000100",$AA$5:$AA$11)</f>
        <v>46205</v>
      </c>
      <c r="G13" s="113">
        <v>46183</v>
      </c>
      <c r="H13" s="114">
        <f>WORKDAY.INTL(G13,19,"0000100",$AA$5:$AA$11)</f>
        <v>46205</v>
      </c>
      <c r="I13" s="114"/>
      <c r="J13" s="114"/>
      <c r="K13" s="115">
        <v>0.2</v>
      </c>
      <c r="L13" s="115" t="str">
        <f ca="1">IF(OR(K13=100%,J13&lt;&gt;""),"Completed",IF(AND(OR(K13="",K13=0),E13&gt;TODAY()),"Not Started",IF(AND(OR(K13="",K13=0),E13&lt;=TODAY()),"Delayed",IF(AND(K13&gt;0,K13&lt;100%,F13&lt;TODAY()),"Delayed",IF(AND(K13&gt;0,K13&lt;100%),"In Progress","")))))</f>
        <v>In Progress</v>
      </c>
      <c r="M13" s="36"/>
      <c r="N13" s="40"/>
      <c r="O13" s="40"/>
      <c r="P13" s="40"/>
      <c r="Q13" s="40"/>
      <c r="R13" s="40"/>
      <c r="S13" s="40"/>
      <c r="T13" s="41"/>
      <c r="U13" s="42"/>
      <c r="X13" s="28" t="s">
        <v>63</v>
      </c>
      <c r="Y13" s="6" t="s">
        <v>69</v>
      </c>
    </row>
    <row r="14" spans="2:29" ht="45" customHeight="1" x14ac:dyDescent="0.15">
      <c r="B14" s="378"/>
      <c r="C14" s="118" t="s">
        <v>107</v>
      </c>
      <c r="D14" s="117">
        <f>NETWORKDAYS.INTL(E14,F14,"0000110",$AA$5:$AA$12)</f>
        <v>2</v>
      </c>
      <c r="E14" s="113">
        <f>WORKDAY.INTL(F8,1,"0000110")</f>
        <v>46226</v>
      </c>
      <c r="F14" s="113">
        <f>WORKDAY.INTL(E14,1,"0000110")</f>
        <v>46229</v>
      </c>
      <c r="G14" s="113">
        <f>WORKDAY.INTL(H8,1,"0000110")</f>
        <v>46226</v>
      </c>
      <c r="H14" s="113">
        <f>WORKDAY.INTL(G14,1,"0000110")</f>
        <v>46229</v>
      </c>
      <c r="I14" s="113"/>
      <c r="J14" s="113"/>
      <c r="K14" s="119"/>
      <c r="L14" s="119" t="str">
        <f ca="1">IF(OR(K14=100%,J14&lt;&gt;""),"Completed",IF(AND(OR(K14="",K14=0),E14&gt;TODAY()),"Not Started",IF(AND(OR(K14="",K14=0),E14&lt;=TODAY()),"Delayed",IF(AND(K14&gt;0,K14&lt;100%,F14&lt;TODAY()),"Delayed",IF(AND(K14&gt;0,K14&lt;100%),"In Progress","")))))</f>
        <v>Not Started</v>
      </c>
      <c r="M14" s="36"/>
      <c r="N14" s="43"/>
      <c r="O14" s="43"/>
      <c r="P14" s="43"/>
      <c r="Q14" s="43"/>
      <c r="R14" s="43"/>
      <c r="S14" s="43"/>
      <c r="T14" s="44"/>
      <c r="U14" s="42"/>
      <c r="X14" s="28" t="s">
        <v>64</v>
      </c>
      <c r="Y14" s="6" t="s">
        <v>69</v>
      </c>
    </row>
    <row r="15" spans="2:29" ht="45" customHeight="1" x14ac:dyDescent="0.15">
      <c r="B15" s="378"/>
      <c r="C15" s="118" t="s">
        <v>110</v>
      </c>
      <c r="D15" s="117">
        <f>NETWORKDAYS.INTL(E15,F15,"0000110",$AA$5:$AA$12)</f>
        <v>2</v>
      </c>
      <c r="E15" s="113">
        <f>WORKDAY.INTL(F14,1,"0000110")</f>
        <v>46230</v>
      </c>
      <c r="F15" s="113">
        <f>WORKDAY.INTL(E15,1,"0000110")</f>
        <v>46231</v>
      </c>
      <c r="G15" s="113">
        <f>WORKDAY.INTL(H14,1,"0000110")</f>
        <v>46230</v>
      </c>
      <c r="H15" s="113">
        <f>WORKDAY.INTL(G15,1,"0000110")</f>
        <v>46231</v>
      </c>
      <c r="I15" s="113"/>
      <c r="J15" s="113"/>
      <c r="K15" s="119"/>
      <c r="L15" s="119" t="str">
        <f ca="1">IF(OR(K15=100%,J15&lt;&gt;""),"Completed",IF(AND(OR(K15="",K15=0),E15&gt;TODAY()),"Not Started",IF(AND(OR(K15="",K15=0),E15&lt;=TODAY()),"Delayed",IF(AND(K15&gt;0,K15&lt;100%,F15&lt;TODAY()),"Delayed",IF(AND(K15&gt;0,K15&lt;100%),"In Progress","")))))</f>
        <v>Not Started</v>
      </c>
      <c r="M15" s="36"/>
      <c r="N15" s="43"/>
      <c r="O15" s="43"/>
      <c r="P15" s="43"/>
      <c r="Q15" s="43"/>
      <c r="R15" s="43"/>
      <c r="S15" s="43"/>
      <c r="T15" s="44"/>
      <c r="U15" s="42"/>
      <c r="X15" s="28" t="s">
        <v>65</v>
      </c>
      <c r="Y15" s="6" t="s">
        <v>69</v>
      </c>
    </row>
    <row r="16" spans="2:29" s="62" customFormat="1" ht="45" customHeight="1" thickBot="1" x14ac:dyDescent="0.3">
      <c r="B16" s="379"/>
      <c r="C16" s="118" t="s">
        <v>112</v>
      </c>
      <c r="D16" s="117">
        <f>NETWORKDAYS.INTL(E16,F16,"0000110",$AA$5:$AA$12)</f>
        <v>1</v>
      </c>
      <c r="E16" s="113">
        <f>WORKDAY.INTL(F15,0,"0000110")</f>
        <v>46231</v>
      </c>
      <c r="F16" s="113">
        <f>WORKDAY.INTL(E16,0,"0000110")</f>
        <v>46231</v>
      </c>
      <c r="G16" s="113">
        <f>WORKDAY.INTL(H15,0,"0000110")</f>
        <v>46231</v>
      </c>
      <c r="H16" s="113">
        <f>WORKDAY.INTL(G16,0,"0000110")</f>
        <v>46231</v>
      </c>
      <c r="I16" s="113"/>
      <c r="J16" s="113"/>
      <c r="K16" s="119"/>
      <c r="L16" s="119" t="str">
        <f ca="1">IF(OR(K16=100%,J16&lt;&gt;""),"Completed",IF(AND(OR(K16="",K16=0),E16&gt;TODAY()),"Not Started",IF(AND(OR(K16="",K16=0),E16&lt;=TODAY()),"Delayed",IF(AND(K16&gt;0,K16&lt;100%,F16&lt;TODAY()),"Delayed",IF(AND(K16&gt;0,K16&lt;100%),"In Progress","")))))</f>
        <v>Not Started</v>
      </c>
      <c r="M16" s="73"/>
      <c r="N16" s="69"/>
      <c r="O16" s="69"/>
      <c r="P16" s="69"/>
      <c r="Q16" s="69"/>
      <c r="R16" s="69"/>
      <c r="S16" s="69"/>
      <c r="T16" s="70"/>
      <c r="U16" s="71"/>
      <c r="X16" s="66" t="s">
        <v>66</v>
      </c>
      <c r="Y16" s="67" t="s">
        <v>69</v>
      </c>
      <c r="Z16" s="67"/>
    </row>
    <row r="17" spans="2:29" s="1" customFormat="1" ht="4.5" customHeight="1" thickBot="1" x14ac:dyDescent="0.2">
      <c r="B17" s="23"/>
      <c r="C17" s="23" t="s">
        <v>178</v>
      </c>
      <c r="D17" s="24"/>
      <c r="E17" s="23"/>
      <c r="F17" s="23"/>
      <c r="G17" s="23"/>
      <c r="H17" s="23"/>
      <c r="I17" s="23"/>
      <c r="J17" s="23"/>
      <c r="K17" s="25"/>
      <c r="L17" s="25"/>
      <c r="M17" s="23"/>
      <c r="N17" s="23"/>
      <c r="O17" s="23"/>
      <c r="P17" s="23"/>
      <c r="Q17" s="23"/>
      <c r="R17" s="23"/>
      <c r="S17" s="23"/>
      <c r="T17" s="23"/>
      <c r="U17" s="26"/>
      <c r="X17" s="27"/>
      <c r="Y17" s="27"/>
    </row>
    <row r="18" spans="2:29" ht="45" customHeight="1" x14ac:dyDescent="0.15">
      <c r="B18" s="380" t="s">
        <v>114</v>
      </c>
      <c r="C18" s="106" t="s">
        <v>102</v>
      </c>
      <c r="D18" s="107">
        <f>NETWORKDAYS.INTL(E18,F18,"0000100",$AA$5:$AA$12)</f>
        <v>13</v>
      </c>
      <c r="E18" s="108">
        <f>WORKDAY.INTL(F12,1,"0000100",$AA$5:$AA$11)</f>
        <v>46184</v>
      </c>
      <c r="F18" s="108">
        <f>WORKDAY.INTL(E18,12,"0000100",$AA$5:$AA$11)</f>
        <v>46198</v>
      </c>
      <c r="G18" s="108">
        <f>WORKDAY.INTL(H12,1,"0000100",$AA$5:$AA$11)</f>
        <v>46184</v>
      </c>
      <c r="H18" s="108">
        <f>WORKDAY.INTL(G18,12,"0000100",$AA$5:$AA$11)</f>
        <v>46198</v>
      </c>
      <c r="I18" s="108">
        <v>46171</v>
      </c>
      <c r="J18" s="108"/>
      <c r="K18" s="109">
        <v>0.9</v>
      </c>
      <c r="L18" s="109" t="str">
        <f ca="1">IF(OR(K18=100%,J18&lt;&gt;""),"Completed",IF(AND(OR(K18="",K18=0),E18&gt;TODAY()),"Not Started",IF(AND(OR(K18="",K18=0),E18&lt;=TODAY()),"Delayed",IF(AND(K18&gt;0,K18&lt;100%,F18&lt;TODAY()),"Delayed",IF(AND(K18&gt;0,K18&lt;100%),"In Progress","")))))</f>
        <v>In Progress</v>
      </c>
      <c r="M18" s="29"/>
      <c r="N18" s="30"/>
      <c r="O18" s="30"/>
      <c r="P18" s="30"/>
      <c r="Q18" s="30"/>
      <c r="R18" s="30"/>
      <c r="S18" s="30"/>
      <c r="T18" s="31"/>
      <c r="U18" s="32"/>
      <c r="X18" s="28" t="s">
        <v>62</v>
      </c>
      <c r="Y18" s="6" t="s">
        <v>70</v>
      </c>
    </row>
    <row r="19" spans="2:29" ht="45" customHeight="1" x14ac:dyDescent="0.15">
      <c r="B19" s="376"/>
      <c r="C19" s="106" t="s">
        <v>104</v>
      </c>
      <c r="D19" s="107">
        <f>NETWORKDAYS.INTL(E19,F19,"0000100",$AA$5:$AA$12)</f>
        <v>5</v>
      </c>
      <c r="E19" s="108">
        <f>WORKDAY.INTL(F13,1,"0000100",$AA$5:$AA$11)</f>
        <v>46207</v>
      </c>
      <c r="F19" s="108">
        <f>WORKDAY.INTL(E19,4,"0000100",$AA$5:$AA$11)</f>
        <v>46211</v>
      </c>
      <c r="G19" s="108">
        <f>WORKDAY.INTL(H13,1,"0000100",$AA$5:$AA$11)</f>
        <v>46207</v>
      </c>
      <c r="H19" s="108">
        <f>WORKDAY.INTL(G19,4,"0000100",$AA$5:$AA$11)</f>
        <v>46211</v>
      </c>
      <c r="I19" s="108"/>
      <c r="J19" s="108"/>
      <c r="K19" s="109"/>
      <c r="L19" s="109" t="str">
        <f ca="1">IF(OR(K19=100%,J19&lt;&gt;""),"Completed",IF(AND(OR(K19="",K19=0),E19&gt;TODAY()),"Not Started",IF(AND(OR(K19="",K19=0),E19&lt;=TODAY()),"Delayed",IF(AND(K19&gt;0,K19&lt;100%,F19&lt;TODAY()),"Delayed",IF(AND(K19&gt;0,K19&lt;100%),"In Progress","")))))</f>
        <v>Not Started</v>
      </c>
      <c r="M19" s="29"/>
      <c r="N19" s="30"/>
      <c r="O19" s="30"/>
      <c r="P19" s="30"/>
      <c r="Q19" s="30"/>
      <c r="R19" s="30"/>
      <c r="S19" s="30"/>
      <c r="T19" s="31"/>
      <c r="U19" s="32"/>
      <c r="X19" s="28" t="s">
        <v>63</v>
      </c>
      <c r="Y19" s="6" t="s">
        <v>70</v>
      </c>
    </row>
    <row r="20" spans="2:29" ht="45" customHeight="1" x14ac:dyDescent="0.15">
      <c r="B20" s="376"/>
      <c r="C20" s="106" t="s">
        <v>107</v>
      </c>
      <c r="D20" s="107">
        <f>NETWORKDAYS.INTL(E20,F20,"0000110",$AA$5:$AA$12)</f>
        <v>5</v>
      </c>
      <c r="E20" s="108">
        <f>WORKDAY.INTL(F14,1,"0000110")</f>
        <v>46230</v>
      </c>
      <c r="F20" s="108">
        <f>WORKDAY.INTL(E20,4,"0000110")</f>
        <v>46236</v>
      </c>
      <c r="G20" s="108">
        <f>WORKDAY.INTL(H14,1,"0000110")</f>
        <v>46230</v>
      </c>
      <c r="H20" s="108">
        <f>WORKDAY.INTL(G20,4,"0000110")</f>
        <v>46236</v>
      </c>
      <c r="I20" s="108"/>
      <c r="J20" s="108"/>
      <c r="K20" s="109"/>
      <c r="L20" s="109" t="str">
        <f ca="1">IF(OR(K20=100%,J20&lt;&gt;""),"Completed",IF(AND(OR(K20="",K20=0),E20&gt;TODAY()),"Not Started",IF(AND(OR(K20="",K20=0),E20&lt;=TODAY()),"Delayed",IF(AND(K20&gt;0,K20&lt;100%,F20&lt;TODAY()),"Delayed",IF(AND(K20&gt;0,K20&lt;100%),"In Progress","")))))</f>
        <v>Not Started</v>
      </c>
      <c r="M20" s="29"/>
      <c r="N20" s="30"/>
      <c r="O20" s="30"/>
      <c r="P20" s="30"/>
      <c r="Q20" s="30"/>
      <c r="R20" s="30"/>
      <c r="S20" s="30"/>
      <c r="T20" s="31"/>
      <c r="U20" s="32"/>
      <c r="X20" s="28" t="s">
        <v>64</v>
      </c>
      <c r="Y20" s="6" t="s">
        <v>70</v>
      </c>
    </row>
    <row r="21" spans="2:29" ht="45" customHeight="1" x14ac:dyDescent="0.15">
      <c r="B21" s="376"/>
      <c r="C21" s="110" t="s">
        <v>110</v>
      </c>
      <c r="D21" s="107">
        <f>NETWORKDAYS.INTL(E21,F21,"0000110",$AA$5:$AA$12)</f>
        <v>2</v>
      </c>
      <c r="E21" s="108">
        <f>WORKDAY.INTL(F20,1,"0000110")</f>
        <v>46237</v>
      </c>
      <c r="F21" s="108">
        <f>WORKDAY.INTL(E21,1,"0000110")</f>
        <v>46238</v>
      </c>
      <c r="G21" s="108">
        <f>WORKDAY.INTL(H20,1,"0000110")</f>
        <v>46237</v>
      </c>
      <c r="H21" s="108">
        <f>WORKDAY.INTL(G21,1,"0000110")</f>
        <v>46238</v>
      </c>
      <c r="I21" s="108"/>
      <c r="J21" s="108"/>
      <c r="K21" s="109"/>
      <c r="L21" s="109" t="str">
        <f ca="1">IF(OR(K21=100%,J21&lt;&gt;""),"Completed",IF(AND(OR(K21="",K21=0),E21&gt;TODAY()),"Not Started",IF(AND(OR(K21="",K21=0),E21&lt;=TODAY()),"Delayed",IF(AND(K21&gt;0,K21&lt;100%,F21&lt;TODAY()),"Delayed",IF(AND(K21&gt;0,K21&lt;100%),"In Progress","")))))</f>
        <v>Not Started</v>
      </c>
      <c r="M21" s="29"/>
      <c r="N21" s="34"/>
      <c r="O21" s="34"/>
      <c r="P21" s="34"/>
      <c r="Q21" s="34"/>
      <c r="R21" s="34"/>
      <c r="S21" s="34"/>
      <c r="T21" s="35"/>
      <c r="U21" s="32"/>
      <c r="X21" s="28" t="s">
        <v>65</v>
      </c>
      <c r="Y21" s="6" t="s">
        <v>70</v>
      </c>
    </row>
    <row r="22" spans="2:29" s="62" customFormat="1" ht="45" customHeight="1" thickBot="1" x14ac:dyDescent="0.3">
      <c r="B22" s="381"/>
      <c r="C22" s="110" t="s">
        <v>112</v>
      </c>
      <c r="D22" s="107">
        <f>NETWORKDAYS.INTL(E22,F22,"0000110",$AA$5:$AA$12)</f>
        <v>1</v>
      </c>
      <c r="E22" s="108">
        <f>WORKDAY.INTL(F21,0,"0000110")</f>
        <v>46238</v>
      </c>
      <c r="F22" s="108">
        <f>WORKDAY.INTL(E22,0,"0000110")</f>
        <v>46238</v>
      </c>
      <c r="G22" s="108">
        <f>WORKDAY.INTL(H21,0,"0000110")</f>
        <v>46238</v>
      </c>
      <c r="H22" s="108">
        <f>WORKDAY.INTL(G22,0,"0000110")</f>
        <v>46238</v>
      </c>
      <c r="I22" s="108"/>
      <c r="J22" s="108"/>
      <c r="K22" s="109"/>
      <c r="L22" s="109" t="str">
        <f ca="1">IF(OR(K22=100%,J22&lt;&gt;""),"Completed",IF(AND(OR(K22="",K22=0),E22&gt;TODAY()),"Not Started",IF(AND(OR(K22="",K22=0),E22&lt;=TODAY()),"Delayed",IF(AND(K22&gt;0,K22&lt;100%,F22&lt;TODAY()),"Delayed",IF(AND(K22&gt;0,K22&lt;100%),"In Progress","")))))</f>
        <v>Not Started</v>
      </c>
      <c r="M22" s="29"/>
      <c r="N22" s="34"/>
      <c r="O22" s="34"/>
      <c r="P22" s="34"/>
      <c r="Q22" s="34"/>
      <c r="R22" s="34"/>
      <c r="S22" s="34"/>
      <c r="T22" s="35"/>
      <c r="U22" s="32"/>
      <c r="X22" s="66" t="s">
        <v>66</v>
      </c>
      <c r="Y22" s="67" t="s">
        <v>70</v>
      </c>
      <c r="Z22" s="67"/>
    </row>
    <row r="23" spans="2:29" s="1" customFormat="1" ht="4.5" customHeight="1" thickBot="1" x14ac:dyDescent="0.2">
      <c r="B23" s="23"/>
      <c r="C23" s="23" t="s">
        <v>178</v>
      </c>
      <c r="D23" s="24"/>
      <c r="E23" s="23"/>
      <c r="F23" s="23"/>
      <c r="G23" s="23"/>
      <c r="H23" s="23"/>
      <c r="I23" s="23"/>
      <c r="J23" s="23"/>
      <c r="K23" s="25"/>
      <c r="L23" s="25"/>
      <c r="M23" s="23"/>
      <c r="N23" s="23"/>
      <c r="O23" s="23"/>
      <c r="P23" s="23"/>
      <c r="Q23" s="23"/>
      <c r="R23" s="23"/>
      <c r="S23" s="23"/>
      <c r="T23" s="23"/>
      <c r="U23" s="26"/>
      <c r="X23" s="27"/>
      <c r="Y23" s="27"/>
    </row>
    <row r="24" spans="2:29" ht="45" customHeight="1" x14ac:dyDescent="0.15">
      <c r="B24" s="377" t="s">
        <v>161</v>
      </c>
      <c r="C24" s="111" t="s">
        <v>102</v>
      </c>
      <c r="D24" s="112">
        <f>NETWORKDAYS.INTL(E24,F24,"0000100",$AA$5:$AA$12)</f>
        <v>7</v>
      </c>
      <c r="E24" s="113">
        <f>WORKDAY.INTL(F18,1,"0000100",$AA$5:$AA$11)</f>
        <v>46200</v>
      </c>
      <c r="F24" s="114">
        <f>WORKDAY.INTL(E24,6,"0000100",$AA$5:$AA$11)</f>
        <v>46207</v>
      </c>
      <c r="G24" s="113">
        <f>WORKDAY.INTL(H18,1,"0000100",$AA$5:$AA$11)</f>
        <v>46200</v>
      </c>
      <c r="H24" s="114">
        <f>WORKDAY.INTL(G24,6,"0000100",$AA$5:$AA$11)</f>
        <v>46207</v>
      </c>
      <c r="I24" s="114"/>
      <c r="J24" s="114"/>
      <c r="K24" s="115"/>
      <c r="L24" s="115" t="str">
        <f ca="1">IF(OR(K24=100%,J24&lt;&gt;""),"Completed",IF(AND(OR(K24="",K24=0),E24&gt;TODAY()),"Not Started",IF(AND(OR(K24="",K24=0),E24&lt;=TODAY()),"Delayed",IF(AND(K24&gt;0,K24&lt;100%,F24&lt;TODAY()),"Delayed",IF(AND(K24&gt;0,K24&lt;100%),"In Progress","")))))</f>
        <v>Not Started</v>
      </c>
      <c r="M24" s="36"/>
      <c r="N24" s="37"/>
      <c r="O24" s="37"/>
      <c r="P24" s="37"/>
      <c r="Q24" s="37"/>
      <c r="R24" s="37"/>
      <c r="S24" s="37"/>
      <c r="T24" s="38"/>
      <c r="U24" s="39"/>
      <c r="X24" s="28" t="s">
        <v>62</v>
      </c>
      <c r="Y24" s="6" t="s">
        <v>71</v>
      </c>
      <c r="AC24" s="33"/>
    </row>
    <row r="25" spans="2:29" ht="45" customHeight="1" x14ac:dyDescent="0.15">
      <c r="B25" s="378"/>
      <c r="C25" s="116" t="s">
        <v>104</v>
      </c>
      <c r="D25" s="117">
        <f>NETWORKDAYS.INTL(E25,F25,"0000100",$AA$5:$AA$12)</f>
        <v>5</v>
      </c>
      <c r="E25" s="113">
        <f>WORKDAY.INTL(F19,1,"0000100",$AA$5:$AA$11)</f>
        <v>46212</v>
      </c>
      <c r="F25" s="114">
        <f>WORKDAY.INTL(E25,4,"0000100",$AA$5:$AA$11)</f>
        <v>46217</v>
      </c>
      <c r="G25" s="113">
        <f>WORKDAY.INTL(H19,1,"0000100",$AA$5:$AA$11)</f>
        <v>46212</v>
      </c>
      <c r="H25" s="114">
        <f>WORKDAY.INTL(G25,4,"0000100",$AA$5:$AA$11)</f>
        <v>46217</v>
      </c>
      <c r="I25" s="114"/>
      <c r="J25" s="114"/>
      <c r="K25" s="115"/>
      <c r="L25" s="115" t="str">
        <f ca="1">IF(OR(K25=100%,J25&lt;&gt;""),"Completed",IF(AND(OR(K25="",K25=0),E25&gt;TODAY()),"Not Started",IF(AND(OR(K25="",K25=0),E25&lt;=TODAY()),"Delayed",IF(AND(K25&gt;0,K25&lt;100%,F25&lt;TODAY()),"Delayed",IF(AND(K25&gt;0,K25&lt;100%),"In Progress","")))))</f>
        <v>Not Started</v>
      </c>
      <c r="M25" s="36"/>
      <c r="N25" s="40"/>
      <c r="O25" s="40"/>
      <c r="P25" s="40"/>
      <c r="Q25" s="40"/>
      <c r="R25" s="40"/>
      <c r="S25" s="40"/>
      <c r="T25" s="41"/>
      <c r="U25" s="42"/>
      <c r="X25" s="28" t="s">
        <v>63</v>
      </c>
      <c r="Y25" s="6" t="s">
        <v>71</v>
      </c>
    </row>
    <row r="26" spans="2:29" ht="45" customHeight="1" x14ac:dyDescent="0.15">
      <c r="B26" s="378"/>
      <c r="C26" s="118" t="s">
        <v>107</v>
      </c>
      <c r="D26" s="117">
        <f>NETWORKDAYS.INTL(E26,F26,"0000110",$AA$5:$AA$12)</f>
        <v>4</v>
      </c>
      <c r="E26" s="113">
        <f>WORKDAY.INTL(F20,1,"0000110")</f>
        <v>46237</v>
      </c>
      <c r="F26" s="113">
        <f>WORKDAY.INTL(E26,3,"0000110")</f>
        <v>46240</v>
      </c>
      <c r="G26" s="113">
        <f>WORKDAY.INTL(H20,1,"0000110")</f>
        <v>46237</v>
      </c>
      <c r="H26" s="113">
        <f>WORKDAY.INTL(G26,3,"0000110")</f>
        <v>46240</v>
      </c>
      <c r="I26" s="113"/>
      <c r="J26" s="113"/>
      <c r="K26" s="119"/>
      <c r="L26" s="119" t="str">
        <f ca="1">IF(OR(K26=100%,J26&lt;&gt;""),"Completed",IF(AND(OR(K26="",K26=0),E26&gt;TODAY()),"Not Started",IF(AND(OR(K26="",K26=0),E26&lt;=TODAY()),"Delayed",IF(AND(K26&gt;0,K26&lt;100%,F26&lt;TODAY()),"Delayed",IF(AND(K26&gt;0,K26&lt;100%),"In Progress","")))))</f>
        <v>Not Started</v>
      </c>
      <c r="M26" s="36"/>
      <c r="N26" s="43"/>
      <c r="O26" s="43"/>
      <c r="P26" s="43"/>
      <c r="Q26" s="43"/>
      <c r="R26" s="43"/>
      <c r="S26" s="43"/>
      <c r="T26" s="44"/>
      <c r="U26" s="42"/>
      <c r="X26" s="28" t="s">
        <v>64</v>
      </c>
      <c r="Y26" s="6" t="s">
        <v>71</v>
      </c>
    </row>
    <row r="27" spans="2:29" ht="45" customHeight="1" x14ac:dyDescent="0.15">
      <c r="B27" s="378"/>
      <c r="C27" s="118" t="s">
        <v>110</v>
      </c>
      <c r="D27" s="117">
        <f>NETWORKDAYS.INTL(E27,F27,"0000110",$AA$5:$AA$12)</f>
        <v>2</v>
      </c>
      <c r="E27" s="113">
        <f>WORKDAY.INTL(F26,1,"0000110")</f>
        <v>46243</v>
      </c>
      <c r="F27" s="113">
        <f>WORKDAY.INTL(E27,1,"0000110")</f>
        <v>46244</v>
      </c>
      <c r="G27" s="113">
        <f>WORKDAY.INTL(H26,1,"0000110")</f>
        <v>46243</v>
      </c>
      <c r="H27" s="113">
        <f>WORKDAY.INTL(G27,1,"0000110")</f>
        <v>46244</v>
      </c>
      <c r="I27" s="113"/>
      <c r="J27" s="113"/>
      <c r="K27" s="119"/>
      <c r="L27" s="119" t="str">
        <f ca="1">IF(OR(K27=100%,J27&lt;&gt;""),"Completed",IF(AND(OR(K27="",K27=0),E27&gt;TODAY()),"Not Started",IF(AND(OR(K27="",K27=0),E27&lt;=TODAY()),"Delayed",IF(AND(K27&gt;0,K27&lt;100%,F27&lt;TODAY()),"Delayed",IF(AND(K27&gt;0,K27&lt;100%),"In Progress","")))))</f>
        <v>Not Started</v>
      </c>
      <c r="M27" s="36"/>
      <c r="N27" s="43"/>
      <c r="O27" s="43"/>
      <c r="P27" s="43"/>
      <c r="Q27" s="43"/>
      <c r="R27" s="43"/>
      <c r="S27" s="43"/>
      <c r="T27" s="44"/>
      <c r="U27" s="42"/>
      <c r="X27" s="28" t="s">
        <v>65</v>
      </c>
      <c r="Y27" s="6" t="s">
        <v>71</v>
      </c>
    </row>
    <row r="28" spans="2:29" s="62" customFormat="1" ht="45" customHeight="1" thickBot="1" x14ac:dyDescent="0.3">
      <c r="B28" s="379"/>
      <c r="C28" s="118" t="s">
        <v>112</v>
      </c>
      <c r="D28" s="117">
        <f>NETWORKDAYS.INTL(E28,F28,"0000110",$AA$5:$AA$12)</f>
        <v>1</v>
      </c>
      <c r="E28" s="113">
        <f>WORKDAY.INTL(F27,0,"0000110")</f>
        <v>46244</v>
      </c>
      <c r="F28" s="113">
        <f>WORKDAY.INTL(E28,0,"0000110")</f>
        <v>46244</v>
      </c>
      <c r="G28" s="113">
        <f>WORKDAY.INTL(H27,0,"0000110")</f>
        <v>46244</v>
      </c>
      <c r="H28" s="113">
        <f>WORKDAY.INTL(G28,0,"0000110")</f>
        <v>46244</v>
      </c>
      <c r="I28" s="113"/>
      <c r="J28" s="113"/>
      <c r="K28" s="119"/>
      <c r="L28" s="119" t="str">
        <f ca="1">IF(OR(K28=100%,J28&lt;&gt;""),"Completed",IF(AND(OR(K28="",K28=0),E28&gt;TODAY()),"Not Started",IF(AND(OR(K28="",K28=0),E28&lt;=TODAY()),"Delayed",IF(AND(K28&gt;0,K28&lt;100%,F28&lt;TODAY()),"Delayed",IF(AND(K28&gt;0,K28&lt;100%),"In Progress","")))))</f>
        <v>Not Started</v>
      </c>
      <c r="M28" s="73"/>
      <c r="N28" s="69"/>
      <c r="O28" s="69"/>
      <c r="P28" s="69"/>
      <c r="Q28" s="69"/>
      <c r="R28" s="69"/>
      <c r="S28" s="69"/>
      <c r="T28" s="70"/>
      <c r="U28" s="71"/>
      <c r="X28" s="66" t="s">
        <v>66</v>
      </c>
      <c r="Y28" s="67" t="s">
        <v>71</v>
      </c>
      <c r="Z28" s="67"/>
    </row>
    <row r="29" spans="2:29" s="1" customFormat="1" ht="4.5" customHeight="1" thickBot="1" x14ac:dyDescent="0.2">
      <c r="B29" s="23"/>
      <c r="C29" s="23" t="s">
        <v>178</v>
      </c>
      <c r="D29" s="24"/>
      <c r="E29" s="23"/>
      <c r="F29" s="23"/>
      <c r="G29" s="23"/>
      <c r="H29" s="23"/>
      <c r="I29" s="23"/>
      <c r="J29" s="23"/>
      <c r="K29" s="25"/>
      <c r="L29" s="25"/>
      <c r="M29" s="23"/>
      <c r="N29" s="23"/>
      <c r="O29" s="23"/>
      <c r="P29" s="23"/>
      <c r="Q29" s="23"/>
      <c r="R29" s="23"/>
      <c r="S29" s="23"/>
      <c r="T29" s="23"/>
      <c r="U29" s="26"/>
      <c r="X29" s="27"/>
      <c r="Y29" s="27"/>
    </row>
    <row r="30" spans="2:29" ht="45" customHeight="1" x14ac:dyDescent="0.15">
      <c r="B30" s="380" t="s">
        <v>180</v>
      </c>
      <c r="C30" s="106" t="s">
        <v>102</v>
      </c>
      <c r="D30" s="107">
        <f>NETWORKDAYS.INTL(E30,F30,"0000100",$AA$5:$AA$12)</f>
        <v>7</v>
      </c>
      <c r="E30" s="108">
        <f>WORKDAY.INTL(F24,1,"0000100",$AA$5:$AA$11)</f>
        <v>46208</v>
      </c>
      <c r="F30" s="108">
        <f>WORKDAY.INTL(E30,6,"0000100",$AA$5:$AA$11)</f>
        <v>46215</v>
      </c>
      <c r="G30" s="108">
        <f>WORKDAY.INTL(H24,1,"0000100",$AA$5:$AA$11)</f>
        <v>46208</v>
      </c>
      <c r="H30" s="108">
        <f>WORKDAY.INTL(G30,6,"0000100",$AA$5:$AA$11)</f>
        <v>46215</v>
      </c>
      <c r="I30" s="108"/>
      <c r="J30" s="108"/>
      <c r="K30" s="109"/>
      <c r="L30" s="109" t="str">
        <f ca="1">IF(OR(K30=100%,J30&lt;&gt;""),"Completed",IF(AND(OR(K30="",K30=0),E30&gt;TODAY()),"Not Started",IF(AND(OR(K30="",K30=0),E30&lt;=TODAY()),"Delayed",IF(AND(K30&gt;0,K30&lt;100%,F30&lt;TODAY()),"Delayed",IF(AND(K30&gt;0,K30&lt;100%),"In Progress","")))))</f>
        <v>Not Started</v>
      </c>
      <c r="M30" s="29"/>
      <c r="N30" s="30"/>
      <c r="O30" s="30"/>
      <c r="P30" s="30"/>
      <c r="Q30" s="30"/>
      <c r="R30" s="30"/>
      <c r="S30" s="30"/>
      <c r="T30" s="31"/>
      <c r="U30" s="32"/>
      <c r="X30" s="28" t="s">
        <v>62</v>
      </c>
      <c r="Y30" s="6" t="s">
        <v>72</v>
      </c>
    </row>
    <row r="31" spans="2:29" ht="45" customHeight="1" x14ac:dyDescent="0.15">
      <c r="B31" s="376"/>
      <c r="C31" s="106" t="s">
        <v>104</v>
      </c>
      <c r="D31" s="107">
        <f>NETWORKDAYS.INTL(E31,F31,"0000100",$AA$5:$AA$12)</f>
        <v>5</v>
      </c>
      <c r="E31" s="108">
        <f>WORKDAY.INTL(F25,1,"0000100",$AA$5:$AA$11)</f>
        <v>46218</v>
      </c>
      <c r="F31" s="108">
        <f>WORKDAY.INTL(E31,4,"0000100",$AA$5:$AA$11)</f>
        <v>46223</v>
      </c>
      <c r="G31" s="108">
        <f>WORKDAY.INTL(H25,1,"0000100",$AA$5:$AA$11)</f>
        <v>46218</v>
      </c>
      <c r="H31" s="108">
        <f>WORKDAY.INTL(G31,4,"0000100",$AA$5:$AA$11)</f>
        <v>46223</v>
      </c>
      <c r="I31" s="108"/>
      <c r="J31" s="108"/>
      <c r="K31" s="109"/>
      <c r="L31" s="109" t="str">
        <f ca="1">IF(OR(K31=100%,J31&lt;&gt;""),"Completed",IF(AND(OR(K31="",K31=0),E31&gt;TODAY()),"Not Started",IF(AND(OR(K31="",K31=0),E31&lt;=TODAY()),"Delayed",IF(AND(K31&gt;0,K31&lt;100%,F31&lt;TODAY()),"Delayed",IF(AND(K31&gt;0,K31&lt;100%),"In Progress","")))))</f>
        <v>Not Started</v>
      </c>
      <c r="M31" s="29"/>
      <c r="N31" s="30"/>
      <c r="O31" s="30"/>
      <c r="P31" s="30"/>
      <c r="Q31" s="30"/>
      <c r="R31" s="30"/>
      <c r="S31" s="30"/>
      <c r="T31" s="31"/>
      <c r="U31" s="32"/>
      <c r="X31" s="28" t="s">
        <v>63</v>
      </c>
      <c r="Y31" s="6" t="s">
        <v>72</v>
      </c>
    </row>
    <row r="32" spans="2:29" ht="45" customHeight="1" x14ac:dyDescent="0.15">
      <c r="B32" s="376"/>
      <c r="C32" s="106" t="s">
        <v>107</v>
      </c>
      <c r="D32" s="107">
        <f>NETWORKDAYS.INTL(E32,F32,"0000110",$AA$5:$AA$12)</f>
        <v>4</v>
      </c>
      <c r="E32" s="108">
        <f>WORKDAY.INTL(F26,1,"0000110")</f>
        <v>46243</v>
      </c>
      <c r="F32" s="108">
        <f>WORKDAY.INTL(E32,3,"0000110")</f>
        <v>46246</v>
      </c>
      <c r="G32" s="108">
        <f>WORKDAY.INTL(H26,1,"0000110")</f>
        <v>46243</v>
      </c>
      <c r="H32" s="108">
        <f>WORKDAY.INTL(G32,3,"0000110")</f>
        <v>46246</v>
      </c>
      <c r="I32" s="108"/>
      <c r="J32" s="108"/>
      <c r="K32" s="109"/>
      <c r="L32" s="109" t="str">
        <f ca="1">IF(OR(K32=100%,J32&lt;&gt;""),"Completed",IF(AND(OR(K32="",K32=0),E32&gt;TODAY()),"Not Started",IF(AND(OR(K32="",K32=0),E32&lt;=TODAY()),"Delayed",IF(AND(K32&gt;0,K32&lt;100%,F32&lt;TODAY()),"Delayed",IF(AND(K32&gt;0,K32&lt;100%),"In Progress","")))))</f>
        <v>Not Started</v>
      </c>
      <c r="M32" s="29"/>
      <c r="N32" s="30"/>
      <c r="O32" s="30"/>
      <c r="P32" s="30"/>
      <c r="Q32" s="30"/>
      <c r="R32" s="30"/>
      <c r="S32" s="30"/>
      <c r="T32" s="31"/>
      <c r="U32" s="32"/>
      <c r="X32" s="28" t="s">
        <v>64</v>
      </c>
      <c r="Y32" s="6" t="s">
        <v>72</v>
      </c>
    </row>
    <row r="33" spans="2:29" ht="45" customHeight="1" x14ac:dyDescent="0.15">
      <c r="B33" s="376"/>
      <c r="C33" s="110" t="s">
        <v>110</v>
      </c>
      <c r="D33" s="107">
        <f>NETWORKDAYS.INTL(E33,F33,"0000110",$AA$5:$AA$12)</f>
        <v>2</v>
      </c>
      <c r="E33" s="108">
        <f>WORKDAY.INTL(F32,1,"0000110")</f>
        <v>46247</v>
      </c>
      <c r="F33" s="108">
        <f>WORKDAY.INTL(E33,1,"0000110")</f>
        <v>46250</v>
      </c>
      <c r="G33" s="108">
        <f>WORKDAY.INTL(H32,1,"0000110")</f>
        <v>46247</v>
      </c>
      <c r="H33" s="108">
        <f>WORKDAY.INTL(G33,1,"0000110")</f>
        <v>46250</v>
      </c>
      <c r="I33" s="108"/>
      <c r="J33" s="108"/>
      <c r="K33" s="109"/>
      <c r="L33" s="109" t="str">
        <f ca="1">IF(OR(K33=100%,J33&lt;&gt;""),"Completed",IF(AND(OR(K33="",K33=0),E33&gt;TODAY()),"Not Started",IF(AND(OR(K33="",K33=0),E33&lt;=TODAY()),"Delayed",IF(AND(K33&gt;0,K33&lt;100%,F33&lt;TODAY()),"Delayed",IF(AND(K33&gt;0,K33&lt;100%),"In Progress","")))))</f>
        <v>Not Started</v>
      </c>
      <c r="M33" s="29"/>
      <c r="N33" s="34"/>
      <c r="O33" s="34"/>
      <c r="P33" s="34"/>
      <c r="Q33" s="34"/>
      <c r="R33" s="34"/>
      <c r="S33" s="34"/>
      <c r="T33" s="35"/>
      <c r="U33" s="32"/>
      <c r="X33" s="28" t="s">
        <v>65</v>
      </c>
      <c r="Y33" s="6" t="s">
        <v>72</v>
      </c>
    </row>
    <row r="34" spans="2:29" s="62" customFormat="1" ht="45" customHeight="1" thickBot="1" x14ac:dyDescent="0.3">
      <c r="B34" s="381"/>
      <c r="C34" s="110" t="s">
        <v>112</v>
      </c>
      <c r="D34" s="107">
        <f>NETWORKDAYS.INTL(E34,F34,"0000110",$AA$5:$AA$12)</f>
        <v>1</v>
      </c>
      <c r="E34" s="108">
        <f>WORKDAY.INTL(F33,0,"0000110")</f>
        <v>46250</v>
      </c>
      <c r="F34" s="108">
        <f>WORKDAY.INTL(E34,0,"0000110")</f>
        <v>46250</v>
      </c>
      <c r="G34" s="108">
        <f>WORKDAY.INTL(H33,0,"0000110")</f>
        <v>46250</v>
      </c>
      <c r="H34" s="108">
        <f>WORKDAY.INTL(G34,0,"0000110")</f>
        <v>46250</v>
      </c>
      <c r="I34" s="108"/>
      <c r="J34" s="108"/>
      <c r="K34" s="109"/>
      <c r="L34" s="109" t="str">
        <f ca="1">IF(OR(K34=100%,J34&lt;&gt;""),"Completed",IF(AND(OR(K34="",K34=0),E34&gt;TODAY()),"Not Started",IF(AND(OR(K34="",K34=0),E34&lt;=TODAY()),"Delayed",IF(AND(K34&gt;0,K34&lt;100%,F34&lt;TODAY()),"Delayed",IF(AND(K34&gt;0,K34&lt;100%),"In Progress","")))))</f>
        <v>Not Started</v>
      </c>
      <c r="M34" s="29"/>
      <c r="N34" s="34"/>
      <c r="O34" s="34"/>
      <c r="P34" s="34"/>
      <c r="Q34" s="34"/>
      <c r="R34" s="34"/>
      <c r="S34" s="34"/>
      <c r="T34" s="35"/>
      <c r="U34" s="32"/>
      <c r="X34" s="66" t="s">
        <v>66</v>
      </c>
      <c r="Y34" s="67" t="s">
        <v>72</v>
      </c>
      <c r="Z34" s="67"/>
    </row>
    <row r="35" spans="2:29" s="1" customFormat="1" ht="4.5" customHeight="1" thickBot="1" x14ac:dyDescent="0.2">
      <c r="B35" s="23"/>
      <c r="C35" s="23" t="s">
        <v>178</v>
      </c>
      <c r="D35" s="24"/>
      <c r="E35" s="23"/>
      <c r="F35" s="23"/>
      <c r="G35" s="23"/>
      <c r="H35" s="23"/>
      <c r="I35" s="23"/>
      <c r="J35" s="23"/>
      <c r="K35" s="25"/>
      <c r="L35" s="25"/>
      <c r="M35" s="23"/>
      <c r="N35" s="23"/>
      <c r="O35" s="23"/>
      <c r="P35" s="23"/>
      <c r="Q35" s="23"/>
      <c r="R35" s="23"/>
      <c r="S35" s="23"/>
      <c r="T35" s="23"/>
      <c r="U35" s="26"/>
      <c r="X35" s="27"/>
      <c r="Y35" s="27"/>
    </row>
    <row r="36" spans="2:29" ht="45" customHeight="1" x14ac:dyDescent="0.15">
      <c r="B36" s="377" t="s">
        <v>181</v>
      </c>
      <c r="C36" s="111" t="s">
        <v>102</v>
      </c>
      <c r="D36" s="112">
        <f>NETWORKDAYS.INTL(E36,F36,"0000100",$AA$5:$AA$12)</f>
        <v>7</v>
      </c>
      <c r="E36" s="113">
        <f>WORKDAY.INTL(F30,1,"0000100",$AA$5:$AA$11)</f>
        <v>46216</v>
      </c>
      <c r="F36" s="114">
        <f>WORKDAY.INTL(E36,6,"0000100",$AA$5:$AA$11)</f>
        <v>46223</v>
      </c>
      <c r="G36" s="113">
        <f>WORKDAY.INTL(H30,1,"0000100",$AA$5:$AA$11)</f>
        <v>46216</v>
      </c>
      <c r="H36" s="114">
        <f>WORKDAY.INTL(G36,6,"0000100",$AA$5:$AA$11)</f>
        <v>46223</v>
      </c>
      <c r="I36" s="114"/>
      <c r="J36" s="114"/>
      <c r="K36" s="115"/>
      <c r="L36" s="115" t="str">
        <f ca="1">IF(OR(K36=100%,J36&lt;&gt;""),"Completed",IF(AND(OR(K36="",K36=0),E36&gt;TODAY()),"Not Started",IF(AND(OR(K36="",K36=0),E36&lt;=TODAY()),"Delayed",IF(AND(K36&gt;0,K36&lt;100%,F36&lt;TODAY()),"Delayed",IF(AND(K36&gt;0,K36&lt;100%),"In Progress","")))))</f>
        <v>Not Started</v>
      </c>
      <c r="M36" s="36"/>
      <c r="N36" s="37"/>
      <c r="O36" s="37"/>
      <c r="P36" s="37"/>
      <c r="Q36" s="37"/>
      <c r="R36" s="37"/>
      <c r="S36" s="37"/>
      <c r="T36" s="38"/>
      <c r="U36" s="39"/>
      <c r="X36" s="28" t="s">
        <v>62</v>
      </c>
      <c r="Y36" s="6" t="s">
        <v>73</v>
      </c>
      <c r="AC36" s="33"/>
    </row>
    <row r="37" spans="2:29" ht="45" customHeight="1" x14ac:dyDescent="0.15">
      <c r="B37" s="378"/>
      <c r="C37" s="116" t="s">
        <v>104</v>
      </c>
      <c r="D37" s="117">
        <f>NETWORKDAYS.INTL(E37,F37,"0000100",$AA$5:$AA$12)</f>
        <v>5</v>
      </c>
      <c r="E37" s="113">
        <f>WORKDAY.INTL(F31,1,"0000100",$AA$5:$AA$11)</f>
        <v>46224</v>
      </c>
      <c r="F37" s="114">
        <f>WORKDAY.INTL(E37,4,"0000100",$AA$5:$AA$11)</f>
        <v>46229</v>
      </c>
      <c r="G37" s="113">
        <f>WORKDAY.INTL(H31,1,"0000100",$AA$5:$AA$11)</f>
        <v>46224</v>
      </c>
      <c r="H37" s="114">
        <f>WORKDAY.INTL(G37,4,"0000100",$AA$5:$AA$11)</f>
        <v>46229</v>
      </c>
      <c r="I37" s="114"/>
      <c r="J37" s="114"/>
      <c r="K37" s="115"/>
      <c r="L37" s="115" t="str">
        <f ca="1">IF(OR(K37=100%,J37&lt;&gt;""),"Completed",IF(AND(OR(K37="",K37=0),E37&gt;TODAY()),"Not Started",IF(AND(OR(K37="",K37=0),E37&lt;=TODAY()),"Delayed",IF(AND(K37&gt;0,K37&lt;100%,F37&lt;TODAY()),"Delayed",IF(AND(K37&gt;0,K37&lt;100%),"In Progress","")))))</f>
        <v>Not Started</v>
      </c>
      <c r="M37" s="36"/>
      <c r="N37" s="40"/>
      <c r="O37" s="40"/>
      <c r="P37" s="40"/>
      <c r="Q37" s="40"/>
      <c r="R37" s="40"/>
      <c r="S37" s="40"/>
      <c r="T37" s="41"/>
      <c r="U37" s="42"/>
      <c r="X37" s="28" t="s">
        <v>63</v>
      </c>
      <c r="Y37" s="6" t="s">
        <v>73</v>
      </c>
    </row>
    <row r="38" spans="2:29" ht="45" customHeight="1" x14ac:dyDescent="0.15">
      <c r="B38" s="378"/>
      <c r="C38" s="118" t="s">
        <v>107</v>
      </c>
      <c r="D38" s="117">
        <f>NETWORKDAYS.INTL(E38,F38,"0000110",$AA$5:$AA$12)</f>
        <v>4</v>
      </c>
      <c r="E38" s="113">
        <f>WORKDAY.INTL(F32,1,"0000110")</f>
        <v>46247</v>
      </c>
      <c r="F38" s="113">
        <f>WORKDAY.INTL(E38,3,"0000110")</f>
        <v>46252</v>
      </c>
      <c r="G38" s="113">
        <f>WORKDAY.INTL(H32,1,"0000110")</f>
        <v>46247</v>
      </c>
      <c r="H38" s="113">
        <f>WORKDAY.INTL(G38,3,"0000110")</f>
        <v>46252</v>
      </c>
      <c r="I38" s="113"/>
      <c r="J38" s="113"/>
      <c r="K38" s="119"/>
      <c r="L38" s="119" t="str">
        <f ca="1">IF(OR(K38=100%,J38&lt;&gt;""),"Completed",IF(AND(OR(K38="",K38=0),E38&gt;TODAY()),"Not Started",IF(AND(OR(K38="",K38=0),E38&lt;=TODAY()),"Delayed",IF(AND(K38&gt;0,K38&lt;100%,F38&lt;TODAY()),"Delayed",IF(AND(K38&gt;0,K38&lt;100%),"In Progress","")))))</f>
        <v>Not Started</v>
      </c>
      <c r="M38" s="36"/>
      <c r="N38" s="43"/>
      <c r="O38" s="43"/>
      <c r="P38" s="43"/>
      <c r="Q38" s="43"/>
      <c r="R38" s="43"/>
      <c r="S38" s="43"/>
      <c r="T38" s="44"/>
      <c r="U38" s="42"/>
      <c r="X38" s="28" t="s">
        <v>64</v>
      </c>
      <c r="Y38" s="6" t="s">
        <v>73</v>
      </c>
    </row>
    <row r="39" spans="2:29" ht="45" customHeight="1" x14ac:dyDescent="0.15">
      <c r="B39" s="378"/>
      <c r="C39" s="118" t="s">
        <v>110</v>
      </c>
      <c r="D39" s="117">
        <f>NETWORKDAYS.INTL(E39,F39,"0000110",$AA$5:$AA$12)</f>
        <v>2</v>
      </c>
      <c r="E39" s="113">
        <f>WORKDAY.INTL(F38,1,"0000110")</f>
        <v>46253</v>
      </c>
      <c r="F39" s="113">
        <f>WORKDAY.INTL(E39,1,"0000110")</f>
        <v>46254</v>
      </c>
      <c r="G39" s="113">
        <f>WORKDAY.INTL(H38,1,"0000110")</f>
        <v>46253</v>
      </c>
      <c r="H39" s="113">
        <f>WORKDAY.INTL(G39,1,"0000110")</f>
        <v>46254</v>
      </c>
      <c r="I39" s="113"/>
      <c r="J39" s="113"/>
      <c r="K39" s="119"/>
      <c r="L39" s="119" t="str">
        <f ca="1">IF(OR(K39=100%,J39&lt;&gt;""),"Completed",IF(AND(OR(K39="",K39=0),E39&gt;TODAY()),"Not Started",IF(AND(OR(K39="",K39=0),E39&lt;=TODAY()),"Delayed",IF(AND(K39&gt;0,K39&lt;100%,F39&lt;TODAY()),"Delayed",IF(AND(K39&gt;0,K39&lt;100%),"In Progress","")))))</f>
        <v>Not Started</v>
      </c>
      <c r="M39" s="36"/>
      <c r="N39" s="43"/>
      <c r="O39" s="43"/>
      <c r="P39" s="43"/>
      <c r="Q39" s="43"/>
      <c r="R39" s="43"/>
      <c r="S39" s="43"/>
      <c r="T39" s="44"/>
      <c r="U39" s="42"/>
      <c r="X39" s="28" t="s">
        <v>65</v>
      </c>
      <c r="Y39" s="6" t="s">
        <v>73</v>
      </c>
    </row>
    <row r="40" spans="2:29" s="62" customFormat="1" ht="45" customHeight="1" thickBot="1" x14ac:dyDescent="0.3">
      <c r="B40" s="379"/>
      <c r="C40" s="118" t="s">
        <v>112</v>
      </c>
      <c r="D40" s="117">
        <f>NETWORKDAYS.INTL(E40,F40,"0000110",$AA$5:$AA$12)</f>
        <v>1</v>
      </c>
      <c r="E40" s="113">
        <f>WORKDAY.INTL(F39,0,"0000110")</f>
        <v>46254</v>
      </c>
      <c r="F40" s="113">
        <f>WORKDAY.INTL(E40,0,"0000110")</f>
        <v>46254</v>
      </c>
      <c r="G40" s="113">
        <f>WORKDAY.INTL(H39,0,"0000110")</f>
        <v>46254</v>
      </c>
      <c r="H40" s="113">
        <f>WORKDAY.INTL(G40,0,"0000110")</f>
        <v>46254</v>
      </c>
      <c r="I40" s="113"/>
      <c r="J40" s="113"/>
      <c r="K40" s="119"/>
      <c r="L40" s="119" t="str">
        <f ca="1">IF(OR(K40=100%,J40&lt;&gt;""),"Completed",IF(AND(OR(K40="",K40=0),E40&gt;TODAY()),"Not Started",IF(AND(OR(K40="",K40=0),E40&lt;=TODAY()),"Delayed",IF(AND(K40&gt;0,K40&lt;100%,F40&lt;TODAY()),"Delayed",IF(AND(K40&gt;0,K40&lt;100%),"In Progress","")))))</f>
        <v>Not Started</v>
      </c>
      <c r="M40" s="73"/>
      <c r="N40" s="69"/>
      <c r="O40" s="69"/>
      <c r="P40" s="69"/>
      <c r="Q40" s="69"/>
      <c r="R40" s="69"/>
      <c r="S40" s="69"/>
      <c r="T40" s="70"/>
      <c r="U40" s="71"/>
      <c r="X40" s="66" t="s">
        <v>66</v>
      </c>
      <c r="Y40" s="67" t="s">
        <v>73</v>
      </c>
      <c r="Z40" s="67"/>
    </row>
    <row r="41" spans="2:29" s="1" customFormat="1" ht="4.5" customHeight="1" thickBot="1" x14ac:dyDescent="0.2">
      <c r="B41" s="23"/>
      <c r="C41" s="23" t="s">
        <v>178</v>
      </c>
      <c r="D41" s="24"/>
      <c r="E41" s="23"/>
      <c r="F41" s="23"/>
      <c r="G41" s="23"/>
      <c r="H41" s="23"/>
      <c r="I41" s="23"/>
      <c r="J41" s="23"/>
      <c r="K41" s="25"/>
      <c r="L41" s="25"/>
      <c r="M41" s="23"/>
      <c r="N41" s="23"/>
      <c r="O41" s="23"/>
      <c r="P41" s="23"/>
      <c r="Q41" s="23"/>
      <c r="R41" s="23"/>
      <c r="S41" s="23"/>
      <c r="T41" s="23"/>
      <c r="U41" s="26"/>
      <c r="X41" s="27"/>
      <c r="Y41" s="27"/>
    </row>
    <row r="42" spans="2:29" ht="45" customHeight="1" x14ac:dyDescent="0.15">
      <c r="B42" s="380" t="s">
        <v>182</v>
      </c>
      <c r="C42" s="106" t="s">
        <v>102</v>
      </c>
      <c r="D42" s="107">
        <f>NETWORKDAYS.INTL(E42,F42,"0000100",$AA$5:$AA$12)</f>
        <v>7</v>
      </c>
      <c r="E42" s="108">
        <f>WORKDAY.INTL(F36,1,"0000100",$AA$5:$AA$11)</f>
        <v>46224</v>
      </c>
      <c r="F42" s="108">
        <f>WORKDAY.INTL(E42,6,"0000100",$AA$5:$AA$11)</f>
        <v>46231</v>
      </c>
      <c r="G42" s="108">
        <f>WORKDAY.INTL(H36,1,"0000100",$AA$5:$AA$11)</f>
        <v>46224</v>
      </c>
      <c r="H42" s="108">
        <f>WORKDAY.INTL(G42,6,"0000100",$AA$5:$AA$11)</f>
        <v>46231</v>
      </c>
      <c r="I42" s="108"/>
      <c r="J42" s="108"/>
      <c r="K42" s="109"/>
      <c r="L42" s="109" t="str">
        <f ca="1">IF(OR(K42=100%,J42&lt;&gt;""),"Completed",IF(AND(OR(K42="",K42=0),E42&gt;TODAY()),"Not Started",IF(AND(OR(K42="",K42=0),E42&lt;=TODAY()),"Delayed",IF(AND(K42&gt;0,K42&lt;100%,F42&lt;TODAY()),"Delayed",IF(AND(K42&gt;0,K42&lt;100%),"In Progress","")))))</f>
        <v>Not Started</v>
      </c>
      <c r="M42" s="29"/>
      <c r="N42" s="30"/>
      <c r="O42" s="30"/>
      <c r="P42" s="30"/>
      <c r="Q42" s="30"/>
      <c r="R42" s="30"/>
      <c r="S42" s="30"/>
      <c r="T42" s="31"/>
      <c r="U42" s="32"/>
      <c r="X42" s="28" t="s">
        <v>62</v>
      </c>
      <c r="Y42" s="6" t="s">
        <v>74</v>
      </c>
    </row>
    <row r="43" spans="2:29" ht="45" customHeight="1" x14ac:dyDescent="0.15">
      <c r="B43" s="376"/>
      <c r="C43" s="106" t="s">
        <v>104</v>
      </c>
      <c r="D43" s="107">
        <f>NETWORKDAYS.INTL(E43,F43,"0000100",$AA$5:$AA$12)</f>
        <v>5</v>
      </c>
      <c r="E43" s="108">
        <f>WORKDAY.INTL(F37,3,"0000100",$AA$5:$AA$11)</f>
        <v>46232</v>
      </c>
      <c r="F43" s="108">
        <f>WORKDAY.INTL(E43,4,"0000100",$AA$5:$AA$11)</f>
        <v>46237</v>
      </c>
      <c r="G43" s="108">
        <f>WORKDAY.INTL(H37,3,"0000100",$AA$5:$AA$11)</f>
        <v>46232</v>
      </c>
      <c r="H43" s="108">
        <f>WORKDAY.INTL(G43,4,"0000100",$AA$5:$AA$11)</f>
        <v>46237</v>
      </c>
      <c r="I43" s="108"/>
      <c r="J43" s="108"/>
      <c r="K43" s="109"/>
      <c r="L43" s="109" t="str">
        <f ca="1">IF(OR(K43=100%,J43&lt;&gt;""),"Completed",IF(AND(OR(K43="",K43=0),E43&gt;TODAY()),"Not Started",IF(AND(OR(K43="",K43=0),E43&lt;=TODAY()),"Delayed",IF(AND(K43&gt;0,K43&lt;100%,F43&lt;TODAY()),"Delayed",IF(AND(K43&gt;0,K43&lt;100%),"In Progress","")))))</f>
        <v>Not Started</v>
      </c>
      <c r="M43" s="29"/>
      <c r="N43" s="30"/>
      <c r="O43" s="30"/>
      <c r="P43" s="30"/>
      <c r="Q43" s="265"/>
      <c r="R43" s="30"/>
      <c r="S43" s="30"/>
      <c r="T43" s="31"/>
      <c r="U43" s="32"/>
      <c r="X43" s="28" t="s">
        <v>63</v>
      </c>
      <c r="Y43" s="6" t="s">
        <v>74</v>
      </c>
    </row>
    <row r="44" spans="2:29" ht="45" customHeight="1" x14ac:dyDescent="0.15">
      <c r="B44" s="376"/>
      <c r="C44" s="106" t="s">
        <v>107</v>
      </c>
      <c r="D44" s="107">
        <f>NETWORKDAYS.INTL(E44,F44,"0000110",$AA$5:$AA$12)</f>
        <v>4</v>
      </c>
      <c r="E44" s="108">
        <f>WORKDAY.INTL(F38,1,"0000110")</f>
        <v>46253</v>
      </c>
      <c r="F44" s="108">
        <f>WORKDAY.INTL(E44,3,"0000110")</f>
        <v>46258</v>
      </c>
      <c r="G44" s="108">
        <f>WORKDAY.INTL(H38,1,"0000110")</f>
        <v>46253</v>
      </c>
      <c r="H44" s="108">
        <f>WORKDAY.INTL(G44,3,"0000110")</f>
        <v>46258</v>
      </c>
      <c r="I44" s="108"/>
      <c r="J44" s="108"/>
      <c r="K44" s="109"/>
      <c r="L44" s="109" t="str">
        <f ca="1">IF(OR(K44=100%,J44&lt;&gt;""),"Completed",IF(AND(OR(K44="",K44=0),E44&gt;TODAY()),"Not Started",IF(AND(OR(K44="",K44=0),E44&lt;=TODAY()),"Delayed",IF(AND(K44&gt;0,K44&lt;100%,F44&lt;TODAY()),"Delayed",IF(AND(K44&gt;0,K44&lt;100%),"In Progress","")))))</f>
        <v>Not Started</v>
      </c>
      <c r="M44" s="29"/>
      <c r="N44" s="30"/>
      <c r="O44" s="30"/>
      <c r="P44" s="30"/>
      <c r="Q44" s="30"/>
      <c r="R44" s="30"/>
      <c r="S44" s="30"/>
      <c r="T44" s="31"/>
      <c r="U44" s="32"/>
      <c r="X44" s="28" t="s">
        <v>64</v>
      </c>
      <c r="Y44" s="6" t="s">
        <v>74</v>
      </c>
    </row>
    <row r="45" spans="2:29" ht="45" customHeight="1" x14ac:dyDescent="0.15">
      <c r="B45" s="376"/>
      <c r="C45" s="110" t="s">
        <v>110</v>
      </c>
      <c r="D45" s="107">
        <f>NETWORKDAYS.INTL(E45,F45,"0000110",$AA$5:$AA$12)</f>
        <v>2</v>
      </c>
      <c r="E45" s="108">
        <f>WORKDAY.INTL(F44,1,"0000110")</f>
        <v>46259</v>
      </c>
      <c r="F45" s="108">
        <f>WORKDAY.INTL(E45,1,"0000110")</f>
        <v>46260</v>
      </c>
      <c r="G45" s="108">
        <f>WORKDAY.INTL(H44,1,"0000110")</f>
        <v>46259</v>
      </c>
      <c r="H45" s="108">
        <f>WORKDAY.INTL(G45,1,"0000110")</f>
        <v>46260</v>
      </c>
      <c r="I45" s="108"/>
      <c r="J45" s="108"/>
      <c r="K45" s="109"/>
      <c r="L45" s="109" t="str">
        <f ca="1">IF(OR(K45=100%,J45&lt;&gt;""),"Completed",IF(AND(OR(K45="",K45=0),E45&gt;TODAY()),"Not Started",IF(AND(OR(K45="",K45=0),E45&lt;=TODAY()),"Delayed",IF(AND(K45&gt;0,K45&lt;100%,F45&lt;TODAY()),"Delayed",IF(AND(K45&gt;0,K45&lt;100%),"In Progress","")))))</f>
        <v>Not Started</v>
      </c>
      <c r="M45" s="29"/>
      <c r="N45" s="34"/>
      <c r="O45" s="34"/>
      <c r="P45" s="34"/>
      <c r="Q45" s="34"/>
      <c r="R45" s="34"/>
      <c r="S45" s="34"/>
      <c r="T45" s="35"/>
      <c r="U45" s="32"/>
      <c r="X45" s="28" t="s">
        <v>65</v>
      </c>
      <c r="Y45" s="6" t="s">
        <v>74</v>
      </c>
    </row>
    <row r="46" spans="2:29" s="62" customFormat="1" ht="45" customHeight="1" thickBot="1" x14ac:dyDescent="0.3">
      <c r="B46" s="381"/>
      <c r="C46" s="110" t="s">
        <v>112</v>
      </c>
      <c r="D46" s="107">
        <f>NETWORKDAYS.INTL(E46,F46,"0000110",$AA$5:$AA$12)</f>
        <v>1</v>
      </c>
      <c r="E46" s="108">
        <f>WORKDAY.INTL(F45,0,"0000110")</f>
        <v>46260</v>
      </c>
      <c r="F46" s="108">
        <f>WORKDAY.INTL(E46,0,"0000110")</f>
        <v>46260</v>
      </c>
      <c r="G46" s="108">
        <f>WORKDAY.INTL(H45,0,"0000110")</f>
        <v>46260</v>
      </c>
      <c r="H46" s="108">
        <f>WORKDAY.INTL(G46,0,"0000110")</f>
        <v>46260</v>
      </c>
      <c r="I46" s="108"/>
      <c r="J46" s="108"/>
      <c r="K46" s="109"/>
      <c r="L46" s="109" t="str">
        <f ca="1">IF(OR(K46=100%,J46&lt;&gt;""),"Completed",IF(AND(OR(K46="",K46=0),E46&gt;TODAY()),"Not Started",IF(AND(OR(K46="",K46=0),E46&lt;=TODAY()),"Delayed",IF(AND(K46&gt;0,K46&lt;100%,F46&lt;TODAY()),"Delayed",IF(AND(K46&gt;0,K46&lt;100%),"In Progress","")))))</f>
        <v>Not Started</v>
      </c>
      <c r="M46" s="29"/>
      <c r="N46" s="34"/>
      <c r="O46" s="34"/>
      <c r="P46" s="34"/>
      <c r="Q46" s="34"/>
      <c r="R46" s="34"/>
      <c r="S46" s="34"/>
      <c r="T46" s="35"/>
      <c r="U46" s="32"/>
      <c r="X46" s="66" t="s">
        <v>66</v>
      </c>
      <c r="Y46" s="67" t="s">
        <v>74</v>
      </c>
      <c r="Z46" s="67"/>
    </row>
    <row r="47" spans="2:29" s="1" customFormat="1" ht="4.5" customHeight="1" thickBot="1" x14ac:dyDescent="0.2">
      <c r="B47" s="23"/>
      <c r="C47" s="23" t="s">
        <v>178</v>
      </c>
      <c r="D47" s="24"/>
      <c r="E47" s="23"/>
      <c r="F47" s="23"/>
      <c r="G47" s="23"/>
      <c r="H47" s="23"/>
      <c r="I47" s="23"/>
      <c r="J47" s="23"/>
      <c r="K47" s="25"/>
      <c r="L47" s="25"/>
      <c r="M47" s="23"/>
      <c r="N47" s="23"/>
      <c r="O47" s="23"/>
      <c r="P47" s="23"/>
      <c r="Q47" s="23"/>
      <c r="R47" s="23"/>
      <c r="S47" s="23"/>
      <c r="T47" s="23"/>
      <c r="U47" s="26"/>
      <c r="X47" s="27"/>
      <c r="Y47" s="27"/>
    </row>
    <row r="48" spans="2:29" ht="45" customHeight="1" x14ac:dyDescent="0.15">
      <c r="B48" s="377" t="s">
        <v>183</v>
      </c>
      <c r="C48" s="111" t="s">
        <v>102</v>
      </c>
      <c r="D48" s="112">
        <f>NETWORKDAYS.INTL(E48,F48,"0000100",$AA$5:$AA$12)</f>
        <v>7</v>
      </c>
      <c r="E48" s="113">
        <f>WORKDAY.INTL(F42,1,"0000100",$AA$5:$AA$11)</f>
        <v>46232</v>
      </c>
      <c r="F48" s="114">
        <f>WORKDAY.INTL(E48,6,"0000100",$AA$5:$AA$11)</f>
        <v>46239</v>
      </c>
      <c r="G48" s="113">
        <f>WORKDAY.INTL(H42,1,"0000100",$AA$5:$AA$11)</f>
        <v>46232</v>
      </c>
      <c r="H48" s="114">
        <f>WORKDAY.INTL(G48,6,"0000100",$AA$5:$AA$11)</f>
        <v>46239</v>
      </c>
      <c r="I48" s="114"/>
      <c r="J48" s="114"/>
      <c r="K48" s="115"/>
      <c r="L48" s="115" t="str">
        <f ca="1">IF(OR(K48=100%,J48&lt;&gt;""),"Completed",IF(AND(OR(K48="",K48=0),E48&gt;TODAY()),"Not Started",IF(AND(OR(K48="",K48=0),E48&lt;=TODAY()),"Delayed",IF(AND(K48&gt;0,K48&lt;100%,F48&lt;TODAY()),"Delayed",IF(AND(K48&gt;0,K48&lt;100%),"In Progress","")))))</f>
        <v>Not Started</v>
      </c>
      <c r="M48" s="36"/>
      <c r="N48" s="37"/>
      <c r="O48" s="37"/>
      <c r="P48" s="37"/>
      <c r="Q48" s="37"/>
      <c r="R48" s="37"/>
      <c r="S48" s="37"/>
      <c r="T48" s="38"/>
      <c r="U48" s="39"/>
      <c r="X48" s="28" t="s">
        <v>62</v>
      </c>
      <c r="Y48" s="6" t="s">
        <v>75</v>
      </c>
      <c r="AC48" s="33"/>
    </row>
    <row r="49" spans="2:26" ht="45" customHeight="1" x14ac:dyDescent="0.15">
      <c r="B49" s="378"/>
      <c r="C49" s="116" t="s">
        <v>104</v>
      </c>
      <c r="D49" s="117">
        <f>NETWORKDAYS.INTL(E49,F49,"0000100",$AA$5:$AA$12)</f>
        <v>5</v>
      </c>
      <c r="E49" s="113">
        <f>WORKDAY.INTL(F43,3,"0000100",$AA$5:$AA$11)</f>
        <v>46240</v>
      </c>
      <c r="F49" s="114">
        <f>WORKDAY.INTL(E49,4,"0000100",$AA$5:$AA$11)</f>
        <v>46245</v>
      </c>
      <c r="G49" s="113">
        <f>WORKDAY.INTL(H43,3,"0000100",$AA$5:$AA$11)</f>
        <v>46240</v>
      </c>
      <c r="H49" s="114">
        <f>WORKDAY.INTL(G49,4,"0000100",$AA$5:$AA$11)</f>
        <v>46245</v>
      </c>
      <c r="I49" s="114"/>
      <c r="J49" s="114"/>
      <c r="K49" s="115"/>
      <c r="L49" s="115" t="str">
        <f ca="1">IF(OR(K49=100%,J49&lt;&gt;""),"Completed",IF(AND(OR(K49="",K49=0),E49&gt;TODAY()),"Not Started",IF(AND(OR(K49="",K49=0),E49&lt;=TODAY()),"Delayed",IF(AND(K49&gt;0,K49&lt;100%,F49&lt;TODAY()),"Delayed",IF(AND(K49&gt;0,K49&lt;100%),"In Progress","")))))</f>
        <v>Not Started</v>
      </c>
      <c r="M49" s="36"/>
      <c r="N49" s="40"/>
      <c r="O49" s="40"/>
      <c r="P49" s="40"/>
      <c r="Q49" s="40"/>
      <c r="R49" s="40"/>
      <c r="S49" s="40"/>
      <c r="T49" s="41"/>
      <c r="U49" s="42"/>
      <c r="X49" s="28" t="s">
        <v>63</v>
      </c>
      <c r="Y49" s="6" t="s">
        <v>75</v>
      </c>
    </row>
    <row r="50" spans="2:26" ht="45" customHeight="1" x14ac:dyDescent="0.15">
      <c r="B50" s="378"/>
      <c r="C50" s="118" t="s">
        <v>107</v>
      </c>
      <c r="D50" s="117">
        <f>NETWORKDAYS.INTL(E50,F50,"0000110",$AA$5:$AA$12)</f>
        <v>6</v>
      </c>
      <c r="E50" s="113">
        <f>WORKDAY.INTL(F44,1,"0000110")</f>
        <v>46259</v>
      </c>
      <c r="F50" s="113">
        <f>WORKDAY.INTL(E50,5,"0000110")</f>
        <v>46266</v>
      </c>
      <c r="G50" s="113">
        <f>WORKDAY.INTL(H44,1,"0000110")</f>
        <v>46259</v>
      </c>
      <c r="H50" s="113">
        <f>WORKDAY.INTL(G50,5,"0000110")</f>
        <v>46266</v>
      </c>
      <c r="I50" s="113"/>
      <c r="J50" s="113"/>
      <c r="K50" s="119"/>
      <c r="L50" s="119" t="str">
        <f ca="1">IF(OR(K50=100%,J50&lt;&gt;""),"Completed",IF(AND(OR(K50="",K50=0),E50&gt;TODAY()),"Not Started",IF(AND(OR(K50="",K50=0),E50&lt;=TODAY()),"Delayed",IF(AND(K50&gt;0,K50&lt;100%,F50&lt;TODAY()),"Delayed",IF(AND(K50&gt;0,K50&lt;100%),"In Progress","")))))</f>
        <v>Not Started</v>
      </c>
      <c r="M50" s="36"/>
      <c r="N50" s="43"/>
      <c r="O50" s="43"/>
      <c r="P50" s="43"/>
      <c r="Q50" s="43"/>
      <c r="R50" s="43"/>
      <c r="S50" s="43"/>
      <c r="T50" s="44"/>
      <c r="U50" s="42"/>
      <c r="X50" s="28" t="s">
        <v>64</v>
      </c>
      <c r="Y50" s="6" t="s">
        <v>75</v>
      </c>
    </row>
    <row r="51" spans="2:26" ht="45" customHeight="1" x14ac:dyDescent="0.15">
      <c r="B51" s="378"/>
      <c r="C51" s="118" t="s">
        <v>110</v>
      </c>
      <c r="D51" s="117">
        <f>NETWORKDAYS.INTL(E51,F51,"0000110",$AA$5:$AA$12)</f>
        <v>2</v>
      </c>
      <c r="E51" s="113">
        <f>WORKDAY.INTL(F50,1,"0000110")</f>
        <v>46267</v>
      </c>
      <c r="F51" s="113">
        <f>WORKDAY.INTL(E51,1,"0000110")</f>
        <v>46268</v>
      </c>
      <c r="G51" s="113">
        <f>WORKDAY.INTL(H50,1,"0000110")</f>
        <v>46267</v>
      </c>
      <c r="H51" s="113">
        <f>WORKDAY.INTL(G51,1,"0000110")</f>
        <v>46268</v>
      </c>
      <c r="I51" s="113"/>
      <c r="J51" s="113"/>
      <c r="K51" s="119"/>
      <c r="L51" s="119" t="str">
        <f ca="1">IF(OR(K51=100%,J51&lt;&gt;""),"Completed",IF(AND(OR(K51="",K51=0),E51&gt;TODAY()),"Not Started",IF(AND(OR(K51="",K51=0),E51&lt;=TODAY()),"Delayed",IF(AND(K51&gt;0,K51&lt;100%,F51&lt;TODAY()),"Delayed",IF(AND(K51&gt;0,K51&lt;100%),"In Progress","")))))</f>
        <v>Not Started</v>
      </c>
      <c r="M51" s="36"/>
      <c r="N51" s="43"/>
      <c r="O51" s="43"/>
      <c r="P51" s="43"/>
      <c r="Q51" s="43"/>
      <c r="R51" s="43"/>
      <c r="S51" s="43"/>
      <c r="T51" s="44"/>
      <c r="U51" s="42"/>
      <c r="X51" s="28" t="s">
        <v>65</v>
      </c>
      <c r="Y51" s="6" t="s">
        <v>75</v>
      </c>
    </row>
    <row r="52" spans="2:26" s="62" customFormat="1" ht="45" customHeight="1" thickBot="1" x14ac:dyDescent="0.3">
      <c r="B52" s="379"/>
      <c r="C52" s="118" t="s">
        <v>112</v>
      </c>
      <c r="D52" s="117">
        <f>NETWORKDAYS.INTL(E52,F52,"0000110",$AA$5:$AA$12)</f>
        <v>1</v>
      </c>
      <c r="E52" s="113">
        <f>WORKDAY.INTL(F51,0,"0000110")</f>
        <v>46268</v>
      </c>
      <c r="F52" s="113">
        <f>WORKDAY.INTL(E52,0,"0000110")</f>
        <v>46268</v>
      </c>
      <c r="G52" s="113">
        <f>WORKDAY.INTL(H51,0,"0000110")</f>
        <v>46268</v>
      </c>
      <c r="H52" s="113">
        <f>WORKDAY.INTL(G52,0,"0000110")</f>
        <v>46268</v>
      </c>
      <c r="I52" s="113"/>
      <c r="J52" s="113"/>
      <c r="K52" s="119"/>
      <c r="L52" s="119" t="str">
        <f ca="1">IF(OR(K52=100%,J52&lt;&gt;""),"Completed",IF(AND(OR(K52="",K52=0),E52&gt;TODAY()),"Not Started",IF(AND(OR(K52="",K52=0),E52&lt;=TODAY()),"Delayed",IF(AND(K52&gt;0,K52&lt;100%,F52&lt;TODAY()),"Delayed",IF(AND(K52&gt;0,K52&lt;100%),"In Progress","")))))</f>
        <v>Not Started</v>
      </c>
      <c r="M52" s="73"/>
      <c r="N52" s="69"/>
      <c r="O52" s="69"/>
      <c r="P52" s="69"/>
      <c r="Q52" s="69"/>
      <c r="R52" s="69"/>
      <c r="S52" s="69"/>
      <c r="T52" s="70"/>
      <c r="U52" s="71"/>
      <c r="X52" s="66" t="s">
        <v>66</v>
      </c>
      <c r="Y52" s="67" t="s">
        <v>75</v>
      </c>
      <c r="Z52" s="67"/>
    </row>
    <row r="53" spans="2:26" s="1" customFormat="1" ht="4.5" customHeight="1" thickBot="1" x14ac:dyDescent="0.2">
      <c r="B53" s="270"/>
      <c r="C53" s="270"/>
      <c r="D53" s="269"/>
      <c r="E53" s="270"/>
      <c r="F53" s="270"/>
      <c r="G53" s="270"/>
      <c r="H53" s="270"/>
      <c r="I53" s="270"/>
      <c r="J53" s="270"/>
      <c r="K53" s="268"/>
      <c r="L53" s="268"/>
      <c r="M53" s="270"/>
      <c r="N53" s="270"/>
      <c r="O53" s="270"/>
      <c r="P53" s="270"/>
      <c r="Q53" s="270"/>
      <c r="R53" s="270"/>
      <c r="S53" s="270"/>
      <c r="T53" s="270"/>
      <c r="U53" s="267"/>
      <c r="X53" s="27"/>
      <c r="Y53" s="27"/>
    </row>
    <row r="54" spans="2:26" ht="45" customHeight="1" x14ac:dyDescent="0.15">
      <c r="B54" s="380" t="s">
        <v>121</v>
      </c>
      <c r="C54" s="106" t="s">
        <v>122</v>
      </c>
      <c r="D54" s="107">
        <f>NETWORKDAYS.INTL(E54,F54,"0000100",$AB$5:$AB$12)</f>
        <v>19</v>
      </c>
      <c r="E54" s="108">
        <f>MAX(WORKDAY.INTL(F6,1,"0000100",$AB$5:$AB$11),"29-Jun-26")</f>
        <v>46202</v>
      </c>
      <c r="F54" s="108">
        <f>WORKDAY.INTL(E54,18,"0000100",$AB$5:$AB$11)</f>
        <v>46223</v>
      </c>
      <c r="G54" s="108">
        <f>MAX(WORKDAY.INTL(H6,1,"0000100",$AB$5:$AB$11),"29-Jun-26")</f>
        <v>46202</v>
      </c>
      <c r="H54" s="108">
        <f>WORKDAY.INTL(G54,18,"0000100",$AB$5:$AB$11)</f>
        <v>46223</v>
      </c>
      <c r="I54" s="108"/>
      <c r="J54" s="108"/>
      <c r="K54" s="109"/>
      <c r="L54" s="109" t="str">
        <f ca="1">IF(OR(K54=100%,J54&lt;&gt;""),"Completed",IF(AND(OR(K54="",K54=0),E54&gt;TODAY()),"Not Started",IF(AND(OR(K54="",K54=0),E54&lt;=TODAY()),"Delayed",IF(AND(K54&gt;0,K54&lt;100%,F54&lt;TODAY()),"Delayed",IF(AND(K54&gt;0,K54&lt;100%),"In Progress","")))))</f>
        <v>Not Started</v>
      </c>
      <c r="M54" s="29"/>
      <c r="N54" s="31"/>
      <c r="O54" s="45"/>
      <c r="P54" s="45"/>
      <c r="Q54" s="45"/>
      <c r="R54" s="45"/>
      <c r="S54" s="45"/>
      <c r="T54" s="45"/>
      <c r="U54" s="32" t="s">
        <v>30</v>
      </c>
      <c r="V54" s="2"/>
      <c r="X54" s="28"/>
    </row>
    <row r="55" spans="2:26" ht="43.5" customHeight="1" x14ac:dyDescent="0.15">
      <c r="B55" s="376"/>
      <c r="C55" s="106" t="s">
        <v>123</v>
      </c>
      <c r="D55" s="107">
        <f>NETWORKDAYS.INTL(E55,F55,"0000100",$AB$5:$AB$12)</f>
        <v>19</v>
      </c>
      <c r="E55" s="108">
        <f>E54</f>
        <v>46202</v>
      </c>
      <c r="F55" s="108">
        <f>WORKDAY.INTL(E55,18,"0000100",$AB$5:$AB$11)</f>
        <v>46223</v>
      </c>
      <c r="G55" s="108">
        <f>G54</f>
        <v>46202</v>
      </c>
      <c r="H55" s="108">
        <f>WORKDAY.INTL(G55,18,"0000100",$AB$5:$AB$11)</f>
        <v>46223</v>
      </c>
      <c r="I55" s="108"/>
      <c r="J55" s="108"/>
      <c r="K55" s="109"/>
      <c r="L55" s="109" t="str">
        <f ca="1">IF(OR(K55=100%,J55&lt;&gt;""),"Completed",IF(AND(OR(K55="",K55=0),E55&gt;TODAY()),"Not Started",IF(AND(OR(K55="",K55=0),E55&lt;=TODAY()),"Delayed",IF(AND(K55&gt;0,K55&lt;100%,F55&lt;TODAY()),"Delayed",IF(AND(K55&gt;0,K55&lt;100%),"In Progress","")))))</f>
        <v>Not Started</v>
      </c>
      <c r="M55" s="29"/>
      <c r="N55" s="31"/>
      <c r="O55" s="45"/>
      <c r="P55" s="45"/>
      <c r="Q55" s="45"/>
      <c r="R55" s="45"/>
      <c r="S55" s="45"/>
      <c r="T55" s="45"/>
      <c r="U55" s="32" t="s">
        <v>30</v>
      </c>
      <c r="V55" s="2"/>
      <c r="X55" s="28"/>
    </row>
    <row r="56" spans="2:26" ht="36.75" thickBot="1" x14ac:dyDescent="0.2">
      <c r="B56" s="381"/>
      <c r="C56" s="106" t="s">
        <v>124</v>
      </c>
      <c r="D56" s="107">
        <f>NETWORKDAYS.INTL(E56,F56,"0000100",$AB$5:$AB$12)</f>
        <v>66</v>
      </c>
      <c r="E56" s="108">
        <f>E54</f>
        <v>46202</v>
      </c>
      <c r="F56" s="108">
        <f>WORKDAY.INTL(E56,65,"0000100",$AB$5:$AB$11)</f>
        <v>46278</v>
      </c>
      <c r="G56" s="108">
        <f>G54</f>
        <v>46202</v>
      </c>
      <c r="H56" s="108">
        <f>WORKDAY.INTL(G56,65,"0000100",$AB$5:$AB$11)</f>
        <v>46278</v>
      </c>
      <c r="I56" s="108"/>
      <c r="J56" s="108"/>
      <c r="K56" s="109"/>
      <c r="L56" s="109" t="str">
        <f ca="1">IF(OR(K56=100%,J56&lt;&gt;""),"Completed",IF(AND(OR(K56="",K56=0),E56&gt;TODAY()),"Not Started",IF(AND(OR(K56="",K56=0),E56&lt;=TODAY()),"Delayed",IF(AND(K56&gt;0,K56&lt;100%,F56&lt;TODAY()),"Delayed",IF(AND(K56&gt;0,K56&lt;100%),"In Progress","")))))</f>
        <v>Not Started</v>
      </c>
      <c r="M56" s="29"/>
      <c r="N56" s="30"/>
      <c r="O56" s="30"/>
      <c r="P56" s="30"/>
      <c r="Q56" s="30"/>
      <c r="R56" s="30"/>
      <c r="S56" s="30"/>
      <c r="T56" s="31"/>
      <c r="U56" s="32" t="s">
        <v>33</v>
      </c>
      <c r="V56" s="2"/>
      <c r="X56" s="28"/>
    </row>
    <row r="57" spans="2:26" s="1" customFormat="1" ht="4.5" customHeight="1" thickBot="1" x14ac:dyDescent="0.2">
      <c r="B57" s="23"/>
      <c r="C57" s="23"/>
      <c r="D57" s="24"/>
      <c r="E57" s="23"/>
      <c r="F57" s="23"/>
      <c r="G57" s="23"/>
      <c r="H57" s="23"/>
      <c r="I57" s="23"/>
      <c r="J57" s="23"/>
      <c r="K57" s="25"/>
      <c r="L57" s="25"/>
      <c r="M57" s="23"/>
      <c r="N57" s="23"/>
      <c r="O57" s="23"/>
      <c r="P57" s="23"/>
      <c r="Q57" s="23"/>
      <c r="R57" s="23"/>
      <c r="S57" s="23"/>
      <c r="T57" s="23"/>
      <c r="U57" s="26"/>
      <c r="X57" s="27"/>
      <c r="Y57" s="27"/>
    </row>
    <row r="58" spans="2:26" s="1" customFormat="1" ht="110.1" customHeight="1" x14ac:dyDescent="0.15">
      <c r="B58" s="385" t="s">
        <v>125</v>
      </c>
      <c r="C58" s="135" t="s">
        <v>126</v>
      </c>
      <c r="D58" s="136">
        <f>NETWORKDAYS.INTL(E58,F58,"0000100",$AB$5:$AB$12)</f>
        <v>26</v>
      </c>
      <c r="E58" s="137">
        <f>WORKDAY.INTL(F51,1,"0000100",$AB$5:$AB$11)</f>
        <v>46270</v>
      </c>
      <c r="F58" s="137">
        <f>WORKDAY.INTL(E58,25,"0000100",$AB$5:$AB$11)</f>
        <v>46299</v>
      </c>
      <c r="G58" s="137">
        <f>WORKDAY.INTL(H51,1,"0000100",$AB$5:$AB$11)</f>
        <v>46270</v>
      </c>
      <c r="H58" s="137">
        <f>WORKDAY.INTL(G58,25,"0000100",$AB$5:$AB$11)</f>
        <v>46299</v>
      </c>
      <c r="I58" s="137"/>
      <c r="J58" s="137"/>
      <c r="K58" s="138"/>
      <c r="L58" s="138"/>
      <c r="M58" s="139"/>
      <c r="N58" s="140"/>
      <c r="O58" s="140"/>
      <c r="P58" s="140"/>
      <c r="Q58" s="140"/>
      <c r="R58" s="140"/>
      <c r="S58" s="140"/>
      <c r="T58" s="141"/>
      <c r="U58" s="142" t="s">
        <v>127</v>
      </c>
      <c r="X58" s="27"/>
      <c r="Y58" s="27"/>
    </row>
    <row r="59" spans="2:26" s="1" customFormat="1" ht="34.5" customHeight="1" x14ac:dyDescent="0.15">
      <c r="B59" s="386"/>
      <c r="C59" s="131" t="s">
        <v>128</v>
      </c>
      <c r="D59" s="132">
        <f>NETWORKDAYS.INTL(E59,F59,"0000100",$AB$5:$AB$12)</f>
        <v>7</v>
      </c>
      <c r="E59" s="133">
        <v>46203</v>
      </c>
      <c r="F59" s="133">
        <f>WORKDAY.INTL(E59,6,"0000100",$AB$5:$AB$11)</f>
        <v>46210</v>
      </c>
      <c r="G59" s="133">
        <v>46203</v>
      </c>
      <c r="H59" s="133">
        <f>WORKDAY.INTL(G59,6,"0000100",$AB$5:$AB$11)</f>
        <v>46210</v>
      </c>
      <c r="I59" s="133"/>
      <c r="J59" s="133"/>
      <c r="K59" s="134"/>
      <c r="L59" s="134"/>
      <c r="M59" s="128"/>
      <c r="N59" s="129"/>
      <c r="O59" s="129"/>
      <c r="P59" s="129"/>
      <c r="Q59" s="129"/>
      <c r="R59" s="129"/>
      <c r="S59" s="129"/>
      <c r="T59" s="130"/>
      <c r="U59" s="143"/>
      <c r="X59" s="27"/>
      <c r="Y59" s="27"/>
    </row>
    <row r="60" spans="2:26" s="1" customFormat="1" ht="124.5" customHeight="1" x14ac:dyDescent="0.15">
      <c r="B60" s="386"/>
      <c r="C60" s="131" t="s">
        <v>129</v>
      </c>
      <c r="D60" s="132">
        <f>NETWORKDAYS.INTL(E60,F60,"0000100",$AB$5:$AB$12)</f>
        <v>167</v>
      </c>
      <c r="E60" s="133">
        <v>46194</v>
      </c>
      <c r="F60" s="133">
        <f>WORKDAY.INTL(E60,166,"0000100",$AB$5:$AB$11)</f>
        <v>46387</v>
      </c>
      <c r="G60" s="133">
        <v>46194</v>
      </c>
      <c r="H60" s="133">
        <f>WORKDAY.INTL(G60,166,"0000100",$AB$5:$AB$11)</f>
        <v>46387</v>
      </c>
      <c r="I60" s="133"/>
      <c r="J60" s="133"/>
      <c r="K60" s="134"/>
      <c r="L60" s="134"/>
      <c r="M60" s="128"/>
      <c r="N60" s="129"/>
      <c r="O60" s="129"/>
      <c r="P60" s="129"/>
      <c r="Q60" s="129"/>
      <c r="R60" s="129"/>
      <c r="S60" s="129"/>
      <c r="T60" s="130"/>
      <c r="U60" s="144" t="s">
        <v>130</v>
      </c>
      <c r="X60" s="27"/>
      <c r="Y60" s="27"/>
    </row>
    <row r="61" spans="2:26" s="1" customFormat="1" ht="124.5" customHeight="1" x14ac:dyDescent="0.15">
      <c r="B61" s="386"/>
      <c r="C61" s="131" t="s">
        <v>131</v>
      </c>
      <c r="D61" s="132">
        <f>NETWORKDAYS.INTL(E61,F61,"0000100",$AB$5:$AB$12)</f>
        <v>129</v>
      </c>
      <c r="E61" s="133">
        <f>WORKDAY.INTL(F60,1,"0000100",$AB$5:$AB$11)</f>
        <v>46389</v>
      </c>
      <c r="F61" s="133">
        <f>WORKDAY.INTL(E61,128,"0000100",$AB$5:$AB$11)</f>
        <v>46538</v>
      </c>
      <c r="G61" s="133">
        <f>WORKDAY.INTL(H60,1,"0000100",$AB$5:$AB$11)</f>
        <v>46389</v>
      </c>
      <c r="H61" s="133">
        <f>WORKDAY.INTL(G61,128,"0000100",$AB$5:$AB$11)</f>
        <v>46538</v>
      </c>
      <c r="I61" s="133"/>
      <c r="J61" s="133"/>
      <c r="K61" s="134"/>
      <c r="L61" s="134"/>
      <c r="M61" s="128"/>
      <c r="N61" s="129"/>
      <c r="O61" s="129"/>
      <c r="P61" s="129"/>
      <c r="Q61" s="129"/>
      <c r="R61" s="129"/>
      <c r="S61" s="129"/>
      <c r="T61" s="130"/>
      <c r="U61" s="144" t="s">
        <v>130</v>
      </c>
      <c r="X61" s="27"/>
      <c r="Y61" s="27"/>
      <c r="Z61" s="1" t="s">
        <v>184</v>
      </c>
    </row>
    <row r="62" spans="2:26" s="1" customFormat="1" ht="34.5" customHeight="1" thickBot="1" x14ac:dyDescent="0.2">
      <c r="B62" s="387"/>
      <c r="C62" s="145" t="s">
        <v>132</v>
      </c>
      <c r="D62" s="146">
        <f>NETWORKDAYS.INTL(E62,F62,"0000100",$AB$5:$AB$12)</f>
        <v>18</v>
      </c>
      <c r="E62" s="147">
        <v>46357</v>
      </c>
      <c r="F62" s="147">
        <f>WORKDAY.INTL(E62,17,"0000100",$AB$5:$AB$11)</f>
        <v>46377</v>
      </c>
      <c r="G62" s="147">
        <v>46357</v>
      </c>
      <c r="H62" s="147">
        <f>WORKDAY.INTL(G62,17,"0000100",$AB$5:$AB$11)</f>
        <v>46377</v>
      </c>
      <c r="I62" s="147"/>
      <c r="J62" s="147"/>
      <c r="K62" s="148"/>
      <c r="L62" s="148"/>
      <c r="M62" s="149"/>
      <c r="N62" s="150"/>
      <c r="O62" s="150"/>
      <c r="P62" s="150"/>
      <c r="Q62" s="150"/>
      <c r="R62" s="150"/>
      <c r="S62" s="150"/>
      <c r="T62" s="151"/>
      <c r="U62" s="152" t="s">
        <v>133</v>
      </c>
      <c r="X62" s="27"/>
      <c r="Y62" s="27"/>
    </row>
    <row r="63" spans="2:26" s="1" customFormat="1" ht="4.5" customHeight="1" thickBot="1" x14ac:dyDescent="0.2">
      <c r="B63" s="46"/>
      <c r="C63" s="46"/>
      <c r="D63" s="47"/>
      <c r="E63" s="46"/>
      <c r="F63" s="46"/>
      <c r="G63" s="46"/>
      <c r="H63" s="46"/>
      <c r="I63" s="46"/>
      <c r="J63" s="46"/>
      <c r="K63" s="48"/>
      <c r="L63" s="48"/>
      <c r="M63" s="46"/>
      <c r="N63" s="46"/>
      <c r="O63" s="46"/>
      <c r="P63" s="46"/>
      <c r="Q63" s="46"/>
      <c r="R63" s="46"/>
      <c r="S63" s="46"/>
      <c r="T63" s="46"/>
      <c r="U63" s="49"/>
      <c r="X63" s="27"/>
      <c r="Y63" s="27"/>
    </row>
    <row r="64" spans="2:26" s="1" customFormat="1" ht="85.5" customHeight="1" thickBot="1" x14ac:dyDescent="0.3">
      <c r="B64" s="182" t="s">
        <v>134</v>
      </c>
      <c r="C64" s="153" t="s">
        <v>185</v>
      </c>
      <c r="D64" s="154">
        <f>NETWORKDAYS.INTL(E64,F64,"0000110",$AB$5:$AB$12)</f>
        <v>3</v>
      </c>
      <c r="E64" s="155">
        <f>MAX(WORKDAY.INTL(F51,1,"0000110"),WORKDAY.INTL(F72,1,"0000110"),WORKDAY.INTL(F70,1,"0000110"))</f>
        <v>46278</v>
      </c>
      <c r="F64" s="155">
        <f>WORKDAY.INTL(E64,2,"0000110")</f>
        <v>46280</v>
      </c>
      <c r="G64" s="155">
        <f>MAX(WORKDAY.INTL(H51,1,"0000110"),WORKDAY.INTL(H72,1,"0000110"),WORKDAY.INTL(H70,1,"0000110"))</f>
        <v>46278</v>
      </c>
      <c r="H64" s="155">
        <f>WORKDAY.INTL(G64,2,"0000110")</f>
        <v>46280</v>
      </c>
      <c r="I64" s="155"/>
      <c r="J64" s="155"/>
      <c r="K64" s="156"/>
      <c r="L64" s="156" t="str">
        <f ca="1">IF(OR(K64=100%,J64&lt;&gt;""),"Completed",IF(AND(OR(K64="",K64=0),E64&gt;TODAY()),"Not Started",IF(AND(OR(K64="",K64=0),E64&lt;=TODAY()),"Delayed",IF(AND(K64&gt;0,K64&lt;100%,F64&lt;TODAY()),"Delayed",IF(AND(K64&gt;0,K64&lt;100%),"In Progress","")))))</f>
        <v>Not Started</v>
      </c>
      <c r="M64" s="157"/>
      <c r="N64" s="158"/>
      <c r="O64" s="158"/>
      <c r="P64" s="158"/>
      <c r="Q64" s="158"/>
      <c r="R64" s="158"/>
      <c r="S64" s="158"/>
      <c r="T64" s="159"/>
      <c r="U64" s="160" t="s">
        <v>136</v>
      </c>
      <c r="X64" s="27"/>
      <c r="Y64" s="27"/>
    </row>
    <row r="65" spans="2:26" s="1" customFormat="1" ht="4.5" customHeight="1" thickBot="1" x14ac:dyDescent="0.2">
      <c r="B65" s="46"/>
      <c r="C65" s="46"/>
      <c r="D65" s="47"/>
      <c r="E65" s="46"/>
      <c r="F65" s="46"/>
      <c r="G65" s="46"/>
      <c r="H65" s="46"/>
      <c r="I65" s="46"/>
      <c r="J65" s="46"/>
      <c r="K65" s="48"/>
      <c r="L65" s="48"/>
      <c r="M65" s="46"/>
      <c r="N65" s="46"/>
      <c r="O65" s="46"/>
      <c r="P65" s="46"/>
      <c r="Q65" s="46"/>
      <c r="R65" s="46"/>
      <c r="S65" s="46"/>
      <c r="T65" s="46"/>
      <c r="U65" s="49"/>
      <c r="X65" s="28"/>
      <c r="Y65" s="6"/>
    </row>
    <row r="66" spans="2:26" ht="28.9" customHeight="1" x14ac:dyDescent="0.25">
      <c r="B66" s="388" t="s">
        <v>34</v>
      </c>
      <c r="C66" s="162" t="s">
        <v>36</v>
      </c>
      <c r="D66" s="163">
        <f t="shared" ref="D66:D70" si="1">NETWORKDAYS.INTL(E66,F66,"0000110",$AA$5:$AA$12)</f>
        <v>3</v>
      </c>
      <c r="E66" s="164">
        <f>MAX(WORKDAY.INTL(F49,1,"0000110",$AA$5:$AA$11),WORKDAY.INTL(F55,1,"0000110",$AA$5:$AA$11),WORKDAY.INTL(F40,1,"0000110",$AA$5:$AA$11))</f>
        <v>46257</v>
      </c>
      <c r="F66" s="164">
        <f>WORKDAY.INTL(E66,2,"0000110",$AA$5:$AA$11)</f>
        <v>46259</v>
      </c>
      <c r="G66" s="164">
        <f>MAX(WORKDAY.INTL(H49,1,"0000110",$AA$5:$AA$11),WORKDAY.INTL(H55,1,"0000110",$AA$5:$AA$11),WORKDAY.INTL(H40,1,"0000110",$AA$5:$AA$11))</f>
        <v>46257</v>
      </c>
      <c r="H66" s="164">
        <f>WORKDAY.INTL(G66,2,"0000110",$AA$5:$AA$11)</f>
        <v>46259</v>
      </c>
      <c r="I66" s="164"/>
      <c r="J66" s="164"/>
      <c r="K66" s="165"/>
      <c r="L66" s="165" t="str">
        <f t="shared" ref="L66:L70" ca="1" si="2">IF(OR(K66=100%,J66&lt;&gt;""),"Completed",IF(AND(OR(K66="",K66=0),E66&gt;TODAY()),"Not Started",IF(AND(OR(K66="",K66=0),E66&lt;=TODAY()),"Delayed",IF(AND(K66&gt;0,K66&lt;100%,F66&lt;TODAY()),"Delayed",IF(AND(K66&gt;0,K66&lt;100%),"In Progress","")))))</f>
        <v>Not Started</v>
      </c>
      <c r="M66" s="166"/>
      <c r="N66" s="167"/>
      <c r="O66" s="167"/>
      <c r="P66" s="167"/>
      <c r="Q66" s="167"/>
      <c r="R66" s="167"/>
      <c r="S66" s="167"/>
      <c r="T66" s="168"/>
      <c r="U66" s="169"/>
      <c r="V66" s="2"/>
      <c r="X66" s="28"/>
    </row>
    <row r="67" spans="2:26" ht="28.9" customHeight="1" x14ac:dyDescent="0.25">
      <c r="B67" s="389"/>
      <c r="C67" s="118" t="s">
        <v>38</v>
      </c>
      <c r="D67" s="117">
        <f t="shared" si="1"/>
        <v>5</v>
      </c>
      <c r="E67" s="113">
        <f>WORKDAY.INTL(F66,1,"0000110",$AA$5:$AA$11)</f>
        <v>46260</v>
      </c>
      <c r="F67" s="113">
        <f>WORKDAY.INTL(E67,4,"0000110",$AA$5:$AA$11)</f>
        <v>46266</v>
      </c>
      <c r="G67" s="113">
        <f>WORKDAY.INTL(H66,1,"0000110",$AA$5:$AA$11)</f>
        <v>46260</v>
      </c>
      <c r="H67" s="113">
        <f>WORKDAY.INTL(G67,4,"0000110",$AA$5:$AA$11)</f>
        <v>46266</v>
      </c>
      <c r="I67" s="113"/>
      <c r="J67" s="113"/>
      <c r="K67" s="119"/>
      <c r="L67" s="119" t="str">
        <f t="shared" ca="1" si="2"/>
        <v>Not Started</v>
      </c>
      <c r="M67" s="170"/>
      <c r="N67" s="171"/>
      <c r="O67" s="171"/>
      <c r="P67" s="171"/>
      <c r="Q67" s="171"/>
      <c r="R67" s="171"/>
      <c r="S67" s="171"/>
      <c r="T67" s="172"/>
      <c r="U67" s="173"/>
      <c r="V67" s="2"/>
      <c r="X67" s="1"/>
      <c r="Y67" s="1"/>
    </row>
    <row r="68" spans="2:26" ht="28.9" customHeight="1" x14ac:dyDescent="0.25">
      <c r="B68" s="389"/>
      <c r="C68" s="118" t="s">
        <v>43</v>
      </c>
      <c r="D68" s="117">
        <f t="shared" si="1"/>
        <v>2</v>
      </c>
      <c r="E68" s="113">
        <f>WORKDAY.INTL(F67,1,"0000110",$AA$5:$AA$11)</f>
        <v>46267</v>
      </c>
      <c r="F68" s="113">
        <f>WORKDAY.INTL(E68,1,"0000110",$AA$5:$AA$11)</f>
        <v>46268</v>
      </c>
      <c r="G68" s="113">
        <f>WORKDAY.INTL(H67,1,"0000110",$AA$5:$AA$11)</f>
        <v>46267</v>
      </c>
      <c r="H68" s="113">
        <f>WORKDAY.INTL(G68,1,"0000110",$AA$5:$AA$11)</f>
        <v>46268</v>
      </c>
      <c r="I68" s="113"/>
      <c r="J68" s="113"/>
      <c r="K68" s="119"/>
      <c r="L68" s="119" t="str">
        <f t="shared" ca="1" si="2"/>
        <v>Not Started</v>
      </c>
      <c r="M68" s="170"/>
      <c r="N68" s="171"/>
      <c r="O68" s="171"/>
      <c r="P68" s="171"/>
      <c r="Q68" s="171"/>
      <c r="R68" s="171"/>
      <c r="S68" s="171"/>
      <c r="T68" s="172"/>
      <c r="U68" s="173"/>
      <c r="V68" s="2"/>
      <c r="X68" s="28"/>
    </row>
    <row r="69" spans="2:26" ht="28.9" customHeight="1" x14ac:dyDescent="0.25">
      <c r="B69" s="389"/>
      <c r="C69" s="118" t="s">
        <v>44</v>
      </c>
      <c r="D69" s="117">
        <f t="shared" si="1"/>
        <v>1</v>
      </c>
      <c r="E69" s="113">
        <f>WORKDAY.INTL(F68,1,"0000110",$AA$5:$AA$11)</f>
        <v>46271</v>
      </c>
      <c r="F69" s="113">
        <f>WORKDAY.INTL(E69,0,"0000110",$AA$5:$AA$11)</f>
        <v>46271</v>
      </c>
      <c r="G69" s="113">
        <f>WORKDAY.INTL(H68,1,"0000110",$AA$5:$AA$11)</f>
        <v>46271</v>
      </c>
      <c r="H69" s="113">
        <f>WORKDAY.INTL(G69,0,"0000110",$AA$5:$AA$11)</f>
        <v>46271</v>
      </c>
      <c r="I69" s="113"/>
      <c r="J69" s="113"/>
      <c r="K69" s="119"/>
      <c r="L69" s="119" t="str">
        <f t="shared" ca="1" si="2"/>
        <v>Not Started</v>
      </c>
      <c r="M69" s="170"/>
      <c r="N69" s="171"/>
      <c r="O69" s="171"/>
      <c r="P69" s="171"/>
      <c r="Q69" s="171"/>
      <c r="R69" s="171"/>
      <c r="S69" s="171"/>
      <c r="T69" s="172"/>
      <c r="U69" s="173"/>
      <c r="V69" s="2"/>
      <c r="X69" s="28"/>
    </row>
    <row r="70" spans="2:26" ht="28.9" customHeight="1" thickBot="1" x14ac:dyDescent="0.3">
      <c r="B70" s="390"/>
      <c r="C70" s="174" t="s">
        <v>46</v>
      </c>
      <c r="D70" s="175">
        <f t="shared" si="1"/>
        <v>1</v>
      </c>
      <c r="E70" s="176">
        <f>WORKDAY.INTL(F69,1,"0000110",$AA$5:$AA$11)</f>
        <v>46272</v>
      </c>
      <c r="F70" s="176">
        <f>WORKDAY.INTL(E70,0,"0000110",$AA$5:$AA$11)</f>
        <v>46272</v>
      </c>
      <c r="G70" s="176">
        <f>WORKDAY.INTL(H69,1,"0000110",$AA$5:$AA$11)</f>
        <v>46272</v>
      </c>
      <c r="H70" s="176">
        <f>WORKDAY.INTL(G70,0,"0000110",$AA$5:$AA$11)</f>
        <v>46272</v>
      </c>
      <c r="I70" s="176"/>
      <c r="J70" s="176"/>
      <c r="K70" s="177"/>
      <c r="L70" s="177" t="str">
        <f t="shared" ca="1" si="2"/>
        <v>Not Started</v>
      </c>
      <c r="M70" s="178"/>
      <c r="N70" s="179"/>
      <c r="O70" s="179"/>
      <c r="P70" s="179"/>
      <c r="Q70" s="179"/>
      <c r="R70" s="179"/>
      <c r="S70" s="179"/>
      <c r="T70" s="180"/>
      <c r="U70" s="181"/>
      <c r="V70" s="2"/>
      <c r="X70" s="28"/>
    </row>
    <row r="71" spans="2:26" s="1" customFormat="1" ht="4.5" customHeight="1" thickBot="1" x14ac:dyDescent="0.2">
      <c r="B71" s="23"/>
      <c r="C71" s="23"/>
      <c r="D71" s="24"/>
      <c r="E71" s="23"/>
      <c r="F71" s="23"/>
      <c r="G71" s="23"/>
      <c r="H71" s="23"/>
      <c r="I71" s="23"/>
      <c r="J71" s="23"/>
      <c r="K71" s="25"/>
      <c r="L71" s="25"/>
      <c r="M71" s="23"/>
      <c r="N71" s="23"/>
      <c r="O71" s="23"/>
      <c r="P71" s="23"/>
      <c r="Q71" s="23"/>
      <c r="R71" s="23"/>
      <c r="S71" s="23"/>
      <c r="T71" s="23"/>
      <c r="U71" s="26"/>
    </row>
    <row r="72" spans="2:26" ht="34.5" customHeight="1" x14ac:dyDescent="0.15">
      <c r="B72" s="391" t="s">
        <v>137</v>
      </c>
      <c r="C72" s="183" t="s">
        <v>47</v>
      </c>
      <c r="D72" s="184">
        <f>NETWORKDAYS.INTL(E72,F72,"0000110",$AA$5:$AA$12)</f>
        <v>30</v>
      </c>
      <c r="E72" s="185">
        <v>46235</v>
      </c>
      <c r="F72" s="185">
        <f>WORKDAY.INTL(E72,30,"0000110",$AB$5:$AB$11)</f>
        <v>46275</v>
      </c>
      <c r="G72" s="185">
        <v>46235</v>
      </c>
      <c r="H72" s="185">
        <f>WORKDAY.INTL(G72,30,"0000110",$AB$5:$AB$11)</f>
        <v>46275</v>
      </c>
      <c r="I72" s="185"/>
      <c r="J72" s="185"/>
      <c r="K72" s="186"/>
      <c r="L72" s="186" t="str">
        <f ca="1">IF(OR(K72=100%,J72&lt;&gt;""),"Completed",IF(AND(OR(K72="",K72=0),E72&gt;TODAY()),"Not Started",IF(AND(OR(K72="",K72=0),E72&lt;=TODAY()),"Delayed",IF(AND(K72&gt;0,K72&lt;100%,F72&lt;TODAY()),"Delayed",IF(AND(K72&gt;0,K72&lt;100%),"In Progress","")))))</f>
        <v>Not Started</v>
      </c>
      <c r="M72" s="58"/>
      <c r="N72" s="59"/>
      <c r="O72" s="59"/>
      <c r="P72" s="59"/>
      <c r="Q72" s="59"/>
      <c r="R72" s="59"/>
      <c r="S72" s="59"/>
      <c r="T72" s="59"/>
      <c r="U72" s="53"/>
      <c r="V72" s="2"/>
    </row>
    <row r="73" spans="2:26" ht="45.75" customHeight="1" thickBot="1" x14ac:dyDescent="0.2">
      <c r="B73" s="392"/>
      <c r="C73" s="187" t="s">
        <v>139</v>
      </c>
      <c r="D73" s="188">
        <f>NETWORKDAYS.INTL(E73,F73,"0000110",$AA$5:$AA$12)</f>
        <v>29</v>
      </c>
      <c r="E73" s="189">
        <f>F64+7</f>
        <v>46287</v>
      </c>
      <c r="F73" s="189">
        <f>WORKDAY.INTL(E73,29,"0000110",$AB$5:$AB$11)</f>
        <v>46328</v>
      </c>
      <c r="G73" s="189">
        <f>H64+7</f>
        <v>46287</v>
      </c>
      <c r="H73" s="189">
        <f>WORKDAY.INTL(G73,29,"0000110",$AB$5:$AB$11)</f>
        <v>46328</v>
      </c>
      <c r="I73" s="189"/>
      <c r="J73" s="189"/>
      <c r="K73" s="190"/>
      <c r="L73" s="190" t="str">
        <f ca="1">IF(OR(K73=100%,J73&lt;&gt;""),"Completed",IF(AND(OR(K73="",K73=0),E73&gt;TODAY()),"Not Started",IF(AND(OR(K73="",K73=0),E73&lt;=TODAY()),"Delayed",IF(AND(K73&gt;0,K73&lt;100%,F73&lt;TODAY()),"Delayed",IF(AND(K73&gt;0,K73&lt;100%),"In Progress","")))))</f>
        <v>Not Started</v>
      </c>
      <c r="M73" s="60"/>
      <c r="N73" s="61"/>
      <c r="O73" s="61"/>
      <c r="P73" s="61"/>
      <c r="Q73" s="61"/>
      <c r="R73" s="61"/>
      <c r="S73" s="61"/>
      <c r="T73" s="61"/>
      <c r="U73" s="57"/>
      <c r="V73" s="2"/>
    </row>
    <row r="74" spans="2:26" s="1" customFormat="1" ht="4.5" customHeight="1" thickBot="1" x14ac:dyDescent="0.2">
      <c r="B74" s="23"/>
      <c r="C74" s="23"/>
      <c r="D74" s="24"/>
      <c r="E74" s="23"/>
      <c r="F74" s="23"/>
      <c r="G74" s="23"/>
      <c r="H74" s="23"/>
      <c r="I74" s="23"/>
      <c r="J74" s="23"/>
      <c r="K74" s="25"/>
      <c r="L74" s="25"/>
      <c r="M74" s="23"/>
      <c r="N74" s="23"/>
      <c r="O74" s="23"/>
      <c r="P74" s="23"/>
      <c r="Q74" s="23"/>
      <c r="R74" s="23"/>
      <c r="S74" s="23"/>
      <c r="T74" s="23"/>
      <c r="U74" s="49"/>
      <c r="Y74" s="6"/>
      <c r="Z74" s="6"/>
    </row>
    <row r="75" spans="2:26" ht="36" customHeight="1" x14ac:dyDescent="0.15">
      <c r="B75" s="385" t="s">
        <v>140</v>
      </c>
      <c r="C75" s="213" t="s">
        <v>141</v>
      </c>
      <c r="D75" s="214">
        <f>NETWORKDAYS.INTL(E75,F75,"0000100",$AA$5:$AA$12)</f>
        <v>19</v>
      </c>
      <c r="E75" s="137">
        <v>46217</v>
      </c>
      <c r="F75" s="137">
        <f>E75+21</f>
        <v>46238</v>
      </c>
      <c r="G75" s="137">
        <v>46174</v>
      </c>
      <c r="H75" s="137">
        <f>G75+21</f>
        <v>46195</v>
      </c>
      <c r="I75" s="137"/>
      <c r="J75" s="137"/>
      <c r="K75" s="138"/>
      <c r="L75" s="138" t="str">
        <f ca="1">IF(OR(K75=100%,J75&lt;&gt;""),"Completed",IF(AND(OR(K75="",K75=0),E75&gt;TODAY()),"Not Started",IF(AND(OR(K75="",K75=0),E75&lt;=TODAY()),"Delayed",IF(AND(K75&gt;0,K75&lt;100%,F75&lt;TODAY()),"Delayed",IF(AND(K75&gt;0,K75&lt;100%),"In Progress","")))))</f>
        <v>Not Started</v>
      </c>
      <c r="M75" s="216"/>
      <c r="N75" s="217"/>
      <c r="O75" s="217"/>
      <c r="P75" s="217"/>
      <c r="Q75" s="217"/>
      <c r="R75" s="217"/>
      <c r="S75" s="217"/>
      <c r="T75" s="360"/>
      <c r="U75" s="359" t="s">
        <v>142</v>
      </c>
      <c r="V75" s="2"/>
      <c r="Y75" s="27"/>
      <c r="Z75" s="27"/>
    </row>
    <row r="76" spans="2:26" ht="36" customHeight="1" thickBot="1" x14ac:dyDescent="0.2">
      <c r="B76" s="387"/>
      <c r="C76" s="218" t="s">
        <v>51</v>
      </c>
      <c r="D76" s="219">
        <f>NETWORKDAYS.INTL(E76,F76,"0000110",$AA$5:$AA$12)</f>
        <v>11</v>
      </c>
      <c r="E76" s="147">
        <f>E83-23</f>
        <v>46349</v>
      </c>
      <c r="F76" s="147">
        <f>E76+14</f>
        <v>46363</v>
      </c>
      <c r="G76" s="147">
        <v>46204</v>
      </c>
      <c r="H76" s="147">
        <f>G76+14</f>
        <v>46218</v>
      </c>
      <c r="I76" s="147"/>
      <c r="J76" s="147"/>
      <c r="K76" s="148"/>
      <c r="L76" s="148" t="str">
        <f ca="1">IF(OR(K76=100%,J76&lt;&gt;""),"Completed",IF(AND(OR(K76="",K76=0),E76&gt;TODAY()),"Not Started",IF(AND(OR(K76="",K76=0),E76&lt;=TODAY()),"Delayed",IF(AND(K76&gt;0,K76&lt;100%,F76&lt;TODAY()),"Delayed",IF(AND(K76&gt;0,K76&lt;100%),"In Progress","")))))</f>
        <v>Not Started</v>
      </c>
      <c r="M76" s="220"/>
      <c r="N76" s="221"/>
      <c r="O76" s="221"/>
      <c r="P76" s="221"/>
      <c r="Q76" s="221"/>
      <c r="R76" s="221"/>
      <c r="S76" s="221"/>
      <c r="T76" s="221"/>
      <c r="U76" s="234" t="s">
        <v>143</v>
      </c>
      <c r="V76" s="2"/>
    </row>
    <row r="77" spans="2:26" s="1" customFormat="1" ht="4.5" customHeight="1" thickBot="1" x14ac:dyDescent="0.2">
      <c r="B77" s="23"/>
      <c r="C77" s="23"/>
      <c r="D77" s="24"/>
      <c r="E77" s="23"/>
      <c r="F77" s="23"/>
      <c r="G77" s="23"/>
      <c r="H77" s="23"/>
      <c r="I77" s="23"/>
      <c r="J77" s="23"/>
      <c r="K77" s="25"/>
      <c r="L77" s="25"/>
      <c r="M77" s="23"/>
      <c r="N77" s="23"/>
      <c r="O77" s="23"/>
      <c r="P77" s="23"/>
      <c r="Q77" s="23"/>
      <c r="R77" s="23"/>
      <c r="S77" s="23"/>
      <c r="T77" s="23"/>
      <c r="U77" s="26"/>
      <c r="Y77" s="6"/>
      <c r="Z77" s="6"/>
    </row>
    <row r="78" spans="2:26" ht="28.9" customHeight="1" x14ac:dyDescent="0.15">
      <c r="B78" s="382" t="s">
        <v>144</v>
      </c>
      <c r="C78" s="183" t="s">
        <v>186</v>
      </c>
      <c r="D78" s="193">
        <f>NETWORKDAYS.INTL(E78,F78,"0000100",$AB$5:$AB$12)</f>
        <v>86</v>
      </c>
      <c r="E78" s="194">
        <f>WORKDAY.INTL(F52,1,"0000100",$AB$5:$AB$11)</f>
        <v>46270</v>
      </c>
      <c r="F78" s="195">
        <f>WORKDAY.INTL(E78,85,"0000100",$AB$5:$AB$11)</f>
        <v>46369</v>
      </c>
      <c r="G78" s="185">
        <f>WORKDAY.INTL(H52,1,"0000100",$AB$5:$AB$11)</f>
        <v>46270</v>
      </c>
      <c r="H78" s="196">
        <f>WORKDAY.INTL(G78,85,"0000100",$AB$5:$AB$11)</f>
        <v>46369</v>
      </c>
      <c r="I78" s="196"/>
      <c r="J78" s="196"/>
      <c r="K78" s="197"/>
      <c r="L78" s="197" t="str">
        <f ca="1">IF(OR(K78=100%,J78&lt;&gt;""),"Completed",IF(AND(OR(K78="",K78=0),E78&gt;TODAY()),"Not Started",IF(AND(OR(K78="",K78=0),E78&lt;=TODAY()),"Delayed",IF(AND(K78&gt;0,K78&lt;100%,F78&lt;TODAY()),"Delayed",IF(AND(K78&gt;0,K78&lt;100%),"In Progress","")))))</f>
        <v>Not Started</v>
      </c>
      <c r="M78" s="50"/>
      <c r="N78" s="51"/>
      <c r="O78" s="51"/>
      <c r="P78" s="51"/>
      <c r="Q78" s="51"/>
      <c r="R78" s="51"/>
      <c r="S78" s="51"/>
      <c r="T78" s="52"/>
      <c r="U78" s="161"/>
      <c r="V78" s="2"/>
      <c r="X78" s="6"/>
    </row>
    <row r="79" spans="2:26" ht="28.9" customHeight="1" x14ac:dyDescent="0.15">
      <c r="B79" s="383"/>
      <c r="C79" s="211" t="s">
        <v>7</v>
      </c>
      <c r="D79" s="107">
        <f>NETWORKDAYS.INTL(E79,F79,"0000100",$AB$5:$AB$12)</f>
        <v>86</v>
      </c>
      <c r="E79" s="199">
        <f>WORKDAY.INTL(E78,14,"0000100",$AB$5:$AB$11)</f>
        <v>46286</v>
      </c>
      <c r="F79" s="200">
        <f>WORKDAY.INTL(F78,14,"0000100",$AB$5:$AB$11)</f>
        <v>46385</v>
      </c>
      <c r="G79" s="201">
        <f>WORKDAY.INTL(G78,14,"0000100",$AB$5:$AB$11)</f>
        <v>46286</v>
      </c>
      <c r="H79" s="202">
        <f>WORKDAY.INTL(H78,14,"0000100",$AB$5:$AB$11)</f>
        <v>46385</v>
      </c>
      <c r="I79" s="202"/>
      <c r="J79" s="202"/>
      <c r="K79" s="203"/>
      <c r="L79" s="203" t="str">
        <f ca="1">IF(OR(K79=100%,J79&lt;&gt;""),"Completed",IF(AND(OR(K79="",K79=0),E79&gt;TODAY()),"Not Started",IF(AND(OR(K79="",K79=0),E79&lt;=TODAY()),"Delayed",IF(AND(K79&gt;0,K79&lt;100%,F79&lt;TODAY()),"Delayed",IF(AND(K79&gt;0,K79&lt;100%),"In Progress","")))))</f>
        <v>Not Started</v>
      </c>
      <c r="M79" s="191"/>
      <c r="N79" s="34"/>
      <c r="O79" s="34"/>
      <c r="P79" s="34"/>
      <c r="Q79" s="34"/>
      <c r="R79" s="34"/>
      <c r="S79" s="34"/>
      <c r="T79" s="35"/>
      <c r="U79" s="235" t="s">
        <v>8</v>
      </c>
      <c r="V79" s="2"/>
      <c r="X79" s="6"/>
    </row>
    <row r="80" spans="2:26" ht="28.9" customHeight="1" x14ac:dyDescent="0.15">
      <c r="B80" s="383"/>
      <c r="C80" s="211" t="s">
        <v>146</v>
      </c>
      <c r="D80" s="107">
        <f>NETWORKDAYS.INTL(E80,F80,"0000110",$AB$5:$AB$12)</f>
        <v>71</v>
      </c>
      <c r="E80" s="204">
        <f>WORKDAY.INTL(E79,5,"0000110")</f>
        <v>46293</v>
      </c>
      <c r="F80" s="205">
        <f>WORKDAY.INTL(E80,70,"0000110")</f>
        <v>46391</v>
      </c>
      <c r="G80" s="108">
        <f>WORKDAY.INTL(G79,5,"0000110")</f>
        <v>46293</v>
      </c>
      <c r="H80" s="206">
        <f>WORKDAY.INTL(G80,65,"0000110")</f>
        <v>46384</v>
      </c>
      <c r="I80" s="206"/>
      <c r="J80" s="206"/>
      <c r="K80" s="207"/>
      <c r="L80" s="207" t="str">
        <f ca="1">IF(OR(K80=100%,J80&lt;&gt;""),"Completed",IF(AND(OR(K80="",K80=0),E80&gt;TODAY()),"Not Started",IF(AND(OR(K80="",K80=0),E80&lt;=TODAY()),"Delayed",IF(AND(K80&gt;0,K80&lt;100%,F80&lt;TODAY()),"Delayed",IF(AND(K80&gt;0,K80&lt;100%),"In Progress","")))))</f>
        <v>Not Started</v>
      </c>
      <c r="M80" s="29"/>
      <c r="N80" s="34"/>
      <c r="O80" s="34"/>
      <c r="P80" s="34"/>
      <c r="Q80" s="34"/>
      <c r="R80" s="34"/>
      <c r="S80" s="34"/>
      <c r="T80" s="35"/>
      <c r="U80" s="235" t="s">
        <v>147</v>
      </c>
      <c r="V80" s="2"/>
      <c r="X80" s="6"/>
    </row>
    <row r="81" spans="2:26" ht="28.9" customHeight="1" thickBot="1" x14ac:dyDescent="0.2">
      <c r="B81" s="384"/>
      <c r="C81" s="212" t="s">
        <v>148</v>
      </c>
      <c r="D81" s="209">
        <f>NETWORKDAYS.INTL(E81,F81,"0000110",$AB$5:$AB$12)</f>
        <v>1</v>
      </c>
      <c r="E81" s="210">
        <f>MAX(WORKDAY.INTL(F87,1,"0000100"),WORKDAY.INTL(F80,1,"0000100"))</f>
        <v>46392</v>
      </c>
      <c r="F81" s="210">
        <f>WORKDAY.INTL(E81,0,"0000110")</f>
        <v>46392</v>
      </c>
      <c r="G81" s="189">
        <f>MAX(WORKDAY.INTL(H88,1,"0000100"),WORKDAY.INTL(H80,1,"0000100"))</f>
        <v>46399</v>
      </c>
      <c r="H81" s="189">
        <f>WORKDAY.INTL(G81,0,"0000110")</f>
        <v>46399</v>
      </c>
      <c r="I81" s="189"/>
      <c r="J81" s="189"/>
      <c r="K81" s="190"/>
      <c r="L81" s="190" t="str">
        <f ca="1">IF(OR(K81=100%,J81&lt;&gt;""),"Completed",IF(AND(OR(K81="",K81=0),E81&gt;TODAY()),"Not Started",IF(AND(OR(K81="",K81=0),E81&lt;=TODAY()),"Delayed",IF(AND(K81&gt;0,K81&lt;100%,F81&lt;TODAY()),"Delayed",IF(AND(K81&gt;0,K81&lt;100%),"In Progress","")))))</f>
        <v>Not Started</v>
      </c>
      <c r="M81" s="54"/>
      <c r="N81" s="55"/>
      <c r="O81" s="55"/>
      <c r="P81" s="55"/>
      <c r="Q81" s="55"/>
      <c r="R81" s="55"/>
      <c r="S81" s="55"/>
      <c r="T81" s="56"/>
      <c r="U81" s="57"/>
      <c r="V81" s="2"/>
      <c r="X81" s="6"/>
    </row>
    <row r="82" spans="2:26" s="1" customFormat="1" ht="4.5" customHeight="1" thickBot="1" x14ac:dyDescent="0.2">
      <c r="B82" s="23"/>
      <c r="C82" s="23"/>
      <c r="D82" s="24"/>
      <c r="E82" s="23"/>
      <c r="F82" s="23"/>
      <c r="G82" s="23"/>
      <c r="H82" s="23"/>
      <c r="I82" s="23"/>
      <c r="J82" s="23"/>
      <c r="K82" s="25"/>
      <c r="L82" s="25"/>
      <c r="M82" s="23"/>
      <c r="N82" s="23"/>
      <c r="O82" s="23"/>
      <c r="P82" s="23"/>
      <c r="Q82" s="23"/>
      <c r="R82" s="23"/>
      <c r="S82" s="23"/>
      <c r="T82" s="23"/>
      <c r="U82" s="26"/>
      <c r="Y82" s="6"/>
      <c r="Z82" s="6"/>
    </row>
    <row r="83" spans="2:26" ht="30.75" customHeight="1" x14ac:dyDescent="0.15">
      <c r="B83" s="385" t="s">
        <v>149</v>
      </c>
      <c r="C83" s="222" t="s">
        <v>150</v>
      </c>
      <c r="D83" s="214">
        <f t="shared" ref="D83:D88" si="3">NETWORKDAYS.INTL(E83,F83,"0000110",$AB$5:$AB$12)</f>
        <v>5</v>
      </c>
      <c r="E83" s="137">
        <f>WORKDAY.INTL(E79,74,"0000100",$AB$5:$AB$11)</f>
        <v>46372</v>
      </c>
      <c r="F83" s="137">
        <f>WORKDAY.INTL(E83,4,"0000110",$AB$5:$AB$11)</f>
        <v>46378</v>
      </c>
      <c r="G83" s="137">
        <f>WORKDAY.INTL(G79,80,"0000100",$AB$5:$AB$11)</f>
        <v>46379</v>
      </c>
      <c r="H83" s="137">
        <f>WORKDAY.INTL(G83,4,"0000110",$AB$5:$AB$11)</f>
        <v>46385</v>
      </c>
      <c r="I83" s="137"/>
      <c r="J83" s="137"/>
      <c r="K83" s="138"/>
      <c r="L83" s="138" t="str">
        <f t="shared" ref="L83:L88" ca="1" si="4">IF(OR(K83=100%,J83&lt;&gt;""),"Completed",IF(AND(OR(K83="",K83=0),E83&gt;TODAY()),"Not Started",IF(AND(OR(K83="",K83=0),E83&lt;=TODAY()),"Delayed",IF(AND(K83&gt;0,K83&lt;100%,F83&lt;TODAY()),"Delayed",IF(AND(K83&gt;0,K83&lt;100%),"In Progress","")))))</f>
        <v>Not Started</v>
      </c>
      <c r="M83" s="216"/>
      <c r="N83" s="223"/>
      <c r="O83" s="223"/>
      <c r="P83" s="223"/>
      <c r="Q83" s="223"/>
      <c r="R83" s="223"/>
      <c r="S83" s="223"/>
      <c r="T83" s="223"/>
      <c r="U83" s="224"/>
      <c r="V83" s="2"/>
      <c r="X83" s="6"/>
      <c r="Y83" s="27"/>
      <c r="Z83" s="27"/>
    </row>
    <row r="84" spans="2:26" ht="30.75" customHeight="1" x14ac:dyDescent="0.15">
      <c r="B84" s="386"/>
      <c r="C84" s="225" t="s">
        <v>151</v>
      </c>
      <c r="D84" s="226">
        <f t="shared" si="3"/>
        <v>2</v>
      </c>
      <c r="E84" s="133">
        <f>WORKDAY.INTL(F83,1,"0000110",$AB$5:$AB$11)</f>
        <v>46379</v>
      </c>
      <c r="F84" s="133">
        <f>WORKDAY.INTL(E84,1,"0000110",$AB$5:$AB$11)</f>
        <v>46380</v>
      </c>
      <c r="G84" s="133">
        <f>WORKDAY.INTL(H83,1,"0000110",$AB$5:$AB$11)</f>
        <v>46386</v>
      </c>
      <c r="H84" s="133">
        <f>WORKDAY.INTL(G84,2,"0000110",$AB$5:$AB$11)</f>
        <v>46390</v>
      </c>
      <c r="I84" s="133"/>
      <c r="J84" s="133"/>
      <c r="K84" s="134"/>
      <c r="L84" s="134" t="str">
        <f t="shared" ca="1" si="4"/>
        <v>Not Started</v>
      </c>
      <c r="M84" s="227"/>
      <c r="N84" s="228"/>
      <c r="O84" s="228"/>
      <c r="P84" s="228"/>
      <c r="Q84" s="228"/>
      <c r="R84" s="228"/>
      <c r="S84" s="228"/>
      <c r="T84" s="228"/>
      <c r="U84" s="229"/>
      <c r="V84" s="2"/>
      <c r="X84" s="6"/>
    </row>
    <row r="85" spans="2:26" ht="30.75" customHeight="1" x14ac:dyDescent="0.15">
      <c r="B85" s="386"/>
      <c r="C85" s="225" t="s">
        <v>152</v>
      </c>
      <c r="D85" s="226">
        <f t="shared" si="3"/>
        <v>2</v>
      </c>
      <c r="E85" s="133">
        <f>WORKDAY.INTL(F84,1,"0000110",$AB$5:$AB$11)</f>
        <v>46383</v>
      </c>
      <c r="F85" s="133">
        <f>WORKDAY.INTL(E85,1,"0000110",$AB$5:$AB$11)</f>
        <v>46384</v>
      </c>
      <c r="G85" s="133">
        <f>WORKDAY.INTL(H84,1,"0000110",$AB$5:$AB$11)</f>
        <v>46391</v>
      </c>
      <c r="H85" s="133">
        <f>WORKDAY.INTL(G85,1,"0000110",$AB$5:$AB$11)</f>
        <v>46392</v>
      </c>
      <c r="I85" s="133"/>
      <c r="J85" s="133"/>
      <c r="K85" s="134"/>
      <c r="L85" s="134" t="str">
        <f t="shared" ca="1" si="4"/>
        <v>Not Started</v>
      </c>
      <c r="M85" s="227"/>
      <c r="N85" s="228"/>
      <c r="O85" s="228"/>
      <c r="P85" s="228"/>
      <c r="Q85" s="228"/>
      <c r="R85" s="228"/>
      <c r="S85" s="228"/>
      <c r="T85" s="228"/>
      <c r="U85" s="229"/>
      <c r="V85" s="2"/>
      <c r="X85" s="6"/>
      <c r="Y85" s="27"/>
      <c r="Z85" s="27"/>
    </row>
    <row r="86" spans="2:26" ht="30.75" customHeight="1" x14ac:dyDescent="0.15">
      <c r="B86" s="386"/>
      <c r="C86" s="225" t="s">
        <v>153</v>
      </c>
      <c r="D86" s="226">
        <f t="shared" si="3"/>
        <v>1</v>
      </c>
      <c r="E86" s="133">
        <f>WORKDAY.INTL(F85,1,"0000110",$AB$5:$AB$11)</f>
        <v>46385</v>
      </c>
      <c r="F86" s="133">
        <f>WORKDAY.INTL(E86,0,"0000110",$AB$5:$AB$11)</f>
        <v>46385</v>
      </c>
      <c r="G86" s="133">
        <f>WORKDAY.INTL(H85,1,"0000110",$AB$5:$AB$11)</f>
        <v>46393</v>
      </c>
      <c r="H86" s="133">
        <f>WORKDAY.INTL(G86,1,"0000110",$AB$5:$AB$11)</f>
        <v>46394</v>
      </c>
      <c r="I86" s="133"/>
      <c r="J86" s="133"/>
      <c r="K86" s="134"/>
      <c r="L86" s="134" t="str">
        <f t="shared" ca="1" si="4"/>
        <v>Not Started</v>
      </c>
      <c r="M86" s="227"/>
      <c r="N86" s="228"/>
      <c r="O86" s="228"/>
      <c r="P86" s="228"/>
      <c r="Q86" s="228"/>
      <c r="R86" s="228"/>
      <c r="S86" s="228"/>
      <c r="T86" s="228"/>
      <c r="U86" s="229"/>
      <c r="V86" s="2"/>
      <c r="X86" s="6"/>
    </row>
    <row r="87" spans="2:26" ht="30.75" customHeight="1" x14ac:dyDescent="0.15">
      <c r="B87" s="386"/>
      <c r="C87" s="225" t="s">
        <v>46</v>
      </c>
      <c r="D87" s="226">
        <f t="shared" si="3"/>
        <v>1</v>
      </c>
      <c r="E87" s="133">
        <f>WORKDAY.INTL(F86,1,"0000110",$AB$5:$AB$11)</f>
        <v>46386</v>
      </c>
      <c r="F87" s="133">
        <f>WORKDAY.INTL(E87,0,"0000110",$AB$5:$AB$11)</f>
        <v>46386</v>
      </c>
      <c r="G87" s="133">
        <f>WORKDAY.INTL(H86,1,"0000110",$AB$5:$AB$11)</f>
        <v>46397</v>
      </c>
      <c r="H87" s="133">
        <f>WORKDAY.INTL(G87,0,"0000110",$AB$5:$AB$11)</f>
        <v>46397</v>
      </c>
      <c r="I87" s="133"/>
      <c r="J87" s="133"/>
      <c r="K87" s="134"/>
      <c r="L87" s="134" t="str">
        <f t="shared" ca="1" si="4"/>
        <v>Not Started</v>
      </c>
      <c r="M87" s="227"/>
      <c r="N87" s="228"/>
      <c r="O87" s="228"/>
      <c r="P87" s="228"/>
      <c r="Q87" s="228"/>
      <c r="R87" s="228"/>
      <c r="S87" s="228"/>
      <c r="T87" s="228"/>
      <c r="U87" s="229"/>
      <c r="V87" s="2"/>
      <c r="X87" s="6"/>
    </row>
    <row r="88" spans="2:26" ht="30.75" customHeight="1" thickBot="1" x14ac:dyDescent="0.2">
      <c r="B88" s="387"/>
      <c r="C88" s="230" t="s">
        <v>154</v>
      </c>
      <c r="D88" s="219">
        <f t="shared" si="3"/>
        <v>3</v>
      </c>
      <c r="E88" s="147">
        <f>MAX(WORKDAY.INTL(F81,1,"0000110",$AB$5:$AB$12),WORKDAY.INTL(F83,1,"0000110",$AB$5:$AB$12))</f>
        <v>46393</v>
      </c>
      <c r="F88" s="147">
        <f>WORKDAY.INTL(E88,2,"0000110",$AB$5:$AB$11)</f>
        <v>46397</v>
      </c>
      <c r="G88" s="147">
        <f>WORKDAY.INTL(H87,1,"0000110",$AB$5:$AB$11)</f>
        <v>46398</v>
      </c>
      <c r="H88" s="147">
        <f>WORKDAY.INTL(G88,0,"0000110",$AB$5:$AB$11)</f>
        <v>46398</v>
      </c>
      <c r="I88" s="147"/>
      <c r="J88" s="147"/>
      <c r="K88" s="148"/>
      <c r="L88" s="148" t="str">
        <f t="shared" ca="1" si="4"/>
        <v>Not Started</v>
      </c>
      <c r="M88" s="220"/>
      <c r="N88" s="231"/>
      <c r="O88" s="231"/>
      <c r="P88" s="231"/>
      <c r="Q88" s="231"/>
      <c r="R88" s="231"/>
      <c r="S88" s="231"/>
      <c r="T88" s="231"/>
      <c r="U88" s="232"/>
      <c r="V88" s="2"/>
      <c r="X88" s="6"/>
    </row>
  </sheetData>
  <mergeCells count="15">
    <mergeCell ref="B66:B70"/>
    <mergeCell ref="B72:B73"/>
    <mergeCell ref="B75:B76"/>
    <mergeCell ref="B78:B81"/>
    <mergeCell ref="B83:B88"/>
    <mergeCell ref="B36:B40"/>
    <mergeCell ref="B42:B46"/>
    <mergeCell ref="B48:B52"/>
    <mergeCell ref="B54:B56"/>
    <mergeCell ref="B58:B62"/>
    <mergeCell ref="B5:B10"/>
    <mergeCell ref="B12:B16"/>
    <mergeCell ref="B18:B22"/>
    <mergeCell ref="B24:B28"/>
    <mergeCell ref="B30:B34"/>
  </mergeCells>
  <conditionalFormatting sqref="L1:L1048576">
    <cfRule type="cellIs" dxfId="8" priority="1" operator="equal">
      <formula>"Delayed"</formula>
    </cfRule>
    <cfRule type="cellIs" dxfId="7" priority="2" operator="equal">
      <formula>"In Progress"</formula>
    </cfRule>
    <cfRule type="cellIs" dxfId="6" priority="3" operator="equal">
      <formula>"Completed"</formula>
    </cfRule>
  </conditionalFormatting>
  <dataValidations disablePrompts="1" count="1">
    <dataValidation type="list" allowBlank="1" showInputMessage="1" showErrorMessage="1" sqref="V83:V88 V78:V81 V58:V64" xr:uid="{00000000-0002-0000-0700-000000000000}">
      <formula1>$W$2:$W$5</formula1>
    </dataValidation>
  </dataValidations>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B1:AC103"/>
  <sheetViews>
    <sheetView showGridLines="0" topLeftCell="B1" zoomScale="71" zoomScaleNormal="70" workbookViewId="0">
      <pane ySplit="2" topLeftCell="A70" activePane="bottomLeft" state="frozen"/>
      <selection pane="bottomLeft" activeCell="B72" sqref="B72:B76"/>
    </sheetView>
  </sheetViews>
  <sheetFormatPr defaultColWidth="9" defaultRowHeight="15" x14ac:dyDescent="0.25"/>
  <cols>
    <col min="1" max="1" width="0.75" style="289" customWidth="1"/>
    <col min="2" max="2" width="16" style="289" customWidth="1"/>
    <col min="3" max="3" width="32.375" style="289" customWidth="1"/>
    <col min="4" max="4" width="13.375" style="290" customWidth="1"/>
    <col min="5" max="5" width="16.75" style="337" customWidth="1"/>
    <col min="6" max="6" width="15.125" style="337" customWidth="1"/>
    <col min="7" max="7" width="16.75" style="337" hidden="1" customWidth="1"/>
    <col min="8" max="8" width="15.125" style="337" hidden="1" customWidth="1"/>
    <col min="9" max="9" width="26.625" style="337" hidden="1" customWidth="1"/>
    <col min="10" max="10" width="28.875" style="337" hidden="1" customWidth="1"/>
    <col min="11" max="11" width="12.375" style="338" bestFit="1" customWidth="1"/>
    <col min="12" max="12" width="15.125" style="338" customWidth="1"/>
    <col min="13" max="13" width="0.875" style="289" customWidth="1"/>
    <col min="14" max="20" width="9.125" style="289" customWidth="1"/>
    <col min="21" max="21" width="42.75" style="294" customWidth="1"/>
    <col min="22" max="22" width="9" style="289" hidden="1" customWidth="1"/>
    <col min="23" max="23" width="9" style="289"/>
    <col min="24" max="24" width="9.125" style="289" customWidth="1"/>
    <col min="25" max="25" width="12.25" style="295" customWidth="1"/>
    <col min="26" max="26" width="10.125" style="295" customWidth="1"/>
    <col min="27" max="27" width="10.125" style="289" customWidth="1"/>
    <col min="28" max="28" width="9.125" style="289" customWidth="1"/>
    <col min="29" max="16384" width="9" style="289"/>
  </cols>
  <sheetData>
    <row r="1" spans="2:29" ht="5.45" customHeight="1" x14ac:dyDescent="0.25">
      <c r="E1" s="291"/>
      <c r="F1" s="291"/>
      <c r="G1" s="291"/>
      <c r="H1" s="291"/>
      <c r="I1" s="291"/>
      <c r="J1" s="291"/>
      <c r="K1" s="292"/>
      <c r="L1" s="292"/>
      <c r="M1" s="293"/>
    </row>
    <row r="2" spans="2:29" ht="24" customHeight="1" x14ac:dyDescent="0.25">
      <c r="B2" s="285"/>
      <c r="C2" s="284" t="s">
        <v>1</v>
      </c>
      <c r="D2" s="284" t="s">
        <v>90</v>
      </c>
      <c r="E2" s="283" t="s">
        <v>91</v>
      </c>
      <c r="F2" s="283" t="s">
        <v>92</v>
      </c>
      <c r="G2" s="283" t="s">
        <v>93</v>
      </c>
      <c r="H2" s="283" t="s">
        <v>94</v>
      </c>
      <c r="I2" s="282" t="s">
        <v>95</v>
      </c>
      <c r="J2" s="282" t="s">
        <v>96</v>
      </c>
      <c r="K2" s="281" t="s">
        <v>97</v>
      </c>
      <c r="L2" s="281" t="s">
        <v>98</v>
      </c>
      <c r="M2" s="296"/>
      <c r="N2" s="280">
        <v>46113</v>
      </c>
      <c r="O2" s="279">
        <v>46143</v>
      </c>
      <c r="P2" s="279">
        <v>46174</v>
      </c>
      <c r="Q2" s="279">
        <v>46204</v>
      </c>
      <c r="R2" s="279">
        <v>46235</v>
      </c>
      <c r="S2" s="279">
        <v>46266</v>
      </c>
      <c r="T2" s="279">
        <v>46296</v>
      </c>
      <c r="U2" s="278" t="s">
        <v>2</v>
      </c>
      <c r="V2" s="289" t="s">
        <v>155</v>
      </c>
    </row>
    <row r="3" spans="2:29" ht="45" hidden="1" customHeight="1" x14ac:dyDescent="0.25">
      <c r="B3" s="277"/>
      <c r="C3" s="276" t="s">
        <v>187</v>
      </c>
      <c r="D3" s="275"/>
      <c r="E3" s="297">
        <v>46160</v>
      </c>
      <c r="F3" s="297">
        <v>46172</v>
      </c>
      <c r="G3" s="297">
        <v>46160</v>
      </c>
      <c r="H3" s="297">
        <v>46172</v>
      </c>
      <c r="I3" s="297"/>
      <c r="J3" s="297"/>
      <c r="K3" s="274">
        <v>1</v>
      </c>
      <c r="L3" s="274" t="str">
        <f ca="1">IF(OR(K3=100%,J3&lt;&gt;""),"Completed",IF(AND(OR(K3="",K3=0),E3&gt;TODAY()),"Not Started",IF(AND(OR(K3="",K3=0),E3&lt;=TODAY()),"Delayed",IF(AND(K3&gt;0,K3&lt;100%,F3&lt;TODAY()),"Delayed",IF(AND(K3&gt;0,K3&lt;100%),"In Progress","")))))</f>
        <v>Completed</v>
      </c>
      <c r="M3" s="296"/>
      <c r="N3" s="273"/>
      <c r="O3" s="272"/>
      <c r="P3" s="272"/>
      <c r="Q3" s="272"/>
      <c r="R3" s="272"/>
      <c r="S3" s="272"/>
      <c r="T3" s="272"/>
      <c r="U3" s="271" t="s">
        <v>188</v>
      </c>
      <c r="V3" s="289" t="s">
        <v>103</v>
      </c>
    </row>
    <row r="4" spans="2:29" s="298" customFormat="1" ht="4.5" hidden="1" customHeight="1" x14ac:dyDescent="0.25">
      <c r="B4" s="270"/>
      <c r="C4" s="270"/>
      <c r="D4" s="269"/>
      <c r="E4" s="270"/>
      <c r="F4" s="270"/>
      <c r="G4" s="270"/>
      <c r="H4" s="270"/>
      <c r="I4" s="270"/>
      <c r="J4" s="270"/>
      <c r="K4" s="268"/>
      <c r="L4" s="268"/>
      <c r="M4" s="270"/>
      <c r="N4" s="270"/>
      <c r="O4" s="270"/>
      <c r="P4" s="270"/>
      <c r="Q4" s="270"/>
      <c r="R4" s="270"/>
      <c r="S4" s="270"/>
      <c r="T4" s="270"/>
      <c r="U4" s="267"/>
      <c r="Y4" s="299"/>
      <c r="Z4" s="299"/>
    </row>
    <row r="5" spans="2:29" ht="45" customHeight="1" x14ac:dyDescent="0.25">
      <c r="B5" s="375" t="s">
        <v>176</v>
      </c>
      <c r="C5" s="106" t="s">
        <v>102</v>
      </c>
      <c r="D5" s="107">
        <f>NETWORKDAYS.INTL(E5,F5,"0000100",$AA$5:$AA$13)</f>
        <v>29</v>
      </c>
      <c r="E5" s="108">
        <f>WORKDAY.INTL("31-May-26",0,"0000100")</f>
        <v>46173</v>
      </c>
      <c r="F5" s="108">
        <f>WORKDAY.INTL(F6,1,"0000100",$AA$5:$AA$13)</f>
        <v>46205</v>
      </c>
      <c r="G5" s="108">
        <f>WORKDAY.INTL("31-May-26",0,"0000100")</f>
        <v>46173</v>
      </c>
      <c r="H5" s="108">
        <f>WORKDAY.INTL(H6,1,"0000100",$AA$5:$AA$13)</f>
        <v>46205</v>
      </c>
      <c r="I5" s="108">
        <v>46148</v>
      </c>
      <c r="J5" s="108"/>
      <c r="K5" s="109">
        <v>0.9</v>
      </c>
      <c r="L5" s="109" t="str">
        <f t="shared" ref="L5:L12" ca="1" si="0">IF(OR(K5=100%,J5&lt;&gt;""),"Completed",IF(AND(OR(K5="",K5=0),E5&gt;TODAY()),"Not Started",IF(AND(OR(K5="",K5=0),E5&lt;=TODAY()),"Delayed",IF(AND(K5&gt;0,K5&lt;100%,F5&lt;TODAY()),"Delayed",IF(AND(K5&gt;0,K5&lt;100%),"In Progress","")))))</f>
        <v>In Progress</v>
      </c>
      <c r="M5" s="300"/>
      <c r="N5" s="265"/>
      <c r="O5" s="265"/>
      <c r="P5" s="265"/>
      <c r="Q5" s="265"/>
      <c r="R5" s="265"/>
      <c r="S5" s="265"/>
      <c r="T5" s="264"/>
      <c r="U5" s="263"/>
      <c r="V5" s="289" t="s">
        <v>109</v>
      </c>
      <c r="X5" s="266" t="s">
        <v>62</v>
      </c>
      <c r="Y5" s="295" t="s">
        <v>68</v>
      </c>
      <c r="AA5" s="301">
        <v>46166</v>
      </c>
    </row>
    <row r="6" spans="2:29" ht="45" customHeight="1" x14ac:dyDescent="0.25">
      <c r="B6" s="376"/>
      <c r="C6" s="106" t="s">
        <v>189</v>
      </c>
      <c r="D6" s="107">
        <f>NETWORKDAYS.INTL(E6,F6,"0000100",$AA$5:$AA$13)</f>
        <v>17</v>
      </c>
      <c r="E6" s="108">
        <v>46186</v>
      </c>
      <c r="F6" s="108">
        <v>46204</v>
      </c>
      <c r="G6" s="108">
        <v>46186</v>
      </c>
      <c r="H6" s="108">
        <v>46204</v>
      </c>
      <c r="I6" s="108"/>
      <c r="J6" s="108"/>
      <c r="K6" s="109">
        <v>0.3</v>
      </c>
      <c r="L6" s="109" t="str">
        <f t="shared" ca="1" si="0"/>
        <v>In Progress</v>
      </c>
      <c r="M6" s="300"/>
      <c r="N6" s="265"/>
      <c r="O6" s="265"/>
      <c r="P6" s="265"/>
      <c r="Q6" s="265"/>
      <c r="R6" s="265"/>
      <c r="S6" s="265"/>
      <c r="T6" s="264"/>
      <c r="U6" s="263"/>
      <c r="X6" s="295"/>
      <c r="AA6" s="301">
        <v>46167</v>
      </c>
    </row>
    <row r="7" spans="2:29" ht="45" customHeight="1" x14ac:dyDescent="0.25">
      <c r="B7" s="376"/>
      <c r="C7" s="106" t="s">
        <v>190</v>
      </c>
      <c r="D7" s="107">
        <f>NETWORKDAYS.INTL(E7,F7,"0000100",$AA$5:$AA$13)</f>
        <v>15</v>
      </c>
      <c r="E7" s="108">
        <f>F6+1</f>
        <v>46205</v>
      </c>
      <c r="F7" s="108">
        <f>WORKDAY.INTL(E7,14,"0000100",$AA$5:$AA$12)</f>
        <v>46222</v>
      </c>
      <c r="G7" s="108">
        <f>H6+1</f>
        <v>46205</v>
      </c>
      <c r="H7" s="108">
        <f>WORKDAY.INTL(G7,14,"0000100",$AA$5:$AA$12)</f>
        <v>46222</v>
      </c>
      <c r="I7" s="108"/>
      <c r="J7" s="108"/>
      <c r="K7" s="109"/>
      <c r="L7" s="109" t="str">
        <f t="shared" ca="1" si="0"/>
        <v>Not Started</v>
      </c>
      <c r="M7" s="300"/>
      <c r="N7" s="265"/>
      <c r="O7" s="265"/>
      <c r="P7" s="265"/>
      <c r="Q7" s="265"/>
      <c r="R7" s="265"/>
      <c r="S7" s="265"/>
      <c r="T7" s="264"/>
      <c r="U7" s="263"/>
      <c r="X7" s="295"/>
      <c r="AA7" s="301"/>
    </row>
    <row r="8" spans="2:29" ht="45" customHeight="1" x14ac:dyDescent="0.25">
      <c r="B8" s="376"/>
      <c r="C8" s="106" t="s">
        <v>104</v>
      </c>
      <c r="D8" s="107">
        <f>NETWORKDAYS.INTL(E8,F8,"0000100",$AA$5:$AA$13)</f>
        <v>11</v>
      </c>
      <c r="E8" s="108">
        <f>WORKDAY.INTL(F5,1,"0000100",$AA$5:$AA$13)</f>
        <v>46207</v>
      </c>
      <c r="F8" s="108">
        <f>WORKDAY.INTL(E8,10,"0000100",$AC$5:$AC$11)</f>
        <v>46218</v>
      </c>
      <c r="G8" s="108">
        <f>WORKDAY.INTL(H5,1,"0000100",$AA$5:$AA$13)</f>
        <v>46207</v>
      </c>
      <c r="H8" s="108">
        <f>WORKDAY.INTL(G8,10,"0000100",$AC$5:$AC$11)</f>
        <v>46218</v>
      </c>
      <c r="I8" s="108"/>
      <c r="J8" s="108"/>
      <c r="K8" s="109"/>
      <c r="L8" s="109" t="str">
        <f t="shared" ca="1" si="0"/>
        <v>Not Started</v>
      </c>
      <c r="M8" s="300"/>
      <c r="N8" s="265"/>
      <c r="O8" s="265"/>
      <c r="P8" s="265"/>
      <c r="Q8" s="265"/>
      <c r="R8" s="265"/>
      <c r="S8" s="265"/>
      <c r="T8" s="264"/>
      <c r="U8" s="263"/>
      <c r="X8" s="266" t="s">
        <v>63</v>
      </c>
      <c r="Y8" s="295" t="s">
        <v>68</v>
      </c>
      <c r="AA8" s="301">
        <v>46168</v>
      </c>
    </row>
    <row r="9" spans="2:29" ht="45" customHeight="1" x14ac:dyDescent="0.25">
      <c r="B9" s="376"/>
      <c r="C9" s="106" t="s">
        <v>105</v>
      </c>
      <c r="D9" s="107"/>
      <c r="E9" s="108" t="s">
        <v>106</v>
      </c>
      <c r="F9" s="108">
        <v>46212</v>
      </c>
      <c r="G9" s="108" t="s">
        <v>106</v>
      </c>
      <c r="H9" s="108">
        <v>46212</v>
      </c>
      <c r="I9" s="108"/>
      <c r="J9" s="108"/>
      <c r="K9" s="109"/>
      <c r="L9" s="109" t="str">
        <f t="shared" ca="1" si="0"/>
        <v>Not Started</v>
      </c>
      <c r="M9" s="300"/>
      <c r="N9" s="265"/>
      <c r="O9" s="265"/>
      <c r="P9" s="265"/>
      <c r="Q9" s="265"/>
      <c r="R9" s="265"/>
      <c r="S9" s="265"/>
      <c r="T9" s="264"/>
      <c r="U9" s="263"/>
      <c r="X9" s="295"/>
      <c r="AA9" s="301">
        <v>46169</v>
      </c>
    </row>
    <row r="10" spans="2:29" ht="45" customHeight="1" x14ac:dyDescent="0.25">
      <c r="B10" s="376"/>
      <c r="C10" s="110" t="s">
        <v>107</v>
      </c>
      <c r="D10" s="107">
        <f>NETWORKDAYS.INTL(E10,F10,"0000110",$AA$5:$AA$13)</f>
        <v>3</v>
      </c>
      <c r="E10" s="108">
        <f>MAX(WORKDAY.INTL(F7,1,"0000110"),WORKDAY.INTL(F8,1,"0000110"),WORKDAY.INTL(F9,1,"0000110"))</f>
        <v>46223</v>
      </c>
      <c r="F10" s="108">
        <f>WORKDAY.INTL(E10,2,"0000110")</f>
        <v>46225</v>
      </c>
      <c r="G10" s="108">
        <f>MAX(WORKDAY.INTL(H7,1,"0000110"),WORKDAY.INTL(H8,1,"0000110"),WORKDAY.INTL(H9,1,"0000110"))</f>
        <v>46223</v>
      </c>
      <c r="H10" s="108">
        <f>WORKDAY.INTL(G10,2,"0000110")</f>
        <v>46225</v>
      </c>
      <c r="I10" s="108"/>
      <c r="J10" s="108"/>
      <c r="K10" s="109"/>
      <c r="L10" s="109" t="str">
        <f t="shared" ca="1" si="0"/>
        <v>Not Started</v>
      </c>
      <c r="M10" s="300"/>
      <c r="N10" s="262"/>
      <c r="O10" s="262"/>
      <c r="P10" s="262"/>
      <c r="Q10" s="262"/>
      <c r="R10" s="262"/>
      <c r="S10" s="262"/>
      <c r="T10" s="261"/>
      <c r="U10" s="302" t="s">
        <v>108</v>
      </c>
      <c r="X10" s="266" t="s">
        <v>64</v>
      </c>
      <c r="Y10" s="295" t="s">
        <v>68</v>
      </c>
      <c r="AA10" s="301">
        <v>46170</v>
      </c>
    </row>
    <row r="11" spans="2:29" ht="45" customHeight="1" x14ac:dyDescent="0.25">
      <c r="B11" s="376"/>
      <c r="C11" s="110" t="s">
        <v>110</v>
      </c>
      <c r="D11" s="107">
        <f>NETWORKDAYS.INTL(E11,F11,"0000110",$AA$5:$AA$13)</f>
        <v>2</v>
      </c>
      <c r="E11" s="108">
        <f>WORKDAY.INTL(F10,1,"0000110")</f>
        <v>46226</v>
      </c>
      <c r="F11" s="108">
        <f>WORKDAY.INTL(E11,1,"0000110")</f>
        <v>46229</v>
      </c>
      <c r="G11" s="108">
        <f>WORKDAY.INTL(H10,1,"0000110")</f>
        <v>46226</v>
      </c>
      <c r="H11" s="108">
        <f>WORKDAY.INTL(G11,1,"0000110")</f>
        <v>46229</v>
      </c>
      <c r="I11" s="108"/>
      <c r="J11" s="108"/>
      <c r="K11" s="109"/>
      <c r="L11" s="109" t="str">
        <f t="shared" ca="1" si="0"/>
        <v>Not Started</v>
      </c>
      <c r="M11" s="300"/>
      <c r="N11" s="262"/>
      <c r="O11" s="262"/>
      <c r="P11" s="262"/>
      <c r="Q11" s="262"/>
      <c r="R11" s="262"/>
      <c r="S11" s="262"/>
      <c r="T11" s="261"/>
      <c r="U11" s="263" t="s">
        <v>111</v>
      </c>
      <c r="X11" s="266" t="s">
        <v>65</v>
      </c>
      <c r="Y11" s="295" t="s">
        <v>68</v>
      </c>
      <c r="AA11" s="301">
        <v>46171</v>
      </c>
    </row>
    <row r="12" spans="2:29" ht="45" customHeight="1" x14ac:dyDescent="0.25">
      <c r="B12" s="376"/>
      <c r="C12" s="286" t="s">
        <v>112</v>
      </c>
      <c r="D12" s="287">
        <f>NETWORKDAYS.INTL(E12,F12,"0000110",$AA$5:$AA$13)</f>
        <v>1</v>
      </c>
      <c r="E12" s="288">
        <f>WORKDAY.INTL(F11,0,"0000110")</f>
        <v>46229</v>
      </c>
      <c r="F12" s="288">
        <f>WORKDAY.INTL(E12,0,"0000110")</f>
        <v>46229</v>
      </c>
      <c r="G12" s="288">
        <f>WORKDAY.INTL(H11,0,"0000110")</f>
        <v>46229</v>
      </c>
      <c r="H12" s="288">
        <f>WORKDAY.INTL(G12,0,"0000110")</f>
        <v>46229</v>
      </c>
      <c r="I12" s="288"/>
      <c r="J12" s="288"/>
      <c r="K12" s="109"/>
      <c r="L12" s="109" t="str">
        <f t="shared" ca="1" si="0"/>
        <v>Not Started</v>
      </c>
      <c r="M12" s="300"/>
      <c r="N12" s="260"/>
      <c r="O12" s="260"/>
      <c r="P12" s="260"/>
      <c r="Q12" s="260"/>
      <c r="R12" s="260"/>
      <c r="S12" s="260"/>
      <c r="T12" s="259"/>
      <c r="U12" s="258"/>
      <c r="X12" s="266" t="s">
        <v>66</v>
      </c>
      <c r="Y12" s="295" t="s">
        <v>68</v>
      </c>
      <c r="AA12" s="301">
        <v>46288</v>
      </c>
    </row>
    <row r="13" spans="2:29" s="298" customFormat="1" ht="4.5" customHeight="1" thickBot="1" x14ac:dyDescent="0.3">
      <c r="B13" s="270"/>
      <c r="C13" s="270" t="s">
        <v>178</v>
      </c>
      <c r="D13" s="269"/>
      <c r="E13" s="270"/>
      <c r="F13" s="270"/>
      <c r="G13" s="270"/>
      <c r="H13" s="270"/>
      <c r="I13" s="270"/>
      <c r="J13" s="270"/>
      <c r="K13" s="268"/>
      <c r="L13" s="268"/>
      <c r="M13" s="270"/>
      <c r="N13" s="270"/>
      <c r="O13" s="270"/>
      <c r="P13" s="270"/>
      <c r="Q13" s="270"/>
      <c r="R13" s="270"/>
      <c r="S13" s="270"/>
      <c r="T13" s="270"/>
      <c r="U13" s="267"/>
      <c r="W13" s="289"/>
      <c r="Y13" s="295" t="s">
        <v>69</v>
      </c>
      <c r="AA13" s="301">
        <v>46288</v>
      </c>
    </row>
    <row r="14" spans="2:29" ht="45" customHeight="1" x14ac:dyDescent="0.25">
      <c r="B14" s="377" t="s">
        <v>191</v>
      </c>
      <c r="C14" s="111" t="s">
        <v>102</v>
      </c>
      <c r="D14" s="112">
        <f>NETWORKDAYS.INTL(E14,F14,"0000100",$AA$5:$AA$13)</f>
        <v>4</v>
      </c>
      <c r="E14" s="113">
        <f>WORKDAY.INTL(F5,1,"0000100",$AA$5:$AA$12)</f>
        <v>46207</v>
      </c>
      <c r="F14" s="114">
        <f>WORKDAY.INTL(E14,3,"0000100",$AA$5:$AA$12)</f>
        <v>46210</v>
      </c>
      <c r="G14" s="113">
        <f>WORKDAY.INTL(H5,1,"0000100",$AA$5:$AA$12)</f>
        <v>46207</v>
      </c>
      <c r="H14" s="114">
        <f>WORKDAY.INTL(G14,3,"0000100",$AA$5:$AA$12)</f>
        <v>46210</v>
      </c>
      <c r="I14" s="114">
        <v>46164</v>
      </c>
      <c r="J14" s="114"/>
      <c r="K14" s="115">
        <v>0.9</v>
      </c>
      <c r="L14" s="115" t="str">
        <f ca="1">IF(OR(K14=100%,J14&lt;&gt;""),"Completed",IF(AND(OR(K14="",K14=0),E14&gt;TODAY()),"Not Started",IF(AND(OR(K14="",K14=0),E14&lt;=TODAY()),"Delayed",IF(AND(K14&gt;0,K14&lt;100%,F14&lt;TODAY()),"Delayed",IF(AND(K14&gt;0,K14&lt;100%),"In Progress","")))))</f>
        <v>In Progress</v>
      </c>
      <c r="M14" s="303"/>
      <c r="N14" s="257"/>
      <c r="O14" s="257"/>
      <c r="P14" s="257"/>
      <c r="Q14" s="257"/>
      <c r="R14" s="257"/>
      <c r="S14" s="257"/>
      <c r="T14" s="256"/>
      <c r="U14" s="255"/>
      <c r="X14" s="266" t="s">
        <v>62</v>
      </c>
      <c r="Y14" s="295" t="s">
        <v>69</v>
      </c>
      <c r="AC14" s="301"/>
    </row>
    <row r="15" spans="2:29" ht="45" customHeight="1" x14ac:dyDescent="0.25">
      <c r="B15" s="378"/>
      <c r="C15" s="116" t="s">
        <v>104</v>
      </c>
      <c r="D15" s="117">
        <f>NETWORKDAYS.INTL(E15,F15,"0000100",$AA$5:$AA$13)</f>
        <v>5</v>
      </c>
      <c r="E15" s="113">
        <f>WORKDAY.INTL(F8,1,"0000100",$AA$5:$AA$12)</f>
        <v>46219</v>
      </c>
      <c r="F15" s="114">
        <f>WORKDAY.INTL(E15,4,"0000100",$AA$5:$AA$12)</f>
        <v>46224</v>
      </c>
      <c r="G15" s="113">
        <f>WORKDAY.INTL(H8,1,"0000100",$AA$5:$AA$12)</f>
        <v>46219</v>
      </c>
      <c r="H15" s="114">
        <f>WORKDAY.INTL(G15,4,"0000100",$AA$5:$AA$12)</f>
        <v>46224</v>
      </c>
      <c r="I15" s="114"/>
      <c r="J15" s="114"/>
      <c r="K15" s="115"/>
      <c r="L15" s="115" t="str">
        <f ca="1">IF(OR(K15=100%,J15&lt;&gt;""),"Completed",IF(AND(OR(K15="",K15=0),E15&gt;TODAY()),"Not Started",IF(AND(OR(K15="",K15=0),E15&lt;=TODAY()),"Delayed",IF(AND(K15&gt;0,K15&lt;100%,F15&lt;TODAY()),"Delayed",IF(AND(K15&gt;0,K15&lt;100%),"In Progress","")))))</f>
        <v>Not Started</v>
      </c>
      <c r="M15" s="303"/>
      <c r="N15" s="254"/>
      <c r="O15" s="254"/>
      <c r="P15" s="254"/>
      <c r="Q15" s="254"/>
      <c r="R15" s="254"/>
      <c r="S15" s="254"/>
      <c r="T15" s="253"/>
      <c r="U15" s="252"/>
      <c r="X15" s="266" t="s">
        <v>63</v>
      </c>
      <c r="Y15" s="295" t="s">
        <v>69</v>
      </c>
    </row>
    <row r="16" spans="2:29" ht="45" customHeight="1" x14ac:dyDescent="0.25">
      <c r="B16" s="378"/>
      <c r="C16" s="118" t="s">
        <v>107</v>
      </c>
      <c r="D16" s="117">
        <f>NETWORKDAYS.INTL(E16,F16,"0000110",$AA$5:$AA$13)</f>
        <v>5</v>
      </c>
      <c r="E16" s="113">
        <f>WORKDAY.INTL(F10,1,"0000110")</f>
        <v>46226</v>
      </c>
      <c r="F16" s="113">
        <f>WORKDAY.INTL(E16,4,"0000110")</f>
        <v>46232</v>
      </c>
      <c r="G16" s="113">
        <f>WORKDAY.INTL(H10,1,"0000110")</f>
        <v>46226</v>
      </c>
      <c r="H16" s="113">
        <f>WORKDAY.INTL(G16,4,"0000110")</f>
        <v>46232</v>
      </c>
      <c r="I16" s="113"/>
      <c r="J16" s="113"/>
      <c r="K16" s="119"/>
      <c r="L16" s="119" t="str">
        <f ca="1">IF(OR(K16=100%,J16&lt;&gt;""),"Completed",IF(AND(OR(K16="",K16=0),E16&gt;TODAY()),"Not Started",IF(AND(OR(K16="",K16=0),E16&lt;=TODAY()),"Delayed",IF(AND(K16&gt;0,K16&lt;100%,F16&lt;TODAY()),"Delayed",IF(AND(K16&gt;0,K16&lt;100%),"In Progress","")))))</f>
        <v>Not Started</v>
      </c>
      <c r="M16" s="303"/>
      <c r="N16" s="251"/>
      <c r="O16" s="251"/>
      <c r="P16" s="251"/>
      <c r="Q16" s="251"/>
      <c r="R16" s="251"/>
      <c r="S16" s="251"/>
      <c r="T16" s="250"/>
      <c r="U16" s="252" t="s">
        <v>108</v>
      </c>
      <c r="X16" s="266" t="s">
        <v>64</v>
      </c>
      <c r="Y16" s="295" t="s">
        <v>69</v>
      </c>
    </row>
    <row r="17" spans="2:29" ht="45" customHeight="1" x14ac:dyDescent="0.25">
      <c r="B17" s="378"/>
      <c r="C17" s="118" t="s">
        <v>110</v>
      </c>
      <c r="D17" s="117">
        <f>NETWORKDAYS.INTL(E17,F17,"0000110",$AA$5:$AA$13)</f>
        <v>2</v>
      </c>
      <c r="E17" s="113">
        <f>WORKDAY.INTL(F16,1,"0000110")</f>
        <v>46233</v>
      </c>
      <c r="F17" s="113">
        <f>WORKDAY.INTL(E17,1,"0000110")</f>
        <v>46236</v>
      </c>
      <c r="G17" s="113">
        <f>WORKDAY.INTL(H16,1,"0000110")</f>
        <v>46233</v>
      </c>
      <c r="H17" s="113">
        <f>WORKDAY.INTL(G17,1,"0000110")</f>
        <v>46236</v>
      </c>
      <c r="I17" s="113"/>
      <c r="J17" s="113"/>
      <c r="K17" s="119"/>
      <c r="L17" s="119" t="str">
        <f ca="1">IF(OR(K17=100%,J17&lt;&gt;""),"Completed",IF(AND(OR(K17="",K17=0),E17&gt;TODAY()),"Not Started",IF(AND(OR(K17="",K17=0),E17&lt;=TODAY()),"Delayed",IF(AND(K17&gt;0,K17&lt;100%,F17&lt;TODAY()),"Delayed",IF(AND(K17&gt;0,K17&lt;100%),"In Progress","")))))</f>
        <v>Not Started</v>
      </c>
      <c r="M17" s="303"/>
      <c r="N17" s="251"/>
      <c r="O17" s="251"/>
      <c r="P17" s="251"/>
      <c r="Q17" s="251"/>
      <c r="R17" s="251"/>
      <c r="S17" s="251"/>
      <c r="T17" s="250"/>
      <c r="U17" s="252" t="s">
        <v>111</v>
      </c>
      <c r="X17" s="266" t="s">
        <v>65</v>
      </c>
      <c r="Y17" s="295" t="s">
        <v>69</v>
      </c>
    </row>
    <row r="18" spans="2:29" ht="45" customHeight="1" thickBot="1" x14ac:dyDescent="0.3">
      <c r="B18" s="379"/>
      <c r="C18" s="118" t="s">
        <v>112</v>
      </c>
      <c r="D18" s="117">
        <f>NETWORKDAYS.INTL(E18,F18,"0000110",$AA$5:$AA$13)</f>
        <v>1</v>
      </c>
      <c r="E18" s="113">
        <f>WORKDAY.INTL(F17,0,"0000110")</f>
        <v>46236</v>
      </c>
      <c r="F18" s="113">
        <f>WORKDAY.INTL(E18,0,"0000110")</f>
        <v>46236</v>
      </c>
      <c r="G18" s="113">
        <f>WORKDAY.INTL(H17,0,"0000110")</f>
        <v>46236</v>
      </c>
      <c r="H18" s="113">
        <f>WORKDAY.INTL(G18,0,"0000110")</f>
        <v>46236</v>
      </c>
      <c r="I18" s="113"/>
      <c r="J18" s="113"/>
      <c r="K18" s="119"/>
      <c r="L18" s="119" t="str">
        <f ca="1">IF(OR(K18=100%,J18&lt;&gt;""),"Completed",IF(AND(OR(K18="",K18=0),E18&gt;TODAY()),"Not Started",IF(AND(OR(K18="",K18=0),E18&lt;=TODAY()),"Delayed",IF(AND(K18&gt;0,K18&lt;100%,F18&lt;TODAY()),"Delayed",IF(AND(K18&gt;0,K18&lt;100%),"In Progress","")))))</f>
        <v>Not Started</v>
      </c>
      <c r="M18" s="303"/>
      <c r="N18" s="251"/>
      <c r="O18" s="251"/>
      <c r="P18" s="251"/>
      <c r="Q18" s="251"/>
      <c r="R18" s="251"/>
      <c r="S18" s="251"/>
      <c r="T18" s="250"/>
      <c r="U18" s="252"/>
      <c r="X18" s="266" t="s">
        <v>66</v>
      </c>
      <c r="Y18" s="295" t="s">
        <v>69</v>
      </c>
    </row>
    <row r="19" spans="2:29" s="298" customFormat="1" ht="4.5" customHeight="1" thickBot="1" x14ac:dyDescent="0.3">
      <c r="B19" s="270"/>
      <c r="C19" s="270" t="s">
        <v>178</v>
      </c>
      <c r="D19" s="269"/>
      <c r="E19" s="270"/>
      <c r="F19" s="270"/>
      <c r="G19" s="270"/>
      <c r="H19" s="270"/>
      <c r="I19" s="270"/>
      <c r="J19" s="270"/>
      <c r="K19" s="268"/>
      <c r="L19" s="268"/>
      <c r="M19" s="270"/>
      <c r="N19" s="270"/>
      <c r="O19" s="270"/>
      <c r="P19" s="270"/>
      <c r="Q19" s="270"/>
      <c r="R19" s="270"/>
      <c r="S19" s="270"/>
      <c r="T19" s="270"/>
      <c r="U19" s="267"/>
      <c r="X19" s="299"/>
      <c r="Y19" s="299" t="s">
        <v>70</v>
      </c>
    </row>
    <row r="20" spans="2:29" ht="45" customHeight="1" x14ac:dyDescent="0.25">
      <c r="B20" s="380" t="s">
        <v>192</v>
      </c>
      <c r="C20" s="106" t="s">
        <v>102</v>
      </c>
      <c r="D20" s="107">
        <f>NETWORKDAYS.INTL(E20,F20,"0000100",$AA$5:$AA$13)</f>
        <v>4</v>
      </c>
      <c r="E20" s="108">
        <f>WORKDAY.INTL(F14,1,"0000100",$AA$5:$AA$12)</f>
        <v>46211</v>
      </c>
      <c r="F20" s="108">
        <f>WORKDAY.INTL(E20,3,"0000100",$AA$5:$AA$12)</f>
        <v>46215</v>
      </c>
      <c r="G20" s="108">
        <f>WORKDAY.INTL(H14,1,"0000100",$AA$5:$AA$12)</f>
        <v>46211</v>
      </c>
      <c r="H20" s="108">
        <f>WORKDAY.INTL(G20,3,"0000100",$AA$5:$AA$12)</f>
        <v>46215</v>
      </c>
      <c r="I20" s="108">
        <v>46171</v>
      </c>
      <c r="J20" s="108"/>
      <c r="K20" s="109">
        <v>0.42</v>
      </c>
      <c r="L20" s="109" t="str">
        <f ca="1">IF(OR(K20=100%,J20&lt;&gt;""),"Completed",IF(AND(OR(K20="",K20=0),E20&gt;TODAY()),"Not Started",IF(AND(OR(K20="",K20=0),E20&lt;=TODAY()),"Delayed",IF(AND(K20&gt;0,K20&lt;100%,F20&lt;TODAY()),"Delayed",IF(AND(K20&gt;0,K20&lt;100%),"In Progress","")))))</f>
        <v>In Progress</v>
      </c>
      <c r="M20" s="300"/>
      <c r="N20" s="265"/>
      <c r="O20" s="265"/>
      <c r="P20" s="265"/>
      <c r="Q20" s="265"/>
      <c r="R20" s="265"/>
      <c r="S20" s="265"/>
      <c r="T20" s="264"/>
      <c r="U20" s="263"/>
      <c r="X20" s="266" t="s">
        <v>62</v>
      </c>
      <c r="Y20" s="295" t="s">
        <v>70</v>
      </c>
    </row>
    <row r="21" spans="2:29" ht="45" customHeight="1" x14ac:dyDescent="0.25">
      <c r="B21" s="376"/>
      <c r="C21" s="106" t="s">
        <v>104</v>
      </c>
      <c r="D21" s="107">
        <f>NETWORKDAYS.INTL(E21,F21,"0000100",$AA$5:$AA$13)</f>
        <v>5</v>
      </c>
      <c r="E21" s="108">
        <f>WORKDAY.INTL(F15,1,"0000100",$AA$5:$AA$12)</f>
        <v>46225</v>
      </c>
      <c r="F21" s="108">
        <f>WORKDAY.INTL(E21,4,"0000100",$AA$5:$AA$12)</f>
        <v>46230</v>
      </c>
      <c r="G21" s="108">
        <f>WORKDAY.INTL(H15,1,"0000100",$AA$5:$AA$12)</f>
        <v>46225</v>
      </c>
      <c r="H21" s="108">
        <f>WORKDAY.INTL(G21,4,"0000100",$AA$5:$AA$12)</f>
        <v>46230</v>
      </c>
      <c r="I21" s="108"/>
      <c r="J21" s="108"/>
      <c r="K21" s="109"/>
      <c r="L21" s="109" t="str">
        <f ca="1">IF(OR(K21=100%,J21&lt;&gt;""),"Completed",IF(AND(OR(K21="",K21=0),E21&gt;TODAY()),"Not Started",IF(AND(OR(K21="",K21=0),E21&lt;=TODAY()),"Delayed",IF(AND(K21&gt;0,K21&lt;100%,F21&lt;TODAY()),"Delayed",IF(AND(K21&gt;0,K21&lt;100%),"In Progress","")))))</f>
        <v>Not Started</v>
      </c>
      <c r="M21" s="300"/>
      <c r="N21" s="265"/>
      <c r="O21" s="265"/>
      <c r="P21" s="265"/>
      <c r="Q21" s="265"/>
      <c r="R21" s="265"/>
      <c r="S21" s="265"/>
      <c r="T21" s="264"/>
      <c r="U21" s="263"/>
      <c r="X21" s="266" t="s">
        <v>63</v>
      </c>
      <c r="Y21" s="295" t="s">
        <v>70</v>
      </c>
    </row>
    <row r="22" spans="2:29" ht="45" customHeight="1" x14ac:dyDescent="0.25">
      <c r="B22" s="376"/>
      <c r="C22" s="106" t="s">
        <v>107</v>
      </c>
      <c r="D22" s="107">
        <f>NETWORKDAYS.INTL(E22,F22,"0000110",$AA$5:$AA$13)</f>
        <v>7</v>
      </c>
      <c r="E22" s="108">
        <f>WORKDAY.INTL(F16,1,"0000110")</f>
        <v>46233</v>
      </c>
      <c r="F22" s="108">
        <f>WORKDAY.INTL(E22,6,"0000110")</f>
        <v>46243</v>
      </c>
      <c r="G22" s="108">
        <f>WORKDAY.INTL(H16,1,"0000110")</f>
        <v>46233</v>
      </c>
      <c r="H22" s="108">
        <f>WORKDAY.INTL(G22,6,"0000110")</f>
        <v>46243</v>
      </c>
      <c r="I22" s="108"/>
      <c r="J22" s="108"/>
      <c r="K22" s="109"/>
      <c r="L22" s="109" t="str">
        <f ca="1">IF(OR(K22=100%,J22&lt;&gt;""),"Completed",IF(AND(OR(K22="",K22=0),E22&gt;TODAY()),"Not Started",IF(AND(OR(K22="",K22=0),E22&lt;=TODAY()),"Delayed",IF(AND(K22&gt;0,K22&lt;100%,F22&lt;TODAY()),"Delayed",IF(AND(K22&gt;0,K22&lt;100%),"In Progress","")))))</f>
        <v>Not Started</v>
      </c>
      <c r="M22" s="300"/>
      <c r="N22" s="265"/>
      <c r="O22" s="265"/>
      <c r="P22" s="265"/>
      <c r="Q22" s="265"/>
      <c r="R22" s="265"/>
      <c r="S22" s="265"/>
      <c r="T22" s="264"/>
      <c r="U22" s="263" t="s">
        <v>108</v>
      </c>
      <c r="X22" s="266" t="s">
        <v>64</v>
      </c>
      <c r="Y22" s="295" t="s">
        <v>70</v>
      </c>
    </row>
    <row r="23" spans="2:29" ht="45" customHeight="1" x14ac:dyDescent="0.25">
      <c r="B23" s="376"/>
      <c r="C23" s="110" t="s">
        <v>110</v>
      </c>
      <c r="D23" s="107">
        <f>NETWORKDAYS.INTL(E23,F23,"0000110",$AA$5:$AA$13)</f>
        <v>2</v>
      </c>
      <c r="E23" s="108">
        <f>WORKDAY.INTL(F22,1,"0000110")</f>
        <v>46244</v>
      </c>
      <c r="F23" s="108">
        <f>WORKDAY.INTL(E23,1,"0000110")</f>
        <v>46245</v>
      </c>
      <c r="G23" s="108">
        <f>WORKDAY.INTL(H22,1,"0000110")</f>
        <v>46244</v>
      </c>
      <c r="H23" s="108">
        <f>WORKDAY.INTL(G23,1,"0000110")</f>
        <v>46245</v>
      </c>
      <c r="I23" s="108"/>
      <c r="J23" s="108"/>
      <c r="K23" s="109"/>
      <c r="L23" s="109" t="str">
        <f ca="1">IF(OR(K23=100%,J23&lt;&gt;""),"Completed",IF(AND(OR(K23="",K23=0),E23&gt;TODAY()),"Not Started",IF(AND(OR(K23="",K23=0),E23&lt;=TODAY()),"Delayed",IF(AND(K23&gt;0,K23&lt;100%,F23&lt;TODAY()),"Delayed",IF(AND(K23&gt;0,K23&lt;100%),"In Progress","")))))</f>
        <v>Not Started</v>
      </c>
      <c r="M23" s="300"/>
      <c r="N23" s="262"/>
      <c r="O23" s="262"/>
      <c r="P23" s="262"/>
      <c r="Q23" s="262"/>
      <c r="R23" s="262"/>
      <c r="S23" s="262"/>
      <c r="T23" s="261"/>
      <c r="U23" s="263" t="s">
        <v>111</v>
      </c>
      <c r="X23" s="266" t="s">
        <v>65</v>
      </c>
      <c r="Y23" s="295" t="s">
        <v>70</v>
      </c>
    </row>
    <row r="24" spans="2:29" ht="45" customHeight="1" thickBot="1" x14ac:dyDescent="0.3">
      <c r="B24" s="381"/>
      <c r="C24" s="110" t="s">
        <v>112</v>
      </c>
      <c r="D24" s="107">
        <f>NETWORKDAYS.INTL(E24,F24,"0000110",$AA$5:$AA$13)</f>
        <v>1</v>
      </c>
      <c r="E24" s="108">
        <f>WORKDAY.INTL(F23,0,"0000110")</f>
        <v>46245</v>
      </c>
      <c r="F24" s="108">
        <f>WORKDAY.INTL(E24,0,"0000110")</f>
        <v>46245</v>
      </c>
      <c r="G24" s="108">
        <f>WORKDAY.INTL(H23,0,"0000110")</f>
        <v>46245</v>
      </c>
      <c r="H24" s="108">
        <f>WORKDAY.INTL(G24,0,"0000110")</f>
        <v>46245</v>
      </c>
      <c r="I24" s="108"/>
      <c r="J24" s="108"/>
      <c r="K24" s="109"/>
      <c r="L24" s="109" t="str">
        <f ca="1">IF(OR(K24=100%,J24&lt;&gt;""),"Completed",IF(AND(OR(K24="",K24=0),E24&gt;TODAY()),"Not Started",IF(AND(OR(K24="",K24=0),E24&lt;=TODAY()),"Delayed",IF(AND(K24&gt;0,K24&lt;100%,F24&lt;TODAY()),"Delayed",IF(AND(K24&gt;0,K24&lt;100%),"In Progress","")))))</f>
        <v>Not Started</v>
      </c>
      <c r="M24" s="300"/>
      <c r="N24" s="262"/>
      <c r="O24" s="262"/>
      <c r="P24" s="262"/>
      <c r="Q24" s="262"/>
      <c r="R24" s="262"/>
      <c r="S24" s="262"/>
      <c r="T24" s="261"/>
      <c r="U24" s="263"/>
      <c r="X24" s="266" t="s">
        <v>66</v>
      </c>
      <c r="Y24" s="295" t="s">
        <v>70</v>
      </c>
    </row>
    <row r="25" spans="2:29" s="298" customFormat="1" ht="4.5" customHeight="1" thickBot="1" x14ac:dyDescent="0.3">
      <c r="B25" s="270"/>
      <c r="C25" s="270" t="s">
        <v>178</v>
      </c>
      <c r="D25" s="269"/>
      <c r="E25" s="270"/>
      <c r="F25" s="270"/>
      <c r="G25" s="270"/>
      <c r="H25" s="270"/>
      <c r="I25" s="270"/>
      <c r="J25" s="270"/>
      <c r="K25" s="268"/>
      <c r="L25" s="268"/>
      <c r="M25" s="270"/>
      <c r="N25" s="270"/>
      <c r="O25" s="270"/>
      <c r="P25" s="270"/>
      <c r="Q25" s="270"/>
      <c r="R25" s="270"/>
      <c r="S25" s="270"/>
      <c r="T25" s="270"/>
      <c r="U25" s="267"/>
      <c r="X25" s="299"/>
      <c r="Y25" s="299" t="s">
        <v>71</v>
      </c>
    </row>
    <row r="26" spans="2:29" ht="45" customHeight="1" x14ac:dyDescent="0.25">
      <c r="B26" s="377" t="s">
        <v>193</v>
      </c>
      <c r="C26" s="111" t="s">
        <v>102</v>
      </c>
      <c r="D26" s="112">
        <f>NETWORKDAYS.INTL(E26,F26,"0000100",$AA$5:$AA$13)</f>
        <v>7</v>
      </c>
      <c r="E26" s="113">
        <f>WORKDAY.INTL(F20,1,"0000100",$AA$5:$AA$12)</f>
        <v>46216</v>
      </c>
      <c r="F26" s="114">
        <f>WORKDAY.INTL(E26,6,"0000100",$AA$5:$AA$12)</f>
        <v>46223</v>
      </c>
      <c r="G26" s="113">
        <f>WORKDAY.INTL(H20,1,"0000100",$AA$5:$AA$12)</f>
        <v>46216</v>
      </c>
      <c r="H26" s="114">
        <f>WORKDAY.INTL(G26,6,"0000100",$AA$5:$AA$12)</f>
        <v>46223</v>
      </c>
      <c r="I26" s="114"/>
      <c r="J26" s="114"/>
      <c r="K26" s="115"/>
      <c r="L26" s="115" t="str">
        <f ca="1">IF(OR(K26=100%,J26&lt;&gt;""),"Completed",IF(AND(OR(K26="",K26=0),E26&gt;TODAY()),"Not Started",IF(AND(OR(K26="",K26=0),E26&lt;=TODAY()),"Delayed",IF(AND(K26&gt;0,K26&lt;100%,F26&lt;TODAY()),"Delayed",IF(AND(K26&gt;0,K26&lt;100%),"In Progress","")))))</f>
        <v>Not Started</v>
      </c>
      <c r="M26" s="303"/>
      <c r="N26" s="257"/>
      <c r="O26" s="257"/>
      <c r="P26" s="257"/>
      <c r="Q26" s="257"/>
      <c r="R26" s="257"/>
      <c r="S26" s="257"/>
      <c r="T26" s="256"/>
      <c r="U26" s="255"/>
      <c r="X26" s="266" t="s">
        <v>62</v>
      </c>
      <c r="Y26" s="295" t="s">
        <v>71</v>
      </c>
      <c r="AC26" s="301"/>
    </row>
    <row r="27" spans="2:29" ht="45" customHeight="1" x14ac:dyDescent="0.25">
      <c r="B27" s="378"/>
      <c r="C27" s="116" t="s">
        <v>104</v>
      </c>
      <c r="D27" s="117">
        <f>NETWORKDAYS.INTL(E27,F27,"0000100",$AA$5:$AA$13)</f>
        <v>5</v>
      </c>
      <c r="E27" s="113">
        <f>WORKDAY.INTL(F21,1,"0000100",$AA$5:$AA$12)</f>
        <v>46231</v>
      </c>
      <c r="F27" s="114">
        <f>WORKDAY.INTL(E27,4,"0000100",$AA$5:$AA$12)</f>
        <v>46236</v>
      </c>
      <c r="G27" s="113">
        <f>WORKDAY.INTL(H21,1,"0000100",$AA$5:$AA$12)</f>
        <v>46231</v>
      </c>
      <c r="H27" s="114">
        <f>WORKDAY.INTL(G27,4,"0000100",$AA$5:$AA$12)</f>
        <v>46236</v>
      </c>
      <c r="I27" s="114"/>
      <c r="J27" s="114"/>
      <c r="K27" s="115"/>
      <c r="L27" s="115" t="str">
        <f ca="1">IF(OR(K27=100%,J27&lt;&gt;""),"Completed",IF(AND(OR(K27="",K27=0),E27&gt;TODAY()),"Not Started",IF(AND(OR(K27="",K27=0),E27&lt;=TODAY()),"Delayed",IF(AND(K27&gt;0,K27&lt;100%,F27&lt;TODAY()),"Delayed",IF(AND(K27&gt;0,K27&lt;100%),"In Progress","")))))</f>
        <v>Not Started</v>
      </c>
      <c r="M27" s="303"/>
      <c r="N27" s="254"/>
      <c r="O27" s="254"/>
      <c r="P27" s="254"/>
      <c r="Q27" s="254"/>
      <c r="R27" s="254"/>
      <c r="S27" s="254"/>
      <c r="T27" s="253"/>
      <c r="U27" s="252"/>
      <c r="X27" s="266" t="s">
        <v>63</v>
      </c>
      <c r="Y27" s="295" t="s">
        <v>71</v>
      </c>
    </row>
    <row r="28" spans="2:29" ht="45" customHeight="1" x14ac:dyDescent="0.25">
      <c r="B28" s="378"/>
      <c r="C28" s="118" t="s">
        <v>107</v>
      </c>
      <c r="D28" s="117">
        <f>NETWORKDAYS.INTL(E28,F28,"0000110",$AA$5:$AA$13)</f>
        <v>7</v>
      </c>
      <c r="E28" s="113">
        <f>WORKDAY.INTL(F22,1,"0000110")</f>
        <v>46244</v>
      </c>
      <c r="F28" s="113">
        <f>WORKDAY.INTL(E28,6,"0000110")</f>
        <v>46252</v>
      </c>
      <c r="G28" s="113">
        <f>WORKDAY.INTL(H22,1,"0000110")</f>
        <v>46244</v>
      </c>
      <c r="H28" s="113">
        <f>WORKDAY.INTL(G28,6,"0000110")</f>
        <v>46252</v>
      </c>
      <c r="I28" s="113"/>
      <c r="J28" s="113"/>
      <c r="K28" s="119"/>
      <c r="L28" s="119" t="str">
        <f ca="1">IF(OR(K28=100%,J28&lt;&gt;""),"Completed",IF(AND(OR(K28="",K28=0),E28&gt;TODAY()),"Not Started",IF(AND(OR(K28="",K28=0),E28&lt;=TODAY()),"Delayed",IF(AND(K28&gt;0,K28&lt;100%,F28&lt;TODAY()),"Delayed",IF(AND(K28&gt;0,K28&lt;100%),"In Progress","")))))</f>
        <v>Not Started</v>
      </c>
      <c r="M28" s="303"/>
      <c r="N28" s="251"/>
      <c r="O28" s="251"/>
      <c r="P28" s="251"/>
      <c r="Q28" s="251"/>
      <c r="R28" s="251"/>
      <c r="S28" s="251"/>
      <c r="T28" s="250"/>
      <c r="U28" s="252" t="s">
        <v>108</v>
      </c>
      <c r="X28" s="266" t="s">
        <v>64</v>
      </c>
      <c r="Y28" s="295" t="s">
        <v>71</v>
      </c>
    </row>
    <row r="29" spans="2:29" ht="45" customHeight="1" x14ac:dyDescent="0.25">
      <c r="B29" s="378"/>
      <c r="C29" s="118" t="s">
        <v>110</v>
      </c>
      <c r="D29" s="117">
        <f>NETWORKDAYS.INTL(E29,F29,"0000110",$AA$5:$AA$13)</f>
        <v>2</v>
      </c>
      <c r="E29" s="113">
        <f>WORKDAY.INTL(F28,1,"0000110")</f>
        <v>46253</v>
      </c>
      <c r="F29" s="113">
        <f>WORKDAY.INTL(E29,1,"0000110")</f>
        <v>46254</v>
      </c>
      <c r="G29" s="113">
        <f>WORKDAY.INTL(H28,1,"0000110")</f>
        <v>46253</v>
      </c>
      <c r="H29" s="113">
        <f>WORKDAY.INTL(G29,1,"0000110")</f>
        <v>46254</v>
      </c>
      <c r="I29" s="113"/>
      <c r="J29" s="113"/>
      <c r="K29" s="119"/>
      <c r="L29" s="119" t="str">
        <f ca="1">IF(OR(K29=100%,J29&lt;&gt;""),"Completed",IF(AND(OR(K29="",K29=0),E29&gt;TODAY()),"Not Started",IF(AND(OR(K29="",K29=0),E29&lt;=TODAY()),"Delayed",IF(AND(K29&gt;0,K29&lt;100%,F29&lt;TODAY()),"Delayed",IF(AND(K29&gt;0,K29&lt;100%),"In Progress","")))))</f>
        <v>Not Started</v>
      </c>
      <c r="M29" s="303"/>
      <c r="N29" s="251"/>
      <c r="O29" s="251"/>
      <c r="P29" s="251"/>
      <c r="Q29" s="251"/>
      <c r="R29" s="251"/>
      <c r="S29" s="251"/>
      <c r="T29" s="250"/>
      <c r="U29" s="252" t="s">
        <v>111</v>
      </c>
      <c r="X29" s="266" t="s">
        <v>65</v>
      </c>
      <c r="Y29" s="295" t="s">
        <v>71</v>
      </c>
    </row>
    <row r="30" spans="2:29" ht="45" customHeight="1" thickBot="1" x14ac:dyDescent="0.3">
      <c r="B30" s="379"/>
      <c r="C30" s="118" t="s">
        <v>112</v>
      </c>
      <c r="D30" s="117">
        <f>NETWORKDAYS.INTL(E30,F30,"0000110",$AA$5:$AA$13)</f>
        <v>1</v>
      </c>
      <c r="E30" s="113">
        <f>WORKDAY.INTL(F29,0,"0000110")</f>
        <v>46254</v>
      </c>
      <c r="F30" s="113">
        <f>WORKDAY.INTL(E30,0,"0000110")</f>
        <v>46254</v>
      </c>
      <c r="G30" s="113">
        <f>WORKDAY.INTL(H29,0,"0000110")</f>
        <v>46254</v>
      </c>
      <c r="H30" s="113">
        <f>WORKDAY.INTL(G30,0,"0000110")</f>
        <v>46254</v>
      </c>
      <c r="I30" s="113"/>
      <c r="J30" s="113"/>
      <c r="K30" s="119"/>
      <c r="L30" s="119" t="str">
        <f ca="1">IF(OR(K30=100%,J30&lt;&gt;""),"Completed",IF(AND(OR(K30="",K30=0),E30&gt;TODAY()),"Not Started",IF(AND(OR(K30="",K30=0),E30&lt;=TODAY()),"Delayed",IF(AND(K30&gt;0,K30&lt;100%,F30&lt;TODAY()),"Delayed",IF(AND(K30&gt;0,K30&lt;100%),"In Progress","")))))</f>
        <v>Not Started</v>
      </c>
      <c r="M30" s="303"/>
      <c r="N30" s="251"/>
      <c r="O30" s="251"/>
      <c r="P30" s="251"/>
      <c r="Q30" s="251"/>
      <c r="R30" s="251"/>
      <c r="S30" s="251"/>
      <c r="T30" s="250"/>
      <c r="U30" s="252"/>
      <c r="X30" s="266" t="s">
        <v>66</v>
      </c>
      <c r="Y30" s="295" t="s">
        <v>71</v>
      </c>
    </row>
    <row r="31" spans="2:29" s="298" customFormat="1" ht="4.5" customHeight="1" thickBot="1" x14ac:dyDescent="0.3">
      <c r="B31" s="270"/>
      <c r="C31" s="270" t="s">
        <v>178</v>
      </c>
      <c r="D31" s="269"/>
      <c r="E31" s="270"/>
      <c r="F31" s="270"/>
      <c r="G31" s="270"/>
      <c r="H31" s="270"/>
      <c r="I31" s="270"/>
      <c r="J31" s="270"/>
      <c r="K31" s="268"/>
      <c r="L31" s="268"/>
      <c r="M31" s="270"/>
      <c r="N31" s="270"/>
      <c r="O31" s="270"/>
      <c r="P31" s="270"/>
      <c r="Q31" s="270"/>
      <c r="R31" s="270"/>
      <c r="S31" s="270"/>
      <c r="T31" s="270"/>
      <c r="U31" s="267"/>
      <c r="X31" s="299"/>
      <c r="Y31" s="299" t="s">
        <v>72</v>
      </c>
    </row>
    <row r="32" spans="2:29" ht="45" customHeight="1" x14ac:dyDescent="0.25">
      <c r="B32" s="380" t="s">
        <v>194</v>
      </c>
      <c r="C32" s="106" t="s">
        <v>102</v>
      </c>
      <c r="D32" s="107">
        <f>NETWORKDAYS.INTL(E32,F32,"0000100",$AA$5:$AA$13)</f>
        <v>7</v>
      </c>
      <c r="E32" s="108">
        <f>WORKDAY.INTL(F26,1,"0000100",$AA$5:$AA$12)</f>
        <v>46224</v>
      </c>
      <c r="F32" s="108">
        <f>WORKDAY.INTL(E32,6,"0000100",$AA$5:$AA$12)</f>
        <v>46231</v>
      </c>
      <c r="G32" s="108">
        <f>WORKDAY.INTL(H26,1,"0000100",$AA$5:$AA$12)</f>
        <v>46224</v>
      </c>
      <c r="H32" s="108">
        <f>WORKDAY.INTL(G32,6,"0000100",$AA$5:$AA$12)</f>
        <v>46231</v>
      </c>
      <c r="I32" s="108"/>
      <c r="J32" s="108"/>
      <c r="K32" s="109"/>
      <c r="L32" s="109" t="str">
        <f ca="1">IF(OR(K32=100%,J32&lt;&gt;""),"Completed",IF(AND(OR(K32="",K32=0),E32&gt;TODAY()),"Not Started",IF(AND(OR(K32="",K32=0),E32&lt;=TODAY()),"Delayed",IF(AND(K32&gt;0,K32&lt;100%,F32&lt;TODAY()),"Delayed",IF(AND(K32&gt;0,K32&lt;100%),"In Progress","")))))</f>
        <v>Not Started</v>
      </c>
      <c r="M32" s="300"/>
      <c r="N32" s="265"/>
      <c r="O32" s="265"/>
      <c r="P32" s="265"/>
      <c r="Q32" s="265"/>
      <c r="R32" s="265"/>
      <c r="S32" s="265"/>
      <c r="T32" s="264"/>
      <c r="U32" s="263"/>
      <c r="X32" s="266" t="s">
        <v>62</v>
      </c>
      <c r="Y32" s="295" t="s">
        <v>72</v>
      </c>
    </row>
    <row r="33" spans="2:29" ht="45" customHeight="1" x14ac:dyDescent="0.25">
      <c r="B33" s="376"/>
      <c r="C33" s="106" t="s">
        <v>104</v>
      </c>
      <c r="D33" s="107">
        <f>NETWORKDAYS.INTL(E33,F33,"0000100",$AA$5:$AA$13)</f>
        <v>5</v>
      </c>
      <c r="E33" s="108">
        <f>WORKDAY.INTL(F27,1,"0000100",$AA$5:$AA$12)</f>
        <v>46237</v>
      </c>
      <c r="F33" s="108">
        <f>WORKDAY.INTL(E33,4,"0000100",$AA$5:$AA$12)</f>
        <v>46242</v>
      </c>
      <c r="G33" s="108">
        <f>WORKDAY.INTL(H27,1,"0000100",$AA$5:$AA$12)</f>
        <v>46237</v>
      </c>
      <c r="H33" s="108">
        <f>WORKDAY.INTL(G33,4,"0000100",$AA$5:$AA$12)</f>
        <v>46242</v>
      </c>
      <c r="I33" s="108"/>
      <c r="J33" s="108"/>
      <c r="K33" s="109"/>
      <c r="L33" s="109" t="str">
        <f ca="1">IF(OR(K33=100%,J33&lt;&gt;""),"Completed",IF(AND(OR(K33="",K33=0),E33&gt;TODAY()),"Not Started",IF(AND(OR(K33="",K33=0),E33&lt;=TODAY()),"Delayed",IF(AND(K33&gt;0,K33&lt;100%,F33&lt;TODAY()),"Delayed",IF(AND(K33&gt;0,K33&lt;100%),"In Progress","")))))</f>
        <v>Not Started</v>
      </c>
      <c r="M33" s="300"/>
      <c r="N33" s="265"/>
      <c r="O33" s="265"/>
      <c r="P33" s="265"/>
      <c r="Q33" s="265"/>
      <c r="R33" s="265"/>
      <c r="S33" s="265"/>
      <c r="T33" s="264"/>
      <c r="U33" s="263"/>
      <c r="X33" s="266" t="s">
        <v>63</v>
      </c>
      <c r="Y33" s="295" t="s">
        <v>72</v>
      </c>
    </row>
    <row r="34" spans="2:29" ht="45" customHeight="1" x14ac:dyDescent="0.25">
      <c r="B34" s="376"/>
      <c r="C34" s="106" t="s">
        <v>107</v>
      </c>
      <c r="D34" s="107">
        <f>NETWORKDAYS.INTL(E34,F34,"0000110",$AA$5:$AA$13)</f>
        <v>7</v>
      </c>
      <c r="E34" s="108">
        <f>WORKDAY.INTL(F28,1,"0000110")</f>
        <v>46253</v>
      </c>
      <c r="F34" s="108">
        <f>WORKDAY.INTL(E34,6,"0000110")</f>
        <v>46261</v>
      </c>
      <c r="G34" s="108">
        <f>WORKDAY.INTL(H28,1,"0000110")</f>
        <v>46253</v>
      </c>
      <c r="H34" s="108">
        <f>WORKDAY.INTL(G34,6,"0000110")</f>
        <v>46261</v>
      </c>
      <c r="I34" s="108"/>
      <c r="J34" s="108"/>
      <c r="K34" s="109"/>
      <c r="L34" s="109" t="str">
        <f ca="1">IF(OR(K34=100%,J34&lt;&gt;""),"Completed",IF(AND(OR(K34="",K34=0),E34&gt;TODAY()),"Not Started",IF(AND(OR(K34="",K34=0),E34&lt;=TODAY()),"Delayed",IF(AND(K34&gt;0,K34&lt;100%,F34&lt;TODAY()),"Delayed",IF(AND(K34&gt;0,K34&lt;100%),"In Progress","")))))</f>
        <v>Not Started</v>
      </c>
      <c r="M34" s="300"/>
      <c r="N34" s="265"/>
      <c r="O34" s="265"/>
      <c r="P34" s="265"/>
      <c r="Q34" s="265"/>
      <c r="R34" s="265"/>
      <c r="S34" s="265"/>
      <c r="T34" s="264"/>
      <c r="U34" s="263" t="s">
        <v>108</v>
      </c>
      <c r="X34" s="266" t="s">
        <v>64</v>
      </c>
      <c r="Y34" s="295" t="s">
        <v>72</v>
      </c>
    </row>
    <row r="35" spans="2:29" ht="45" customHeight="1" x14ac:dyDescent="0.25">
      <c r="B35" s="376"/>
      <c r="C35" s="110" t="s">
        <v>110</v>
      </c>
      <c r="D35" s="107">
        <f>NETWORKDAYS.INTL(E35,F35,"0000110",$AA$5:$AA$13)</f>
        <v>2</v>
      </c>
      <c r="E35" s="108">
        <f>WORKDAY.INTL(F34,1,"0000110")</f>
        <v>46264</v>
      </c>
      <c r="F35" s="108">
        <f>WORKDAY.INTL(E35,1,"0000110")</f>
        <v>46265</v>
      </c>
      <c r="G35" s="108">
        <f>WORKDAY.INTL(H34,1,"0000110")</f>
        <v>46264</v>
      </c>
      <c r="H35" s="108">
        <f>WORKDAY.INTL(G35,1,"0000110")</f>
        <v>46265</v>
      </c>
      <c r="I35" s="108"/>
      <c r="J35" s="108"/>
      <c r="K35" s="109"/>
      <c r="L35" s="109" t="str">
        <f ca="1">IF(OR(K35=100%,J35&lt;&gt;""),"Completed",IF(AND(OR(K35="",K35=0),E35&gt;TODAY()),"Not Started",IF(AND(OR(K35="",K35=0),E35&lt;=TODAY()),"Delayed",IF(AND(K35&gt;0,K35&lt;100%,F35&lt;TODAY()),"Delayed",IF(AND(K35&gt;0,K35&lt;100%),"In Progress","")))))</f>
        <v>Not Started</v>
      </c>
      <c r="M35" s="300"/>
      <c r="N35" s="262"/>
      <c r="O35" s="262"/>
      <c r="P35" s="262"/>
      <c r="Q35" s="262"/>
      <c r="R35" s="262"/>
      <c r="S35" s="262"/>
      <c r="T35" s="261"/>
      <c r="U35" s="263" t="s">
        <v>111</v>
      </c>
      <c r="X35" s="266" t="s">
        <v>65</v>
      </c>
      <c r="Y35" s="295" t="s">
        <v>72</v>
      </c>
    </row>
    <row r="36" spans="2:29" ht="45" customHeight="1" thickBot="1" x14ac:dyDescent="0.3">
      <c r="B36" s="381"/>
      <c r="C36" s="110" t="s">
        <v>112</v>
      </c>
      <c r="D36" s="107">
        <f>NETWORKDAYS.INTL(E36,F36,"0000110",$AA$5:$AA$13)</f>
        <v>1</v>
      </c>
      <c r="E36" s="108">
        <f>WORKDAY.INTL(F35,0,"0000110")</f>
        <v>46265</v>
      </c>
      <c r="F36" s="108">
        <f>WORKDAY.INTL(E36,0,"0000110")</f>
        <v>46265</v>
      </c>
      <c r="G36" s="108">
        <f>WORKDAY.INTL(H35,0,"0000110")</f>
        <v>46265</v>
      </c>
      <c r="H36" s="108">
        <f>WORKDAY.INTL(G36,0,"0000110")</f>
        <v>46265</v>
      </c>
      <c r="I36" s="108"/>
      <c r="J36" s="108"/>
      <c r="K36" s="109"/>
      <c r="L36" s="109" t="str">
        <f ca="1">IF(OR(K36=100%,J36&lt;&gt;""),"Completed",IF(AND(OR(K36="",K36=0),E36&gt;TODAY()),"Not Started",IF(AND(OR(K36="",K36=0),E36&lt;=TODAY()),"Delayed",IF(AND(K36&gt;0,K36&lt;100%,F36&lt;TODAY()),"Delayed",IF(AND(K36&gt;0,K36&lt;100%),"In Progress","")))))</f>
        <v>Not Started</v>
      </c>
      <c r="M36" s="300"/>
      <c r="N36" s="262"/>
      <c r="O36" s="262"/>
      <c r="P36" s="262"/>
      <c r="Q36" s="262"/>
      <c r="R36" s="262"/>
      <c r="S36" s="262"/>
      <c r="T36" s="261"/>
      <c r="U36" s="263"/>
      <c r="X36" s="266" t="s">
        <v>66</v>
      </c>
      <c r="Y36" s="295" t="s">
        <v>72</v>
      </c>
    </row>
    <row r="37" spans="2:29" s="298" customFormat="1" ht="4.5" customHeight="1" thickBot="1" x14ac:dyDescent="0.3">
      <c r="B37" s="270"/>
      <c r="C37" s="270" t="s">
        <v>178</v>
      </c>
      <c r="D37" s="269"/>
      <c r="E37" s="270"/>
      <c r="F37" s="270"/>
      <c r="G37" s="270"/>
      <c r="H37" s="270"/>
      <c r="I37" s="270"/>
      <c r="J37" s="270"/>
      <c r="K37" s="268"/>
      <c r="L37" s="268"/>
      <c r="M37" s="270"/>
      <c r="N37" s="270"/>
      <c r="O37" s="270"/>
      <c r="P37" s="270"/>
      <c r="Q37" s="270"/>
      <c r="R37" s="270"/>
      <c r="S37" s="270"/>
      <c r="T37" s="270"/>
      <c r="U37" s="267"/>
      <c r="X37" s="299"/>
      <c r="Y37" s="299" t="s">
        <v>73</v>
      </c>
    </row>
    <row r="38" spans="2:29" ht="45" customHeight="1" x14ac:dyDescent="0.25">
      <c r="B38" s="377" t="s">
        <v>195</v>
      </c>
      <c r="C38" s="111" t="s">
        <v>102</v>
      </c>
      <c r="D38" s="112">
        <f>NETWORKDAYS.INTL(E38,F38,"0000100",$AA$5:$AA$13)</f>
        <v>7</v>
      </c>
      <c r="E38" s="113">
        <f>WORKDAY.INTL(F32,1,"0000100",$AA$5:$AA$12)</f>
        <v>46232</v>
      </c>
      <c r="F38" s="114">
        <f>WORKDAY.INTL(E38,6,"0000100",$AA$5:$AA$12)</f>
        <v>46239</v>
      </c>
      <c r="G38" s="113">
        <f>WORKDAY.INTL(H32,1,"0000100",$AA$5:$AA$12)</f>
        <v>46232</v>
      </c>
      <c r="H38" s="114">
        <f>WORKDAY.INTL(G38,6,"0000100",$AA$5:$AA$12)</f>
        <v>46239</v>
      </c>
      <c r="I38" s="114"/>
      <c r="J38" s="114"/>
      <c r="K38" s="115"/>
      <c r="L38" s="115" t="str">
        <f ca="1">IF(OR(K38=100%,J38&lt;&gt;""),"Completed",IF(AND(OR(K38="",K38=0),E38&gt;TODAY()),"Not Started",IF(AND(OR(K38="",K38=0),E38&lt;=TODAY()),"Delayed",IF(AND(K38&gt;0,K38&lt;100%,F38&lt;TODAY()),"Delayed",IF(AND(K38&gt;0,K38&lt;100%),"In Progress","")))))</f>
        <v>Not Started</v>
      </c>
      <c r="M38" s="303"/>
      <c r="N38" s="257"/>
      <c r="O38" s="257"/>
      <c r="P38" s="257"/>
      <c r="Q38" s="257"/>
      <c r="R38" s="257"/>
      <c r="S38" s="257"/>
      <c r="T38" s="256"/>
      <c r="U38" s="255"/>
      <c r="X38" s="266" t="s">
        <v>62</v>
      </c>
      <c r="Y38" s="295" t="s">
        <v>73</v>
      </c>
      <c r="AC38" s="301"/>
    </row>
    <row r="39" spans="2:29" ht="45" customHeight="1" x14ac:dyDescent="0.25">
      <c r="B39" s="378"/>
      <c r="C39" s="116" t="s">
        <v>104</v>
      </c>
      <c r="D39" s="117">
        <f>NETWORKDAYS.INTL(E39,F39,"0000100",$AA$5:$AA$13)</f>
        <v>5</v>
      </c>
      <c r="E39" s="113">
        <f>WORKDAY.INTL(F33,1,"0000100",$AA$5:$AA$12)</f>
        <v>46243</v>
      </c>
      <c r="F39" s="114">
        <f>WORKDAY.INTL(E39,4,"0000100",$AA$5:$AA$12)</f>
        <v>46247</v>
      </c>
      <c r="G39" s="113">
        <f>WORKDAY.INTL(H33,1,"0000100",$AA$5:$AA$12)</f>
        <v>46243</v>
      </c>
      <c r="H39" s="114">
        <f>WORKDAY.INTL(G39,4,"0000100",$AA$5:$AA$12)</f>
        <v>46247</v>
      </c>
      <c r="I39" s="114"/>
      <c r="J39" s="114"/>
      <c r="K39" s="115"/>
      <c r="L39" s="115" t="str">
        <f ca="1">IF(OR(K39=100%,J39&lt;&gt;""),"Completed",IF(AND(OR(K39="",K39=0),E39&gt;TODAY()),"Not Started",IF(AND(OR(K39="",K39=0),E39&lt;=TODAY()),"Delayed",IF(AND(K39&gt;0,K39&lt;100%,F39&lt;TODAY()),"Delayed",IF(AND(K39&gt;0,K39&lt;100%),"In Progress","")))))</f>
        <v>Not Started</v>
      </c>
      <c r="M39" s="303"/>
      <c r="N39" s="254"/>
      <c r="O39" s="254"/>
      <c r="P39" s="254"/>
      <c r="Q39" s="254"/>
      <c r="R39" s="254"/>
      <c r="S39" s="254"/>
      <c r="T39" s="253"/>
      <c r="U39" s="252"/>
      <c r="X39" s="266" t="s">
        <v>63</v>
      </c>
      <c r="Y39" s="295" t="s">
        <v>73</v>
      </c>
    </row>
    <row r="40" spans="2:29" ht="45" customHeight="1" x14ac:dyDescent="0.25">
      <c r="B40" s="378"/>
      <c r="C40" s="118" t="s">
        <v>107</v>
      </c>
      <c r="D40" s="117">
        <f>NETWORKDAYS.INTL(E40,F40,"0000110",$AA$5:$AA$13)</f>
        <v>8</v>
      </c>
      <c r="E40" s="113">
        <f>WORKDAY.INTL(F34,1,"0000110")</f>
        <v>46264</v>
      </c>
      <c r="F40" s="113">
        <f>WORKDAY.INTL(E40,7,"0000110")</f>
        <v>46273</v>
      </c>
      <c r="G40" s="113">
        <f>WORKDAY.INTL(H34,1,"0000110")</f>
        <v>46264</v>
      </c>
      <c r="H40" s="113">
        <f>WORKDAY.INTL(G40,7,"0000110")</f>
        <v>46273</v>
      </c>
      <c r="I40" s="113"/>
      <c r="J40" s="113"/>
      <c r="K40" s="119"/>
      <c r="L40" s="119" t="str">
        <f ca="1">IF(OR(K40=100%,J40&lt;&gt;""),"Completed",IF(AND(OR(K40="",K40=0),E40&gt;TODAY()),"Not Started",IF(AND(OR(K40="",K40=0),E40&lt;=TODAY()),"Delayed",IF(AND(K40&gt;0,K40&lt;100%,F40&lt;TODAY()),"Delayed",IF(AND(K40&gt;0,K40&lt;100%),"In Progress","")))))</f>
        <v>Not Started</v>
      </c>
      <c r="M40" s="303"/>
      <c r="N40" s="251"/>
      <c r="O40" s="251"/>
      <c r="P40" s="251"/>
      <c r="Q40" s="251"/>
      <c r="R40" s="251"/>
      <c r="S40" s="251"/>
      <c r="T40" s="250"/>
      <c r="U40" s="252" t="s">
        <v>108</v>
      </c>
      <c r="X40" s="266" t="s">
        <v>64</v>
      </c>
      <c r="Y40" s="295" t="s">
        <v>73</v>
      </c>
    </row>
    <row r="41" spans="2:29" ht="45" customHeight="1" x14ac:dyDescent="0.25">
      <c r="B41" s="378"/>
      <c r="C41" s="118" t="s">
        <v>110</v>
      </c>
      <c r="D41" s="117">
        <f>NETWORKDAYS.INTL(E41,F41,"0000110",$AA$5:$AA$13)</f>
        <v>2</v>
      </c>
      <c r="E41" s="113">
        <f>WORKDAY.INTL(F40,1,"0000110")</f>
        <v>46274</v>
      </c>
      <c r="F41" s="113">
        <f>WORKDAY.INTL(E41,1,"0000110")</f>
        <v>46275</v>
      </c>
      <c r="G41" s="113">
        <f>WORKDAY.INTL(H40,1,"0000110")</f>
        <v>46274</v>
      </c>
      <c r="H41" s="113">
        <f>WORKDAY.INTL(G41,1,"0000110")</f>
        <v>46275</v>
      </c>
      <c r="I41" s="113"/>
      <c r="J41" s="113"/>
      <c r="K41" s="119"/>
      <c r="L41" s="119" t="str">
        <f ca="1">IF(OR(K41=100%,J41&lt;&gt;""),"Completed",IF(AND(OR(K41="",K41=0),E41&gt;TODAY()),"Not Started",IF(AND(OR(K41="",K41=0),E41&lt;=TODAY()),"Delayed",IF(AND(K41&gt;0,K41&lt;100%,F41&lt;TODAY()),"Delayed",IF(AND(K41&gt;0,K41&lt;100%),"In Progress","")))))</f>
        <v>Not Started</v>
      </c>
      <c r="M41" s="303"/>
      <c r="N41" s="251"/>
      <c r="O41" s="251"/>
      <c r="P41" s="251"/>
      <c r="Q41" s="251"/>
      <c r="R41" s="251"/>
      <c r="S41" s="251"/>
      <c r="T41" s="250"/>
      <c r="U41" s="252" t="s">
        <v>111</v>
      </c>
      <c r="X41" s="266" t="s">
        <v>65</v>
      </c>
      <c r="Y41" s="295" t="s">
        <v>73</v>
      </c>
    </row>
    <row r="42" spans="2:29" ht="45" customHeight="1" thickBot="1" x14ac:dyDescent="0.3">
      <c r="B42" s="379"/>
      <c r="C42" s="118" t="s">
        <v>112</v>
      </c>
      <c r="D42" s="117">
        <f>NETWORKDAYS.INTL(E42,F42,"0000110",$AA$5:$AA$13)</f>
        <v>1</v>
      </c>
      <c r="E42" s="113">
        <f>WORKDAY.INTL(F41,0,"0000110")</f>
        <v>46275</v>
      </c>
      <c r="F42" s="113">
        <f>WORKDAY.INTL(E42,0,"0000110")</f>
        <v>46275</v>
      </c>
      <c r="G42" s="113">
        <f>WORKDAY.INTL(H41,0,"0000110")</f>
        <v>46275</v>
      </c>
      <c r="H42" s="113">
        <f>WORKDAY.INTL(G42,0,"0000110")</f>
        <v>46275</v>
      </c>
      <c r="I42" s="113"/>
      <c r="J42" s="113"/>
      <c r="K42" s="119"/>
      <c r="L42" s="119" t="str">
        <f ca="1">IF(OR(K42=100%,J42&lt;&gt;""),"Completed",IF(AND(OR(K42="",K42=0),E42&gt;TODAY()),"Not Started",IF(AND(OR(K42="",K42=0),E42&lt;=TODAY()),"Delayed",IF(AND(K42&gt;0,K42&lt;100%,F42&lt;TODAY()),"Delayed",IF(AND(K42&gt;0,K42&lt;100%),"In Progress","")))))</f>
        <v>Not Started</v>
      </c>
      <c r="M42" s="303"/>
      <c r="N42" s="251"/>
      <c r="O42" s="251"/>
      <c r="P42" s="251"/>
      <c r="Q42" s="251"/>
      <c r="R42" s="251"/>
      <c r="S42" s="251"/>
      <c r="T42" s="250"/>
      <c r="U42" s="252"/>
      <c r="X42" s="266" t="s">
        <v>66</v>
      </c>
      <c r="Y42" s="295" t="s">
        <v>73</v>
      </c>
    </row>
    <row r="43" spans="2:29" s="298" customFormat="1" ht="4.5" customHeight="1" thickBot="1" x14ac:dyDescent="0.3">
      <c r="B43" s="270"/>
      <c r="C43" s="270" t="s">
        <v>178</v>
      </c>
      <c r="D43" s="269"/>
      <c r="E43" s="270"/>
      <c r="F43" s="270"/>
      <c r="G43" s="270"/>
      <c r="H43" s="270"/>
      <c r="I43" s="270"/>
      <c r="J43" s="270"/>
      <c r="K43" s="268"/>
      <c r="L43" s="268"/>
      <c r="M43" s="270"/>
      <c r="N43" s="270"/>
      <c r="O43" s="270"/>
      <c r="P43" s="270"/>
      <c r="Q43" s="270"/>
      <c r="R43" s="270"/>
      <c r="S43" s="270"/>
      <c r="T43" s="270"/>
      <c r="U43" s="267"/>
      <c r="X43" s="299"/>
      <c r="Y43" s="299" t="s">
        <v>74</v>
      </c>
    </row>
    <row r="44" spans="2:29" ht="45" customHeight="1" x14ac:dyDescent="0.25">
      <c r="B44" s="380" t="s">
        <v>196</v>
      </c>
      <c r="C44" s="106" t="s">
        <v>102</v>
      </c>
      <c r="D44" s="107">
        <f>NETWORKDAYS.INTL(E44,F44,"0000100",$AA$5:$AA$13)</f>
        <v>7</v>
      </c>
      <c r="E44" s="108">
        <f>WORKDAY.INTL(F38,1,"0000100",$AA$5:$AA$12)</f>
        <v>46240</v>
      </c>
      <c r="F44" s="108">
        <f>WORKDAY.INTL(E44,6,"0000100",$AA$5:$AA$12)</f>
        <v>46247</v>
      </c>
      <c r="G44" s="108">
        <f>WORKDAY.INTL(H38,1,"0000100",$AA$5:$AA$12)</f>
        <v>46240</v>
      </c>
      <c r="H44" s="108">
        <f>WORKDAY.INTL(G44,6,"0000100",$AA$5:$AA$12)</f>
        <v>46247</v>
      </c>
      <c r="I44" s="108"/>
      <c r="J44" s="108"/>
      <c r="K44" s="109"/>
      <c r="L44" s="109" t="str">
        <f ca="1">IF(OR(K44=100%,J44&lt;&gt;""),"Completed",IF(AND(OR(K44="",K44=0),E44&gt;TODAY()),"Not Started",IF(AND(OR(K44="",K44=0),E44&lt;=TODAY()),"Delayed",IF(AND(K44&gt;0,K44&lt;100%,F44&lt;TODAY()),"Delayed",IF(AND(K44&gt;0,K44&lt;100%),"In Progress","")))))</f>
        <v>Not Started</v>
      </c>
      <c r="M44" s="300"/>
      <c r="N44" s="265"/>
      <c r="O44" s="265"/>
      <c r="P44" s="265"/>
      <c r="Q44" s="265"/>
      <c r="R44" s="265"/>
      <c r="S44" s="265"/>
      <c r="T44" s="264"/>
      <c r="U44" s="263"/>
      <c r="X44" s="266" t="s">
        <v>62</v>
      </c>
      <c r="Y44" s="295" t="s">
        <v>74</v>
      </c>
    </row>
    <row r="45" spans="2:29" ht="45" customHeight="1" x14ac:dyDescent="0.25">
      <c r="B45" s="376"/>
      <c r="C45" s="106" t="s">
        <v>104</v>
      </c>
      <c r="D45" s="107">
        <f>NETWORKDAYS.INTL(E45,F45,"0000100",$AA$5:$AA$13)</f>
        <v>5</v>
      </c>
      <c r="E45" s="108">
        <f>WORKDAY.INTL(F39,1,"0000100",$AA$5:$AA$12)</f>
        <v>46249</v>
      </c>
      <c r="F45" s="108">
        <f>WORKDAY.INTL(E45,4,"0000100",$AA$5:$AA$12)</f>
        <v>46253</v>
      </c>
      <c r="G45" s="108">
        <f>WORKDAY.INTL(H39,1,"0000100",$AA$5:$AA$12)</f>
        <v>46249</v>
      </c>
      <c r="H45" s="108">
        <f>WORKDAY.INTL(G45,4,"0000100",$AA$5:$AA$12)</f>
        <v>46253</v>
      </c>
      <c r="I45" s="108"/>
      <c r="J45" s="108"/>
      <c r="K45" s="109"/>
      <c r="L45" s="109" t="str">
        <f ca="1">IF(OR(K45=100%,J45&lt;&gt;""),"Completed",IF(AND(OR(K45="",K45=0),E45&gt;TODAY()),"Not Started",IF(AND(OR(K45="",K45=0),E45&lt;=TODAY()),"Delayed",IF(AND(K45&gt;0,K45&lt;100%,F45&lt;TODAY()),"Delayed",IF(AND(K45&gt;0,K45&lt;100%),"In Progress","")))))</f>
        <v>Not Started</v>
      </c>
      <c r="M45" s="300"/>
      <c r="N45" s="265"/>
      <c r="O45" s="265"/>
      <c r="P45" s="265"/>
      <c r="Q45" s="265"/>
      <c r="R45" s="265"/>
      <c r="S45" s="265"/>
      <c r="T45" s="264"/>
      <c r="U45" s="263"/>
      <c r="X45" s="266" t="s">
        <v>63</v>
      </c>
      <c r="Y45" s="295" t="s">
        <v>74</v>
      </c>
    </row>
    <row r="46" spans="2:29" ht="45" customHeight="1" x14ac:dyDescent="0.25">
      <c r="B46" s="376"/>
      <c r="C46" s="106" t="s">
        <v>107</v>
      </c>
      <c r="D46" s="107">
        <f>NETWORKDAYS.INTL(E46,F46,"0000110",$AA$5:$AA$13)</f>
        <v>6</v>
      </c>
      <c r="E46" s="108">
        <f>WORKDAY.INTL(F40,1,"0000110")</f>
        <v>46274</v>
      </c>
      <c r="F46" s="108">
        <f>WORKDAY.INTL(E46,5,"0000110")</f>
        <v>46281</v>
      </c>
      <c r="G46" s="108">
        <f>WORKDAY.INTL(H40,1,"0000110")</f>
        <v>46274</v>
      </c>
      <c r="H46" s="108">
        <f>WORKDAY.INTL(G46,5,"0000110")</f>
        <v>46281</v>
      </c>
      <c r="I46" s="108"/>
      <c r="J46" s="108"/>
      <c r="K46" s="109"/>
      <c r="L46" s="109" t="str">
        <f ca="1">IF(OR(K46=100%,J46&lt;&gt;""),"Completed",IF(AND(OR(K46="",K46=0),E46&gt;TODAY()),"Not Started",IF(AND(OR(K46="",K46=0),E46&lt;=TODAY()),"Delayed",IF(AND(K46&gt;0,K46&lt;100%,F46&lt;TODAY()),"Delayed",IF(AND(K46&gt;0,K46&lt;100%),"In Progress","")))))</f>
        <v>Not Started</v>
      </c>
      <c r="M46" s="300"/>
      <c r="N46" s="265"/>
      <c r="O46" s="265"/>
      <c r="P46" s="265"/>
      <c r="Q46" s="265"/>
      <c r="R46" s="265"/>
      <c r="S46" s="265"/>
      <c r="T46" s="264"/>
      <c r="U46" s="263" t="s">
        <v>108</v>
      </c>
      <c r="X46" s="266" t="s">
        <v>64</v>
      </c>
      <c r="Y46" s="295" t="s">
        <v>74</v>
      </c>
    </row>
    <row r="47" spans="2:29" ht="45" customHeight="1" x14ac:dyDescent="0.25">
      <c r="B47" s="376"/>
      <c r="C47" s="110" t="s">
        <v>110</v>
      </c>
      <c r="D47" s="107">
        <f>NETWORKDAYS.INTL(E47,F47,"0000110",$AA$5:$AA$13)</f>
        <v>2</v>
      </c>
      <c r="E47" s="108">
        <f>WORKDAY.INTL(F46,1,"0000110")</f>
        <v>46282</v>
      </c>
      <c r="F47" s="108">
        <f>WORKDAY.INTL(E47,1,"0000110")</f>
        <v>46285</v>
      </c>
      <c r="G47" s="108">
        <f>WORKDAY.INTL(H46,1,"0000110")</f>
        <v>46282</v>
      </c>
      <c r="H47" s="108">
        <f>WORKDAY.INTL(G47,1,"0000110")</f>
        <v>46285</v>
      </c>
      <c r="I47" s="108"/>
      <c r="J47" s="108"/>
      <c r="K47" s="109"/>
      <c r="L47" s="109" t="str">
        <f ca="1">IF(OR(K47=100%,J47&lt;&gt;""),"Completed",IF(AND(OR(K47="",K47=0),E47&gt;TODAY()),"Not Started",IF(AND(OR(K47="",K47=0),E47&lt;=TODAY()),"Delayed",IF(AND(K47&gt;0,K47&lt;100%,F47&lt;TODAY()),"Delayed",IF(AND(K47&gt;0,K47&lt;100%),"In Progress","")))))</f>
        <v>Not Started</v>
      </c>
      <c r="M47" s="300"/>
      <c r="N47" s="262"/>
      <c r="O47" s="262"/>
      <c r="P47" s="262"/>
      <c r="Q47" s="262"/>
      <c r="R47" s="262"/>
      <c r="S47" s="262"/>
      <c r="T47" s="261"/>
      <c r="U47" s="263" t="s">
        <v>111</v>
      </c>
      <c r="X47" s="266" t="s">
        <v>65</v>
      </c>
      <c r="Y47" s="295" t="s">
        <v>74</v>
      </c>
    </row>
    <row r="48" spans="2:29" ht="45" customHeight="1" thickBot="1" x14ac:dyDescent="0.3">
      <c r="B48" s="381"/>
      <c r="C48" s="110" t="s">
        <v>112</v>
      </c>
      <c r="D48" s="107">
        <f>NETWORKDAYS.INTL(E48,F48,"0000110",$AA$5:$AA$13)</f>
        <v>1</v>
      </c>
      <c r="E48" s="108">
        <f>WORKDAY.INTL(F47,0,"0000110")</f>
        <v>46285</v>
      </c>
      <c r="F48" s="108">
        <f>WORKDAY.INTL(E48,0,"0000110")</f>
        <v>46285</v>
      </c>
      <c r="G48" s="108">
        <f>WORKDAY.INTL(H47,0,"0000110")</f>
        <v>46285</v>
      </c>
      <c r="H48" s="108">
        <f>WORKDAY.INTL(G48,0,"0000110")</f>
        <v>46285</v>
      </c>
      <c r="I48" s="108"/>
      <c r="J48" s="108"/>
      <c r="K48" s="109"/>
      <c r="L48" s="109" t="str">
        <f ca="1">IF(OR(K48=100%,J48&lt;&gt;""),"Completed",IF(AND(OR(K48="",K48=0),E48&gt;TODAY()),"Not Started",IF(AND(OR(K48="",K48=0),E48&lt;=TODAY()),"Delayed",IF(AND(K48&gt;0,K48&lt;100%,F48&lt;TODAY()),"Delayed",IF(AND(K48&gt;0,K48&lt;100%),"In Progress","")))))</f>
        <v>Not Started</v>
      </c>
      <c r="M48" s="300"/>
      <c r="N48" s="262"/>
      <c r="O48" s="262"/>
      <c r="P48" s="262"/>
      <c r="Q48" s="262"/>
      <c r="R48" s="262"/>
      <c r="S48" s="262"/>
      <c r="T48" s="261"/>
      <c r="U48" s="263"/>
      <c r="X48" s="266" t="s">
        <v>66</v>
      </c>
      <c r="Y48" s="295" t="s">
        <v>74</v>
      </c>
    </row>
    <row r="49" spans="2:29" s="298" customFormat="1" ht="4.5" customHeight="1" thickBot="1" x14ac:dyDescent="0.3">
      <c r="B49" s="270"/>
      <c r="C49" s="270" t="s">
        <v>178</v>
      </c>
      <c r="D49" s="269"/>
      <c r="E49" s="270"/>
      <c r="F49" s="270"/>
      <c r="G49" s="270"/>
      <c r="H49" s="270"/>
      <c r="I49" s="270"/>
      <c r="J49" s="270"/>
      <c r="K49" s="268"/>
      <c r="L49" s="268"/>
      <c r="M49" s="270"/>
      <c r="N49" s="270"/>
      <c r="O49" s="270"/>
      <c r="P49" s="270"/>
      <c r="Q49" s="270"/>
      <c r="R49" s="270"/>
      <c r="S49" s="270"/>
      <c r="T49" s="270"/>
      <c r="U49" s="267"/>
      <c r="X49" s="299"/>
      <c r="Y49" s="299" t="s">
        <v>75</v>
      </c>
    </row>
    <row r="50" spans="2:29" ht="45" customHeight="1" x14ac:dyDescent="0.25">
      <c r="B50" s="377" t="s">
        <v>197</v>
      </c>
      <c r="C50" s="111" t="s">
        <v>102</v>
      </c>
      <c r="D50" s="112">
        <f>NETWORKDAYS.INTL(E50,F50,"0000100",$AA$5:$AA$13)</f>
        <v>7</v>
      </c>
      <c r="E50" s="113">
        <f>WORKDAY.INTL(F44,1,"0000100",$AA$5:$AA$12)</f>
        <v>46249</v>
      </c>
      <c r="F50" s="114">
        <f>WORKDAY.INTL(E50,6,"0000100",$AA$5:$AA$12)</f>
        <v>46256</v>
      </c>
      <c r="G50" s="113">
        <f>WORKDAY.INTL(H44,1,"0000100",$AA$5:$AA$12)</f>
        <v>46249</v>
      </c>
      <c r="H50" s="114">
        <f>WORKDAY.INTL(G50,6,"0000100",$AA$5:$AA$12)</f>
        <v>46256</v>
      </c>
      <c r="I50" s="114"/>
      <c r="J50" s="114"/>
      <c r="K50" s="115"/>
      <c r="L50" s="115" t="str">
        <f ca="1">IF(OR(K50=100%,J50&lt;&gt;""),"Completed",IF(AND(OR(K50="",K50=0),E50&gt;TODAY()),"Not Started",IF(AND(OR(K50="",K50=0),E50&lt;=TODAY()),"Delayed",IF(AND(K50&gt;0,K50&lt;100%,F50&lt;TODAY()),"Delayed",IF(AND(K50&gt;0,K50&lt;100%),"In Progress","")))))</f>
        <v>Not Started</v>
      </c>
      <c r="M50" s="303"/>
      <c r="N50" s="257"/>
      <c r="O50" s="257"/>
      <c r="P50" s="257"/>
      <c r="Q50" s="257"/>
      <c r="R50" s="257"/>
      <c r="S50" s="257"/>
      <c r="T50" s="256"/>
      <c r="U50" s="255"/>
      <c r="X50" s="266" t="s">
        <v>62</v>
      </c>
      <c r="Y50" s="295" t="s">
        <v>75</v>
      </c>
      <c r="AC50" s="301"/>
    </row>
    <row r="51" spans="2:29" ht="45" customHeight="1" x14ac:dyDescent="0.25">
      <c r="B51" s="378"/>
      <c r="C51" s="116" t="s">
        <v>104</v>
      </c>
      <c r="D51" s="117">
        <f>NETWORKDAYS.INTL(E51,F51,"0000100",$AA$5:$AA$13)</f>
        <v>5</v>
      </c>
      <c r="E51" s="113">
        <f>WORKDAY.INTL(F45,3,"0000100",$AA$5:$AA$12)</f>
        <v>46257</v>
      </c>
      <c r="F51" s="114">
        <f>WORKDAY.INTL(E51,4,"0000100",$AA$5:$AA$12)</f>
        <v>46261</v>
      </c>
      <c r="G51" s="113">
        <f>WORKDAY.INTL(H45,3,"0000100",$AA$5:$AA$12)</f>
        <v>46257</v>
      </c>
      <c r="H51" s="114">
        <f>WORKDAY.INTL(G51,4,"0000100",$AA$5:$AA$12)</f>
        <v>46261</v>
      </c>
      <c r="I51" s="114"/>
      <c r="J51" s="114"/>
      <c r="K51" s="115"/>
      <c r="L51" s="115" t="str">
        <f ca="1">IF(OR(K51=100%,J51&lt;&gt;""),"Completed",IF(AND(OR(K51="",K51=0),E51&gt;TODAY()),"Not Started",IF(AND(OR(K51="",K51=0),E51&lt;=TODAY()),"Delayed",IF(AND(K51&gt;0,K51&lt;100%,F51&lt;TODAY()),"Delayed",IF(AND(K51&gt;0,K51&lt;100%),"In Progress","")))))</f>
        <v>Not Started</v>
      </c>
      <c r="M51" s="303"/>
      <c r="N51" s="254"/>
      <c r="O51" s="254"/>
      <c r="P51" s="254"/>
      <c r="Q51" s="254"/>
      <c r="R51" s="254"/>
      <c r="S51" s="254"/>
      <c r="T51" s="253"/>
      <c r="U51" s="252"/>
      <c r="X51" s="266" t="s">
        <v>63</v>
      </c>
      <c r="Y51" s="295" t="s">
        <v>75</v>
      </c>
    </row>
    <row r="52" spans="2:29" ht="45" customHeight="1" x14ac:dyDescent="0.25">
      <c r="B52" s="378"/>
      <c r="C52" s="118" t="s">
        <v>107</v>
      </c>
      <c r="D52" s="117">
        <f>NETWORKDAYS.INTL(E52,F52,"0000110",$AA$5:$AA$13)</f>
        <v>6</v>
      </c>
      <c r="E52" s="113">
        <f>WORKDAY.INTL(F46,1,"0000110")</f>
        <v>46282</v>
      </c>
      <c r="F52" s="113">
        <f>WORKDAY.INTL(E52,6,"0000110")</f>
        <v>46292</v>
      </c>
      <c r="G52" s="113">
        <f>WORKDAY.INTL(H46,1,"0000110")</f>
        <v>46282</v>
      </c>
      <c r="H52" s="113">
        <f>WORKDAY.INTL(G52,6,"0000110")</f>
        <v>46292</v>
      </c>
      <c r="I52" s="113"/>
      <c r="J52" s="113"/>
      <c r="K52" s="119"/>
      <c r="L52" s="119" t="str">
        <f ca="1">IF(OR(K52=100%,J52&lt;&gt;""),"Completed",IF(AND(OR(K52="",K52=0),E52&gt;TODAY()),"Not Started",IF(AND(OR(K52="",K52=0),E52&lt;=TODAY()),"Delayed",IF(AND(K52&gt;0,K52&lt;100%,F52&lt;TODAY()),"Delayed",IF(AND(K52&gt;0,K52&lt;100%),"In Progress","")))))</f>
        <v>Not Started</v>
      </c>
      <c r="M52" s="303"/>
      <c r="N52" s="251"/>
      <c r="O52" s="251"/>
      <c r="P52" s="251"/>
      <c r="Q52" s="251"/>
      <c r="R52" s="251"/>
      <c r="S52" s="251"/>
      <c r="T52" s="250"/>
      <c r="U52" s="252" t="s">
        <v>108</v>
      </c>
      <c r="X52" s="266" t="s">
        <v>64</v>
      </c>
      <c r="Y52" s="295" t="s">
        <v>75</v>
      </c>
    </row>
    <row r="53" spans="2:29" ht="45" customHeight="1" x14ac:dyDescent="0.25">
      <c r="B53" s="378"/>
      <c r="C53" s="118" t="s">
        <v>110</v>
      </c>
      <c r="D53" s="117">
        <f>NETWORKDAYS.INTL(E53,F53,"0000110",$AA$5:$AA$13)</f>
        <v>2</v>
      </c>
      <c r="E53" s="113">
        <f>WORKDAY.INTL(F52,1,"0000110")</f>
        <v>46293</v>
      </c>
      <c r="F53" s="113">
        <f>WORKDAY.INTL(E53,1,"0000110")</f>
        <v>46294</v>
      </c>
      <c r="G53" s="113">
        <f>WORKDAY.INTL(H52,1,"0000110")</f>
        <v>46293</v>
      </c>
      <c r="H53" s="113">
        <f>WORKDAY.INTL(G53,1,"0000110")</f>
        <v>46294</v>
      </c>
      <c r="I53" s="113"/>
      <c r="J53" s="113"/>
      <c r="K53" s="119"/>
      <c r="L53" s="119" t="str">
        <f ca="1">IF(OR(K53=100%,J53&lt;&gt;""),"Completed",IF(AND(OR(K53="",K53=0),E53&gt;TODAY()),"Not Started",IF(AND(OR(K53="",K53=0),E53&lt;=TODAY()),"Delayed",IF(AND(K53&gt;0,K53&lt;100%,F53&lt;TODAY()),"Delayed",IF(AND(K53&gt;0,K53&lt;100%),"In Progress","")))))</f>
        <v>Not Started</v>
      </c>
      <c r="M53" s="303"/>
      <c r="N53" s="251"/>
      <c r="O53" s="251"/>
      <c r="P53" s="251"/>
      <c r="Q53" s="251"/>
      <c r="R53" s="251"/>
      <c r="S53" s="251"/>
      <c r="T53" s="250"/>
      <c r="U53" s="252" t="s">
        <v>111</v>
      </c>
      <c r="X53" s="266" t="s">
        <v>65</v>
      </c>
      <c r="Y53" s="295" t="s">
        <v>75</v>
      </c>
    </row>
    <row r="54" spans="2:29" ht="45" customHeight="1" thickBot="1" x14ac:dyDescent="0.3">
      <c r="B54" s="379"/>
      <c r="C54" s="118" t="s">
        <v>112</v>
      </c>
      <c r="D54" s="117">
        <f>NETWORKDAYS.INTL(E54,F54,"0000110",$AA$5:$AA$13)</f>
        <v>1</v>
      </c>
      <c r="E54" s="113">
        <f>WORKDAY.INTL(F53,0,"0000110")</f>
        <v>46294</v>
      </c>
      <c r="F54" s="113">
        <f>WORKDAY.INTL(E54,0,"0000110")</f>
        <v>46294</v>
      </c>
      <c r="G54" s="113">
        <f>WORKDAY.INTL(H53,0,"0000110")</f>
        <v>46294</v>
      </c>
      <c r="H54" s="113">
        <f>WORKDAY.INTL(G54,0,"0000110")</f>
        <v>46294</v>
      </c>
      <c r="I54" s="113"/>
      <c r="J54" s="113"/>
      <c r="K54" s="119"/>
      <c r="L54" s="119" t="str">
        <f ca="1">IF(OR(K54=100%,J54&lt;&gt;""),"Completed",IF(AND(OR(K54="",K54=0),E54&gt;TODAY()),"Not Started",IF(AND(OR(K54="",K54=0),E54&lt;=TODAY()),"Delayed",IF(AND(K54&gt;0,K54&lt;100%,F54&lt;TODAY()),"Delayed",IF(AND(K54&gt;0,K54&lt;100%),"In Progress","")))))</f>
        <v>Not Started</v>
      </c>
      <c r="M54" s="303"/>
      <c r="N54" s="251"/>
      <c r="O54" s="251"/>
      <c r="P54" s="251"/>
      <c r="Q54" s="251"/>
      <c r="R54" s="251"/>
      <c r="S54" s="251"/>
      <c r="T54" s="250"/>
      <c r="U54" s="252"/>
      <c r="X54" s="266" t="s">
        <v>66</v>
      </c>
      <c r="Y54" s="295" t="s">
        <v>75</v>
      </c>
    </row>
    <row r="55" spans="2:29" s="298" customFormat="1" ht="4.5" customHeight="1" thickBot="1" x14ac:dyDescent="0.3">
      <c r="B55" s="270"/>
      <c r="C55" s="270" t="s">
        <v>178</v>
      </c>
      <c r="D55" s="269"/>
      <c r="E55" s="270"/>
      <c r="F55" s="270"/>
      <c r="G55" s="270"/>
      <c r="H55" s="270"/>
      <c r="I55" s="270"/>
      <c r="J55" s="270"/>
      <c r="K55" s="268"/>
      <c r="L55" s="268"/>
      <c r="M55" s="270"/>
      <c r="N55" s="270"/>
      <c r="O55" s="270"/>
      <c r="P55" s="270"/>
      <c r="Q55" s="270"/>
      <c r="R55" s="270"/>
      <c r="S55" s="270"/>
      <c r="T55" s="270"/>
      <c r="U55" s="267"/>
      <c r="X55" s="299"/>
      <c r="Y55" s="299" t="s">
        <v>76</v>
      </c>
    </row>
    <row r="56" spans="2:29" ht="45" customHeight="1" x14ac:dyDescent="0.25">
      <c r="B56" s="380" t="s">
        <v>198</v>
      </c>
      <c r="C56" s="106" t="s">
        <v>102</v>
      </c>
      <c r="D56" s="107">
        <f>NETWORKDAYS.INTL(E56,F56,"0000100",$AA$5:$AA$13)</f>
        <v>7</v>
      </c>
      <c r="E56" s="108">
        <f>WORKDAY.INTL(F50,1,"0000100",$AA$5:$AA$12)</f>
        <v>46257</v>
      </c>
      <c r="F56" s="108">
        <f>WORKDAY.INTL(E56,6,"0000100",$AA$5:$AA$12)</f>
        <v>46264</v>
      </c>
      <c r="G56" s="108">
        <f>WORKDAY.INTL(H50,1,"0000100",$AA$5:$AA$12)</f>
        <v>46257</v>
      </c>
      <c r="H56" s="108">
        <f>WORKDAY.INTL(G56,6,"0000100",$AA$5:$AA$12)</f>
        <v>46264</v>
      </c>
      <c r="I56" s="108"/>
      <c r="J56" s="108"/>
      <c r="K56" s="109"/>
      <c r="L56" s="109" t="str">
        <f ca="1">IF(OR(K56=100%,J56&lt;&gt;""),"Completed",IF(AND(OR(K56="",K56=0),E56&gt;TODAY()),"Not Started",IF(AND(OR(K56="",K56=0),E56&lt;=TODAY()),"Delayed",IF(AND(K56&gt;0,K56&lt;100%,F56&lt;TODAY()),"Delayed",IF(AND(K56&gt;0,K56&lt;100%),"In Progress","")))))</f>
        <v>Not Started</v>
      </c>
      <c r="M56" s="300"/>
      <c r="N56" s="265"/>
      <c r="O56" s="265"/>
      <c r="P56" s="265"/>
      <c r="Q56" s="265"/>
      <c r="R56" s="265"/>
      <c r="S56" s="265"/>
      <c r="T56" s="264"/>
      <c r="U56" s="263"/>
      <c r="X56" s="266" t="s">
        <v>62</v>
      </c>
      <c r="Y56" s="295" t="s">
        <v>76</v>
      </c>
    </row>
    <row r="57" spans="2:29" ht="45" customHeight="1" x14ac:dyDescent="0.25">
      <c r="B57" s="376"/>
      <c r="C57" s="106" t="s">
        <v>104</v>
      </c>
      <c r="D57" s="107">
        <f>NETWORKDAYS.INTL(E57,F57,"0000100",$AA$5:$AA$13)</f>
        <v>5</v>
      </c>
      <c r="E57" s="108">
        <f>WORKDAY.INTL(F51,4,"0000100",$AA$5:$AA$12)</f>
        <v>46266</v>
      </c>
      <c r="F57" s="108">
        <f>WORKDAY.INTL(E57,4,"0000100",$AA$5:$AA$12)</f>
        <v>46271</v>
      </c>
      <c r="G57" s="108">
        <f>WORKDAY.INTL(H51,4,"0000100",$AA$5:$AA$12)</f>
        <v>46266</v>
      </c>
      <c r="H57" s="108">
        <f>WORKDAY.INTL(G57,4,"0000100",$AA$5:$AA$12)</f>
        <v>46271</v>
      </c>
      <c r="I57" s="108"/>
      <c r="J57" s="108"/>
      <c r="K57" s="109"/>
      <c r="L57" s="109" t="str">
        <f ca="1">IF(OR(K57=100%,J57&lt;&gt;""),"Completed",IF(AND(OR(K57="",K57=0),E57&gt;TODAY()),"Not Started",IF(AND(OR(K57="",K57=0),E57&lt;=TODAY()),"Delayed",IF(AND(K57&gt;0,K57&lt;100%,F57&lt;TODAY()),"Delayed",IF(AND(K57&gt;0,K57&lt;100%),"In Progress","")))))</f>
        <v>Not Started</v>
      </c>
      <c r="M57" s="300"/>
      <c r="N57" s="265"/>
      <c r="O57" s="265"/>
      <c r="P57" s="265"/>
      <c r="Q57" s="265"/>
      <c r="R57" s="265"/>
      <c r="S57" s="265"/>
      <c r="T57" s="264"/>
      <c r="U57" s="263"/>
      <c r="X57" s="266" t="s">
        <v>63</v>
      </c>
      <c r="Y57" s="295" t="s">
        <v>76</v>
      </c>
    </row>
    <row r="58" spans="2:29" ht="45" customHeight="1" x14ac:dyDescent="0.25">
      <c r="B58" s="376"/>
      <c r="C58" s="106" t="s">
        <v>107</v>
      </c>
      <c r="D58" s="107">
        <f>NETWORKDAYS.INTL(E58,F58,"0000110",$AA$5:$AA$13)</f>
        <v>7</v>
      </c>
      <c r="E58" s="108">
        <f>WORKDAY.INTL(F52,1,"0000110")</f>
        <v>46293</v>
      </c>
      <c r="F58" s="108">
        <f>WORKDAY.INTL(E58,6,"0000110")</f>
        <v>46301</v>
      </c>
      <c r="G58" s="108">
        <f>WORKDAY.INTL(H52,1,"0000110")</f>
        <v>46293</v>
      </c>
      <c r="H58" s="108">
        <f>WORKDAY.INTL(G58,6,"0000110")</f>
        <v>46301</v>
      </c>
      <c r="I58" s="108"/>
      <c r="J58" s="108"/>
      <c r="K58" s="109"/>
      <c r="L58" s="109" t="str">
        <f ca="1">IF(OR(K58=100%,J58&lt;&gt;""),"Completed",IF(AND(OR(K58="",K58=0),E58&gt;TODAY()),"Not Started",IF(AND(OR(K58="",K58=0),E58&lt;=TODAY()),"Delayed",IF(AND(K58&gt;0,K58&lt;100%,F58&lt;TODAY()),"Delayed",IF(AND(K58&gt;0,K58&lt;100%),"In Progress","")))))</f>
        <v>Not Started</v>
      </c>
      <c r="M58" s="300"/>
      <c r="N58" s="265"/>
      <c r="O58" s="265"/>
      <c r="P58" s="265"/>
      <c r="Q58" s="265"/>
      <c r="R58" s="265"/>
      <c r="S58" s="265"/>
      <c r="T58" s="264"/>
      <c r="U58" s="263" t="s">
        <v>108</v>
      </c>
      <c r="X58" s="266" t="s">
        <v>64</v>
      </c>
      <c r="Y58" s="295" t="s">
        <v>76</v>
      </c>
    </row>
    <row r="59" spans="2:29" ht="45" customHeight="1" x14ac:dyDescent="0.25">
      <c r="B59" s="376"/>
      <c r="C59" s="110" t="s">
        <v>110</v>
      </c>
      <c r="D59" s="107">
        <f>NETWORKDAYS.INTL(E59,F59,"0000110",$AA$5:$AA$13)</f>
        <v>2</v>
      </c>
      <c r="E59" s="108">
        <f>WORKDAY.INTL(F58,1,"0000110")</f>
        <v>46302</v>
      </c>
      <c r="F59" s="108">
        <f>WORKDAY.INTL(E59,1,"0000110")</f>
        <v>46303</v>
      </c>
      <c r="G59" s="108">
        <f>WORKDAY.INTL(H58,1,"0000110")</f>
        <v>46302</v>
      </c>
      <c r="H59" s="108">
        <f>WORKDAY.INTL(G59,1,"0000110")</f>
        <v>46303</v>
      </c>
      <c r="I59" s="108"/>
      <c r="J59" s="108"/>
      <c r="K59" s="109"/>
      <c r="L59" s="109" t="str">
        <f ca="1">IF(OR(K59=100%,J59&lt;&gt;""),"Completed",IF(AND(OR(K59="",K59=0),E59&gt;TODAY()),"Not Started",IF(AND(OR(K59="",K59=0),E59&lt;=TODAY()),"Delayed",IF(AND(K59&gt;0,K59&lt;100%,F59&lt;TODAY()),"Delayed",IF(AND(K59&gt;0,K59&lt;100%),"In Progress","")))))</f>
        <v>Not Started</v>
      </c>
      <c r="M59" s="300"/>
      <c r="N59" s="262"/>
      <c r="O59" s="262"/>
      <c r="P59" s="262"/>
      <c r="Q59" s="262"/>
      <c r="R59" s="262"/>
      <c r="S59" s="262"/>
      <c r="T59" s="261"/>
      <c r="U59" s="263" t="s">
        <v>111</v>
      </c>
      <c r="X59" s="266" t="s">
        <v>65</v>
      </c>
      <c r="Y59" s="295" t="s">
        <v>76</v>
      </c>
    </row>
    <row r="60" spans="2:29" ht="45" customHeight="1" thickBot="1" x14ac:dyDescent="0.3">
      <c r="B60" s="381"/>
      <c r="C60" s="110" t="s">
        <v>112</v>
      </c>
      <c r="D60" s="107">
        <f>NETWORKDAYS.INTL(E60,F60,"0000110",$AA$5:$AA$13)</f>
        <v>1</v>
      </c>
      <c r="E60" s="108">
        <f>WORKDAY.INTL(F59,0,"0000110")</f>
        <v>46303</v>
      </c>
      <c r="F60" s="108">
        <f>WORKDAY.INTL(E60,0,"0000110")</f>
        <v>46303</v>
      </c>
      <c r="G60" s="108">
        <f>WORKDAY.INTL(H59,0,"0000110")</f>
        <v>46303</v>
      </c>
      <c r="H60" s="108">
        <f>WORKDAY.INTL(G60,0,"0000110")</f>
        <v>46303</v>
      </c>
      <c r="I60" s="108"/>
      <c r="J60" s="108"/>
      <c r="K60" s="109"/>
      <c r="L60" s="109" t="str">
        <f ca="1">IF(OR(K60=100%,J60&lt;&gt;""),"Completed",IF(AND(OR(K60="",K60=0),E60&gt;TODAY()),"Not Started",IF(AND(OR(K60="",K60=0),E60&lt;=TODAY()),"Delayed",IF(AND(K60&gt;0,K60&lt;100%,F60&lt;TODAY()),"Delayed",IF(AND(K60&gt;0,K60&lt;100%),"In Progress","")))))</f>
        <v>Not Started</v>
      </c>
      <c r="M60" s="300"/>
      <c r="N60" s="262"/>
      <c r="O60" s="262"/>
      <c r="P60" s="262"/>
      <c r="Q60" s="262"/>
      <c r="R60" s="262"/>
      <c r="S60" s="262"/>
      <c r="T60" s="261"/>
      <c r="U60" s="263"/>
      <c r="X60" s="266" t="s">
        <v>66</v>
      </c>
      <c r="Y60" s="295" t="s">
        <v>76</v>
      </c>
    </row>
    <row r="61" spans="2:29" s="298" customFormat="1" ht="4.5" customHeight="1" thickBot="1" x14ac:dyDescent="0.3">
      <c r="B61" s="270"/>
      <c r="C61" s="270" t="s">
        <v>178</v>
      </c>
      <c r="D61" s="269"/>
      <c r="E61" s="270"/>
      <c r="F61" s="270"/>
      <c r="G61" s="270"/>
      <c r="H61" s="270"/>
      <c r="I61" s="270"/>
      <c r="J61" s="270"/>
      <c r="K61" s="268"/>
      <c r="L61" s="268"/>
      <c r="M61" s="270"/>
      <c r="N61" s="270"/>
      <c r="O61" s="270"/>
      <c r="P61" s="270"/>
      <c r="Q61" s="270"/>
      <c r="R61" s="270"/>
      <c r="S61" s="270"/>
      <c r="T61" s="270"/>
      <c r="U61" s="267"/>
      <c r="V61" s="304"/>
      <c r="Y61" s="298" t="s">
        <v>77</v>
      </c>
      <c r="AB61" s="289"/>
    </row>
    <row r="62" spans="2:29" ht="45" customHeight="1" x14ac:dyDescent="0.25">
      <c r="B62" s="377" t="s">
        <v>199</v>
      </c>
      <c r="C62" s="111" t="s">
        <v>102</v>
      </c>
      <c r="D62" s="112">
        <f>NETWORKDAYS.INTL(E62,F62,"0000100",$AA$5:$AA$13)</f>
        <v>7</v>
      </c>
      <c r="E62" s="113">
        <f>WORKDAY.INTL(F56,1,"0000100",$AA$5:$AA$12)</f>
        <v>46265</v>
      </c>
      <c r="F62" s="114">
        <f>WORKDAY.INTL(E62,6,"0000100",$AA$5:$AA$12)</f>
        <v>46272</v>
      </c>
      <c r="G62" s="113">
        <f>WORKDAY.INTL(H56,1,"0000100",$AA$5:$AA$12)</f>
        <v>46265</v>
      </c>
      <c r="H62" s="114">
        <f>WORKDAY.INTL(G62,6,"0000100",$AA$5:$AA$12)</f>
        <v>46272</v>
      </c>
      <c r="I62" s="114"/>
      <c r="J62" s="114"/>
      <c r="K62" s="115"/>
      <c r="L62" s="115" t="str">
        <f ca="1">IF(OR(K62=100%,J62&lt;&gt;""),"Completed",IF(AND(OR(K62="",K62=0),E62&gt;TODAY()),"Not Started",IF(AND(OR(K62="",K62=0),E62&lt;=TODAY()),"Delayed",IF(AND(K62&gt;0,K62&lt;100%,F62&lt;TODAY()),"Delayed",IF(AND(K62&gt;0,K62&lt;100%),"In Progress","")))))</f>
        <v>Not Started</v>
      </c>
      <c r="M62" s="303"/>
      <c r="N62" s="257"/>
      <c r="O62" s="257"/>
      <c r="P62" s="257"/>
      <c r="Q62" s="257"/>
      <c r="R62" s="257"/>
      <c r="S62" s="257"/>
      <c r="T62" s="256"/>
      <c r="U62" s="255"/>
      <c r="X62" s="266" t="s">
        <v>62</v>
      </c>
      <c r="Y62" s="295" t="s">
        <v>77</v>
      </c>
      <c r="AC62" s="301"/>
    </row>
    <row r="63" spans="2:29" ht="45" customHeight="1" x14ac:dyDescent="0.25">
      <c r="B63" s="378"/>
      <c r="C63" s="116" t="s">
        <v>104</v>
      </c>
      <c r="D63" s="117">
        <f>NETWORKDAYS.INTL(E63,F63,"0000100",$AA$5:$AA$13)</f>
        <v>5</v>
      </c>
      <c r="E63" s="113">
        <f>WORKDAY.INTL(F57,2,"0000100",$AA$5:$AA$12)</f>
        <v>46273</v>
      </c>
      <c r="F63" s="114">
        <f>WORKDAY.INTL(E63,4,"0000100",$AA$5:$AA$12)</f>
        <v>46278</v>
      </c>
      <c r="G63" s="113">
        <f>WORKDAY.INTL(H57,2,"0000100",$AA$5:$AA$12)</f>
        <v>46273</v>
      </c>
      <c r="H63" s="114">
        <f>WORKDAY.INTL(G63,4,"0000100",$AA$5:$AA$12)</f>
        <v>46278</v>
      </c>
      <c r="I63" s="114"/>
      <c r="J63" s="114"/>
      <c r="K63" s="115"/>
      <c r="L63" s="115" t="str">
        <f ca="1">IF(OR(K63=100%,J63&lt;&gt;""),"Completed",IF(AND(OR(K63="",K63=0),E63&gt;TODAY()),"Not Started",IF(AND(OR(K63="",K63=0),E63&lt;=TODAY()),"Delayed",IF(AND(K63&gt;0,K63&lt;100%,F63&lt;TODAY()),"Delayed",IF(AND(K63&gt;0,K63&lt;100%),"In Progress","")))))</f>
        <v>Not Started</v>
      </c>
      <c r="M63" s="303"/>
      <c r="N63" s="254"/>
      <c r="O63" s="254"/>
      <c r="P63" s="254"/>
      <c r="Q63" s="254"/>
      <c r="R63" s="254"/>
      <c r="S63" s="254"/>
      <c r="T63" s="253"/>
      <c r="U63" s="252"/>
      <c r="X63" s="266" t="s">
        <v>63</v>
      </c>
      <c r="Y63" s="295" t="s">
        <v>77</v>
      </c>
    </row>
    <row r="64" spans="2:29" ht="45" customHeight="1" x14ac:dyDescent="0.25">
      <c r="B64" s="378"/>
      <c r="C64" s="118" t="s">
        <v>107</v>
      </c>
      <c r="D64" s="117">
        <f>NETWORKDAYS.INTL(E64,F64,"0000110",$AA$5:$AA$13)</f>
        <v>8</v>
      </c>
      <c r="E64" s="113">
        <f>WORKDAY.INTL(F58,1,"0000110")</f>
        <v>46302</v>
      </c>
      <c r="F64" s="113">
        <f>WORKDAY.INTL(E64,7,"0000110")</f>
        <v>46313</v>
      </c>
      <c r="G64" s="113">
        <f>WORKDAY.INTL(H58,1,"0000110")</f>
        <v>46302</v>
      </c>
      <c r="H64" s="113">
        <f>WORKDAY.INTL(G64,7,"0000110")</f>
        <v>46313</v>
      </c>
      <c r="I64" s="113"/>
      <c r="J64" s="113"/>
      <c r="K64" s="119"/>
      <c r="L64" s="119" t="str">
        <f ca="1">IF(OR(K64=100%,J64&lt;&gt;""),"Completed",IF(AND(OR(K64="",K64=0),E64&gt;TODAY()),"Not Started",IF(AND(OR(K64="",K64=0),E64&lt;=TODAY()),"Delayed",IF(AND(K64&gt;0,K64&lt;100%,F64&lt;TODAY()),"Delayed",IF(AND(K64&gt;0,K64&lt;100%),"In Progress","")))))</f>
        <v>Not Started</v>
      </c>
      <c r="M64" s="303"/>
      <c r="N64" s="251"/>
      <c r="O64" s="251"/>
      <c r="P64" s="251"/>
      <c r="Q64" s="251"/>
      <c r="R64" s="251"/>
      <c r="S64" s="251"/>
      <c r="T64" s="250"/>
      <c r="U64" s="252" t="s">
        <v>108</v>
      </c>
      <c r="X64" s="266" t="s">
        <v>64</v>
      </c>
      <c r="Y64" s="295" t="s">
        <v>77</v>
      </c>
    </row>
    <row r="65" spans="2:28" ht="45" customHeight="1" x14ac:dyDescent="0.25">
      <c r="B65" s="378"/>
      <c r="C65" s="118" t="s">
        <v>110</v>
      </c>
      <c r="D65" s="117">
        <f>NETWORKDAYS.INTL(E65,F65,"0000110",$AA$5:$AA$13)</f>
        <v>2</v>
      </c>
      <c r="E65" s="113">
        <f>WORKDAY.INTL(F64,1,"0000110")</f>
        <v>46314</v>
      </c>
      <c r="F65" s="113">
        <f>WORKDAY.INTL(E65,1,"0000110")</f>
        <v>46315</v>
      </c>
      <c r="G65" s="113">
        <f>WORKDAY.INTL(H64,1,"0000110")</f>
        <v>46314</v>
      </c>
      <c r="H65" s="113">
        <f>WORKDAY.INTL(G65,1,"0000110")</f>
        <v>46315</v>
      </c>
      <c r="I65" s="113"/>
      <c r="J65" s="113"/>
      <c r="K65" s="119"/>
      <c r="L65" s="119" t="str">
        <f ca="1">IF(OR(K65=100%,J65&lt;&gt;""),"Completed",IF(AND(OR(K65="",K65=0),E65&gt;TODAY()),"Not Started",IF(AND(OR(K65="",K65=0),E65&lt;=TODAY()),"Delayed",IF(AND(K65&gt;0,K65&lt;100%,F65&lt;TODAY()),"Delayed",IF(AND(K65&gt;0,K65&lt;100%),"In Progress","")))))</f>
        <v>Not Started</v>
      </c>
      <c r="M65" s="303"/>
      <c r="N65" s="251"/>
      <c r="O65" s="251"/>
      <c r="P65" s="251"/>
      <c r="Q65" s="251"/>
      <c r="R65" s="251"/>
      <c r="S65" s="251"/>
      <c r="T65" s="250"/>
      <c r="U65" s="252" t="s">
        <v>111</v>
      </c>
      <c r="X65" s="266" t="s">
        <v>65</v>
      </c>
      <c r="Y65" s="295" t="s">
        <v>77</v>
      </c>
    </row>
    <row r="66" spans="2:28" ht="45" customHeight="1" thickBot="1" x14ac:dyDescent="0.3">
      <c r="B66" s="379"/>
      <c r="C66" s="118" t="s">
        <v>112</v>
      </c>
      <c r="D66" s="117">
        <f>NETWORKDAYS.INTL(E66,F66,"0000110",$AA$5:$AA$13)</f>
        <v>1</v>
      </c>
      <c r="E66" s="113">
        <f>WORKDAY.INTL(F65,0,"0000110")</f>
        <v>46315</v>
      </c>
      <c r="F66" s="113">
        <f>WORKDAY.INTL(E66,0,"0000110")</f>
        <v>46315</v>
      </c>
      <c r="G66" s="113">
        <f>WORKDAY.INTL(H65,0,"0000110")</f>
        <v>46315</v>
      </c>
      <c r="H66" s="113">
        <f>WORKDAY.INTL(G66,0,"0000110")</f>
        <v>46315</v>
      </c>
      <c r="I66" s="113"/>
      <c r="J66" s="113"/>
      <c r="K66" s="119"/>
      <c r="L66" s="119" t="str">
        <f ca="1">IF(OR(K66=100%,J66&lt;&gt;""),"Completed",IF(AND(OR(K66="",K66=0),E66&gt;TODAY()),"Not Started",IF(AND(OR(K66="",K66=0),E66&lt;=TODAY()),"Delayed",IF(AND(K66&gt;0,K66&lt;100%,F66&lt;TODAY()),"Delayed",IF(AND(K66&gt;0,K66&lt;100%),"In Progress","")))))</f>
        <v>Not Started</v>
      </c>
      <c r="M66" s="303"/>
      <c r="N66" s="251"/>
      <c r="O66" s="251"/>
      <c r="P66" s="251"/>
      <c r="Q66" s="251"/>
      <c r="R66" s="251"/>
      <c r="S66" s="251"/>
      <c r="T66" s="250"/>
      <c r="U66" s="252"/>
      <c r="X66" s="266" t="s">
        <v>66</v>
      </c>
      <c r="Y66" s="295" t="s">
        <v>77</v>
      </c>
    </row>
    <row r="67" spans="2:28" s="298" customFormat="1" ht="4.5" customHeight="1" thickBot="1" x14ac:dyDescent="0.3">
      <c r="B67" s="270"/>
      <c r="C67" s="270" t="s">
        <v>178</v>
      </c>
      <c r="D67" s="269"/>
      <c r="E67" s="270"/>
      <c r="F67" s="270"/>
      <c r="G67" s="270"/>
      <c r="H67" s="270"/>
      <c r="I67" s="270"/>
      <c r="J67" s="270"/>
      <c r="K67" s="268"/>
      <c r="L67" s="268"/>
      <c r="M67" s="270"/>
      <c r="N67" s="270"/>
      <c r="O67" s="270"/>
      <c r="P67" s="270"/>
      <c r="Q67" s="270"/>
      <c r="R67" s="270"/>
      <c r="S67" s="270"/>
      <c r="T67" s="270"/>
      <c r="U67" s="267"/>
      <c r="V67" s="304"/>
      <c r="AB67" s="289"/>
    </row>
    <row r="68" spans="2:28" ht="45" customHeight="1" x14ac:dyDescent="0.25">
      <c r="B68" s="380" t="s">
        <v>121</v>
      </c>
      <c r="C68" s="106" t="s">
        <v>122</v>
      </c>
      <c r="D68" s="107">
        <f t="shared" ref="D68:D70" si="1">NETWORKDAYS.INTL(E68,F68,"0000100",$AB$5:$AB$12)</f>
        <v>18</v>
      </c>
      <c r="E68" s="108">
        <f>WORKDAY.INTL(F8,1,"0000100",$AB$5:$AB$11)</f>
        <v>46219</v>
      </c>
      <c r="F68" s="108">
        <f>WORKDAY.INTL(E68,17,"0000100",$AB$5:$AB$11)</f>
        <v>46239</v>
      </c>
      <c r="G68" s="108">
        <f>WORKDAY.INTL(H8,1,"0000100",$AB$5:$AB$11)</f>
        <v>46219</v>
      </c>
      <c r="H68" s="108">
        <f>WORKDAY.INTL(G68,17,"0000100",$AB$5:$AB$11)</f>
        <v>46239</v>
      </c>
      <c r="I68" s="108"/>
      <c r="J68" s="108"/>
      <c r="K68" s="109"/>
      <c r="L68" s="109" t="str">
        <f ca="1">IF(OR(K68=100%,J68&lt;&gt;""),"Completed",IF(AND(OR(K68="",K68=0),E68&gt;TODAY()),"Not Started",IF(AND(OR(K68="",K68=0),E68&lt;=TODAY()),"Delayed",IF(AND(K68&gt;0,K68&lt;100%,F68&lt;TODAY()),"Delayed",IF(AND(K68&gt;0,K68&lt;100%),"In Progress","")))))</f>
        <v>Not Started</v>
      </c>
      <c r="M68" s="300"/>
      <c r="N68" s="264"/>
      <c r="O68" s="249"/>
      <c r="P68" s="249"/>
      <c r="Q68" s="249"/>
      <c r="R68" s="249"/>
      <c r="S68" s="249"/>
      <c r="T68" s="249"/>
      <c r="U68" s="263" t="s">
        <v>200</v>
      </c>
      <c r="V68" s="290"/>
      <c r="X68" s="266"/>
    </row>
    <row r="69" spans="2:28" ht="43.5" customHeight="1" x14ac:dyDescent="0.25">
      <c r="B69" s="376"/>
      <c r="C69" s="106" t="s">
        <v>123</v>
      </c>
      <c r="D69" s="107">
        <f t="shared" si="1"/>
        <v>18</v>
      </c>
      <c r="E69" s="108">
        <f>WORKDAY.INTL(F8,1,"0000100",$AB$5:$AB$11)</f>
        <v>46219</v>
      </c>
      <c r="F69" s="108">
        <f>WORKDAY.INTL(E69,17,"0000100",$AB$5:$AB$11)</f>
        <v>46239</v>
      </c>
      <c r="G69" s="108">
        <f>WORKDAY.INTL(H8,1,"0000100",$AB$5:$AB$11)</f>
        <v>46219</v>
      </c>
      <c r="H69" s="108">
        <f>WORKDAY.INTL(G69,17,"0000100",$AB$5:$AB$11)</f>
        <v>46239</v>
      </c>
      <c r="I69" s="108"/>
      <c r="J69" s="108"/>
      <c r="K69" s="109"/>
      <c r="L69" s="109" t="str">
        <f ca="1">IF(OR(K69=100%,J69&lt;&gt;""),"Completed",IF(AND(OR(K69="",K69=0),E69&gt;TODAY()),"Not Started",IF(AND(OR(K69="",K69=0),E69&lt;=TODAY()),"Delayed",IF(AND(K69&gt;0,K69&lt;100%,F69&lt;TODAY()),"Delayed",IF(AND(K69&gt;0,K69&lt;100%),"In Progress","")))))</f>
        <v>Not Started</v>
      </c>
      <c r="M69" s="300"/>
      <c r="N69" s="264"/>
      <c r="O69" s="249"/>
      <c r="P69" s="249"/>
      <c r="Q69" s="249"/>
      <c r="R69" s="249"/>
      <c r="S69" s="249"/>
      <c r="T69" s="249"/>
      <c r="U69" s="263" t="s">
        <v>30</v>
      </c>
      <c r="V69" s="290"/>
      <c r="X69" s="266"/>
    </row>
    <row r="70" spans="2:28" ht="36.75" thickBot="1" x14ac:dyDescent="0.3">
      <c r="B70" s="381"/>
      <c r="C70" s="106" t="s">
        <v>124</v>
      </c>
      <c r="D70" s="107">
        <f t="shared" si="1"/>
        <v>65</v>
      </c>
      <c r="E70" s="108">
        <f>WORKDAY.INTL(F8,1,"0000100",$AB$5:$AB$11)</f>
        <v>46219</v>
      </c>
      <c r="F70" s="108">
        <f>WORKDAY.INTL(E70,64,"0000100",$AB$5:$AB$11)</f>
        <v>46294</v>
      </c>
      <c r="G70" s="108">
        <f>WORKDAY.INTL(H8,1,"0000100",$AB$5:$AB$11)</f>
        <v>46219</v>
      </c>
      <c r="H70" s="108">
        <f>WORKDAY.INTL(G70,64,"0000100",$AB$5:$AB$11)</f>
        <v>46294</v>
      </c>
      <c r="I70" s="108"/>
      <c r="J70" s="108"/>
      <c r="K70" s="109"/>
      <c r="L70" s="109" t="str">
        <f ca="1">IF(OR(K70=100%,J70&lt;&gt;""),"Completed",IF(AND(OR(K70="",K70=0),E70&gt;TODAY()),"Not Started",IF(AND(OR(K70="",K70=0),E70&lt;=TODAY()),"Delayed",IF(AND(K70&gt;0,K70&lt;100%,F70&lt;TODAY()),"Delayed",IF(AND(K70&gt;0,K70&lt;100%),"In Progress","")))))</f>
        <v>Not Started</v>
      </c>
      <c r="M70" s="300"/>
      <c r="N70" s="265"/>
      <c r="O70" s="265"/>
      <c r="P70" s="265"/>
      <c r="Q70" s="265"/>
      <c r="R70" s="265"/>
      <c r="S70" s="265"/>
      <c r="T70" s="264"/>
      <c r="U70" s="263" t="s">
        <v>201</v>
      </c>
      <c r="V70" s="290"/>
      <c r="X70" s="266"/>
    </row>
    <row r="71" spans="2:28" s="298" customFormat="1" ht="4.5" customHeight="1" thickBot="1" x14ac:dyDescent="0.3">
      <c r="B71" s="270"/>
      <c r="C71" s="270"/>
      <c r="D71" s="269"/>
      <c r="E71" s="270"/>
      <c r="F71" s="270"/>
      <c r="G71" s="270"/>
      <c r="H71" s="270"/>
      <c r="I71" s="270"/>
      <c r="J71" s="270"/>
      <c r="K71" s="268"/>
      <c r="L71" s="268"/>
      <c r="M71" s="270"/>
      <c r="N71" s="270"/>
      <c r="O71" s="270"/>
      <c r="P71" s="270"/>
      <c r="Q71" s="270"/>
      <c r="R71" s="270"/>
      <c r="S71" s="270"/>
      <c r="T71" s="270"/>
      <c r="U71" s="267"/>
      <c r="X71" s="299"/>
      <c r="Y71" s="299"/>
    </row>
    <row r="72" spans="2:28" s="298" customFormat="1" ht="110.1" customHeight="1" x14ac:dyDescent="0.25">
      <c r="B72" s="385" t="s">
        <v>125</v>
      </c>
      <c r="C72" s="135" t="s">
        <v>126</v>
      </c>
      <c r="D72" s="136">
        <f t="shared" ref="D72:D76" si="2">NETWORKDAYS.INTL(E72,F72,"0000100",$AB$5:$AB$12)</f>
        <v>26</v>
      </c>
      <c r="E72" s="137">
        <f>WORKDAY.INTL(F66,1,"0000100",$AB$5:$AB$11)</f>
        <v>46316</v>
      </c>
      <c r="F72" s="137">
        <f>WORKDAY.INTL(E72,25,"0000100",$AB$5:$AB$11)</f>
        <v>46345</v>
      </c>
      <c r="G72" s="137">
        <f>WORKDAY.INTL(H66,1,"0000100",$AB$5:$AB$11)</f>
        <v>46316</v>
      </c>
      <c r="H72" s="137">
        <f>WORKDAY.INTL(G72,25,"0000100",$AB$5:$AB$11)</f>
        <v>46345</v>
      </c>
      <c r="I72" s="137"/>
      <c r="J72" s="137"/>
      <c r="K72" s="138"/>
      <c r="L72" s="138"/>
      <c r="M72" s="305"/>
      <c r="N72" s="306"/>
      <c r="O72" s="306"/>
      <c r="P72" s="306"/>
      <c r="Q72" s="306"/>
      <c r="R72" s="306"/>
      <c r="S72" s="306"/>
      <c r="T72" s="307"/>
      <c r="U72" s="308" t="s">
        <v>127</v>
      </c>
      <c r="X72" s="299"/>
      <c r="Y72" s="299"/>
    </row>
    <row r="73" spans="2:28" s="298" customFormat="1" ht="34.5" customHeight="1" x14ac:dyDescent="0.25">
      <c r="B73" s="386"/>
      <c r="C73" s="131" t="s">
        <v>128</v>
      </c>
      <c r="D73" s="132">
        <f t="shared" si="2"/>
        <v>7</v>
      </c>
      <c r="E73" s="133">
        <v>46203</v>
      </c>
      <c r="F73" s="133">
        <f>WORKDAY.INTL(E73,6,"0000100",$AB$5:$AB$11)</f>
        <v>46210</v>
      </c>
      <c r="G73" s="133">
        <v>46203</v>
      </c>
      <c r="H73" s="133">
        <f>WORKDAY.INTL(G73,6,"0000100",$AB$5:$AB$11)</f>
        <v>46210</v>
      </c>
      <c r="I73" s="133"/>
      <c r="J73" s="133"/>
      <c r="K73" s="134"/>
      <c r="L73" s="134"/>
      <c r="M73" s="309"/>
      <c r="N73" s="310"/>
      <c r="O73" s="310"/>
      <c r="P73" s="310"/>
      <c r="Q73" s="310"/>
      <c r="R73" s="310"/>
      <c r="S73" s="310"/>
      <c r="T73" s="311"/>
      <c r="U73" s="312"/>
      <c r="X73" s="299"/>
      <c r="Y73" s="299"/>
    </row>
    <row r="74" spans="2:28" s="298" customFormat="1" ht="124.5" customHeight="1" x14ac:dyDescent="0.25">
      <c r="B74" s="386"/>
      <c r="C74" s="131" t="s">
        <v>129</v>
      </c>
      <c r="D74" s="132">
        <f t="shared" si="2"/>
        <v>167</v>
      </c>
      <c r="E74" s="133">
        <v>46194</v>
      </c>
      <c r="F74" s="133">
        <f>WORKDAY.INTL(E74,166,"0000100",$AB$5:$AB$11)</f>
        <v>46387</v>
      </c>
      <c r="G74" s="133">
        <v>46194</v>
      </c>
      <c r="H74" s="133">
        <f>WORKDAY.INTL(G74,166,"0000100",$AB$5:$AB$11)</f>
        <v>46387</v>
      </c>
      <c r="I74" s="133"/>
      <c r="J74" s="133"/>
      <c r="K74" s="134"/>
      <c r="L74" s="134"/>
      <c r="M74" s="309"/>
      <c r="N74" s="310"/>
      <c r="O74" s="310"/>
      <c r="P74" s="310"/>
      <c r="Q74" s="310"/>
      <c r="R74" s="310"/>
      <c r="S74" s="310"/>
      <c r="T74" s="311"/>
      <c r="U74" s="313" t="s">
        <v>130</v>
      </c>
      <c r="X74" s="299"/>
      <c r="Y74" s="299"/>
    </row>
    <row r="75" spans="2:28" s="298" customFormat="1" ht="124.5" customHeight="1" x14ac:dyDescent="0.25">
      <c r="B75" s="386"/>
      <c r="C75" s="131" t="s">
        <v>131</v>
      </c>
      <c r="D75" s="132">
        <f t="shared" si="2"/>
        <v>129</v>
      </c>
      <c r="E75" s="133">
        <f>WORKDAY.INTL(F74,1,"0000100",$AB$5:$AB$11)</f>
        <v>46389</v>
      </c>
      <c r="F75" s="133">
        <f>WORKDAY.INTL(E75,128,"0000100",$AB$5:$AB$11)</f>
        <v>46538</v>
      </c>
      <c r="G75" s="133">
        <f>WORKDAY.INTL(H74,1,"0000100",$AB$5:$AB$11)</f>
        <v>46389</v>
      </c>
      <c r="H75" s="133">
        <f>WORKDAY.INTL(G75,128,"0000100",$AB$5:$AB$11)</f>
        <v>46538</v>
      </c>
      <c r="I75" s="133"/>
      <c r="J75" s="133"/>
      <c r="K75" s="134"/>
      <c r="L75" s="134"/>
      <c r="M75" s="309"/>
      <c r="N75" s="310"/>
      <c r="O75" s="310"/>
      <c r="P75" s="310"/>
      <c r="Q75" s="310"/>
      <c r="R75" s="310"/>
      <c r="S75" s="310"/>
      <c r="T75" s="311"/>
      <c r="U75" s="313" t="s">
        <v>130</v>
      </c>
      <c r="X75" s="299"/>
      <c r="Y75" s="299"/>
    </row>
    <row r="76" spans="2:28" s="298" customFormat="1" ht="34.5" customHeight="1" thickBot="1" x14ac:dyDescent="0.3">
      <c r="B76" s="387"/>
      <c r="C76" s="145" t="s">
        <v>132</v>
      </c>
      <c r="D76" s="146">
        <f t="shared" si="2"/>
        <v>18</v>
      </c>
      <c r="E76" s="147">
        <v>46357</v>
      </c>
      <c r="F76" s="147">
        <f t="shared" ref="F76" si="3">WORKDAY.INTL(E76,17,"0000100",$AB$5:$AB$11)</f>
        <v>46377</v>
      </c>
      <c r="G76" s="147">
        <v>46357</v>
      </c>
      <c r="H76" s="147">
        <f t="shared" ref="H76" si="4">WORKDAY.INTL(G76,17,"0000100",$AB$5:$AB$11)</f>
        <v>46377</v>
      </c>
      <c r="I76" s="147"/>
      <c r="J76" s="147"/>
      <c r="K76" s="148"/>
      <c r="L76" s="148"/>
      <c r="M76" s="314"/>
      <c r="N76" s="315"/>
      <c r="O76" s="315"/>
      <c r="P76" s="315"/>
      <c r="Q76" s="315"/>
      <c r="R76" s="315"/>
      <c r="S76" s="315"/>
      <c r="T76" s="316"/>
      <c r="U76" s="317" t="s">
        <v>133</v>
      </c>
      <c r="X76" s="299"/>
      <c r="Y76" s="299"/>
    </row>
    <row r="77" spans="2:28" s="298" customFormat="1" ht="4.5" customHeight="1" thickBot="1" x14ac:dyDescent="0.3">
      <c r="B77" s="248"/>
      <c r="C77" s="248"/>
      <c r="D77" s="247"/>
      <c r="E77" s="248"/>
      <c r="F77" s="248"/>
      <c r="G77" s="248"/>
      <c r="H77" s="248"/>
      <c r="I77" s="248"/>
      <c r="J77" s="248"/>
      <c r="K77" s="246"/>
      <c r="L77" s="246"/>
      <c r="M77" s="248"/>
      <c r="N77" s="248"/>
      <c r="O77" s="248"/>
      <c r="P77" s="248"/>
      <c r="Q77" s="248"/>
      <c r="R77" s="248"/>
      <c r="S77" s="248"/>
      <c r="T77" s="248"/>
      <c r="U77" s="245"/>
      <c r="X77" s="299"/>
      <c r="Y77" s="299"/>
    </row>
    <row r="78" spans="2:28" s="298" customFormat="1" ht="85.5" customHeight="1" thickBot="1" x14ac:dyDescent="0.3">
      <c r="B78" s="182" t="s">
        <v>134</v>
      </c>
      <c r="C78" s="153" t="s">
        <v>202</v>
      </c>
      <c r="D78" s="154">
        <f>NETWORKDAYS.INTL(E78,F78,"0000110",$AB$5:$AB$12)</f>
        <v>3</v>
      </c>
      <c r="E78" s="155">
        <f>MAX(WORKDAY.INTL(F65,1,"0000110"),WORKDAY.INTL(F86,1,"0000110"),WORKDAY.INTL(F84,1,"0000110"))</f>
        <v>46316</v>
      </c>
      <c r="F78" s="155">
        <f>WORKDAY.INTL(E78,2,"0000110")</f>
        <v>46320</v>
      </c>
      <c r="G78" s="155">
        <f>MAX(WORKDAY.INTL(H65,1,"0000110"),WORKDAY.INTL(H86,1,"0000110"),WORKDAY.INTL(H84,1,"0000110"))</f>
        <v>46316</v>
      </c>
      <c r="H78" s="155">
        <f>WORKDAY.INTL(G78,2,"0000110")</f>
        <v>46320</v>
      </c>
      <c r="I78" s="155"/>
      <c r="J78" s="155"/>
      <c r="K78" s="156"/>
      <c r="L78" s="156" t="str">
        <f ca="1">IF(OR(K78=100%,J78&lt;&gt;""),"Completed",IF(AND(OR(K78="",K78=0),E78&gt;TODAY()),"Not Started",IF(AND(OR(K78="",K78=0),E78&lt;=TODAY()),"Delayed",IF(AND(K78&gt;0,K78&lt;100%,F78&lt;TODAY()),"Delayed",IF(AND(K78&gt;0,K78&lt;100%),"In Progress","")))))</f>
        <v>Not Started</v>
      </c>
      <c r="M78" s="157"/>
      <c r="N78" s="158"/>
      <c r="O78" s="158"/>
      <c r="P78" s="158"/>
      <c r="Q78" s="158"/>
      <c r="R78" s="158"/>
      <c r="S78" s="158"/>
      <c r="T78" s="159"/>
      <c r="U78" s="318" t="s">
        <v>136</v>
      </c>
      <c r="X78" s="299"/>
      <c r="Y78" s="299"/>
    </row>
    <row r="79" spans="2:28" s="298" customFormat="1" ht="10.5" customHeight="1" thickBot="1" x14ac:dyDescent="0.3">
      <c r="B79" s="248"/>
      <c r="C79" s="248"/>
      <c r="D79" s="247"/>
      <c r="E79" s="248"/>
      <c r="F79" s="248"/>
      <c r="G79" s="248"/>
      <c r="H79" s="248"/>
      <c r="I79" s="248"/>
      <c r="J79" s="248"/>
      <c r="K79" s="246"/>
      <c r="L79" s="246"/>
      <c r="M79" s="248"/>
      <c r="N79" s="248"/>
      <c r="O79" s="248"/>
      <c r="P79" s="248"/>
      <c r="Q79" s="248"/>
      <c r="R79" s="248"/>
      <c r="S79" s="248"/>
      <c r="T79" s="248"/>
      <c r="U79" s="245"/>
      <c r="X79" s="266"/>
      <c r="Y79" s="295"/>
    </row>
    <row r="80" spans="2:28" ht="28.9" customHeight="1" x14ac:dyDescent="0.25">
      <c r="B80" s="388" t="s">
        <v>34</v>
      </c>
      <c r="C80" s="162" t="s">
        <v>36</v>
      </c>
      <c r="D80" s="163">
        <f t="shared" ref="D80:D84" si="5">NETWORKDAYS.INTL(E80,F80,"0000110",$AA$5:$AA$13)</f>
        <v>3</v>
      </c>
      <c r="E80" s="164">
        <f>MAX(WORKDAY.INTL(F63,1,"0000110",$AA$5:$AA$12),WORKDAY.INTL(F69,1,"0000110",$AA$5:$AA$12),WORKDAY.INTL(F54,1,"0000110",$AA$5:$AA$12))</f>
        <v>46295</v>
      </c>
      <c r="F80" s="164">
        <f>WORKDAY.INTL(E80,2,"0000110",$AA$5:$AA$12)</f>
        <v>46299</v>
      </c>
      <c r="G80" s="164">
        <f>MAX(WORKDAY.INTL(H63,1,"0000110",$AA$5:$AA$12),WORKDAY.INTL(H69,1,"0000110",$AA$5:$AA$12),WORKDAY.INTL(H54,1,"0000110",$AA$5:$AA$12))</f>
        <v>46295</v>
      </c>
      <c r="H80" s="164">
        <f>WORKDAY.INTL(G80,2,"0000110",$AA$5:$AA$12)</f>
        <v>46299</v>
      </c>
      <c r="I80" s="164"/>
      <c r="J80" s="164"/>
      <c r="K80" s="165"/>
      <c r="L80" s="165" t="str">
        <f t="shared" ref="L80:L84" ca="1" si="6">IF(OR(K80=100%,J80&lt;&gt;""),"Completed",IF(AND(OR(K80="",K80=0),E80&gt;TODAY()),"Not Started",IF(AND(OR(K80="",K80=0),E80&lt;=TODAY()),"Delayed",IF(AND(K80&gt;0,K80&lt;100%,F80&lt;TODAY()),"Delayed",IF(AND(K80&gt;0,K80&lt;100%),"In Progress","")))))</f>
        <v>Not Started</v>
      </c>
      <c r="M80" s="166"/>
      <c r="N80" s="167"/>
      <c r="O80" s="167"/>
      <c r="P80" s="167"/>
      <c r="Q80" s="167"/>
      <c r="R80" s="167"/>
      <c r="S80" s="167"/>
      <c r="T80" s="168"/>
      <c r="U80" s="169"/>
      <c r="V80" s="290"/>
      <c r="X80" s="266"/>
    </row>
    <row r="81" spans="2:26" ht="28.9" customHeight="1" x14ac:dyDescent="0.25">
      <c r="B81" s="389"/>
      <c r="C81" s="118" t="s">
        <v>38</v>
      </c>
      <c r="D81" s="117">
        <f t="shared" si="5"/>
        <v>5</v>
      </c>
      <c r="E81" s="113">
        <f>WORKDAY.INTL(F80,1,"0000110",$AA$5:$AA$12)</f>
        <v>46300</v>
      </c>
      <c r="F81" s="113">
        <f>WORKDAY.INTL(E81,4,"0000110",$AA$5:$AA$12)</f>
        <v>46306</v>
      </c>
      <c r="G81" s="113">
        <f>WORKDAY.INTL(H80,1,"0000110",$AA$5:$AA$12)</f>
        <v>46300</v>
      </c>
      <c r="H81" s="113">
        <f>WORKDAY.INTL(G81,4,"0000110",$AA$5:$AA$12)</f>
        <v>46306</v>
      </c>
      <c r="I81" s="113"/>
      <c r="J81" s="113"/>
      <c r="K81" s="119"/>
      <c r="L81" s="119" t="str">
        <f t="shared" ca="1" si="6"/>
        <v>Not Started</v>
      </c>
      <c r="M81" s="170"/>
      <c r="N81" s="171"/>
      <c r="O81" s="171"/>
      <c r="P81" s="171"/>
      <c r="Q81" s="171"/>
      <c r="R81" s="171"/>
      <c r="S81" s="171"/>
      <c r="T81" s="172"/>
      <c r="U81" s="173"/>
      <c r="V81" s="290"/>
      <c r="X81" s="298"/>
      <c r="Y81" s="298"/>
    </row>
    <row r="82" spans="2:26" ht="28.9" customHeight="1" x14ac:dyDescent="0.25">
      <c r="B82" s="389"/>
      <c r="C82" s="118" t="s">
        <v>43</v>
      </c>
      <c r="D82" s="117">
        <f t="shared" si="5"/>
        <v>2</v>
      </c>
      <c r="E82" s="113">
        <f>WORKDAY.INTL(F81,1,"0000110",$AA$5:$AA$12)</f>
        <v>46307</v>
      </c>
      <c r="F82" s="113">
        <f>WORKDAY.INTL(E82,1,"0000110",$AA$5:$AA$12)</f>
        <v>46308</v>
      </c>
      <c r="G82" s="113">
        <f>WORKDAY.INTL(H81,1,"0000110",$AA$5:$AA$12)</f>
        <v>46307</v>
      </c>
      <c r="H82" s="113">
        <f>WORKDAY.INTL(G82,1,"0000110",$AA$5:$AA$12)</f>
        <v>46308</v>
      </c>
      <c r="I82" s="113"/>
      <c r="J82" s="113"/>
      <c r="K82" s="119"/>
      <c r="L82" s="119" t="str">
        <f t="shared" ca="1" si="6"/>
        <v>Not Started</v>
      </c>
      <c r="M82" s="170"/>
      <c r="N82" s="171"/>
      <c r="O82" s="171"/>
      <c r="P82" s="171"/>
      <c r="Q82" s="171"/>
      <c r="R82" s="171"/>
      <c r="S82" s="171"/>
      <c r="T82" s="172"/>
      <c r="U82" s="173"/>
      <c r="V82" s="290"/>
      <c r="X82" s="266"/>
    </row>
    <row r="83" spans="2:26" ht="28.9" customHeight="1" x14ac:dyDescent="0.25">
      <c r="B83" s="389"/>
      <c r="C83" s="118" t="s">
        <v>44</v>
      </c>
      <c r="D83" s="117">
        <f t="shared" si="5"/>
        <v>1</v>
      </c>
      <c r="E83" s="113">
        <f>WORKDAY.INTL(F82,1,"0000110",$AA$5:$AA$12)</f>
        <v>46309</v>
      </c>
      <c r="F83" s="113">
        <f>WORKDAY.INTL(E83,0,"0000110",$AA$5:$AA$12)</f>
        <v>46309</v>
      </c>
      <c r="G83" s="113">
        <f>WORKDAY.INTL(H82,1,"0000110",$AA$5:$AA$12)</f>
        <v>46309</v>
      </c>
      <c r="H83" s="113">
        <f>WORKDAY.INTL(G83,0,"0000110",$AA$5:$AA$12)</f>
        <v>46309</v>
      </c>
      <c r="I83" s="113"/>
      <c r="J83" s="113"/>
      <c r="K83" s="119"/>
      <c r="L83" s="119" t="str">
        <f t="shared" ca="1" si="6"/>
        <v>Not Started</v>
      </c>
      <c r="M83" s="170"/>
      <c r="N83" s="171"/>
      <c r="O83" s="171"/>
      <c r="P83" s="171"/>
      <c r="Q83" s="171"/>
      <c r="R83" s="171"/>
      <c r="S83" s="171"/>
      <c r="T83" s="172"/>
      <c r="U83" s="173"/>
      <c r="V83" s="290"/>
      <c r="X83" s="266"/>
    </row>
    <row r="84" spans="2:26" ht="28.9" customHeight="1" thickBot="1" x14ac:dyDescent="0.3">
      <c r="B84" s="390"/>
      <c r="C84" s="174" t="s">
        <v>46</v>
      </c>
      <c r="D84" s="175">
        <f t="shared" si="5"/>
        <v>1</v>
      </c>
      <c r="E84" s="176">
        <f>WORKDAY.INTL(F83,1,"0000110",$AA$5:$AA$12)</f>
        <v>46310</v>
      </c>
      <c r="F84" s="176">
        <f>WORKDAY.INTL(E84,0,"0000110",$AA$5:$AA$12)</f>
        <v>46310</v>
      </c>
      <c r="G84" s="176">
        <f>WORKDAY.INTL(H83,1,"0000110",$AA$5:$AA$12)</f>
        <v>46310</v>
      </c>
      <c r="H84" s="176">
        <f>WORKDAY.INTL(G84,0,"0000110",$AA$5:$AA$12)</f>
        <v>46310</v>
      </c>
      <c r="I84" s="176"/>
      <c r="J84" s="176"/>
      <c r="K84" s="177"/>
      <c r="L84" s="177" t="str">
        <f t="shared" ca="1" si="6"/>
        <v>Not Started</v>
      </c>
      <c r="M84" s="178"/>
      <c r="N84" s="179"/>
      <c r="O84" s="179"/>
      <c r="P84" s="179"/>
      <c r="Q84" s="179"/>
      <c r="R84" s="179"/>
      <c r="S84" s="179"/>
      <c r="T84" s="180"/>
      <c r="U84" s="181"/>
      <c r="V84" s="290"/>
      <c r="X84" s="266"/>
    </row>
    <row r="85" spans="2:26" s="298" customFormat="1" ht="4.5" customHeight="1" thickBot="1" x14ac:dyDescent="0.3">
      <c r="B85" s="270"/>
      <c r="C85" s="270"/>
      <c r="D85" s="269"/>
      <c r="E85" s="270"/>
      <c r="F85" s="270"/>
      <c r="G85" s="270"/>
      <c r="H85" s="270"/>
      <c r="I85" s="270"/>
      <c r="J85" s="270"/>
      <c r="K85" s="268"/>
      <c r="L85" s="268"/>
      <c r="M85" s="270"/>
      <c r="N85" s="270"/>
      <c r="O85" s="270"/>
      <c r="P85" s="270"/>
      <c r="Q85" s="270"/>
      <c r="R85" s="270"/>
      <c r="S85" s="270"/>
      <c r="T85" s="270"/>
      <c r="U85" s="267"/>
    </row>
    <row r="86" spans="2:26" ht="34.5" customHeight="1" x14ac:dyDescent="0.25">
      <c r="B86" s="391" t="s">
        <v>137</v>
      </c>
      <c r="C86" s="183" t="s">
        <v>47</v>
      </c>
      <c r="D86" s="184">
        <f t="shared" ref="D86:D87" si="7">NETWORKDAYS.INTL(E86,F86,"0000110",$AB$5:$AB$12)</f>
        <v>30</v>
      </c>
      <c r="E86" s="185">
        <v>46235</v>
      </c>
      <c r="F86" s="185">
        <f>WORKDAY.INTL(E86,30,"0000110",$AB$5:$AB$11)</f>
        <v>46275</v>
      </c>
      <c r="G86" s="185">
        <v>46235</v>
      </c>
      <c r="H86" s="185">
        <f>WORKDAY.INTL(G86,30,"0000110",$AB$5:$AB$11)</f>
        <v>46275</v>
      </c>
      <c r="I86" s="185"/>
      <c r="J86" s="185"/>
      <c r="K86" s="186"/>
      <c r="L86" s="186" t="str">
        <f ca="1">IF(OR(K86=100%,J86&lt;&gt;""),"Completed",IF(AND(OR(K86="",K86=0),E86&gt;TODAY()),"Not Started",IF(AND(OR(K86="",K86=0),E86&lt;=TODAY()),"Delayed",IF(AND(K86&gt;0,K86&lt;100%,F86&lt;TODAY()),"Delayed",IF(AND(K86&gt;0,K86&lt;100%),"In Progress","")))))</f>
        <v>Not Started</v>
      </c>
      <c r="M86" s="319"/>
      <c r="N86" s="238"/>
      <c r="O86" s="238"/>
      <c r="P86" s="238"/>
      <c r="Q86" s="238"/>
      <c r="R86" s="238"/>
      <c r="S86" s="238"/>
      <c r="T86" s="238"/>
      <c r="U86" s="242" t="s">
        <v>203</v>
      </c>
      <c r="V86" s="290"/>
    </row>
    <row r="87" spans="2:26" ht="45.75" customHeight="1" thickBot="1" x14ac:dyDescent="0.3">
      <c r="B87" s="392"/>
      <c r="C87" s="187" t="s">
        <v>139</v>
      </c>
      <c r="D87" s="188">
        <f t="shared" si="7"/>
        <v>30</v>
      </c>
      <c r="E87" s="189">
        <f>F78+7</f>
        <v>46327</v>
      </c>
      <c r="F87" s="189">
        <f>WORKDAY.INTL(E87,29,"0000110",$AB$5:$AB$11)</f>
        <v>46366</v>
      </c>
      <c r="G87" s="189">
        <f>H78+7</f>
        <v>46327</v>
      </c>
      <c r="H87" s="189">
        <f>WORKDAY.INTL(G87,29,"0000110",$AB$5:$AB$11)</f>
        <v>46366</v>
      </c>
      <c r="I87" s="189"/>
      <c r="J87" s="189"/>
      <c r="K87" s="190"/>
      <c r="L87" s="190" t="str">
        <f ca="1">IF(OR(K87=100%,J87&lt;&gt;""),"Completed",IF(AND(OR(K87="",K87=0),E87&gt;TODAY()),"Not Started",IF(AND(OR(K87="",K87=0),E87&lt;=TODAY()),"Delayed",IF(AND(K87&gt;0,K87&lt;100%,F87&lt;TODAY()),"Delayed",IF(AND(K87&gt;0,K87&lt;100%),"In Progress","")))))</f>
        <v>Not Started</v>
      </c>
      <c r="M87" s="320"/>
      <c r="N87" s="236"/>
      <c r="O87" s="236"/>
      <c r="P87" s="236"/>
      <c r="Q87" s="236"/>
      <c r="R87" s="236"/>
      <c r="S87" s="236"/>
      <c r="T87" s="236"/>
      <c r="U87" s="239" t="s">
        <v>204</v>
      </c>
      <c r="V87" s="290"/>
    </row>
    <row r="88" spans="2:26" s="298" customFormat="1" ht="4.5" customHeight="1" thickBot="1" x14ac:dyDescent="0.3">
      <c r="B88" s="270"/>
      <c r="C88" s="270"/>
      <c r="D88" s="269"/>
      <c r="E88" s="270"/>
      <c r="F88" s="270"/>
      <c r="G88" s="270"/>
      <c r="H88" s="270"/>
      <c r="I88" s="270"/>
      <c r="J88" s="270"/>
      <c r="K88" s="268"/>
      <c r="L88" s="268"/>
      <c r="M88" s="270"/>
      <c r="N88" s="270"/>
      <c r="O88" s="270"/>
      <c r="P88" s="270"/>
      <c r="Q88" s="270"/>
      <c r="R88" s="270"/>
      <c r="S88" s="270"/>
      <c r="T88" s="270"/>
      <c r="U88" s="267"/>
      <c r="Y88" s="295"/>
      <c r="Z88" s="295"/>
    </row>
    <row r="89" spans="2:26" ht="36" customHeight="1" x14ac:dyDescent="0.25">
      <c r="B89" s="385" t="s">
        <v>140</v>
      </c>
      <c r="C89" s="213" t="s">
        <v>141</v>
      </c>
      <c r="D89" s="214">
        <f>NETWORKDAYS.INTL(E89,F89,"0000100",$AA$5:$AA$13)</f>
        <v>18</v>
      </c>
      <c r="E89" s="356">
        <v>46270</v>
      </c>
      <c r="F89" s="137">
        <f>E89+21</f>
        <v>46291</v>
      </c>
      <c r="G89" s="137">
        <f>G68+7</f>
        <v>46226</v>
      </c>
      <c r="H89" s="137">
        <f>G89+21</f>
        <v>46247</v>
      </c>
      <c r="I89" s="137"/>
      <c r="J89" s="137"/>
      <c r="K89" s="138"/>
      <c r="L89" s="138" t="str">
        <f ca="1">IF(OR(K89=100%,J89&lt;&gt;""),"Completed",IF(AND(OR(K89="",K89=0),E89&gt;TODAY()),"Not Started",IF(AND(OR(K89="",K89=0),E89&lt;=TODAY()),"Delayed",IF(AND(K89&gt;0,K89&lt;100%,F89&lt;TODAY()),"Delayed",IF(AND(K89&gt;0,K89&lt;100%),"In Progress","")))))</f>
        <v>Not Started</v>
      </c>
      <c r="M89" s="321"/>
      <c r="N89" s="322"/>
      <c r="O89" s="322"/>
      <c r="P89" s="322"/>
      <c r="Q89" s="322"/>
      <c r="R89" s="322"/>
      <c r="S89" s="322"/>
      <c r="T89" s="322"/>
      <c r="U89" s="359" t="s">
        <v>142</v>
      </c>
      <c r="V89" s="290"/>
      <c r="Y89" s="299"/>
      <c r="Z89" s="299"/>
    </row>
    <row r="90" spans="2:26" ht="36" customHeight="1" thickBot="1" x14ac:dyDescent="0.3">
      <c r="B90" s="387"/>
      <c r="C90" s="218" t="s">
        <v>51</v>
      </c>
      <c r="D90" s="219">
        <f>NETWORKDAYS.INTL(E90,F90,"0000110",$AA$5:$AA$13)</f>
        <v>10</v>
      </c>
      <c r="E90" s="147">
        <f>E97-23</f>
        <v>46395</v>
      </c>
      <c r="F90" s="147">
        <f>E90+14</f>
        <v>46409</v>
      </c>
      <c r="G90" s="147">
        <f>H89+1</f>
        <v>46248</v>
      </c>
      <c r="H90" s="147">
        <f>G90+14</f>
        <v>46262</v>
      </c>
      <c r="I90" s="147"/>
      <c r="J90" s="147"/>
      <c r="K90" s="148"/>
      <c r="L90" s="148" t="str">
        <f ca="1">IF(OR(K90=100%,J90&lt;&gt;""),"Completed",IF(AND(OR(K90="",K90=0),E90&gt;TODAY()),"Not Started",IF(AND(OR(K90="",K90=0),E90&lt;=TODAY()),"Delayed",IF(AND(K90&gt;0,K90&lt;100%,F90&lt;TODAY()),"Delayed",IF(AND(K90&gt;0,K90&lt;100%),"In Progress","")))))</f>
        <v>Not Started</v>
      </c>
      <c r="M90" s="323"/>
      <c r="N90" s="324"/>
      <c r="O90" s="324"/>
      <c r="P90" s="324"/>
      <c r="Q90" s="324"/>
      <c r="R90" s="324"/>
      <c r="S90" s="324"/>
      <c r="T90" s="324"/>
      <c r="U90" s="325" t="s">
        <v>143</v>
      </c>
      <c r="V90" s="290"/>
    </row>
    <row r="91" spans="2:26" s="298" customFormat="1" ht="4.5" customHeight="1" thickBot="1" x14ac:dyDescent="0.3">
      <c r="B91" s="270"/>
      <c r="C91" s="270"/>
      <c r="D91" s="269"/>
      <c r="E91" s="270"/>
      <c r="F91" s="270"/>
      <c r="G91" s="270"/>
      <c r="H91" s="270"/>
      <c r="I91" s="270"/>
      <c r="J91" s="270"/>
      <c r="K91" s="268"/>
      <c r="L91" s="268"/>
      <c r="M91" s="270"/>
      <c r="N91" s="270"/>
      <c r="O91" s="248"/>
      <c r="P91" s="270"/>
      <c r="Q91" s="270"/>
      <c r="R91" s="270"/>
      <c r="S91" s="270"/>
      <c r="T91" s="270"/>
      <c r="U91" s="267"/>
      <c r="Y91" s="295"/>
      <c r="Z91" s="295"/>
    </row>
    <row r="92" spans="2:26" ht="28.9" customHeight="1" x14ac:dyDescent="0.25">
      <c r="B92" s="382" t="s">
        <v>144</v>
      </c>
      <c r="C92" s="183" t="s">
        <v>205</v>
      </c>
      <c r="D92" s="193">
        <f>NETWORKDAYS.INTL(E92,F92,"0000100",$AB$5:$AB$13)</f>
        <v>101</v>
      </c>
      <c r="E92" s="194">
        <f>WORKDAY.INTL(F66,1,"0000100",$AB$5:$AB$12)</f>
        <v>46316</v>
      </c>
      <c r="F92" s="195">
        <f>WORKDAY.INTL(E92,100,"0000100",$AB$5:$AB$12)</f>
        <v>46433</v>
      </c>
      <c r="G92" s="185">
        <f>WORKDAY.INTL(H66,1,"0000100",$AB$5:$AB$12)</f>
        <v>46316</v>
      </c>
      <c r="H92" s="196">
        <f>WORKDAY.INTL(G92,100,"0000100",$AB$5:$AB$12)</f>
        <v>46433</v>
      </c>
      <c r="I92" s="196"/>
      <c r="J92" s="196"/>
      <c r="K92" s="197"/>
      <c r="L92" s="197" t="str">
        <f ca="1">IF(OR(K92=100%,J92&lt;&gt;""),"Completed",IF(AND(OR(K92="",K92=0),E92&gt;TODAY()),"Not Started",IF(AND(OR(K92="",K92=0),E92&lt;=TODAY()),"Delayed",IF(AND(K92&gt;0,K92&lt;100%,F92&lt;TODAY()),"Delayed",IF(AND(K92&gt;0,K92&lt;100%),"In Progress","")))))</f>
        <v>Not Started</v>
      </c>
      <c r="M92" s="326"/>
      <c r="N92" s="244"/>
      <c r="O92" s="363"/>
      <c r="P92" s="244"/>
      <c r="Q92" s="244"/>
      <c r="R92" s="244"/>
      <c r="S92" s="244"/>
      <c r="T92" s="243"/>
      <c r="U92" s="237"/>
      <c r="V92" s="290"/>
      <c r="X92" s="295"/>
    </row>
    <row r="93" spans="2:26" ht="28.9" customHeight="1" x14ac:dyDescent="0.25">
      <c r="B93" s="383"/>
      <c r="C93" s="211" t="s">
        <v>7</v>
      </c>
      <c r="D93" s="107">
        <f>NETWORKDAYS.INTL(E93,F93,"0000100",$AB$5:$AB$13)</f>
        <v>101</v>
      </c>
      <c r="E93" s="199">
        <f>WORKDAY.INTL(E92,14,"0000100",$AB$5:$AB$12)</f>
        <v>46333</v>
      </c>
      <c r="F93" s="200">
        <f>WORKDAY.INTL(F92,14,"0000100",$AB$5:$AB$12)</f>
        <v>46449</v>
      </c>
      <c r="G93" s="201">
        <f>WORKDAY.INTL(G92,14,"0000100",$AB$5:$AB$12)</f>
        <v>46333</v>
      </c>
      <c r="H93" s="202">
        <f>WORKDAY.INTL(H92,14,"0000100",$AB$5:$AB$12)</f>
        <v>46449</v>
      </c>
      <c r="I93" s="202"/>
      <c r="J93" s="202"/>
      <c r="K93" s="203"/>
      <c r="L93" s="203" t="str">
        <f ca="1">IF(OR(K93=100%,J93&lt;&gt;""),"Completed",IF(AND(OR(K93="",K93=0),E93&gt;TODAY()),"Not Started",IF(AND(OR(K93="",K93=0),E93&lt;=TODAY()),"Delayed",IF(AND(K93&gt;0,K93&lt;100%,F93&lt;TODAY()),"Delayed",IF(AND(K93&gt;0,K93&lt;100%),"In Progress","")))))</f>
        <v>Not Started</v>
      </c>
      <c r="M93" s="327"/>
      <c r="N93" s="262"/>
      <c r="O93" s="364"/>
      <c r="P93" s="262"/>
      <c r="Q93" s="262"/>
      <c r="R93" s="262"/>
      <c r="S93" s="262"/>
      <c r="T93" s="261"/>
      <c r="U93" s="328" t="s">
        <v>8</v>
      </c>
      <c r="V93" s="290"/>
      <c r="X93" s="295"/>
    </row>
    <row r="94" spans="2:26" ht="28.9" customHeight="1" x14ac:dyDescent="0.25">
      <c r="B94" s="383"/>
      <c r="C94" s="211" t="s">
        <v>206</v>
      </c>
      <c r="D94" s="107">
        <f>NETWORKDAYS.INTL(E94,F94,"0000110",$AB$5:$AB$13)</f>
        <v>66</v>
      </c>
      <c r="E94" s="204">
        <f>WORKDAY.INTL(E93,5,"0000110")</f>
        <v>46338</v>
      </c>
      <c r="F94" s="205">
        <f>WORKDAY.INTL(E94,65,"0000110")</f>
        <v>46429</v>
      </c>
      <c r="G94" s="108">
        <f>WORKDAY.INTL(G93,5,"0000110")</f>
        <v>46338</v>
      </c>
      <c r="H94" s="206">
        <f>WORKDAY.INTL(G94,65,"0000110")</f>
        <v>46429</v>
      </c>
      <c r="I94" s="206"/>
      <c r="J94" s="206"/>
      <c r="K94" s="207"/>
      <c r="L94" s="207" t="str">
        <f ca="1">IF(OR(K94=100%,J94&lt;&gt;""),"Completed",IF(AND(OR(K94="",K94=0),E94&gt;TODAY()),"Not Started",IF(AND(OR(K94="",K94=0),E94&lt;=TODAY()),"Delayed",IF(AND(K94&gt;0,K94&lt;100%,F94&lt;TODAY()),"Delayed",IF(AND(K94&gt;0,K94&lt;100%),"In Progress","")))))</f>
        <v>Not Started</v>
      </c>
      <c r="M94" s="300"/>
      <c r="N94" s="262"/>
      <c r="O94" s="364"/>
      <c r="P94" s="262"/>
      <c r="Q94" s="262"/>
      <c r="R94" s="262"/>
      <c r="S94" s="262"/>
      <c r="T94" s="261"/>
      <c r="U94" s="328" t="s">
        <v>147</v>
      </c>
      <c r="V94" s="290"/>
      <c r="X94" s="295"/>
    </row>
    <row r="95" spans="2:26" ht="28.9" customHeight="1" thickBot="1" x14ac:dyDescent="0.3">
      <c r="B95" s="384"/>
      <c r="C95" s="212" t="s">
        <v>148</v>
      </c>
      <c r="D95" s="209">
        <f>NETWORKDAYS.INTL(E95,F95,"0000110",$AB$5:$AB$13)</f>
        <v>1</v>
      </c>
      <c r="E95" s="210">
        <f>MAX(WORKDAY.INTL(F101,1,"0000100"),WORKDAY.INTL(F94,1,"0000100"))</f>
        <v>46433</v>
      </c>
      <c r="F95" s="210">
        <f>WORKDAY.INTL(E95,0,"0000110")</f>
        <v>46433</v>
      </c>
      <c r="G95" s="189">
        <f>MAX(WORKDAY.INTL(H101,1,"0000100"),WORKDAY.INTL(H94,1,"0000100"))</f>
        <v>46433</v>
      </c>
      <c r="H95" s="189">
        <f>WORKDAY.INTL(G95,0,"0000110")</f>
        <v>46433</v>
      </c>
      <c r="I95" s="189"/>
      <c r="J95" s="189"/>
      <c r="K95" s="190"/>
      <c r="L95" s="190" t="str">
        <f ca="1">IF(OR(K95=100%,J95&lt;&gt;""),"Completed",IF(AND(OR(K95="",K95=0),E95&gt;TODAY()),"Not Started",IF(AND(OR(K95="",K95=0),E95&lt;=TODAY()),"Delayed",IF(AND(K95&gt;0,K95&lt;100%,F95&lt;TODAY()),"Delayed",IF(AND(K95&gt;0,K95&lt;100%),"In Progress","")))))</f>
        <v>Not Started</v>
      </c>
      <c r="M95" s="329"/>
      <c r="N95" s="241"/>
      <c r="O95" s="365"/>
      <c r="P95" s="241"/>
      <c r="Q95" s="241"/>
      <c r="R95" s="241"/>
      <c r="S95" s="241"/>
      <c r="T95" s="240"/>
      <c r="U95" s="239"/>
      <c r="V95" s="290"/>
      <c r="X95" s="295"/>
    </row>
    <row r="96" spans="2:26" s="298" customFormat="1" ht="4.5" customHeight="1" thickBot="1" x14ac:dyDescent="0.3">
      <c r="B96" s="270"/>
      <c r="C96" s="270"/>
      <c r="D96" s="269"/>
      <c r="E96" s="270"/>
      <c r="F96" s="270"/>
      <c r="G96" s="270"/>
      <c r="H96" s="270"/>
      <c r="I96" s="270"/>
      <c r="J96" s="270"/>
      <c r="K96" s="268"/>
      <c r="L96" s="268"/>
      <c r="M96" s="270"/>
      <c r="N96" s="270"/>
      <c r="O96" s="362"/>
      <c r="P96" s="270"/>
      <c r="Q96" s="270"/>
      <c r="R96" s="270"/>
      <c r="S96" s="270"/>
      <c r="T96" s="270"/>
      <c r="U96" s="267"/>
      <c r="Y96" s="295"/>
      <c r="Z96" s="295"/>
    </row>
    <row r="97" spans="2:26" ht="30.75" customHeight="1" x14ac:dyDescent="0.25">
      <c r="B97" s="385" t="s">
        <v>149</v>
      </c>
      <c r="C97" s="222" t="s">
        <v>150</v>
      </c>
      <c r="D97" s="214">
        <f t="shared" ref="D97:D102" si="8">NETWORKDAYS.INTL(E97,F97,"0000110",$AB$5:$AB$13)</f>
        <v>5</v>
      </c>
      <c r="E97" s="137">
        <f>WORKDAY.INTL(E93,73,"0000100",$AB$5:$AB$12)</f>
        <v>46418</v>
      </c>
      <c r="F97" s="137">
        <f>WORKDAY.INTL(E97,4,"0000110",$AB$5:$AB$12)</f>
        <v>46422</v>
      </c>
      <c r="G97" s="137">
        <f>WORKDAY.INTL(G93,73,"0000100",$AB$5:$AB$12)</f>
        <v>46418</v>
      </c>
      <c r="H97" s="137">
        <f>WORKDAY.INTL(G97,4,"0000110",$AB$5:$AB$12)</f>
        <v>46422</v>
      </c>
      <c r="I97" s="137"/>
      <c r="J97" s="137"/>
      <c r="K97" s="138"/>
      <c r="L97" s="138" t="str">
        <f t="shared" ref="L97:L102" ca="1" si="9">IF(OR(K97=100%,J97&lt;&gt;""),"Completed",IF(AND(OR(K97="",K97=0),E97&gt;TODAY()),"Not Started",IF(AND(OR(K97="",K97=0),E97&lt;=TODAY()),"Delayed",IF(AND(K97&gt;0,K97&lt;100%,F97&lt;TODAY()),"Delayed",IF(AND(K97&gt;0,K97&lt;100%),"In Progress","")))))</f>
        <v>Not Started</v>
      </c>
      <c r="M97" s="321"/>
      <c r="N97" s="330"/>
      <c r="O97" s="330"/>
      <c r="P97" s="330"/>
      <c r="Q97" s="330"/>
      <c r="R97" s="330"/>
      <c r="S97" s="330"/>
      <c r="T97" s="330"/>
      <c r="U97" s="331"/>
      <c r="V97" s="290"/>
      <c r="X97" s="295"/>
      <c r="Y97" s="299"/>
      <c r="Z97" s="299"/>
    </row>
    <row r="98" spans="2:26" ht="30.75" customHeight="1" x14ac:dyDescent="0.25">
      <c r="B98" s="386"/>
      <c r="C98" s="225" t="s">
        <v>151</v>
      </c>
      <c r="D98" s="226">
        <f t="shared" si="8"/>
        <v>2</v>
      </c>
      <c r="E98" s="133">
        <f>WORKDAY.INTL(F97,1,"0000110",$AB$5:$AB$12)</f>
        <v>46425</v>
      </c>
      <c r="F98" s="133">
        <f>WORKDAY.INTL(E98,1,"0000110",$AB$5:$AB$12)</f>
        <v>46426</v>
      </c>
      <c r="G98" s="133">
        <f>WORKDAY.INTL(H97,1,"0000110",$AB$5:$AB$12)</f>
        <v>46425</v>
      </c>
      <c r="H98" s="133">
        <f>WORKDAY.INTL(G98,1,"0000110",$AB$5:$AB$12)</f>
        <v>46426</v>
      </c>
      <c r="I98" s="133"/>
      <c r="J98" s="133"/>
      <c r="K98" s="134"/>
      <c r="L98" s="134" t="str">
        <f t="shared" ca="1" si="9"/>
        <v>Not Started</v>
      </c>
      <c r="M98" s="332"/>
      <c r="N98" s="333"/>
      <c r="O98" s="333"/>
      <c r="P98" s="333"/>
      <c r="Q98" s="333"/>
      <c r="R98" s="333"/>
      <c r="S98" s="333"/>
      <c r="T98" s="333"/>
      <c r="U98" s="334"/>
      <c r="V98" s="290"/>
      <c r="X98" s="295"/>
    </row>
    <row r="99" spans="2:26" ht="30.75" customHeight="1" x14ac:dyDescent="0.25">
      <c r="B99" s="386"/>
      <c r="C99" s="225" t="s">
        <v>152</v>
      </c>
      <c r="D99" s="226">
        <f t="shared" si="8"/>
        <v>2</v>
      </c>
      <c r="E99" s="133">
        <f>WORKDAY.INTL(F98,1,"0000110",$AB$5:$AB$12)</f>
        <v>46427</v>
      </c>
      <c r="F99" s="133">
        <f>WORKDAY.INTL(E99,1,"0000110",$AB$5:$AB$12)</f>
        <v>46428</v>
      </c>
      <c r="G99" s="133">
        <f>WORKDAY.INTL(H98,1,"0000110",$AB$5:$AB$12)</f>
        <v>46427</v>
      </c>
      <c r="H99" s="133">
        <f>WORKDAY.INTL(G99,1,"0000110",$AB$5:$AB$12)</f>
        <v>46428</v>
      </c>
      <c r="I99" s="133"/>
      <c r="J99" s="133"/>
      <c r="K99" s="134"/>
      <c r="L99" s="134" t="str">
        <f t="shared" ca="1" si="9"/>
        <v>Not Started</v>
      </c>
      <c r="M99" s="332"/>
      <c r="N99" s="333"/>
      <c r="O99" s="333"/>
      <c r="P99" s="333"/>
      <c r="Q99" s="333"/>
      <c r="R99" s="333"/>
      <c r="S99" s="333"/>
      <c r="T99" s="333"/>
      <c r="U99" s="334"/>
      <c r="V99" s="290"/>
      <c r="X99" s="295"/>
      <c r="Y99" s="299"/>
      <c r="Z99" s="299"/>
    </row>
    <row r="100" spans="2:26" ht="30.75" customHeight="1" x14ac:dyDescent="0.25">
      <c r="B100" s="386"/>
      <c r="C100" s="225" t="s">
        <v>153</v>
      </c>
      <c r="D100" s="226">
        <f t="shared" si="8"/>
        <v>1</v>
      </c>
      <c r="E100" s="133">
        <f>WORKDAY.INTL(F99,1,"0000110",$AB$5:$AB$12)</f>
        <v>46429</v>
      </c>
      <c r="F100" s="133">
        <f>WORKDAY.INTL(E100,0,"0000110",$AB$5:$AB$12)</f>
        <v>46429</v>
      </c>
      <c r="G100" s="133">
        <f>WORKDAY.INTL(H99,1,"0000110",$AB$5:$AB$12)</f>
        <v>46429</v>
      </c>
      <c r="H100" s="133">
        <f>WORKDAY.INTL(G100,0,"0000110",$AB$5:$AB$12)</f>
        <v>46429</v>
      </c>
      <c r="I100" s="133"/>
      <c r="J100" s="133"/>
      <c r="K100" s="134"/>
      <c r="L100" s="134" t="str">
        <f t="shared" ca="1" si="9"/>
        <v>Not Started</v>
      </c>
      <c r="M100" s="332"/>
      <c r="N100" s="333"/>
      <c r="O100" s="333"/>
      <c r="P100" s="333"/>
      <c r="Q100" s="333"/>
      <c r="R100" s="333"/>
      <c r="S100" s="333"/>
      <c r="T100" s="333"/>
      <c r="U100" s="334"/>
      <c r="V100" s="290"/>
      <c r="X100" s="295"/>
    </row>
    <row r="101" spans="2:26" ht="30.75" customHeight="1" x14ac:dyDescent="0.25">
      <c r="B101" s="386"/>
      <c r="C101" s="225" t="s">
        <v>46</v>
      </c>
      <c r="D101" s="226">
        <f t="shared" si="8"/>
        <v>1</v>
      </c>
      <c r="E101" s="133">
        <f>WORKDAY.INTL(F100,1,"0000110",$AB$5:$AB$12)</f>
        <v>46432</v>
      </c>
      <c r="F101" s="133">
        <f>WORKDAY.INTL(E101,0,"0000110",$AB$5:$AB$12)</f>
        <v>46432</v>
      </c>
      <c r="G101" s="133">
        <f>WORKDAY.INTL(H100,1,"0000110",$AB$5:$AB$12)</f>
        <v>46432</v>
      </c>
      <c r="H101" s="133">
        <f>WORKDAY.INTL(G101,0,"0000110",$AB$5:$AB$12)</f>
        <v>46432</v>
      </c>
      <c r="I101" s="133"/>
      <c r="J101" s="133"/>
      <c r="K101" s="134"/>
      <c r="L101" s="134" t="str">
        <f t="shared" ca="1" si="9"/>
        <v>Not Started</v>
      </c>
      <c r="M101" s="332"/>
      <c r="N101" s="333"/>
      <c r="O101" s="333"/>
      <c r="P101" s="333"/>
      <c r="Q101" s="333"/>
      <c r="R101" s="333"/>
      <c r="S101" s="333"/>
      <c r="T101" s="333"/>
      <c r="U101" s="334"/>
      <c r="V101" s="290"/>
      <c r="X101" s="295"/>
    </row>
    <row r="102" spans="2:26" ht="30.75" customHeight="1" thickBot="1" x14ac:dyDescent="0.3">
      <c r="B102" s="387"/>
      <c r="C102" s="230" t="s">
        <v>154</v>
      </c>
      <c r="D102" s="219">
        <f t="shared" si="8"/>
        <v>3</v>
      </c>
      <c r="E102" s="147">
        <f>MAX(WORKDAY.INTL(F95,1,"0000110",$AB$5:$AB$12),WORKDAY.INTL(F97,1,"0000110",$AB$5:$AB$12))</f>
        <v>46434</v>
      </c>
      <c r="F102" s="147">
        <f>WORKDAY.INTL(E102,2,"0000110",$AB$5:$AB$12)</f>
        <v>46436</v>
      </c>
      <c r="G102" s="147">
        <f>MAX(WORKDAY.INTL(H95,1,"0000110",$AB$5:$AB$12),WORKDAY.INTL(H97,1,"0000110",$AB$5:$AB$12))</f>
        <v>46434</v>
      </c>
      <c r="H102" s="147">
        <f>WORKDAY.INTL(G102,2,"0000110",$AB$5:$AB$12)</f>
        <v>46436</v>
      </c>
      <c r="I102" s="147"/>
      <c r="J102" s="147"/>
      <c r="K102" s="148"/>
      <c r="L102" s="148" t="str">
        <f t="shared" ca="1" si="9"/>
        <v>Not Started</v>
      </c>
      <c r="M102" s="323"/>
      <c r="N102" s="335"/>
      <c r="O102" s="335"/>
      <c r="P102" s="335"/>
      <c r="Q102" s="335"/>
      <c r="R102" s="335"/>
      <c r="S102" s="335"/>
      <c r="T102" s="335"/>
      <c r="U102" s="336"/>
      <c r="V102" s="290"/>
      <c r="X102" s="295"/>
    </row>
    <row r="103" spans="2:26" ht="14.25" customHeight="1" x14ac:dyDescent="0.25"/>
  </sheetData>
  <mergeCells count="17">
    <mergeCell ref="B92:B95"/>
    <mergeCell ref="B97:B102"/>
    <mergeCell ref="B68:B70"/>
    <mergeCell ref="B72:B76"/>
    <mergeCell ref="B80:B84"/>
    <mergeCell ref="B86:B87"/>
    <mergeCell ref="B89:B90"/>
    <mergeCell ref="B38:B42"/>
    <mergeCell ref="B44:B48"/>
    <mergeCell ref="B50:B54"/>
    <mergeCell ref="B56:B60"/>
    <mergeCell ref="B62:B66"/>
    <mergeCell ref="B5:B12"/>
    <mergeCell ref="B14:B18"/>
    <mergeCell ref="B20:B24"/>
    <mergeCell ref="B26:B30"/>
    <mergeCell ref="B32:B36"/>
  </mergeCells>
  <conditionalFormatting sqref="L1:L1048576">
    <cfRule type="cellIs" dxfId="5" priority="1" operator="equal">
      <formula>"Delayed"</formula>
    </cfRule>
    <cfRule type="cellIs" dxfId="4" priority="2" operator="equal">
      <formula>"In Progress"</formula>
    </cfRule>
    <cfRule type="cellIs" dxfId="3" priority="3" operator="equal">
      <formula>"Completed"</formula>
    </cfRule>
  </conditionalFormatting>
  <dataValidations disablePrompts="1" count="1">
    <dataValidation type="list" allowBlank="1" showInputMessage="1" showErrorMessage="1" sqref="V72:V78 V97:V102 V92:V95" xr:uid="{00000000-0002-0000-0500-000000000000}">
      <formula1>$W$2:$W$5</formula1>
    </dataValidation>
  </dataValidation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1:AC102"/>
  <sheetViews>
    <sheetView showGridLines="0" tabSelected="1" zoomScale="70" zoomScaleNormal="70" workbookViewId="0">
      <pane ySplit="2" topLeftCell="A4" activePane="bottomLeft" state="frozen"/>
      <selection pane="bottomLeft" activeCell="K7" sqref="K7"/>
    </sheetView>
  </sheetViews>
  <sheetFormatPr defaultColWidth="9" defaultRowHeight="15" x14ac:dyDescent="0.25"/>
  <cols>
    <col min="1" max="1" width="0.75" style="289" customWidth="1"/>
    <col min="2" max="2" width="16" style="289" customWidth="1"/>
    <col min="3" max="3" width="32.375" style="289" customWidth="1"/>
    <col min="4" max="4" width="13.375" style="290" customWidth="1"/>
    <col min="5" max="5" width="16.75" style="337" customWidth="1"/>
    <col min="6" max="6" width="15.125" style="337" customWidth="1"/>
    <col min="7" max="7" width="16.75" style="337" customWidth="1"/>
    <col min="8" max="8" width="15.125" style="337" customWidth="1"/>
    <col min="9" max="9" width="26.625" style="337" customWidth="1"/>
    <col min="10" max="10" width="28.875" style="337" customWidth="1"/>
    <col min="11" max="11" width="11" style="338" customWidth="1"/>
    <col min="12" max="12" width="15.125" style="338" customWidth="1"/>
    <col min="13" max="13" width="0.875" style="298" customWidth="1"/>
    <col min="14" max="20" width="9.125" style="289" customWidth="1"/>
    <col min="21" max="21" width="42.75" style="294" customWidth="1"/>
    <col min="22" max="22" width="9" style="289" hidden="1" customWidth="1"/>
    <col min="23" max="23" width="9" style="289"/>
    <col min="24" max="24" width="9" style="289" hidden="1" customWidth="1"/>
    <col min="25" max="25" width="12.25" style="295" hidden="1" customWidth="1"/>
    <col min="26" max="26" width="10.125" style="295" hidden="1" customWidth="1"/>
    <col min="27" max="27" width="10.125" style="289" hidden="1" customWidth="1"/>
    <col min="28" max="16384" width="9" style="289"/>
  </cols>
  <sheetData>
    <row r="1" spans="2:29" ht="5.45" customHeight="1" x14ac:dyDescent="0.25">
      <c r="E1" s="291"/>
      <c r="F1" s="291"/>
      <c r="G1" s="291"/>
      <c r="H1" s="291"/>
      <c r="I1" s="291"/>
      <c r="J1" s="291"/>
      <c r="K1" s="292"/>
      <c r="L1" s="292"/>
      <c r="M1" s="339"/>
    </row>
    <row r="2" spans="2:29" ht="24" customHeight="1" thickBot="1" x14ac:dyDescent="0.3">
      <c r="B2" s="285"/>
      <c r="C2" s="284" t="s">
        <v>1</v>
      </c>
      <c r="D2" s="284" t="s">
        <v>90</v>
      </c>
      <c r="E2" s="283" t="s">
        <v>91</v>
      </c>
      <c r="F2" s="283" t="s">
        <v>92</v>
      </c>
      <c r="G2" s="283" t="s">
        <v>93</v>
      </c>
      <c r="H2" s="283" t="s">
        <v>94</v>
      </c>
      <c r="I2" s="282" t="s">
        <v>95</v>
      </c>
      <c r="J2" s="282" t="s">
        <v>96</v>
      </c>
      <c r="K2" s="281" t="s">
        <v>97</v>
      </c>
      <c r="L2" s="281" t="s">
        <v>98</v>
      </c>
      <c r="M2" s="340"/>
      <c r="N2" s="280">
        <v>46113</v>
      </c>
      <c r="O2" s="279">
        <v>46143</v>
      </c>
      <c r="P2" s="279">
        <v>46174</v>
      </c>
      <c r="Q2" s="279">
        <v>46204</v>
      </c>
      <c r="R2" s="279">
        <v>46235</v>
      </c>
      <c r="S2" s="279">
        <v>46266</v>
      </c>
      <c r="T2" s="279">
        <v>46296</v>
      </c>
      <c r="U2" s="278" t="s">
        <v>2</v>
      </c>
      <c r="V2" s="289" t="s">
        <v>155</v>
      </c>
    </row>
    <row r="3" spans="2:29" ht="45" hidden="1" customHeight="1" x14ac:dyDescent="0.25">
      <c r="B3" s="277"/>
      <c r="C3" s="276" t="s">
        <v>99</v>
      </c>
      <c r="D3" s="275"/>
      <c r="E3" s="341">
        <f>WORKDAY.INTL("6-May-26",0,"0000100")</f>
        <v>46148</v>
      </c>
      <c r="F3" s="341">
        <f>WORKDAY.INTL(E3,13,"0000100",$AA$5:$AA$13)</f>
        <v>46163</v>
      </c>
      <c r="G3" s="341">
        <f>WORKDAY.INTL("6-May-26",0,"0000100")</f>
        <v>46148</v>
      </c>
      <c r="H3" s="341">
        <f>WORKDAY.INTL(G3,13,"0000100",$AA$5:$AA$13)</f>
        <v>46163</v>
      </c>
      <c r="I3" s="341"/>
      <c r="J3" s="341"/>
      <c r="K3" s="342">
        <v>1</v>
      </c>
      <c r="L3" s="274" t="str">
        <f ca="1">IF(OR(K3=100%,J3&lt;&gt;""),"Completed",IF(AND(OR(K3="",K3=0),E3&gt;TODAY()),"Not Started",IF(AND(OR(K3="",K3=0),E3&lt;=TODAY()),"Delayed",IF(AND(K3&gt;0,K3&lt;100%,F3&lt;TODAY()),"Delayed",IF(AND(K3&gt;0,K3&lt;100%),"In Progress","")))))</f>
        <v>Completed</v>
      </c>
      <c r="M3" s="340"/>
      <c r="N3" s="273"/>
      <c r="O3" s="272"/>
      <c r="P3" s="272"/>
      <c r="Q3" s="272"/>
      <c r="R3" s="272"/>
      <c r="S3" s="272"/>
      <c r="T3" s="272"/>
      <c r="U3" s="271" t="s">
        <v>188</v>
      </c>
      <c r="V3" s="289" t="s">
        <v>103</v>
      </c>
    </row>
    <row r="4" spans="2:29" s="298" customFormat="1" ht="4.5" customHeight="1" thickBot="1" x14ac:dyDescent="0.3">
      <c r="B4" s="270"/>
      <c r="C4" s="270"/>
      <c r="D4" s="269"/>
      <c r="E4" s="270"/>
      <c r="F4" s="270"/>
      <c r="G4" s="270"/>
      <c r="H4" s="270"/>
      <c r="I4" s="270"/>
      <c r="J4" s="270"/>
      <c r="K4" s="268"/>
      <c r="L4" s="268"/>
      <c r="M4" s="270"/>
      <c r="N4" s="270"/>
      <c r="O4" s="270"/>
      <c r="P4" s="270"/>
      <c r="Q4" s="270"/>
      <c r="R4" s="270"/>
      <c r="S4" s="270"/>
      <c r="T4" s="270"/>
      <c r="U4" s="267"/>
      <c r="Y4" s="299"/>
      <c r="Z4" s="299"/>
    </row>
    <row r="5" spans="2:29" ht="45" customHeight="1" x14ac:dyDescent="0.25">
      <c r="B5" s="375" t="s">
        <v>101</v>
      </c>
      <c r="C5" s="106" t="s">
        <v>102</v>
      </c>
      <c r="D5" s="107">
        <f>NETWORKDAYS.INTL(E5,F5,"0000100",$AA$5:$AA$13)</f>
        <v>33</v>
      </c>
      <c r="E5" s="108">
        <f>WORKDAY.INTL("31-May-26",0,"0000100")</f>
        <v>46173</v>
      </c>
      <c r="F5" s="108">
        <f>WORKDAY.INTL(F6,1,"0000100",$AA$5:$AA$13)</f>
        <v>46210</v>
      </c>
      <c r="G5" s="108">
        <f>WORKDAY.INTL("31-May-26",0,"0000100")</f>
        <v>46173</v>
      </c>
      <c r="H5" s="108">
        <f>WORKDAY.INTL(H6,1,"0000100",$AA$5:$AA$13)</f>
        <v>46210</v>
      </c>
      <c r="I5" s="108">
        <v>46148</v>
      </c>
      <c r="J5" s="108"/>
      <c r="K5" s="109">
        <v>0.9</v>
      </c>
      <c r="L5" s="109" t="str">
        <f t="shared" ref="L5:L12" ca="1" si="0">IF(OR(K5=100%,J5&lt;&gt;""),"Completed",IF(AND(OR(K5="",K5=0),E5&gt;TODAY()),"Not Started",IF(AND(OR(K5="",K5=0),E5&lt;=TODAY()),"Delayed",IF(AND(K5&gt;0,K5&lt;100%,F5&lt;TODAY()),"Delayed",IF(AND(K5&gt;0,K5&lt;100%),"In Progress","")))))</f>
        <v>In Progress</v>
      </c>
      <c r="M5" s="300"/>
      <c r="N5" s="265"/>
      <c r="O5" s="265"/>
      <c r="P5" s="265"/>
      <c r="Q5" s="265"/>
      <c r="R5" s="265"/>
      <c r="S5" s="265"/>
      <c r="T5" s="264"/>
      <c r="U5" s="263"/>
      <c r="V5" s="289" t="s">
        <v>109</v>
      </c>
      <c r="X5" s="266" t="s">
        <v>62</v>
      </c>
      <c r="Y5" s="295" t="s">
        <v>68</v>
      </c>
      <c r="AA5" s="301">
        <v>46166</v>
      </c>
    </row>
    <row r="6" spans="2:29" ht="45" customHeight="1" x14ac:dyDescent="0.25">
      <c r="B6" s="376"/>
      <c r="C6" s="106" t="s">
        <v>189</v>
      </c>
      <c r="D6" s="107">
        <f>NETWORKDAYS.INTL(E6,F6,"0000100",$AA$5:$AA$13)</f>
        <v>14</v>
      </c>
      <c r="E6" s="108">
        <v>46194</v>
      </c>
      <c r="F6" s="108">
        <v>46209</v>
      </c>
      <c r="G6" s="108">
        <v>46194</v>
      </c>
      <c r="H6" s="108">
        <v>46209</v>
      </c>
      <c r="I6" s="108"/>
      <c r="J6" s="108"/>
      <c r="K6" s="109">
        <v>0.5</v>
      </c>
      <c r="L6" s="109" t="str">
        <f t="shared" ca="1" si="0"/>
        <v>In Progress</v>
      </c>
      <c r="M6" s="300"/>
      <c r="N6" s="265"/>
      <c r="O6" s="265"/>
      <c r="P6" s="265"/>
      <c r="Q6" s="265"/>
      <c r="R6" s="265"/>
      <c r="S6" s="265"/>
      <c r="T6" s="264"/>
      <c r="U6" s="263"/>
      <c r="X6" s="295"/>
      <c r="AA6" s="301"/>
    </row>
    <row r="7" spans="2:29" ht="45" customHeight="1" x14ac:dyDescent="0.25">
      <c r="B7" s="376"/>
      <c r="C7" s="106" t="s">
        <v>190</v>
      </c>
      <c r="D7" s="107">
        <f>NETWORKDAYS.INTL(E7,F7,"0000100",$AA$5:$AA$13)</f>
        <v>15</v>
      </c>
      <c r="E7" s="108">
        <f>F6+1</f>
        <v>46210</v>
      </c>
      <c r="F7" s="108">
        <f>WORKDAY.INTL(E7,14,"0000100",$AA$5:$AA$12)</f>
        <v>46226</v>
      </c>
      <c r="G7" s="108">
        <f>H6+1</f>
        <v>46210</v>
      </c>
      <c r="H7" s="108">
        <f>WORKDAY.INTL(G7,14,"0000100",$AA$5:$AA$12)</f>
        <v>46226</v>
      </c>
      <c r="I7" s="108"/>
      <c r="J7" s="108"/>
      <c r="K7" s="109"/>
      <c r="L7" s="109" t="str">
        <f t="shared" ca="1" si="0"/>
        <v>Not Started</v>
      </c>
      <c r="M7" s="300"/>
      <c r="N7" s="265"/>
      <c r="O7" s="265"/>
      <c r="P7" s="265"/>
      <c r="Q7" s="265"/>
      <c r="R7" s="265"/>
      <c r="S7" s="265"/>
      <c r="T7" s="264"/>
      <c r="U7" s="263"/>
      <c r="X7" s="295"/>
      <c r="AA7" s="301"/>
    </row>
    <row r="8" spans="2:29" ht="45" customHeight="1" x14ac:dyDescent="0.25">
      <c r="B8" s="376"/>
      <c r="C8" s="106" t="s">
        <v>104</v>
      </c>
      <c r="D8" s="107">
        <f>NETWORKDAYS.INTL(E8,F8,"0000100",$AA$5:$AA$13)</f>
        <v>10</v>
      </c>
      <c r="E8" s="108">
        <f>WORKDAY.INTL(F5,1,"0000100",$AA$5:$AA$13)</f>
        <v>46211</v>
      </c>
      <c r="F8" s="108">
        <f>WORKDAY.INTL(E8,9,"0000100",$AA$5:$AA$13)</f>
        <v>46222</v>
      </c>
      <c r="G8" s="108">
        <f>WORKDAY.INTL(H5,1,"0000100",$AA$5:$AA$13)</f>
        <v>46211</v>
      </c>
      <c r="H8" s="108">
        <f>WORKDAY.INTL(G8,9,"0000100",$AA$5:$AA$13)</f>
        <v>46222</v>
      </c>
      <c r="I8" s="108"/>
      <c r="J8" s="108"/>
      <c r="K8" s="109"/>
      <c r="L8" s="109" t="str">
        <f t="shared" ca="1" si="0"/>
        <v>Not Started</v>
      </c>
      <c r="M8" s="300"/>
      <c r="N8" s="265"/>
      <c r="O8" s="265"/>
      <c r="P8" s="265"/>
      <c r="Q8" s="265"/>
      <c r="R8" s="265"/>
      <c r="S8" s="265"/>
      <c r="T8" s="264"/>
      <c r="U8" s="263"/>
      <c r="X8" s="266" t="s">
        <v>63</v>
      </c>
      <c r="Y8" s="295" t="s">
        <v>68</v>
      </c>
      <c r="AA8" s="301">
        <v>46167</v>
      </c>
    </row>
    <row r="9" spans="2:29" ht="45" customHeight="1" x14ac:dyDescent="0.25">
      <c r="B9" s="376"/>
      <c r="C9" s="106" t="s">
        <v>105</v>
      </c>
      <c r="D9" s="107"/>
      <c r="E9" s="108" t="s">
        <v>106</v>
      </c>
      <c r="F9" s="108">
        <v>46201</v>
      </c>
      <c r="G9" s="108" t="s">
        <v>106</v>
      </c>
      <c r="H9" s="108">
        <v>46201</v>
      </c>
      <c r="I9" s="108"/>
      <c r="J9" s="108"/>
      <c r="K9" s="109"/>
      <c r="L9" s="109" t="str">
        <f t="shared" ca="1" si="0"/>
        <v>Not Started</v>
      </c>
      <c r="M9" s="300"/>
      <c r="N9" s="265"/>
      <c r="O9" s="265"/>
      <c r="P9" s="265"/>
      <c r="Q9" s="265"/>
      <c r="R9" s="265"/>
      <c r="S9" s="265"/>
      <c r="T9" s="264"/>
      <c r="U9" s="263"/>
      <c r="X9" s="295"/>
      <c r="AA9" s="301">
        <v>46168</v>
      </c>
    </row>
    <row r="10" spans="2:29" ht="45" customHeight="1" x14ac:dyDescent="0.25">
      <c r="B10" s="376"/>
      <c r="C10" s="110" t="s">
        <v>107</v>
      </c>
      <c r="D10" s="107">
        <f>NETWORKDAYS.INTL(E10,F10,"0000110",$AA$5:$AA$13)</f>
        <v>2</v>
      </c>
      <c r="E10" s="108">
        <f>MAX(WORKDAY.INTL(F7,1,"0000110"),WORKDAY.INTL(F8,1,"0000110"),WORKDAY.INTL(F9,1,"0000110"))</f>
        <v>46229</v>
      </c>
      <c r="F10" s="108">
        <f>WORKDAY.INTL(E10,1,"0000110")</f>
        <v>46230</v>
      </c>
      <c r="G10" s="108">
        <f>MAX(WORKDAY.INTL(H7,1,"0000110"),WORKDAY.INTL(H8,1,"0000110"),WORKDAY.INTL(H9,1,"0000110"))</f>
        <v>46229</v>
      </c>
      <c r="H10" s="108">
        <f>WORKDAY.INTL(G10,1,"0000110")</f>
        <v>46230</v>
      </c>
      <c r="I10" s="108"/>
      <c r="J10" s="108"/>
      <c r="K10" s="109"/>
      <c r="L10" s="109" t="str">
        <f t="shared" ca="1" si="0"/>
        <v>Not Started</v>
      </c>
      <c r="M10" s="300"/>
      <c r="N10" s="262"/>
      <c r="O10" s="262"/>
      <c r="P10" s="262"/>
      <c r="Q10" s="262"/>
      <c r="R10" s="262"/>
      <c r="S10" s="262"/>
      <c r="T10" s="261"/>
      <c r="U10" s="302" t="s">
        <v>108</v>
      </c>
      <c r="X10" s="266" t="s">
        <v>64</v>
      </c>
      <c r="Y10" s="295" t="s">
        <v>68</v>
      </c>
      <c r="AA10" s="301">
        <v>46169</v>
      </c>
    </row>
    <row r="11" spans="2:29" ht="45" customHeight="1" x14ac:dyDescent="0.25">
      <c r="B11" s="376"/>
      <c r="C11" s="110" t="s">
        <v>110</v>
      </c>
      <c r="D11" s="107">
        <f>NETWORKDAYS.INTL(E11,F11,"0000110",$AA$5:$AA$13)</f>
        <v>2</v>
      </c>
      <c r="E11" s="108">
        <f>WORKDAY.INTL(F10,1,"0000110")</f>
        <v>46231</v>
      </c>
      <c r="F11" s="108">
        <f>WORKDAY.INTL(E11,1,"0000110")</f>
        <v>46232</v>
      </c>
      <c r="G11" s="108">
        <f>WORKDAY.INTL(H10,1,"0000110")</f>
        <v>46231</v>
      </c>
      <c r="H11" s="108">
        <f>WORKDAY.INTL(G11,1,"0000110")</f>
        <v>46232</v>
      </c>
      <c r="I11" s="108"/>
      <c r="J11" s="108"/>
      <c r="K11" s="109"/>
      <c r="L11" s="109" t="str">
        <f t="shared" ca="1" si="0"/>
        <v>Not Started</v>
      </c>
      <c r="M11" s="300"/>
      <c r="N11" s="262"/>
      <c r="O11" s="262"/>
      <c r="P11" s="262"/>
      <c r="Q11" s="262"/>
      <c r="R11" s="262"/>
      <c r="S11" s="262"/>
      <c r="T11" s="261"/>
      <c r="U11" s="263" t="s">
        <v>111</v>
      </c>
      <c r="X11" s="266" t="s">
        <v>65</v>
      </c>
      <c r="Y11" s="295" t="s">
        <v>68</v>
      </c>
      <c r="AA11" s="301">
        <v>46170</v>
      </c>
    </row>
    <row r="12" spans="2:29" ht="45" customHeight="1" thickBot="1" x14ac:dyDescent="0.3">
      <c r="B12" s="376"/>
      <c r="C12" s="286" t="s">
        <v>112</v>
      </c>
      <c r="D12" s="287">
        <f>NETWORKDAYS.INTL(E12,F12,"0000110",$AA$5:$AA$13)</f>
        <v>1</v>
      </c>
      <c r="E12" s="288">
        <f>WORKDAY.INTL(F11,0,"0000110")</f>
        <v>46232</v>
      </c>
      <c r="F12" s="288">
        <f>WORKDAY.INTL(E12,0,"0000110")</f>
        <v>46232</v>
      </c>
      <c r="G12" s="288">
        <f>WORKDAY.INTL(H11,0,"0000110")</f>
        <v>46232</v>
      </c>
      <c r="H12" s="288">
        <f>WORKDAY.INTL(G12,0,"0000110")</f>
        <v>46232</v>
      </c>
      <c r="I12" s="288"/>
      <c r="J12" s="288"/>
      <c r="K12" s="109"/>
      <c r="L12" s="109" t="str">
        <f t="shared" ca="1" si="0"/>
        <v>Not Started</v>
      </c>
      <c r="M12" s="300"/>
      <c r="N12" s="260"/>
      <c r="O12" s="260"/>
      <c r="P12" s="260"/>
      <c r="Q12" s="260"/>
      <c r="R12" s="260"/>
      <c r="S12" s="260"/>
      <c r="T12" s="259"/>
      <c r="U12" s="258"/>
      <c r="X12" s="266" t="s">
        <v>66</v>
      </c>
      <c r="Y12" s="295" t="s">
        <v>68</v>
      </c>
      <c r="AA12" s="301">
        <v>46171</v>
      </c>
    </row>
    <row r="13" spans="2:29" s="298" customFormat="1" ht="4.5" customHeight="1" thickBot="1" x14ac:dyDescent="0.3">
      <c r="B13" s="270"/>
      <c r="C13" s="270" t="s">
        <v>178</v>
      </c>
      <c r="D13" s="269"/>
      <c r="E13" s="270"/>
      <c r="F13" s="270"/>
      <c r="G13" s="270"/>
      <c r="H13" s="270"/>
      <c r="I13" s="270"/>
      <c r="J13" s="270"/>
      <c r="K13" s="268"/>
      <c r="L13" s="268"/>
      <c r="M13" s="270"/>
      <c r="N13" s="270"/>
      <c r="O13" s="270"/>
      <c r="P13" s="270"/>
      <c r="Q13" s="270"/>
      <c r="R13" s="270"/>
      <c r="S13" s="270"/>
      <c r="T13" s="270"/>
      <c r="U13" s="267"/>
      <c r="W13" s="289"/>
      <c r="Y13" s="295" t="s">
        <v>69</v>
      </c>
      <c r="AA13" s="301">
        <v>46288</v>
      </c>
    </row>
    <row r="14" spans="2:29" ht="45" customHeight="1" x14ac:dyDescent="0.25">
      <c r="B14" s="377" t="s">
        <v>159</v>
      </c>
      <c r="C14" s="111" t="s">
        <v>102</v>
      </c>
      <c r="D14" s="112">
        <f>NETWORKDAYS.INTL(E14,F14,"0000100",$AA$5:$AA$13)</f>
        <v>22</v>
      </c>
      <c r="E14" s="113">
        <v>46189</v>
      </c>
      <c r="F14" s="114">
        <f>WORKDAY.INTL(F5,3,"0000100",$AA$5:$AA$13)</f>
        <v>46214</v>
      </c>
      <c r="G14" s="113">
        <v>46189</v>
      </c>
      <c r="H14" s="114">
        <f>WORKDAY.INTL(H5,3,"0000100",$AA$5:$AA$13)</f>
        <v>46214</v>
      </c>
      <c r="I14" s="114">
        <v>46164</v>
      </c>
      <c r="J14" s="114"/>
      <c r="K14" s="115">
        <v>0.9</v>
      </c>
      <c r="L14" s="115" t="str">
        <f ca="1">IF(OR(K14=100%,J14&lt;&gt;""),"Completed",IF(AND(OR(K14="",K14=0),E14&gt;TODAY()),"Not Started",IF(AND(OR(K14="",K14=0),E14&lt;=TODAY()),"Delayed",IF(AND(K14&gt;0,K14&lt;100%,F14&lt;TODAY()),"Delayed",IF(AND(K14&gt;0,K14&lt;100%),"In Progress","")))))</f>
        <v>In Progress</v>
      </c>
      <c r="M14" s="303"/>
      <c r="N14" s="257"/>
      <c r="O14" s="257"/>
      <c r="P14" s="257"/>
      <c r="Q14" s="257"/>
      <c r="R14" s="257"/>
      <c r="S14" s="257"/>
      <c r="T14" s="256"/>
      <c r="U14" s="255"/>
      <c r="X14" s="266" t="s">
        <v>62</v>
      </c>
      <c r="Y14" s="295" t="s">
        <v>69</v>
      </c>
      <c r="AA14" s="289">
        <v>46288</v>
      </c>
      <c r="AC14" s="301"/>
    </row>
    <row r="15" spans="2:29" ht="45" customHeight="1" x14ac:dyDescent="0.25">
      <c r="B15" s="378"/>
      <c r="C15" s="116" t="s">
        <v>104</v>
      </c>
      <c r="D15" s="117">
        <f>NETWORKDAYS.INTL(E15,F15,"0000100",$AA$5:$AA$13)</f>
        <v>5</v>
      </c>
      <c r="E15" s="113">
        <f>WORKDAY.INTL(F8,1,"0000100",$AA$5:$AA$12)</f>
        <v>46223</v>
      </c>
      <c r="F15" s="114">
        <f>WORKDAY.INTL(E15,4,"0000100",$AA$5:$AA$12)</f>
        <v>46228</v>
      </c>
      <c r="G15" s="113">
        <f>WORKDAY.INTL(H8,1,"0000100",$AA$5:$AA$12)</f>
        <v>46223</v>
      </c>
      <c r="H15" s="114">
        <f>WORKDAY.INTL(G15,4,"0000100",$AA$5:$AA$12)</f>
        <v>46228</v>
      </c>
      <c r="I15" s="114"/>
      <c r="J15" s="114"/>
      <c r="K15" s="115"/>
      <c r="L15" s="115" t="str">
        <f ca="1">IF(OR(K15=100%,J15&lt;&gt;""),"Completed",IF(AND(OR(K15="",K15=0),E15&gt;TODAY()),"Not Started",IF(AND(OR(K15="",K15=0),E15&lt;=TODAY()),"Delayed",IF(AND(K15&gt;0,K15&lt;100%,F15&lt;TODAY()),"Delayed",IF(AND(K15&gt;0,K15&lt;100%),"In Progress","")))))</f>
        <v>Not Started</v>
      </c>
      <c r="M15" s="303"/>
      <c r="N15" s="254"/>
      <c r="O15" s="254"/>
      <c r="P15" s="254"/>
      <c r="Q15" s="254"/>
      <c r="R15" s="254"/>
      <c r="S15" s="254"/>
      <c r="T15" s="253"/>
      <c r="U15" s="252"/>
      <c r="X15" s="266" t="s">
        <v>63</v>
      </c>
      <c r="Y15" s="295" t="s">
        <v>69</v>
      </c>
    </row>
    <row r="16" spans="2:29" ht="45" customHeight="1" x14ac:dyDescent="0.25">
      <c r="B16" s="378"/>
      <c r="C16" s="118" t="s">
        <v>107</v>
      </c>
      <c r="D16" s="117">
        <f>NETWORKDAYS.INTL(E16,F16,"0000110",$AA$5:$AA$13)</f>
        <v>3</v>
      </c>
      <c r="E16" s="113">
        <f>WORKDAY.INTL(F10,1,"0000110")</f>
        <v>46231</v>
      </c>
      <c r="F16" s="113">
        <f>WORKDAY.INTL(E16,2,"0000110")</f>
        <v>46233</v>
      </c>
      <c r="G16" s="113">
        <f>WORKDAY.INTL(H10,1,"0000110")</f>
        <v>46231</v>
      </c>
      <c r="H16" s="113">
        <f>WORKDAY.INTL(G16,2,"0000110")</f>
        <v>46233</v>
      </c>
      <c r="I16" s="113"/>
      <c r="J16" s="113"/>
      <c r="K16" s="119"/>
      <c r="L16" s="119" t="str">
        <f ca="1">IF(OR(K16=100%,J16&lt;&gt;""),"Completed",IF(AND(OR(K16="",K16=0),E16&gt;TODAY()),"Not Started",IF(AND(OR(K16="",K16=0),E16&lt;=TODAY()),"Delayed",IF(AND(K16&gt;0,K16&lt;100%,F16&lt;TODAY()),"Delayed",IF(AND(K16&gt;0,K16&lt;100%),"In Progress","")))))</f>
        <v>Not Started</v>
      </c>
      <c r="M16" s="303"/>
      <c r="N16" s="251"/>
      <c r="O16" s="251"/>
      <c r="P16" s="251"/>
      <c r="Q16" s="251"/>
      <c r="R16" s="251"/>
      <c r="S16" s="251"/>
      <c r="T16" s="250"/>
      <c r="U16" s="252" t="s">
        <v>108</v>
      </c>
      <c r="X16" s="266" t="s">
        <v>64</v>
      </c>
      <c r="Y16" s="295" t="s">
        <v>69</v>
      </c>
    </row>
    <row r="17" spans="2:29" ht="45" customHeight="1" x14ac:dyDescent="0.25">
      <c r="B17" s="378"/>
      <c r="C17" s="118" t="s">
        <v>110</v>
      </c>
      <c r="D17" s="117">
        <f>NETWORKDAYS.INTL(E17,F17,"0000110",$AA$5:$AA$13)</f>
        <v>2</v>
      </c>
      <c r="E17" s="113">
        <f>WORKDAY.INTL(F16,1,"0000110")</f>
        <v>46236</v>
      </c>
      <c r="F17" s="113">
        <f>WORKDAY.INTL(E17,1,"0000110")</f>
        <v>46237</v>
      </c>
      <c r="G17" s="113">
        <f>WORKDAY.INTL(H16,1,"0000110")</f>
        <v>46236</v>
      </c>
      <c r="H17" s="113">
        <f>WORKDAY.INTL(G17,1,"0000110")</f>
        <v>46237</v>
      </c>
      <c r="I17" s="113"/>
      <c r="J17" s="113"/>
      <c r="K17" s="119"/>
      <c r="L17" s="119" t="str">
        <f ca="1">IF(OR(K17=100%,J17&lt;&gt;""),"Completed",IF(AND(OR(K17="",K17=0),E17&gt;TODAY()),"Not Started",IF(AND(OR(K17="",K17=0),E17&lt;=TODAY()),"Delayed",IF(AND(K17&gt;0,K17&lt;100%,F17&lt;TODAY()),"Delayed",IF(AND(K17&gt;0,K17&lt;100%),"In Progress","")))))</f>
        <v>Not Started</v>
      </c>
      <c r="M17" s="303"/>
      <c r="N17" s="251"/>
      <c r="O17" s="251"/>
      <c r="P17" s="251"/>
      <c r="Q17" s="251"/>
      <c r="R17" s="251"/>
      <c r="S17" s="251"/>
      <c r="T17" s="250"/>
      <c r="U17" s="252" t="s">
        <v>111</v>
      </c>
      <c r="X17" s="266" t="s">
        <v>65</v>
      </c>
      <c r="Y17" s="295" t="s">
        <v>69</v>
      </c>
    </row>
    <row r="18" spans="2:29" ht="45" customHeight="1" thickBot="1" x14ac:dyDescent="0.3">
      <c r="B18" s="379"/>
      <c r="C18" s="118" t="s">
        <v>112</v>
      </c>
      <c r="D18" s="117">
        <f>NETWORKDAYS.INTL(E18,F18,"0000110",$AA$5:$AA$13)</f>
        <v>1</v>
      </c>
      <c r="E18" s="113">
        <f>WORKDAY.INTL(F17,0,"0000110")</f>
        <v>46237</v>
      </c>
      <c r="F18" s="113">
        <f>WORKDAY.INTL(E18,0,"0000110")</f>
        <v>46237</v>
      </c>
      <c r="G18" s="113">
        <f>WORKDAY.INTL(H17,0,"0000110")</f>
        <v>46237</v>
      </c>
      <c r="H18" s="113">
        <f>WORKDAY.INTL(G18,0,"0000110")</f>
        <v>46237</v>
      </c>
      <c r="I18" s="113"/>
      <c r="J18" s="113"/>
      <c r="K18" s="119"/>
      <c r="L18" s="119" t="str">
        <f ca="1">IF(OR(K18=100%,J18&lt;&gt;""),"Completed",IF(AND(OR(K18="",K18=0),E18&gt;TODAY()),"Not Started",IF(AND(OR(K18="",K18=0),E18&lt;=TODAY()),"Delayed",IF(AND(K18&gt;0,K18&lt;100%,F18&lt;TODAY()),"Delayed",IF(AND(K18&gt;0,K18&lt;100%),"In Progress","")))))</f>
        <v>Not Started</v>
      </c>
      <c r="M18" s="303"/>
      <c r="N18" s="251"/>
      <c r="O18" s="251"/>
      <c r="P18" s="251"/>
      <c r="Q18" s="251"/>
      <c r="R18" s="251"/>
      <c r="S18" s="251"/>
      <c r="T18" s="250"/>
      <c r="U18" s="252"/>
      <c r="X18" s="266" t="s">
        <v>66</v>
      </c>
      <c r="Y18" s="295" t="s">
        <v>69</v>
      </c>
    </row>
    <row r="19" spans="2:29" s="298" customFormat="1" ht="4.5" customHeight="1" thickBot="1" x14ac:dyDescent="0.3">
      <c r="B19" s="270"/>
      <c r="C19" s="270" t="s">
        <v>178</v>
      </c>
      <c r="D19" s="269"/>
      <c r="E19" s="270"/>
      <c r="F19" s="270"/>
      <c r="G19" s="270"/>
      <c r="H19" s="270"/>
      <c r="I19" s="270"/>
      <c r="J19" s="270"/>
      <c r="K19" s="268"/>
      <c r="L19" s="268"/>
      <c r="M19" s="270"/>
      <c r="N19" s="270"/>
      <c r="O19" s="270"/>
      <c r="P19" s="270"/>
      <c r="Q19" s="270"/>
      <c r="R19" s="270"/>
      <c r="S19" s="270"/>
      <c r="T19" s="270"/>
      <c r="U19" s="267"/>
      <c r="X19" s="299"/>
      <c r="Y19" s="299" t="s">
        <v>70</v>
      </c>
    </row>
    <row r="20" spans="2:29" ht="45" customHeight="1" x14ac:dyDescent="0.25">
      <c r="B20" s="380" t="s">
        <v>207</v>
      </c>
      <c r="C20" s="106" t="s">
        <v>102</v>
      </c>
      <c r="D20" s="107">
        <f>NETWORKDAYS.INTL(E20,F20,"0000100",$AA$5:$AA$13)</f>
        <v>4</v>
      </c>
      <c r="E20" s="108">
        <f>WORKDAY.INTL(F14,1,"0000100",$AA$5:$AA$12)</f>
        <v>46215</v>
      </c>
      <c r="F20" s="108">
        <f>WORKDAY.INTL(E20,3,"0000100",$AA$5:$AA$12)</f>
        <v>46218</v>
      </c>
      <c r="G20" s="108">
        <f>WORKDAY.INTL(H14,1,"0000100",$AA$5:$AA$12)</f>
        <v>46215</v>
      </c>
      <c r="H20" s="108">
        <f>WORKDAY.INTL(G20,3,"0000100",$AA$5:$AA$12)</f>
        <v>46218</v>
      </c>
      <c r="I20" s="108">
        <v>46171</v>
      </c>
      <c r="J20" s="108"/>
      <c r="K20" s="109">
        <v>0.93</v>
      </c>
      <c r="L20" s="109" t="str">
        <f ca="1">IF(OR(K20=100%,J20&lt;&gt;""),"Completed",IF(AND(OR(K20="",K20=0),E20&gt;TODAY()),"Not Started",IF(AND(OR(K20="",K20=0),E20&lt;=TODAY()),"Delayed",IF(AND(K20&gt;0,K20&lt;100%,F20&lt;TODAY()),"Delayed",IF(AND(K20&gt;0,K20&lt;100%),"In Progress","")))))</f>
        <v>In Progress</v>
      </c>
      <c r="M20" s="300"/>
      <c r="N20" s="265"/>
      <c r="O20" s="265"/>
      <c r="P20" s="265"/>
      <c r="Q20" s="265"/>
      <c r="R20" s="265"/>
      <c r="S20" s="265"/>
      <c r="T20" s="264"/>
      <c r="U20" s="263"/>
      <c r="X20" s="266" t="s">
        <v>62</v>
      </c>
      <c r="Y20" s="295" t="s">
        <v>70</v>
      </c>
    </row>
    <row r="21" spans="2:29" ht="45" customHeight="1" x14ac:dyDescent="0.25">
      <c r="B21" s="376"/>
      <c r="C21" s="106" t="s">
        <v>104</v>
      </c>
      <c r="D21" s="107">
        <f>NETWORKDAYS.INTL(E21,F21,"0000100",$AA$5:$AA$13)</f>
        <v>4</v>
      </c>
      <c r="E21" s="108">
        <f>WORKDAY.INTL(F15,1,"0000100",$AA$5:$AA$12)</f>
        <v>46229</v>
      </c>
      <c r="F21" s="108">
        <f>WORKDAY.INTL(E21,3,"0000100",$AA$5:$AA$12)</f>
        <v>46232</v>
      </c>
      <c r="G21" s="108">
        <f>WORKDAY.INTL(H15,1,"0000100",$AA$5:$AA$12)</f>
        <v>46229</v>
      </c>
      <c r="H21" s="108">
        <f>WORKDAY.INTL(G21,3,"0000100",$AA$5:$AA$12)</f>
        <v>46232</v>
      </c>
      <c r="I21" s="108"/>
      <c r="J21" s="108"/>
      <c r="K21" s="109"/>
      <c r="L21" s="109" t="str">
        <f ca="1">IF(OR(K21=100%,J21&lt;&gt;""),"Completed",IF(AND(OR(K21="",K21=0),E21&gt;TODAY()),"Not Started",IF(AND(OR(K21="",K21=0),E21&lt;=TODAY()),"Delayed",IF(AND(K21&gt;0,K21&lt;100%,F21&lt;TODAY()),"Delayed",IF(AND(K21&gt;0,K21&lt;100%),"In Progress","")))))</f>
        <v>Not Started</v>
      </c>
      <c r="M21" s="300"/>
      <c r="N21" s="265"/>
      <c r="O21" s="265"/>
      <c r="P21" s="265"/>
      <c r="Q21" s="265"/>
      <c r="R21" s="265"/>
      <c r="S21" s="265"/>
      <c r="T21" s="264"/>
      <c r="U21" s="263"/>
      <c r="X21" s="266" t="s">
        <v>63</v>
      </c>
      <c r="Y21" s="295" t="s">
        <v>70</v>
      </c>
    </row>
    <row r="22" spans="2:29" ht="45" customHeight="1" x14ac:dyDescent="0.25">
      <c r="B22" s="376"/>
      <c r="C22" s="106" t="s">
        <v>107</v>
      </c>
      <c r="D22" s="107">
        <f>NETWORKDAYS.INTL(E22,F22,"0000110",$AA$5:$AA$13)</f>
        <v>5</v>
      </c>
      <c r="E22" s="108">
        <f>WORKDAY.INTL(F16,1,"0000110")</f>
        <v>46236</v>
      </c>
      <c r="F22" s="108">
        <f>WORKDAY.INTL(E22,4,"0000110")</f>
        <v>46240</v>
      </c>
      <c r="G22" s="108">
        <f>WORKDAY.INTL(H16,1,"0000110")</f>
        <v>46236</v>
      </c>
      <c r="H22" s="108">
        <f>WORKDAY.INTL(G22,4,"0000110")</f>
        <v>46240</v>
      </c>
      <c r="I22" s="108"/>
      <c r="J22" s="108"/>
      <c r="K22" s="109"/>
      <c r="L22" s="109" t="str">
        <f ca="1">IF(OR(K22=100%,J22&lt;&gt;""),"Completed",IF(AND(OR(K22="",K22=0),E22&gt;TODAY()),"Not Started",IF(AND(OR(K22="",K22=0),E22&lt;=TODAY()),"Delayed",IF(AND(K22&gt;0,K22&lt;100%,F22&lt;TODAY()),"Delayed",IF(AND(K22&gt;0,K22&lt;100%),"In Progress","")))))</f>
        <v>Not Started</v>
      </c>
      <c r="M22" s="300"/>
      <c r="N22" s="265"/>
      <c r="O22" s="265"/>
      <c r="P22" s="265"/>
      <c r="Q22" s="265"/>
      <c r="R22" s="265"/>
      <c r="S22" s="265"/>
      <c r="T22" s="264"/>
      <c r="U22" s="263" t="s">
        <v>108</v>
      </c>
      <c r="X22" s="266" t="s">
        <v>64</v>
      </c>
      <c r="Y22" s="295" t="s">
        <v>70</v>
      </c>
    </row>
    <row r="23" spans="2:29" ht="45" customHeight="1" x14ac:dyDescent="0.25">
      <c r="B23" s="376"/>
      <c r="C23" s="110" t="s">
        <v>110</v>
      </c>
      <c r="D23" s="107">
        <f>NETWORKDAYS.INTL(E23,F23,"0000110",$AA$5:$AA$13)</f>
        <v>2</v>
      </c>
      <c r="E23" s="108">
        <f>WORKDAY.INTL(F22,1,"0000110")</f>
        <v>46243</v>
      </c>
      <c r="F23" s="108">
        <f>WORKDAY.INTL(E23,1,"0000110")</f>
        <v>46244</v>
      </c>
      <c r="G23" s="108">
        <f>WORKDAY.INTL(H22,1,"0000110")</f>
        <v>46243</v>
      </c>
      <c r="H23" s="108">
        <f>WORKDAY.INTL(G23,1,"0000110")</f>
        <v>46244</v>
      </c>
      <c r="I23" s="108"/>
      <c r="J23" s="108"/>
      <c r="K23" s="109"/>
      <c r="L23" s="109" t="str">
        <f ca="1">IF(OR(K23=100%,J23&lt;&gt;""),"Completed",IF(AND(OR(K23="",K23=0),E23&gt;TODAY()),"Not Started",IF(AND(OR(K23="",K23=0),E23&lt;=TODAY()),"Delayed",IF(AND(K23&gt;0,K23&lt;100%,F23&lt;TODAY()),"Delayed",IF(AND(K23&gt;0,K23&lt;100%),"In Progress","")))))</f>
        <v>Not Started</v>
      </c>
      <c r="M23" s="300"/>
      <c r="N23" s="262"/>
      <c r="O23" s="262"/>
      <c r="P23" s="262"/>
      <c r="Q23" s="262"/>
      <c r="R23" s="262"/>
      <c r="S23" s="262"/>
      <c r="T23" s="261"/>
      <c r="U23" s="263" t="s">
        <v>111</v>
      </c>
      <c r="X23" s="266" t="s">
        <v>65</v>
      </c>
      <c r="Y23" s="295" t="s">
        <v>70</v>
      </c>
    </row>
    <row r="24" spans="2:29" ht="45" customHeight="1" thickBot="1" x14ac:dyDescent="0.3">
      <c r="B24" s="381"/>
      <c r="C24" s="110" t="s">
        <v>112</v>
      </c>
      <c r="D24" s="107">
        <f>NETWORKDAYS.INTL(E24,F24,"0000110",$AA$5:$AA$13)</f>
        <v>1</v>
      </c>
      <c r="E24" s="108">
        <f>WORKDAY.INTL(F23,0,"0000110")</f>
        <v>46244</v>
      </c>
      <c r="F24" s="108">
        <f>WORKDAY.INTL(E24,0,"0000110")</f>
        <v>46244</v>
      </c>
      <c r="G24" s="108">
        <f>WORKDAY.INTL(H23,0,"0000110")</f>
        <v>46244</v>
      </c>
      <c r="H24" s="108">
        <f>WORKDAY.INTL(G24,0,"0000110")</f>
        <v>46244</v>
      </c>
      <c r="I24" s="108"/>
      <c r="J24" s="108"/>
      <c r="K24" s="109"/>
      <c r="L24" s="109" t="str">
        <f ca="1">IF(OR(K24=100%,J24&lt;&gt;""),"Completed",IF(AND(OR(K24="",K24=0),E24&gt;TODAY()),"Not Started",IF(AND(OR(K24="",K24=0),E24&lt;=TODAY()),"Delayed",IF(AND(K24&gt;0,K24&lt;100%,F24&lt;TODAY()),"Delayed",IF(AND(K24&gt;0,K24&lt;100%),"In Progress","")))))</f>
        <v>Not Started</v>
      </c>
      <c r="M24" s="300"/>
      <c r="N24" s="262"/>
      <c r="O24" s="262"/>
      <c r="P24" s="262"/>
      <c r="Q24" s="262"/>
      <c r="R24" s="262"/>
      <c r="S24" s="262"/>
      <c r="T24" s="261"/>
      <c r="U24" s="263"/>
      <c r="X24" s="266" t="s">
        <v>66</v>
      </c>
      <c r="Y24" s="295" t="s">
        <v>70</v>
      </c>
    </row>
    <row r="25" spans="2:29" s="298" customFormat="1" ht="4.5" customHeight="1" thickBot="1" x14ac:dyDescent="0.3">
      <c r="B25" s="270"/>
      <c r="C25" s="270" t="s">
        <v>178</v>
      </c>
      <c r="D25" s="269"/>
      <c r="E25" s="270"/>
      <c r="F25" s="270"/>
      <c r="G25" s="270"/>
      <c r="H25" s="270"/>
      <c r="I25" s="270"/>
      <c r="J25" s="270"/>
      <c r="K25" s="268"/>
      <c r="L25" s="268"/>
      <c r="M25" s="270"/>
      <c r="N25" s="270"/>
      <c r="O25" s="270"/>
      <c r="P25" s="270"/>
      <c r="Q25" s="270"/>
      <c r="R25" s="270"/>
      <c r="S25" s="270"/>
      <c r="T25" s="270"/>
      <c r="U25" s="267"/>
      <c r="X25" s="299"/>
      <c r="Y25" s="299" t="s">
        <v>71</v>
      </c>
    </row>
    <row r="26" spans="2:29" ht="45" customHeight="1" x14ac:dyDescent="0.25">
      <c r="B26" s="377" t="s">
        <v>208</v>
      </c>
      <c r="C26" s="111" t="s">
        <v>102</v>
      </c>
      <c r="D26" s="112">
        <f>NETWORKDAYS.INTL(E26,F26,"0000100",$AA$5:$AA$13)</f>
        <v>7</v>
      </c>
      <c r="E26" s="113">
        <f>WORKDAY.INTL(F20,1,"0000100",$AA$5:$AA$12)</f>
        <v>46219</v>
      </c>
      <c r="F26" s="114">
        <f>WORKDAY.INTL(E26,6,"0000100",$AA$5:$AA$12)</f>
        <v>46226</v>
      </c>
      <c r="G26" s="113">
        <f>WORKDAY.INTL(H20,1,"0000100",$AA$5:$AA$12)</f>
        <v>46219</v>
      </c>
      <c r="H26" s="114">
        <f>WORKDAY.INTL(G26,6,"0000100",$AA$5:$AA$12)</f>
        <v>46226</v>
      </c>
      <c r="I26" s="114"/>
      <c r="J26" s="114"/>
      <c r="K26" s="115"/>
      <c r="L26" s="115" t="str">
        <f ca="1">IF(OR(K26=100%,J26&lt;&gt;""),"Completed",IF(AND(OR(K26="",K26=0),E26&gt;TODAY()),"Not Started",IF(AND(OR(K26="",K26=0),E26&lt;=TODAY()),"Delayed",IF(AND(K26&gt;0,K26&lt;100%,F26&lt;TODAY()),"Delayed",IF(AND(K26&gt;0,K26&lt;100%),"In Progress","")))))</f>
        <v>Not Started</v>
      </c>
      <c r="M26" s="303"/>
      <c r="N26" s="257"/>
      <c r="O26" s="257"/>
      <c r="P26" s="257"/>
      <c r="Q26" s="257"/>
      <c r="R26" s="257"/>
      <c r="S26" s="257"/>
      <c r="T26" s="256"/>
      <c r="U26" s="255"/>
      <c r="X26" s="266" t="s">
        <v>62</v>
      </c>
      <c r="Y26" s="295" t="s">
        <v>71</v>
      </c>
      <c r="AC26" s="301"/>
    </row>
    <row r="27" spans="2:29" ht="45" customHeight="1" x14ac:dyDescent="0.25">
      <c r="B27" s="378"/>
      <c r="C27" s="116" t="s">
        <v>104</v>
      </c>
      <c r="D27" s="117">
        <f>NETWORKDAYS.INTL(E27,F27,"0000100",$AA$5:$AA$13)</f>
        <v>5</v>
      </c>
      <c r="E27" s="113">
        <f>WORKDAY.INTL(F21,1,"0000100",$AA$5:$AA$12)</f>
        <v>46233</v>
      </c>
      <c r="F27" s="114">
        <f>WORKDAY.INTL(E27,4,"0000100",$AA$5:$AA$12)</f>
        <v>46238</v>
      </c>
      <c r="G27" s="113">
        <f>WORKDAY.INTL(H21,1,"0000100",$AA$5:$AA$12)</f>
        <v>46233</v>
      </c>
      <c r="H27" s="114">
        <f>WORKDAY.INTL(G27,4,"0000100",$AA$5:$AA$12)</f>
        <v>46238</v>
      </c>
      <c r="I27" s="114"/>
      <c r="J27" s="114"/>
      <c r="K27" s="115"/>
      <c r="L27" s="115" t="str">
        <f ca="1">IF(OR(K27=100%,J27&lt;&gt;""),"Completed",IF(AND(OR(K27="",K27=0),E27&gt;TODAY()),"Not Started",IF(AND(OR(K27="",K27=0),E27&lt;=TODAY()),"Delayed",IF(AND(K27&gt;0,K27&lt;100%,F27&lt;TODAY()),"Delayed",IF(AND(K27&gt;0,K27&lt;100%),"In Progress","")))))</f>
        <v>Not Started</v>
      </c>
      <c r="M27" s="303"/>
      <c r="N27" s="254"/>
      <c r="O27" s="254"/>
      <c r="P27" s="254"/>
      <c r="Q27" s="254"/>
      <c r="R27" s="254"/>
      <c r="S27" s="254"/>
      <c r="T27" s="253"/>
      <c r="U27" s="252"/>
      <c r="X27" s="266" t="s">
        <v>63</v>
      </c>
      <c r="Y27" s="295" t="s">
        <v>71</v>
      </c>
    </row>
    <row r="28" spans="2:29" ht="45" customHeight="1" x14ac:dyDescent="0.25">
      <c r="B28" s="378"/>
      <c r="C28" s="118" t="s">
        <v>107</v>
      </c>
      <c r="D28" s="117">
        <f>NETWORKDAYS.INTL(E28,F28,"0000110",$AA$5:$AA$13)</f>
        <v>5</v>
      </c>
      <c r="E28" s="113">
        <f>WORKDAY.INTL(F22,1,"0000110")</f>
        <v>46243</v>
      </c>
      <c r="F28" s="113">
        <f>WORKDAY.INTL(E28,4,"0000110")</f>
        <v>46247</v>
      </c>
      <c r="G28" s="113">
        <f>WORKDAY.INTL(H22,1,"0000110")</f>
        <v>46243</v>
      </c>
      <c r="H28" s="113">
        <f>WORKDAY.INTL(G28,4,"0000110")</f>
        <v>46247</v>
      </c>
      <c r="I28" s="113"/>
      <c r="J28" s="113"/>
      <c r="K28" s="119"/>
      <c r="L28" s="119" t="str">
        <f ca="1">IF(OR(K28=100%,J28&lt;&gt;""),"Completed",IF(AND(OR(K28="",K28=0),E28&gt;TODAY()),"Not Started",IF(AND(OR(K28="",K28=0),E28&lt;=TODAY()),"Delayed",IF(AND(K28&gt;0,K28&lt;100%,F28&lt;TODAY()),"Delayed",IF(AND(K28&gt;0,K28&lt;100%),"In Progress","")))))</f>
        <v>Not Started</v>
      </c>
      <c r="M28" s="303"/>
      <c r="N28" s="251"/>
      <c r="O28" s="251"/>
      <c r="P28" s="251"/>
      <c r="Q28" s="251"/>
      <c r="R28" s="251"/>
      <c r="S28" s="251"/>
      <c r="T28" s="250"/>
      <c r="U28" s="252" t="s">
        <v>108</v>
      </c>
      <c r="X28" s="266" t="s">
        <v>64</v>
      </c>
      <c r="Y28" s="295" t="s">
        <v>71</v>
      </c>
    </row>
    <row r="29" spans="2:29" ht="45" customHeight="1" x14ac:dyDescent="0.25">
      <c r="B29" s="378"/>
      <c r="C29" s="118" t="s">
        <v>110</v>
      </c>
      <c r="D29" s="117">
        <f>NETWORKDAYS.INTL(E29,F29,"0000110",$AA$5:$AA$13)</f>
        <v>2</v>
      </c>
      <c r="E29" s="113">
        <f>WORKDAY.INTL(F28,1,"0000110")</f>
        <v>46250</v>
      </c>
      <c r="F29" s="113">
        <f>WORKDAY.INTL(E29,1,"0000110")</f>
        <v>46251</v>
      </c>
      <c r="G29" s="113">
        <f>WORKDAY.INTL(H28,1,"0000110")</f>
        <v>46250</v>
      </c>
      <c r="H29" s="113">
        <f>WORKDAY.INTL(G29,1,"0000110")</f>
        <v>46251</v>
      </c>
      <c r="I29" s="113"/>
      <c r="J29" s="113"/>
      <c r="K29" s="119"/>
      <c r="L29" s="119" t="str">
        <f ca="1">IF(OR(K29=100%,J29&lt;&gt;""),"Completed",IF(AND(OR(K29="",K29=0),E29&gt;TODAY()),"Not Started",IF(AND(OR(K29="",K29=0),E29&lt;=TODAY()),"Delayed",IF(AND(K29&gt;0,K29&lt;100%,F29&lt;TODAY()),"Delayed",IF(AND(K29&gt;0,K29&lt;100%),"In Progress","")))))</f>
        <v>Not Started</v>
      </c>
      <c r="M29" s="303"/>
      <c r="N29" s="251"/>
      <c r="O29" s="251"/>
      <c r="P29" s="251"/>
      <c r="Q29" s="251"/>
      <c r="R29" s="251"/>
      <c r="S29" s="251"/>
      <c r="T29" s="250"/>
      <c r="U29" s="252" t="s">
        <v>111</v>
      </c>
      <c r="X29" s="266" t="s">
        <v>65</v>
      </c>
      <c r="Y29" s="295" t="s">
        <v>71</v>
      </c>
    </row>
    <row r="30" spans="2:29" ht="45" customHeight="1" thickBot="1" x14ac:dyDescent="0.3">
      <c r="B30" s="379"/>
      <c r="C30" s="118" t="s">
        <v>112</v>
      </c>
      <c r="D30" s="117">
        <f>NETWORKDAYS.INTL(E30,F30,"0000110",$AA$5:$AA$13)</f>
        <v>1</v>
      </c>
      <c r="E30" s="113">
        <f>WORKDAY.INTL(F29,0,"0000110")</f>
        <v>46251</v>
      </c>
      <c r="F30" s="113">
        <f>WORKDAY.INTL(E30,0,"0000110")</f>
        <v>46251</v>
      </c>
      <c r="G30" s="113">
        <f>WORKDAY.INTL(H29,0,"0000110")</f>
        <v>46251</v>
      </c>
      <c r="H30" s="113">
        <f>WORKDAY.INTL(G30,0,"0000110")</f>
        <v>46251</v>
      </c>
      <c r="I30" s="113"/>
      <c r="J30" s="113"/>
      <c r="K30" s="119"/>
      <c r="L30" s="119" t="str">
        <f ca="1">IF(OR(K30=100%,J30&lt;&gt;""),"Completed",IF(AND(OR(K30="",K30=0),E30&gt;TODAY()),"Not Started",IF(AND(OR(K30="",K30=0),E30&lt;=TODAY()),"Delayed",IF(AND(K30&gt;0,K30&lt;100%,F30&lt;TODAY()),"Delayed",IF(AND(K30&gt;0,K30&lt;100%),"In Progress","")))))</f>
        <v>Not Started</v>
      </c>
      <c r="M30" s="303"/>
      <c r="N30" s="251"/>
      <c r="O30" s="251"/>
      <c r="P30" s="251"/>
      <c r="Q30" s="251"/>
      <c r="R30" s="251"/>
      <c r="S30" s="251"/>
      <c r="T30" s="250"/>
      <c r="U30" s="252"/>
      <c r="X30" s="266" t="s">
        <v>66</v>
      </c>
      <c r="Y30" s="295" t="s">
        <v>71</v>
      </c>
    </row>
    <row r="31" spans="2:29" s="298" customFormat="1" ht="4.5" customHeight="1" thickBot="1" x14ac:dyDescent="0.3">
      <c r="B31" s="270"/>
      <c r="C31" s="270" t="s">
        <v>178</v>
      </c>
      <c r="D31" s="269"/>
      <c r="E31" s="270"/>
      <c r="F31" s="270"/>
      <c r="G31" s="270"/>
      <c r="H31" s="270"/>
      <c r="I31" s="270"/>
      <c r="J31" s="270"/>
      <c r="K31" s="268"/>
      <c r="L31" s="268"/>
      <c r="M31" s="270"/>
      <c r="N31" s="270"/>
      <c r="O31" s="270"/>
      <c r="P31" s="270"/>
      <c r="Q31" s="270"/>
      <c r="R31" s="270"/>
      <c r="S31" s="270"/>
      <c r="T31" s="270"/>
      <c r="U31" s="267"/>
      <c r="X31" s="299"/>
      <c r="Y31" s="299" t="s">
        <v>72</v>
      </c>
    </row>
    <row r="32" spans="2:29" ht="45" customHeight="1" x14ac:dyDescent="0.25">
      <c r="B32" s="380" t="s">
        <v>209</v>
      </c>
      <c r="C32" s="106" t="s">
        <v>102</v>
      </c>
      <c r="D32" s="107">
        <f>NETWORKDAYS.INTL(E32,F32,"0000100",$AA$5:$AA$13)</f>
        <v>7</v>
      </c>
      <c r="E32" s="108">
        <f>WORKDAY.INTL(F26,1,"0000100",$AA$5:$AA$12)</f>
        <v>46228</v>
      </c>
      <c r="F32" s="108">
        <f>WORKDAY.INTL(E32,6,"0000100",$AA$5:$AA$12)</f>
        <v>46235</v>
      </c>
      <c r="G32" s="108">
        <f>WORKDAY.INTL(H26,1,"0000100",$AA$5:$AA$12)</f>
        <v>46228</v>
      </c>
      <c r="H32" s="108">
        <f>WORKDAY.INTL(G32,6,"0000100",$AA$5:$AA$12)</f>
        <v>46235</v>
      </c>
      <c r="I32" s="108"/>
      <c r="J32" s="108"/>
      <c r="K32" s="109"/>
      <c r="L32" s="109" t="str">
        <f ca="1">IF(OR(K32=100%,J32&lt;&gt;""),"Completed",IF(AND(OR(K32="",K32=0),E32&gt;TODAY()),"Not Started",IF(AND(OR(K32="",K32=0),E32&lt;=TODAY()),"Delayed",IF(AND(K32&gt;0,K32&lt;100%,F32&lt;TODAY()),"Delayed",IF(AND(K32&gt;0,K32&lt;100%),"In Progress","")))))</f>
        <v>Not Started</v>
      </c>
      <c r="M32" s="300"/>
      <c r="N32" s="265"/>
      <c r="O32" s="265"/>
      <c r="P32" s="265"/>
      <c r="Q32" s="265"/>
      <c r="R32" s="265"/>
      <c r="S32" s="265"/>
      <c r="T32" s="264"/>
      <c r="U32" s="263"/>
      <c r="X32" s="266" t="s">
        <v>62</v>
      </c>
      <c r="Y32" s="295" t="s">
        <v>72</v>
      </c>
    </row>
    <row r="33" spans="2:29" ht="45" customHeight="1" x14ac:dyDescent="0.25">
      <c r="B33" s="376"/>
      <c r="C33" s="106" t="s">
        <v>104</v>
      </c>
      <c r="D33" s="107">
        <f>NETWORKDAYS.INTL(E33,F33,"0000100",$AA$5:$AA$13)</f>
        <v>5</v>
      </c>
      <c r="E33" s="108">
        <f>WORKDAY.INTL(F27,1,"0000100",$AA$5:$AA$12)</f>
        <v>46239</v>
      </c>
      <c r="F33" s="108">
        <f>WORKDAY.INTL(E33,4,"0000100",$AA$5:$AA$12)</f>
        <v>46244</v>
      </c>
      <c r="G33" s="108">
        <f>WORKDAY.INTL(H27,1,"0000100",$AA$5:$AA$12)</f>
        <v>46239</v>
      </c>
      <c r="H33" s="108">
        <f>WORKDAY.INTL(G33,4,"0000100",$AA$5:$AA$12)</f>
        <v>46244</v>
      </c>
      <c r="I33" s="108"/>
      <c r="J33" s="108"/>
      <c r="K33" s="109"/>
      <c r="L33" s="109" t="str">
        <f ca="1">IF(OR(K33=100%,J33&lt;&gt;""),"Completed",IF(AND(OR(K33="",K33=0),E33&gt;TODAY()),"Not Started",IF(AND(OR(K33="",K33=0),E33&lt;=TODAY()),"Delayed",IF(AND(K33&gt;0,K33&lt;100%,F33&lt;TODAY()),"Delayed",IF(AND(K33&gt;0,K33&lt;100%),"In Progress","")))))</f>
        <v>Not Started</v>
      </c>
      <c r="M33" s="300"/>
      <c r="N33" s="265"/>
      <c r="O33" s="265"/>
      <c r="P33" s="265"/>
      <c r="Q33" s="265"/>
      <c r="R33" s="265"/>
      <c r="S33" s="265"/>
      <c r="T33" s="264"/>
      <c r="U33" s="263"/>
      <c r="X33" s="266" t="s">
        <v>63</v>
      </c>
      <c r="Y33" s="295" t="s">
        <v>72</v>
      </c>
    </row>
    <row r="34" spans="2:29" ht="45" customHeight="1" x14ac:dyDescent="0.25">
      <c r="B34" s="376"/>
      <c r="C34" s="106" t="s">
        <v>107</v>
      </c>
      <c r="D34" s="107">
        <f>NETWORKDAYS.INTL(E34,F34,"0000110",$AA$5:$AA$13)</f>
        <v>5</v>
      </c>
      <c r="E34" s="108">
        <f>WORKDAY.INTL(F28,1,"0000110")</f>
        <v>46250</v>
      </c>
      <c r="F34" s="108">
        <f>WORKDAY.INTL(E34,4,"0000110")</f>
        <v>46254</v>
      </c>
      <c r="G34" s="108">
        <f>WORKDAY.INTL(H28,1,"0000110")</f>
        <v>46250</v>
      </c>
      <c r="H34" s="108">
        <f>WORKDAY.INTL(G34,4,"0000110")</f>
        <v>46254</v>
      </c>
      <c r="I34" s="108"/>
      <c r="J34" s="108"/>
      <c r="K34" s="109"/>
      <c r="L34" s="109" t="str">
        <f ca="1">IF(OR(K34=100%,J34&lt;&gt;""),"Completed",IF(AND(OR(K34="",K34=0),E34&gt;TODAY()),"Not Started",IF(AND(OR(K34="",K34=0),E34&lt;=TODAY()),"Delayed",IF(AND(K34&gt;0,K34&lt;100%,F34&lt;TODAY()),"Delayed",IF(AND(K34&gt;0,K34&lt;100%),"In Progress","")))))</f>
        <v>Not Started</v>
      </c>
      <c r="M34" s="300"/>
      <c r="N34" s="265"/>
      <c r="O34" s="265"/>
      <c r="P34" s="265"/>
      <c r="Q34" s="265"/>
      <c r="R34" s="265"/>
      <c r="S34" s="265"/>
      <c r="T34" s="264"/>
      <c r="U34" s="263" t="s">
        <v>108</v>
      </c>
      <c r="X34" s="266" t="s">
        <v>64</v>
      </c>
      <c r="Y34" s="295" t="s">
        <v>72</v>
      </c>
    </row>
    <row r="35" spans="2:29" ht="45" customHeight="1" x14ac:dyDescent="0.25">
      <c r="B35" s="376"/>
      <c r="C35" s="110" t="s">
        <v>110</v>
      </c>
      <c r="D35" s="107">
        <f>NETWORKDAYS.INTL(E35,F35,"0000110",$AA$5:$AA$13)</f>
        <v>2</v>
      </c>
      <c r="E35" s="108">
        <f>WORKDAY.INTL(F34,1,"0000110")</f>
        <v>46257</v>
      </c>
      <c r="F35" s="108">
        <f>WORKDAY.INTL(E35,1,"0000110")</f>
        <v>46258</v>
      </c>
      <c r="G35" s="108">
        <f>WORKDAY.INTL(H34,1,"0000110")</f>
        <v>46257</v>
      </c>
      <c r="H35" s="108">
        <f>WORKDAY.INTL(G35,1,"0000110")</f>
        <v>46258</v>
      </c>
      <c r="I35" s="108"/>
      <c r="J35" s="108"/>
      <c r="K35" s="109"/>
      <c r="L35" s="109" t="str">
        <f ca="1">IF(OR(K35=100%,J35&lt;&gt;""),"Completed",IF(AND(OR(K35="",K35=0),E35&gt;TODAY()),"Not Started",IF(AND(OR(K35="",K35=0),E35&lt;=TODAY()),"Delayed",IF(AND(K35&gt;0,K35&lt;100%,F35&lt;TODAY()),"Delayed",IF(AND(K35&gt;0,K35&lt;100%),"In Progress","")))))</f>
        <v>Not Started</v>
      </c>
      <c r="M35" s="300"/>
      <c r="N35" s="262"/>
      <c r="O35" s="262"/>
      <c r="P35" s="262"/>
      <c r="Q35" s="262"/>
      <c r="R35" s="262"/>
      <c r="S35" s="262"/>
      <c r="T35" s="261"/>
      <c r="U35" s="263" t="s">
        <v>111</v>
      </c>
      <c r="X35" s="266" t="s">
        <v>65</v>
      </c>
      <c r="Y35" s="295" t="s">
        <v>72</v>
      </c>
    </row>
    <row r="36" spans="2:29" ht="45" customHeight="1" thickBot="1" x14ac:dyDescent="0.3">
      <c r="B36" s="381"/>
      <c r="C36" s="110" t="s">
        <v>112</v>
      </c>
      <c r="D36" s="107">
        <f>NETWORKDAYS.INTL(E36,F36,"0000110",$AA$5:$AA$13)</f>
        <v>1</v>
      </c>
      <c r="E36" s="108">
        <f>WORKDAY.INTL(F35,0,"0000110")</f>
        <v>46258</v>
      </c>
      <c r="F36" s="108">
        <f>WORKDAY.INTL(E36,0,"0000110")</f>
        <v>46258</v>
      </c>
      <c r="G36" s="108">
        <f>WORKDAY.INTL(H35,0,"0000110")</f>
        <v>46258</v>
      </c>
      <c r="H36" s="108">
        <f>WORKDAY.INTL(G36,0,"0000110")</f>
        <v>46258</v>
      </c>
      <c r="I36" s="108"/>
      <c r="J36" s="108"/>
      <c r="K36" s="109"/>
      <c r="L36" s="109" t="str">
        <f ca="1">IF(OR(K36=100%,J36&lt;&gt;""),"Completed",IF(AND(OR(K36="",K36=0),E36&gt;TODAY()),"Not Started",IF(AND(OR(K36="",K36=0),E36&lt;=TODAY()),"Delayed",IF(AND(K36&gt;0,K36&lt;100%,F36&lt;TODAY()),"Delayed",IF(AND(K36&gt;0,K36&lt;100%),"In Progress","")))))</f>
        <v>Not Started</v>
      </c>
      <c r="M36" s="300"/>
      <c r="N36" s="262"/>
      <c r="O36" s="262"/>
      <c r="P36" s="262"/>
      <c r="Q36" s="262"/>
      <c r="R36" s="262"/>
      <c r="S36" s="262"/>
      <c r="T36" s="261"/>
      <c r="U36" s="263"/>
      <c r="X36" s="266" t="s">
        <v>66</v>
      </c>
      <c r="Y36" s="295" t="s">
        <v>72</v>
      </c>
    </row>
    <row r="37" spans="2:29" s="298" customFormat="1" ht="4.5" customHeight="1" thickBot="1" x14ac:dyDescent="0.3">
      <c r="B37" s="270"/>
      <c r="C37" s="270" t="s">
        <v>178</v>
      </c>
      <c r="D37" s="269"/>
      <c r="E37" s="270"/>
      <c r="F37" s="270"/>
      <c r="G37" s="270"/>
      <c r="H37" s="270"/>
      <c r="I37" s="270"/>
      <c r="J37" s="270"/>
      <c r="K37" s="268"/>
      <c r="L37" s="268"/>
      <c r="M37" s="270"/>
      <c r="N37" s="270"/>
      <c r="O37" s="270"/>
      <c r="P37" s="270"/>
      <c r="Q37" s="270"/>
      <c r="R37" s="270"/>
      <c r="S37" s="270"/>
      <c r="T37" s="270"/>
      <c r="U37" s="267"/>
      <c r="X37" s="299"/>
      <c r="Y37" s="299" t="s">
        <v>73</v>
      </c>
    </row>
    <row r="38" spans="2:29" ht="45" customHeight="1" x14ac:dyDescent="0.25">
      <c r="B38" s="377" t="s">
        <v>210</v>
      </c>
      <c r="C38" s="111" t="s">
        <v>102</v>
      </c>
      <c r="D38" s="112">
        <f>NETWORKDAYS.INTL(E38,F38,"0000100",$AA$5:$AA$13)</f>
        <v>7</v>
      </c>
      <c r="E38" s="113">
        <f>WORKDAY.INTL(F32,1,"0000100",$AA$5:$AA$12)</f>
        <v>46236</v>
      </c>
      <c r="F38" s="114">
        <f>WORKDAY.INTL(E38,6,"0000100",$AA$5:$AA$12)</f>
        <v>46243</v>
      </c>
      <c r="G38" s="113">
        <f>WORKDAY.INTL(H32,1,"0000100",$AA$5:$AA$12)</f>
        <v>46236</v>
      </c>
      <c r="H38" s="114">
        <f>WORKDAY.INTL(G38,6,"0000100",$AA$5:$AA$12)</f>
        <v>46243</v>
      </c>
      <c r="I38" s="114"/>
      <c r="J38" s="114"/>
      <c r="K38" s="115"/>
      <c r="L38" s="115" t="str">
        <f ca="1">IF(OR(K38=100%,J38&lt;&gt;""),"Completed",IF(AND(OR(K38="",K38=0),E38&gt;TODAY()),"Not Started",IF(AND(OR(K38="",K38=0),E38&lt;=TODAY()),"Delayed",IF(AND(K38&gt;0,K38&lt;100%,F38&lt;TODAY()),"Delayed",IF(AND(K38&gt;0,K38&lt;100%),"In Progress","")))))</f>
        <v>Not Started</v>
      </c>
      <c r="M38" s="303"/>
      <c r="N38" s="257"/>
      <c r="O38" s="257"/>
      <c r="P38" s="257"/>
      <c r="Q38" s="257"/>
      <c r="R38" s="257"/>
      <c r="S38" s="257"/>
      <c r="T38" s="256"/>
      <c r="U38" s="255"/>
      <c r="X38" s="266" t="s">
        <v>62</v>
      </c>
      <c r="Y38" s="295" t="s">
        <v>73</v>
      </c>
      <c r="AC38" s="301"/>
    </row>
    <row r="39" spans="2:29" ht="45" customHeight="1" x14ac:dyDescent="0.25">
      <c r="B39" s="378"/>
      <c r="C39" s="116" t="s">
        <v>104</v>
      </c>
      <c r="D39" s="117">
        <f>NETWORKDAYS.INTL(E39,F39,"0000100",$AA$5:$AA$13)</f>
        <v>5</v>
      </c>
      <c r="E39" s="113">
        <f>WORKDAY.INTL(F33,1,"0000100",$AA$5:$AA$12)</f>
        <v>46245</v>
      </c>
      <c r="F39" s="114">
        <f>WORKDAY.INTL(E39,4,"0000100",$AA$5:$AA$12)</f>
        <v>46250</v>
      </c>
      <c r="G39" s="113">
        <f>WORKDAY.INTL(H33,1,"0000100",$AA$5:$AA$12)</f>
        <v>46245</v>
      </c>
      <c r="H39" s="114">
        <f>WORKDAY.INTL(G39,4,"0000100",$AA$5:$AA$12)</f>
        <v>46250</v>
      </c>
      <c r="I39" s="114"/>
      <c r="J39" s="114"/>
      <c r="K39" s="115"/>
      <c r="L39" s="115" t="str">
        <f ca="1">IF(OR(K39=100%,J39&lt;&gt;""),"Completed",IF(AND(OR(K39="",K39=0),E39&gt;TODAY()),"Not Started",IF(AND(OR(K39="",K39=0),E39&lt;=TODAY()),"Delayed",IF(AND(K39&gt;0,K39&lt;100%,F39&lt;TODAY()),"Delayed",IF(AND(K39&gt;0,K39&lt;100%),"In Progress","")))))</f>
        <v>Not Started</v>
      </c>
      <c r="M39" s="303"/>
      <c r="N39" s="254"/>
      <c r="O39" s="254"/>
      <c r="P39" s="254"/>
      <c r="Q39" s="254"/>
      <c r="R39" s="254"/>
      <c r="S39" s="254"/>
      <c r="T39" s="253"/>
      <c r="U39" s="252"/>
      <c r="X39" s="266" t="s">
        <v>63</v>
      </c>
      <c r="Y39" s="295" t="s">
        <v>73</v>
      </c>
    </row>
    <row r="40" spans="2:29" ht="45" customHeight="1" x14ac:dyDescent="0.25">
      <c r="B40" s="378"/>
      <c r="C40" s="118" t="s">
        <v>107</v>
      </c>
      <c r="D40" s="117">
        <f>NETWORKDAYS.INTL(E40,F40,"0000110",$AA$5:$AA$13)</f>
        <v>5</v>
      </c>
      <c r="E40" s="113">
        <f>WORKDAY.INTL(F34,1,"0000110")</f>
        <v>46257</v>
      </c>
      <c r="F40" s="113">
        <f>WORKDAY.INTL(E40,4,"0000110")</f>
        <v>46261</v>
      </c>
      <c r="G40" s="113">
        <f>WORKDAY.INTL(H34,1,"0000110")</f>
        <v>46257</v>
      </c>
      <c r="H40" s="113">
        <f>WORKDAY.INTL(G40,4,"0000110")</f>
        <v>46261</v>
      </c>
      <c r="I40" s="113"/>
      <c r="J40" s="113"/>
      <c r="K40" s="119"/>
      <c r="L40" s="119" t="str">
        <f ca="1">IF(OR(K40=100%,J40&lt;&gt;""),"Completed",IF(AND(OR(K40="",K40=0),E40&gt;TODAY()),"Not Started",IF(AND(OR(K40="",K40=0),E40&lt;=TODAY()),"Delayed",IF(AND(K40&gt;0,K40&lt;100%,F40&lt;TODAY()),"Delayed",IF(AND(K40&gt;0,K40&lt;100%),"In Progress","")))))</f>
        <v>Not Started</v>
      </c>
      <c r="M40" s="303"/>
      <c r="N40" s="251"/>
      <c r="O40" s="251"/>
      <c r="P40" s="251"/>
      <c r="Q40" s="251"/>
      <c r="R40" s="251"/>
      <c r="S40" s="251"/>
      <c r="T40" s="250"/>
      <c r="U40" s="252" t="s">
        <v>108</v>
      </c>
      <c r="X40" s="266" t="s">
        <v>64</v>
      </c>
      <c r="Y40" s="295" t="s">
        <v>73</v>
      </c>
    </row>
    <row r="41" spans="2:29" ht="45" customHeight="1" x14ac:dyDescent="0.25">
      <c r="B41" s="378"/>
      <c r="C41" s="118" t="s">
        <v>110</v>
      </c>
      <c r="D41" s="117">
        <f>NETWORKDAYS.INTL(E41,F41,"0000110",$AA$5:$AA$13)</f>
        <v>2</v>
      </c>
      <c r="E41" s="113">
        <f>WORKDAY.INTL(F40,1,"0000110")</f>
        <v>46264</v>
      </c>
      <c r="F41" s="113">
        <f>WORKDAY.INTL(E41,1,"0000110")</f>
        <v>46265</v>
      </c>
      <c r="G41" s="113">
        <f>WORKDAY.INTL(H40,1,"0000110")</f>
        <v>46264</v>
      </c>
      <c r="H41" s="113">
        <f>WORKDAY.INTL(G41,1,"0000110")</f>
        <v>46265</v>
      </c>
      <c r="I41" s="113"/>
      <c r="J41" s="113"/>
      <c r="K41" s="119"/>
      <c r="L41" s="119" t="str">
        <f ca="1">IF(OR(K41=100%,J41&lt;&gt;""),"Completed",IF(AND(OR(K41="",K41=0),E41&gt;TODAY()),"Not Started",IF(AND(OR(K41="",K41=0),E41&lt;=TODAY()),"Delayed",IF(AND(K41&gt;0,K41&lt;100%,F41&lt;TODAY()),"Delayed",IF(AND(K41&gt;0,K41&lt;100%),"In Progress","")))))</f>
        <v>Not Started</v>
      </c>
      <c r="M41" s="303"/>
      <c r="N41" s="251"/>
      <c r="O41" s="251"/>
      <c r="P41" s="251"/>
      <c r="Q41" s="251"/>
      <c r="R41" s="251"/>
      <c r="S41" s="251"/>
      <c r="T41" s="250"/>
      <c r="U41" s="252" t="s">
        <v>111</v>
      </c>
      <c r="X41" s="266" t="s">
        <v>65</v>
      </c>
      <c r="Y41" s="295" t="s">
        <v>73</v>
      </c>
    </row>
    <row r="42" spans="2:29" ht="45" customHeight="1" thickBot="1" x14ac:dyDescent="0.3">
      <c r="B42" s="379"/>
      <c r="C42" s="118" t="s">
        <v>112</v>
      </c>
      <c r="D42" s="117">
        <f>NETWORKDAYS.INTL(E42,F42,"0000110",$AA$5:$AA$13)</f>
        <v>1</v>
      </c>
      <c r="E42" s="113">
        <f>WORKDAY.INTL(F41,0,"0000110")</f>
        <v>46265</v>
      </c>
      <c r="F42" s="113">
        <f>WORKDAY.INTL(E42,0,"0000110")</f>
        <v>46265</v>
      </c>
      <c r="G42" s="113">
        <f>WORKDAY.INTL(H41,0,"0000110")</f>
        <v>46265</v>
      </c>
      <c r="H42" s="113">
        <f>WORKDAY.INTL(G42,0,"0000110")</f>
        <v>46265</v>
      </c>
      <c r="I42" s="113"/>
      <c r="J42" s="113"/>
      <c r="K42" s="119"/>
      <c r="L42" s="119" t="str">
        <f ca="1">IF(OR(K42=100%,J42&lt;&gt;""),"Completed",IF(AND(OR(K42="",K42=0),E42&gt;TODAY()),"Not Started",IF(AND(OR(K42="",K42=0),E42&lt;=TODAY()),"Delayed",IF(AND(K42&gt;0,K42&lt;100%,F42&lt;TODAY()),"Delayed",IF(AND(K42&gt;0,K42&lt;100%),"In Progress","")))))</f>
        <v>Not Started</v>
      </c>
      <c r="M42" s="303"/>
      <c r="N42" s="251"/>
      <c r="O42" s="251"/>
      <c r="P42" s="251"/>
      <c r="Q42" s="251"/>
      <c r="R42" s="251"/>
      <c r="S42" s="251"/>
      <c r="T42" s="250"/>
      <c r="U42" s="252"/>
      <c r="X42" s="266" t="s">
        <v>66</v>
      </c>
      <c r="Y42" s="295" t="s">
        <v>73</v>
      </c>
    </row>
    <row r="43" spans="2:29" s="298" customFormat="1" ht="4.5" customHeight="1" thickBot="1" x14ac:dyDescent="0.3">
      <c r="B43" s="270"/>
      <c r="C43" s="270" t="s">
        <v>178</v>
      </c>
      <c r="D43" s="269"/>
      <c r="E43" s="270"/>
      <c r="F43" s="270"/>
      <c r="G43" s="270"/>
      <c r="H43" s="270"/>
      <c r="I43" s="270"/>
      <c r="J43" s="270"/>
      <c r="K43" s="268"/>
      <c r="L43" s="268"/>
      <c r="M43" s="270"/>
      <c r="N43" s="270"/>
      <c r="O43" s="270"/>
      <c r="P43" s="270"/>
      <c r="Q43" s="270"/>
      <c r="R43" s="270"/>
      <c r="S43" s="270"/>
      <c r="T43" s="270"/>
      <c r="U43" s="267"/>
      <c r="X43" s="299"/>
      <c r="Y43" s="299" t="s">
        <v>74</v>
      </c>
    </row>
    <row r="44" spans="2:29" ht="45" customHeight="1" x14ac:dyDescent="0.25">
      <c r="B44" s="380" t="s">
        <v>119</v>
      </c>
      <c r="C44" s="106" t="s">
        <v>102</v>
      </c>
      <c r="D44" s="107">
        <f>NETWORKDAYS.INTL(E44,F44,"0000100",$AA$5:$AA$13)</f>
        <v>7</v>
      </c>
      <c r="E44" s="108">
        <f>WORKDAY.INTL(F38,1,"0000100",$AA$5:$AA$12)</f>
        <v>46244</v>
      </c>
      <c r="F44" s="108">
        <f>WORKDAY.INTL(E44,6,"0000100",$AA$5:$AA$12)</f>
        <v>46251</v>
      </c>
      <c r="G44" s="108">
        <f>WORKDAY.INTL(H38,1,"0000100",$AA$5:$AA$12)</f>
        <v>46244</v>
      </c>
      <c r="H44" s="108">
        <f>WORKDAY.INTL(G44,6,"0000100",$AA$5:$AA$12)</f>
        <v>46251</v>
      </c>
      <c r="I44" s="108"/>
      <c r="J44" s="108"/>
      <c r="K44" s="109"/>
      <c r="L44" s="109" t="str">
        <f ca="1">IF(OR(K44=100%,J44&lt;&gt;""),"Completed",IF(AND(OR(K44="",K44=0),E44&gt;TODAY()),"Not Started",IF(AND(OR(K44="",K44=0),E44&lt;=TODAY()),"Delayed",IF(AND(K44&gt;0,K44&lt;100%,F44&lt;TODAY()),"Delayed",IF(AND(K44&gt;0,K44&lt;100%),"In Progress","")))))</f>
        <v>Not Started</v>
      </c>
      <c r="M44" s="300"/>
      <c r="N44" s="265"/>
      <c r="O44" s="265"/>
      <c r="P44" s="265"/>
      <c r="Q44" s="265"/>
      <c r="R44" s="265"/>
      <c r="S44" s="265"/>
      <c r="T44" s="264"/>
      <c r="U44" s="263"/>
      <c r="X44" s="266" t="s">
        <v>62</v>
      </c>
      <c r="Y44" s="295" t="s">
        <v>74</v>
      </c>
    </row>
    <row r="45" spans="2:29" ht="45" customHeight="1" x14ac:dyDescent="0.25">
      <c r="B45" s="376"/>
      <c r="C45" s="106" t="s">
        <v>104</v>
      </c>
      <c r="D45" s="107">
        <f>NETWORKDAYS.INTL(E45,F45,"0000100",$AA$5:$AA$13)</f>
        <v>5</v>
      </c>
      <c r="E45" s="108">
        <f>WORKDAY.INTL(F39,2,"0000100",$AA$5:$AA$12)</f>
        <v>46252</v>
      </c>
      <c r="F45" s="108">
        <f>WORKDAY.INTL(E45,4,"0000100",$AA$5:$AA$12)</f>
        <v>46257</v>
      </c>
      <c r="G45" s="108">
        <f>WORKDAY.INTL(H39,2,"0000100",$AA$5:$AA$12)</f>
        <v>46252</v>
      </c>
      <c r="H45" s="108">
        <f>WORKDAY.INTL(G45,4,"0000100",$AA$5:$AA$12)</f>
        <v>46257</v>
      </c>
      <c r="I45" s="108"/>
      <c r="J45" s="108"/>
      <c r="K45" s="109"/>
      <c r="L45" s="109" t="str">
        <f ca="1">IF(OR(K45=100%,J45&lt;&gt;""),"Completed",IF(AND(OR(K45="",K45=0),E45&gt;TODAY()),"Not Started",IF(AND(OR(K45="",K45=0),E45&lt;=TODAY()),"Delayed",IF(AND(K45&gt;0,K45&lt;100%,F45&lt;TODAY()),"Delayed",IF(AND(K45&gt;0,K45&lt;100%),"In Progress","")))))</f>
        <v>Not Started</v>
      </c>
      <c r="M45" s="300"/>
      <c r="N45" s="265"/>
      <c r="O45" s="265"/>
      <c r="P45" s="265"/>
      <c r="Q45" s="265"/>
      <c r="R45" s="265"/>
      <c r="S45" s="265"/>
      <c r="T45" s="264"/>
      <c r="U45" s="263"/>
      <c r="X45" s="266" t="s">
        <v>63</v>
      </c>
      <c r="Y45" s="295" t="s">
        <v>74</v>
      </c>
    </row>
    <row r="46" spans="2:29" ht="45" customHeight="1" x14ac:dyDescent="0.25">
      <c r="B46" s="376"/>
      <c r="C46" s="106" t="s">
        <v>107</v>
      </c>
      <c r="D46" s="107">
        <f>NETWORKDAYS.INTL(E46,F46,"0000110",$AA$5:$AA$13)</f>
        <v>5</v>
      </c>
      <c r="E46" s="108">
        <f>WORKDAY.INTL(F40,1,"0000110")</f>
        <v>46264</v>
      </c>
      <c r="F46" s="108">
        <f>WORKDAY.INTL(E46,4,"0000110")</f>
        <v>46268</v>
      </c>
      <c r="G46" s="108">
        <f>WORKDAY.INTL(H40,1,"0000110")</f>
        <v>46264</v>
      </c>
      <c r="H46" s="108">
        <f>WORKDAY.INTL(G46,4,"0000110")</f>
        <v>46268</v>
      </c>
      <c r="I46" s="108"/>
      <c r="J46" s="108"/>
      <c r="K46" s="109"/>
      <c r="L46" s="109" t="str">
        <f ca="1">IF(OR(K46=100%,J46&lt;&gt;""),"Completed",IF(AND(OR(K46="",K46=0),E46&gt;TODAY()),"Not Started",IF(AND(OR(K46="",K46=0),E46&lt;=TODAY()),"Delayed",IF(AND(K46&gt;0,K46&lt;100%,F46&lt;TODAY()),"Delayed",IF(AND(K46&gt;0,K46&lt;100%),"In Progress","")))))</f>
        <v>Not Started</v>
      </c>
      <c r="M46" s="300"/>
      <c r="N46" s="265"/>
      <c r="O46" s="265"/>
      <c r="P46" s="265"/>
      <c r="Q46" s="265"/>
      <c r="R46" s="265"/>
      <c r="S46" s="265"/>
      <c r="T46" s="264"/>
      <c r="U46" s="263" t="s">
        <v>108</v>
      </c>
      <c r="X46" s="266" t="s">
        <v>64</v>
      </c>
      <c r="Y46" s="295" t="s">
        <v>74</v>
      </c>
    </row>
    <row r="47" spans="2:29" ht="45" customHeight="1" x14ac:dyDescent="0.25">
      <c r="B47" s="376"/>
      <c r="C47" s="110" t="s">
        <v>110</v>
      </c>
      <c r="D47" s="107">
        <f>NETWORKDAYS.INTL(E47,F47,"0000110",$AA$5:$AA$13)</f>
        <v>2</v>
      </c>
      <c r="E47" s="108">
        <f>WORKDAY.INTL(F46,1,"0000110")</f>
        <v>46271</v>
      </c>
      <c r="F47" s="108">
        <f>WORKDAY.INTL(E47,1,"0000110")</f>
        <v>46272</v>
      </c>
      <c r="G47" s="108">
        <f>WORKDAY.INTL(H46,1,"0000110")</f>
        <v>46271</v>
      </c>
      <c r="H47" s="108">
        <f>WORKDAY.INTL(G47,1,"0000110")</f>
        <v>46272</v>
      </c>
      <c r="I47" s="108"/>
      <c r="J47" s="108"/>
      <c r="K47" s="109"/>
      <c r="L47" s="109" t="str">
        <f ca="1">IF(OR(K47=100%,J47&lt;&gt;""),"Completed",IF(AND(OR(K47="",K47=0),E47&gt;TODAY()),"Not Started",IF(AND(OR(K47="",K47=0),E47&lt;=TODAY()),"Delayed",IF(AND(K47&gt;0,K47&lt;100%,F47&lt;TODAY()),"Delayed",IF(AND(K47&gt;0,K47&lt;100%),"In Progress","")))))</f>
        <v>Not Started</v>
      </c>
      <c r="M47" s="300"/>
      <c r="N47" s="262"/>
      <c r="O47" s="262"/>
      <c r="P47" s="262"/>
      <c r="Q47" s="262"/>
      <c r="R47" s="262"/>
      <c r="S47" s="262"/>
      <c r="T47" s="261"/>
      <c r="U47" s="263" t="s">
        <v>111</v>
      </c>
      <c r="X47" s="266" t="s">
        <v>65</v>
      </c>
      <c r="Y47" s="295" t="s">
        <v>74</v>
      </c>
    </row>
    <row r="48" spans="2:29" ht="45" customHeight="1" thickBot="1" x14ac:dyDescent="0.3">
      <c r="B48" s="381"/>
      <c r="C48" s="110" t="s">
        <v>112</v>
      </c>
      <c r="D48" s="107">
        <f>NETWORKDAYS.INTL(E48,F48,"0000110",$AA$5:$AA$13)</f>
        <v>1</v>
      </c>
      <c r="E48" s="108">
        <f>WORKDAY.INTL(F47,0,"0000110")</f>
        <v>46272</v>
      </c>
      <c r="F48" s="108">
        <f>WORKDAY.INTL(E48,0,"0000110")</f>
        <v>46272</v>
      </c>
      <c r="G48" s="108">
        <f>WORKDAY.INTL(H47,0,"0000110")</f>
        <v>46272</v>
      </c>
      <c r="H48" s="108">
        <f>WORKDAY.INTL(G48,0,"0000110")</f>
        <v>46272</v>
      </c>
      <c r="I48" s="108"/>
      <c r="J48" s="108"/>
      <c r="K48" s="109"/>
      <c r="L48" s="109" t="str">
        <f ca="1">IF(OR(K48=100%,J48&lt;&gt;""),"Completed",IF(AND(OR(K48="",K48=0),E48&gt;TODAY()),"Not Started",IF(AND(OR(K48="",K48=0),E48&lt;=TODAY()),"Delayed",IF(AND(K48&gt;0,K48&lt;100%,F48&lt;TODAY()),"Delayed",IF(AND(K48&gt;0,K48&lt;100%),"In Progress","")))))</f>
        <v>Not Started</v>
      </c>
      <c r="M48" s="300"/>
      <c r="N48" s="262"/>
      <c r="O48" s="262"/>
      <c r="P48" s="262"/>
      <c r="Q48" s="262"/>
      <c r="R48" s="262"/>
      <c r="S48" s="262"/>
      <c r="T48" s="261"/>
      <c r="U48" s="263"/>
      <c r="X48" s="266" t="s">
        <v>66</v>
      </c>
      <c r="Y48" s="295" t="s">
        <v>74</v>
      </c>
    </row>
    <row r="49" spans="2:29" s="298" customFormat="1" ht="4.5" customHeight="1" thickBot="1" x14ac:dyDescent="0.3">
      <c r="B49" s="270"/>
      <c r="C49" s="270" t="s">
        <v>178</v>
      </c>
      <c r="D49" s="269"/>
      <c r="E49" s="270"/>
      <c r="F49" s="270"/>
      <c r="G49" s="270"/>
      <c r="H49" s="270"/>
      <c r="I49" s="270"/>
      <c r="J49" s="270"/>
      <c r="K49" s="268"/>
      <c r="L49" s="268"/>
      <c r="M49" s="270"/>
      <c r="N49" s="270"/>
      <c r="O49" s="270"/>
      <c r="P49" s="270"/>
      <c r="Q49" s="270"/>
      <c r="R49" s="270"/>
      <c r="S49" s="270"/>
      <c r="T49" s="270"/>
      <c r="U49" s="267"/>
      <c r="X49" s="299"/>
      <c r="Y49" s="299" t="s">
        <v>75</v>
      </c>
    </row>
    <row r="50" spans="2:29" ht="45" customHeight="1" x14ac:dyDescent="0.25">
      <c r="B50" s="377" t="s">
        <v>120</v>
      </c>
      <c r="C50" s="111" t="s">
        <v>102</v>
      </c>
      <c r="D50" s="112">
        <f>NETWORKDAYS.INTL(E50,F50,"0000100",$AA$5:$AA$13)</f>
        <v>7</v>
      </c>
      <c r="E50" s="113">
        <f>WORKDAY.INTL(F44,1,"0000100",$AA$5:$AA$12)</f>
        <v>46252</v>
      </c>
      <c r="F50" s="114">
        <f>WORKDAY.INTL(E50,6,"0000100",$AA$5:$AA$12)</f>
        <v>46259</v>
      </c>
      <c r="G50" s="113">
        <f>WORKDAY.INTL(H44,1,"0000100",$AA$5:$AA$12)</f>
        <v>46252</v>
      </c>
      <c r="H50" s="114">
        <f>WORKDAY.INTL(G50,6,"0000100",$AA$5:$AA$12)</f>
        <v>46259</v>
      </c>
      <c r="I50" s="114"/>
      <c r="J50" s="114"/>
      <c r="K50" s="115"/>
      <c r="L50" s="115" t="str">
        <f ca="1">IF(OR(K50=100%,J50&lt;&gt;""),"Completed",IF(AND(OR(K50="",K50=0),E50&gt;TODAY()),"Not Started",IF(AND(OR(K50="",K50=0),E50&lt;=TODAY()),"Delayed",IF(AND(K50&gt;0,K50&lt;100%,F50&lt;TODAY()),"Delayed",IF(AND(K50&gt;0,K50&lt;100%),"In Progress","")))))</f>
        <v>Not Started</v>
      </c>
      <c r="M50" s="303"/>
      <c r="N50" s="257"/>
      <c r="O50" s="257"/>
      <c r="P50" s="257"/>
      <c r="Q50" s="257"/>
      <c r="R50" s="257"/>
      <c r="S50" s="257"/>
      <c r="T50" s="256"/>
      <c r="U50" s="255"/>
      <c r="X50" s="266" t="s">
        <v>62</v>
      </c>
      <c r="Y50" s="295" t="s">
        <v>75</v>
      </c>
      <c r="AC50" s="301"/>
    </row>
    <row r="51" spans="2:29" ht="45" customHeight="1" x14ac:dyDescent="0.25">
      <c r="B51" s="378"/>
      <c r="C51" s="116" t="s">
        <v>104</v>
      </c>
      <c r="D51" s="117">
        <f>NETWORKDAYS.INTL(E51,F51,"0000100",$AA$5:$AA$13)</f>
        <v>5</v>
      </c>
      <c r="E51" s="113">
        <f>WORKDAY.INTL(F45,3,"0000100",$AA$5:$AA$12)</f>
        <v>46260</v>
      </c>
      <c r="F51" s="114">
        <f>WORKDAY.INTL(E51,4,"0000100",$AA$5:$AA$12)</f>
        <v>46265</v>
      </c>
      <c r="G51" s="113">
        <f>WORKDAY.INTL(H45,3,"0000100",$AA$5:$AA$12)</f>
        <v>46260</v>
      </c>
      <c r="H51" s="114">
        <f>WORKDAY.INTL(G51,4,"0000100",$AA$5:$AA$12)</f>
        <v>46265</v>
      </c>
      <c r="I51" s="114"/>
      <c r="J51" s="114"/>
      <c r="K51" s="115"/>
      <c r="L51" s="115" t="str">
        <f ca="1">IF(OR(K51=100%,J51&lt;&gt;""),"Completed",IF(AND(OR(K51="",K51=0),E51&gt;TODAY()),"Not Started",IF(AND(OR(K51="",K51=0),E51&lt;=TODAY()),"Delayed",IF(AND(K51&gt;0,K51&lt;100%,F51&lt;TODAY()),"Delayed",IF(AND(K51&gt;0,K51&lt;100%),"In Progress","")))))</f>
        <v>Not Started</v>
      </c>
      <c r="M51" s="303"/>
      <c r="N51" s="254"/>
      <c r="O51" s="254"/>
      <c r="P51" s="254"/>
      <c r="Q51" s="254"/>
      <c r="R51" s="254"/>
      <c r="S51" s="254"/>
      <c r="T51" s="253"/>
      <c r="U51" s="252"/>
      <c r="X51" s="266" t="s">
        <v>63</v>
      </c>
      <c r="Y51" s="295" t="s">
        <v>75</v>
      </c>
    </row>
    <row r="52" spans="2:29" ht="45" customHeight="1" x14ac:dyDescent="0.25">
      <c r="B52" s="378"/>
      <c r="C52" s="118" t="s">
        <v>107</v>
      </c>
      <c r="D52" s="117">
        <f>NETWORKDAYS.INTL(E52,F52,"0000110",$AA$5:$AA$13)</f>
        <v>5</v>
      </c>
      <c r="E52" s="113">
        <f>WORKDAY.INTL(F46,1,"0000110")</f>
        <v>46271</v>
      </c>
      <c r="F52" s="113">
        <f>WORKDAY.INTL(E52,4,"0000110")</f>
        <v>46275</v>
      </c>
      <c r="G52" s="113">
        <f>WORKDAY.INTL(H46,1,"0000110")</f>
        <v>46271</v>
      </c>
      <c r="H52" s="113">
        <f>WORKDAY.INTL(G52,4,"0000110")</f>
        <v>46275</v>
      </c>
      <c r="I52" s="113"/>
      <c r="J52" s="113"/>
      <c r="K52" s="119"/>
      <c r="L52" s="119" t="str">
        <f ca="1">IF(OR(K52=100%,J52&lt;&gt;""),"Completed",IF(AND(OR(K52="",K52=0),E52&gt;TODAY()),"Not Started",IF(AND(OR(K52="",K52=0),E52&lt;=TODAY()),"Delayed",IF(AND(K52&gt;0,K52&lt;100%,F52&lt;TODAY()),"Delayed",IF(AND(K52&gt;0,K52&lt;100%),"In Progress","")))))</f>
        <v>Not Started</v>
      </c>
      <c r="M52" s="303"/>
      <c r="N52" s="251"/>
      <c r="O52" s="251"/>
      <c r="P52" s="251"/>
      <c r="Q52" s="251"/>
      <c r="R52" s="251"/>
      <c r="S52" s="251"/>
      <c r="T52" s="250"/>
      <c r="U52" s="252" t="s">
        <v>108</v>
      </c>
      <c r="X52" s="266" t="s">
        <v>64</v>
      </c>
      <c r="Y52" s="295" t="s">
        <v>75</v>
      </c>
    </row>
    <row r="53" spans="2:29" ht="45" customHeight="1" x14ac:dyDescent="0.25">
      <c r="B53" s="378"/>
      <c r="C53" s="118" t="s">
        <v>110</v>
      </c>
      <c r="D53" s="117">
        <f>NETWORKDAYS.INTL(E53,F53,"0000110",$AA$5:$AA$13)</f>
        <v>2</v>
      </c>
      <c r="E53" s="113">
        <f>WORKDAY.INTL(F52,1,"0000110")</f>
        <v>46278</v>
      </c>
      <c r="F53" s="113">
        <f>WORKDAY.INTL(E53,1,"0000110")</f>
        <v>46279</v>
      </c>
      <c r="G53" s="113">
        <f>WORKDAY.INTL(H52,1,"0000110")</f>
        <v>46278</v>
      </c>
      <c r="H53" s="113">
        <f>WORKDAY.INTL(G53,1,"0000110")</f>
        <v>46279</v>
      </c>
      <c r="I53" s="113"/>
      <c r="J53" s="113"/>
      <c r="K53" s="119"/>
      <c r="L53" s="119" t="str">
        <f ca="1">IF(OR(K53=100%,J53&lt;&gt;""),"Completed",IF(AND(OR(K53="",K53=0),E53&gt;TODAY()),"Not Started",IF(AND(OR(K53="",K53=0),E53&lt;=TODAY()),"Delayed",IF(AND(K53&gt;0,K53&lt;100%,F53&lt;TODAY()),"Delayed",IF(AND(K53&gt;0,K53&lt;100%),"In Progress","")))))</f>
        <v>Not Started</v>
      </c>
      <c r="M53" s="303"/>
      <c r="N53" s="251"/>
      <c r="O53" s="251"/>
      <c r="P53" s="251"/>
      <c r="Q53" s="251"/>
      <c r="R53" s="251"/>
      <c r="S53" s="251"/>
      <c r="T53" s="250"/>
      <c r="U53" s="252" t="s">
        <v>111</v>
      </c>
      <c r="X53" s="266" t="s">
        <v>65</v>
      </c>
      <c r="Y53" s="295" t="s">
        <v>75</v>
      </c>
    </row>
    <row r="54" spans="2:29" ht="45" customHeight="1" thickBot="1" x14ac:dyDescent="0.3">
      <c r="B54" s="379"/>
      <c r="C54" s="118" t="s">
        <v>112</v>
      </c>
      <c r="D54" s="117">
        <f>NETWORKDAYS.INTL(E54,F54,"0000110",$AA$5:$AA$13)</f>
        <v>1</v>
      </c>
      <c r="E54" s="113">
        <f>WORKDAY.INTL(F53,0,"0000110")</f>
        <v>46279</v>
      </c>
      <c r="F54" s="113">
        <f>WORKDAY.INTL(E54,0,"0000110")</f>
        <v>46279</v>
      </c>
      <c r="G54" s="113">
        <f>WORKDAY.INTL(H53,0,"0000110")</f>
        <v>46279</v>
      </c>
      <c r="H54" s="113">
        <f>WORKDAY.INTL(G54,0,"0000110")</f>
        <v>46279</v>
      </c>
      <c r="I54" s="113"/>
      <c r="J54" s="113"/>
      <c r="K54" s="119"/>
      <c r="L54" s="119" t="str">
        <f ca="1">IF(OR(K54=100%,J54&lt;&gt;""),"Completed",IF(AND(OR(K54="",K54=0),E54&gt;TODAY()),"Not Started",IF(AND(OR(K54="",K54=0),E54&lt;=TODAY()),"Delayed",IF(AND(K54&gt;0,K54&lt;100%,F54&lt;TODAY()),"Delayed",IF(AND(K54&gt;0,K54&lt;100%),"In Progress","")))))</f>
        <v>Not Started</v>
      </c>
      <c r="M54" s="303"/>
      <c r="N54" s="251"/>
      <c r="O54" s="251"/>
      <c r="P54" s="251"/>
      <c r="Q54" s="251"/>
      <c r="R54" s="251"/>
      <c r="S54" s="251"/>
      <c r="T54" s="250"/>
      <c r="U54" s="252"/>
      <c r="X54" s="266" t="s">
        <v>66</v>
      </c>
      <c r="Y54" s="295" t="s">
        <v>75</v>
      </c>
    </row>
    <row r="55" spans="2:29" s="298" customFormat="1" ht="4.5" customHeight="1" thickBot="1" x14ac:dyDescent="0.3">
      <c r="B55" s="270"/>
      <c r="C55" s="270" t="s">
        <v>178</v>
      </c>
      <c r="D55" s="269"/>
      <c r="E55" s="270"/>
      <c r="F55" s="270"/>
      <c r="G55" s="270"/>
      <c r="H55" s="270"/>
      <c r="I55" s="270"/>
      <c r="J55" s="270"/>
      <c r="K55" s="268"/>
      <c r="L55" s="268"/>
      <c r="M55" s="270"/>
      <c r="N55" s="270"/>
      <c r="O55" s="270"/>
      <c r="P55" s="270"/>
      <c r="Q55" s="270"/>
      <c r="R55" s="270"/>
      <c r="S55" s="270"/>
      <c r="T55" s="270"/>
      <c r="U55" s="267"/>
      <c r="X55" s="299"/>
      <c r="Y55" s="299" t="s">
        <v>76</v>
      </c>
    </row>
    <row r="56" spans="2:29" ht="45" customHeight="1" x14ac:dyDescent="0.25">
      <c r="B56" s="380" t="s">
        <v>211</v>
      </c>
      <c r="C56" s="106" t="s">
        <v>102</v>
      </c>
      <c r="D56" s="107">
        <f>NETWORKDAYS.INTL(E56,F56,"0000100",$AA$5:$AA$13)</f>
        <v>7</v>
      </c>
      <c r="E56" s="108">
        <f>WORKDAY.INTL(F50,1,"0000100",$AA$5:$AA$12)</f>
        <v>46260</v>
      </c>
      <c r="F56" s="108">
        <f>WORKDAY.INTL(E56,6,"0000100",$AA$5:$AA$12)</f>
        <v>46267</v>
      </c>
      <c r="G56" s="108">
        <f>WORKDAY.INTL(H50,1,"0000100",$AA$5:$AA$12)</f>
        <v>46260</v>
      </c>
      <c r="H56" s="108">
        <f>WORKDAY.INTL(G56,6,"0000100",$AA$5:$AA$12)</f>
        <v>46267</v>
      </c>
      <c r="I56" s="108"/>
      <c r="J56" s="108"/>
      <c r="K56" s="109"/>
      <c r="L56" s="109" t="str">
        <f ca="1">IF(OR(K56=100%,J56&lt;&gt;""),"Completed",IF(AND(OR(K56="",K56=0),E56&gt;TODAY()),"Not Started",IF(AND(OR(K56="",K56=0),E56&lt;=TODAY()),"Delayed",IF(AND(K56&gt;0,K56&lt;100%,F56&lt;TODAY()),"Delayed",IF(AND(K56&gt;0,K56&lt;100%),"In Progress","")))))</f>
        <v>Not Started</v>
      </c>
      <c r="M56" s="300"/>
      <c r="N56" s="265"/>
      <c r="O56" s="265"/>
      <c r="P56" s="265"/>
      <c r="Q56" s="265"/>
      <c r="R56" s="265"/>
      <c r="S56" s="265"/>
      <c r="T56" s="264"/>
      <c r="U56" s="263"/>
      <c r="X56" s="266" t="s">
        <v>62</v>
      </c>
      <c r="Y56" s="295" t="s">
        <v>76</v>
      </c>
    </row>
    <row r="57" spans="2:29" ht="45" customHeight="1" x14ac:dyDescent="0.25">
      <c r="B57" s="376"/>
      <c r="C57" s="106" t="s">
        <v>104</v>
      </c>
      <c r="D57" s="107">
        <f>NETWORKDAYS.INTL(E57,F57,"0000100",$AA$5:$AA$13)</f>
        <v>5</v>
      </c>
      <c r="E57" s="108">
        <f>WORKDAY.INTL(F51,3,"0000100",$AA$5:$AA$12)</f>
        <v>46268</v>
      </c>
      <c r="F57" s="108">
        <f>WORKDAY.INTL(E57,4,"0000100",$AA$5:$AA$12)</f>
        <v>46273</v>
      </c>
      <c r="G57" s="108">
        <f>WORKDAY.INTL(H51,3,"0000100",$AA$5:$AA$12)</f>
        <v>46268</v>
      </c>
      <c r="H57" s="108">
        <f>WORKDAY.INTL(G57,4,"0000100",$AA$5:$AA$12)</f>
        <v>46273</v>
      </c>
      <c r="I57" s="108"/>
      <c r="J57" s="108"/>
      <c r="K57" s="109"/>
      <c r="L57" s="109" t="str">
        <f ca="1">IF(OR(K57=100%,J57&lt;&gt;""),"Completed",IF(AND(OR(K57="",K57=0),E57&gt;TODAY()),"Not Started",IF(AND(OR(K57="",K57=0),E57&lt;=TODAY()),"Delayed",IF(AND(K57&gt;0,K57&lt;100%,F57&lt;TODAY()),"Delayed",IF(AND(K57&gt;0,K57&lt;100%),"In Progress","")))))</f>
        <v>Not Started</v>
      </c>
      <c r="M57" s="300"/>
      <c r="N57" s="265"/>
      <c r="O57" s="265"/>
      <c r="P57" s="265"/>
      <c r="Q57" s="265"/>
      <c r="R57" s="265"/>
      <c r="S57" s="265"/>
      <c r="T57" s="264"/>
      <c r="U57" s="263"/>
      <c r="X57" s="266" t="s">
        <v>63</v>
      </c>
      <c r="Y57" s="295" t="s">
        <v>76</v>
      </c>
    </row>
    <row r="58" spans="2:29" ht="45" customHeight="1" x14ac:dyDescent="0.25">
      <c r="B58" s="376"/>
      <c r="C58" s="106" t="s">
        <v>107</v>
      </c>
      <c r="D58" s="107">
        <f>NETWORKDAYS.INTL(E58,F58,"0000110",$AA$5:$AA$13)</f>
        <v>5</v>
      </c>
      <c r="E58" s="108">
        <f>WORKDAY.INTL(F52,1,"0000110")</f>
        <v>46278</v>
      </c>
      <c r="F58" s="108">
        <f>WORKDAY.INTL(E58,4,"0000110")</f>
        <v>46282</v>
      </c>
      <c r="G58" s="108">
        <f>WORKDAY.INTL(H52,1,"0000110")</f>
        <v>46278</v>
      </c>
      <c r="H58" s="108">
        <f>WORKDAY.INTL(G58,4,"0000110")</f>
        <v>46282</v>
      </c>
      <c r="I58" s="108"/>
      <c r="J58" s="108"/>
      <c r="K58" s="109"/>
      <c r="L58" s="109" t="str">
        <f ca="1">IF(OR(K58=100%,J58&lt;&gt;""),"Completed",IF(AND(OR(K58="",K58=0),E58&gt;TODAY()),"Not Started",IF(AND(OR(K58="",K58=0),E58&lt;=TODAY()),"Delayed",IF(AND(K58&gt;0,K58&lt;100%,F58&lt;TODAY()),"Delayed",IF(AND(K58&gt;0,K58&lt;100%),"In Progress","")))))</f>
        <v>Not Started</v>
      </c>
      <c r="M58" s="300"/>
      <c r="N58" s="265"/>
      <c r="O58" s="265"/>
      <c r="P58" s="265"/>
      <c r="Q58" s="265"/>
      <c r="R58" s="265"/>
      <c r="S58" s="265"/>
      <c r="T58" s="264"/>
      <c r="U58" s="263" t="s">
        <v>108</v>
      </c>
      <c r="X58" s="266" t="s">
        <v>64</v>
      </c>
      <c r="Y58" s="295" t="s">
        <v>76</v>
      </c>
    </row>
    <row r="59" spans="2:29" ht="45" customHeight="1" x14ac:dyDescent="0.25">
      <c r="B59" s="376"/>
      <c r="C59" s="110" t="s">
        <v>110</v>
      </c>
      <c r="D59" s="107">
        <f>NETWORKDAYS.INTL(E59,F59,"0000110",$AA$5:$AA$13)</f>
        <v>2</v>
      </c>
      <c r="E59" s="108">
        <f>WORKDAY.INTL(F58,1,"0000110")</f>
        <v>46285</v>
      </c>
      <c r="F59" s="108">
        <f>WORKDAY.INTL(E59,1,"0000110")</f>
        <v>46286</v>
      </c>
      <c r="G59" s="108">
        <f>WORKDAY.INTL(H58,1,"0000110")</f>
        <v>46285</v>
      </c>
      <c r="H59" s="108">
        <f>WORKDAY.INTL(G59,1,"0000110")</f>
        <v>46286</v>
      </c>
      <c r="I59" s="108"/>
      <c r="J59" s="108"/>
      <c r="K59" s="109"/>
      <c r="L59" s="109" t="str">
        <f ca="1">IF(OR(K59=100%,J59&lt;&gt;""),"Completed",IF(AND(OR(K59="",K59=0),E59&gt;TODAY()),"Not Started",IF(AND(OR(K59="",K59=0),E59&lt;=TODAY()),"Delayed",IF(AND(K59&gt;0,K59&lt;100%,F59&lt;TODAY()),"Delayed",IF(AND(K59&gt;0,K59&lt;100%),"In Progress","")))))</f>
        <v>Not Started</v>
      </c>
      <c r="M59" s="300"/>
      <c r="N59" s="262"/>
      <c r="O59" s="262"/>
      <c r="P59" s="262"/>
      <c r="Q59" s="262"/>
      <c r="R59" s="262"/>
      <c r="S59" s="262"/>
      <c r="T59" s="261"/>
      <c r="U59" s="263" t="s">
        <v>111</v>
      </c>
      <c r="X59" s="266" t="s">
        <v>65</v>
      </c>
      <c r="Y59" s="295" t="s">
        <v>76</v>
      </c>
    </row>
    <row r="60" spans="2:29" ht="45" customHeight="1" thickBot="1" x14ac:dyDescent="0.3">
      <c r="B60" s="381"/>
      <c r="C60" s="110" t="s">
        <v>112</v>
      </c>
      <c r="D60" s="107">
        <f>NETWORKDAYS.INTL(E60,F60,"0000110",$AA$5:$AA$13)</f>
        <v>1</v>
      </c>
      <c r="E60" s="108">
        <f>WORKDAY.INTL(F59,0,"0000110")</f>
        <v>46286</v>
      </c>
      <c r="F60" s="108">
        <f>WORKDAY.INTL(E60,0,"0000110")</f>
        <v>46286</v>
      </c>
      <c r="G60" s="108">
        <f>WORKDAY.INTL(H59,0,"0000110")</f>
        <v>46286</v>
      </c>
      <c r="H60" s="108">
        <f>WORKDAY.INTL(G60,0,"0000110")</f>
        <v>46286</v>
      </c>
      <c r="I60" s="108"/>
      <c r="J60" s="108"/>
      <c r="K60" s="109"/>
      <c r="L60" s="109" t="str">
        <f ca="1">IF(OR(K60=100%,J60&lt;&gt;""),"Completed",IF(AND(OR(K60="",K60=0),E60&gt;TODAY()),"Not Started",IF(AND(OR(K60="",K60=0),E60&lt;=TODAY()),"Delayed",IF(AND(K60&gt;0,K60&lt;100%,F60&lt;TODAY()),"Delayed",IF(AND(K60&gt;0,K60&lt;100%),"In Progress","")))))</f>
        <v>Not Started</v>
      </c>
      <c r="M60" s="300"/>
      <c r="N60" s="262"/>
      <c r="O60" s="262"/>
      <c r="P60" s="262"/>
      <c r="Q60" s="262"/>
      <c r="R60" s="262"/>
      <c r="S60" s="262"/>
      <c r="T60" s="261"/>
      <c r="U60" s="263"/>
      <c r="X60" s="266" t="s">
        <v>66</v>
      </c>
      <c r="Y60" s="295" t="s">
        <v>76</v>
      </c>
    </row>
    <row r="61" spans="2:29" s="298" customFormat="1" ht="4.5" customHeight="1" thickBot="1" x14ac:dyDescent="0.3">
      <c r="B61" s="270"/>
      <c r="C61" s="270" t="s">
        <v>178</v>
      </c>
      <c r="D61" s="269"/>
      <c r="E61" s="270"/>
      <c r="F61" s="270"/>
      <c r="G61" s="270"/>
      <c r="H61" s="270"/>
      <c r="I61" s="270"/>
      <c r="J61" s="270"/>
      <c r="K61" s="268"/>
      <c r="L61" s="268"/>
      <c r="M61" s="270"/>
      <c r="N61" s="270"/>
      <c r="O61" s="270"/>
      <c r="P61" s="270"/>
      <c r="Q61" s="270"/>
      <c r="R61" s="270"/>
      <c r="S61" s="270"/>
      <c r="T61" s="270"/>
      <c r="U61" s="267"/>
      <c r="V61" s="304"/>
      <c r="Y61" s="298" t="s">
        <v>77</v>
      </c>
      <c r="AB61" s="289"/>
    </row>
    <row r="62" spans="2:29" ht="45" customHeight="1" x14ac:dyDescent="0.25">
      <c r="B62" s="377" t="s">
        <v>212</v>
      </c>
      <c r="C62" s="111" t="s">
        <v>102</v>
      </c>
      <c r="D62" s="112">
        <f>NETWORKDAYS.INTL(E62,F62,"0000100",$AA$5:$AA$13)</f>
        <v>7</v>
      </c>
      <c r="E62" s="113">
        <f>F56+1</f>
        <v>46268</v>
      </c>
      <c r="F62" s="114">
        <f t="shared" ref="F62" si="1">E62+7</f>
        <v>46275</v>
      </c>
      <c r="G62" s="113">
        <f>H56+1</f>
        <v>46268</v>
      </c>
      <c r="H62" s="114">
        <f t="shared" ref="H62" si="2">G62+7</f>
        <v>46275</v>
      </c>
      <c r="I62" s="114"/>
      <c r="J62" s="114"/>
      <c r="K62" s="115"/>
      <c r="L62" s="115" t="str">
        <f ca="1">IF(OR(K62=100%,J62&lt;&gt;""),"Completed",IF(AND(OR(K62="",K62=0),E62&gt;TODAY()),"Not Started",IF(AND(OR(K62="",K62=0),E62&lt;=TODAY()),"Delayed",IF(AND(K62&gt;0,K62&lt;100%,F62&lt;TODAY()),"Delayed",IF(AND(K62&gt;0,K62&lt;100%),"In Progress","")))))</f>
        <v>Not Started</v>
      </c>
      <c r="M62" s="303"/>
      <c r="N62" s="257"/>
      <c r="O62" s="257"/>
      <c r="P62" s="257"/>
      <c r="Q62" s="257"/>
      <c r="R62" s="257"/>
      <c r="S62" s="257"/>
      <c r="T62" s="256"/>
      <c r="U62" s="255"/>
      <c r="X62" s="266" t="s">
        <v>62</v>
      </c>
      <c r="Y62" s="295" t="s">
        <v>77</v>
      </c>
      <c r="AC62" s="301"/>
    </row>
    <row r="63" spans="2:29" ht="45" customHeight="1" x14ac:dyDescent="0.25">
      <c r="B63" s="378"/>
      <c r="C63" s="116" t="s">
        <v>104</v>
      </c>
      <c r="D63" s="117">
        <f>NETWORKDAYS.INTL(E63,F63,"0000100",$AA$5:$AA$13)</f>
        <v>5</v>
      </c>
      <c r="E63" s="113">
        <f>WORKDAY.INTL(F57,3,"0000100",$AA$5:$AA$12)</f>
        <v>46277</v>
      </c>
      <c r="F63" s="114">
        <f>WORKDAY.INTL(E63,4,"0000100",$AA$5:$AA$12)</f>
        <v>46281</v>
      </c>
      <c r="G63" s="113">
        <f>WORKDAY.INTL(H57,3,"0000100",$AA$5:$AA$12)</f>
        <v>46277</v>
      </c>
      <c r="H63" s="114">
        <f>WORKDAY.INTL(G63,4,"0000100",$AA$5:$AA$12)</f>
        <v>46281</v>
      </c>
      <c r="I63" s="114"/>
      <c r="J63" s="114"/>
      <c r="K63" s="115"/>
      <c r="L63" s="115" t="str">
        <f ca="1">IF(OR(K63=100%,J63&lt;&gt;""),"Completed",IF(AND(OR(K63="",K63=0),E63&gt;TODAY()),"Not Started",IF(AND(OR(K63="",K63=0),E63&lt;=TODAY()),"Delayed",IF(AND(K63&gt;0,K63&lt;100%,F63&lt;TODAY()),"Delayed",IF(AND(K63&gt;0,K63&lt;100%),"In Progress","")))))</f>
        <v>Not Started</v>
      </c>
      <c r="M63" s="303"/>
      <c r="N63" s="254"/>
      <c r="O63" s="254"/>
      <c r="P63" s="254"/>
      <c r="Q63" s="254"/>
      <c r="R63" s="254"/>
      <c r="S63" s="254"/>
      <c r="T63" s="253"/>
      <c r="U63" s="252"/>
      <c r="X63" s="266" t="s">
        <v>63</v>
      </c>
      <c r="Y63" s="295" t="s">
        <v>77</v>
      </c>
    </row>
    <row r="64" spans="2:29" ht="45" customHeight="1" x14ac:dyDescent="0.25">
      <c r="B64" s="378"/>
      <c r="C64" s="118" t="s">
        <v>107</v>
      </c>
      <c r="D64" s="117">
        <f>NETWORKDAYS.INTL(E64,F64,"0000110",$AA$5:$AA$13)</f>
        <v>4</v>
      </c>
      <c r="E64" s="113">
        <f>WORKDAY.INTL(F58,1,"0000110")</f>
        <v>46285</v>
      </c>
      <c r="F64" s="113">
        <f>WORKDAY.INTL(E64,4,"0000110")</f>
        <v>46289</v>
      </c>
      <c r="G64" s="113">
        <f>WORKDAY.INTL(H58,1,"0000110")</f>
        <v>46285</v>
      </c>
      <c r="H64" s="113">
        <f>WORKDAY.INTL(G64,4,"0000110")</f>
        <v>46289</v>
      </c>
      <c r="I64" s="113"/>
      <c r="J64" s="113"/>
      <c r="K64" s="119"/>
      <c r="L64" s="119" t="str">
        <f ca="1">IF(OR(K64=100%,J64&lt;&gt;""),"Completed",IF(AND(OR(K64="",K64=0),E64&gt;TODAY()),"Not Started",IF(AND(OR(K64="",K64=0),E64&lt;=TODAY()),"Delayed",IF(AND(K64&gt;0,K64&lt;100%,F64&lt;TODAY()),"Delayed",IF(AND(K64&gt;0,K64&lt;100%),"In Progress","")))))</f>
        <v>Not Started</v>
      </c>
      <c r="M64" s="303"/>
      <c r="N64" s="251"/>
      <c r="O64" s="251"/>
      <c r="P64" s="251"/>
      <c r="Q64" s="251"/>
      <c r="R64" s="251"/>
      <c r="S64" s="251"/>
      <c r="T64" s="250"/>
      <c r="U64" s="252" t="s">
        <v>108</v>
      </c>
      <c r="X64" s="266" t="s">
        <v>64</v>
      </c>
      <c r="Y64" s="295" t="s">
        <v>77</v>
      </c>
    </row>
    <row r="65" spans="2:28" ht="45" customHeight="1" x14ac:dyDescent="0.25">
      <c r="B65" s="378"/>
      <c r="C65" s="118" t="s">
        <v>110</v>
      </c>
      <c r="D65" s="117">
        <f>NETWORKDAYS.INTL(E65,F65,"0000110",$AA$5:$AA$13)</f>
        <v>2</v>
      </c>
      <c r="E65" s="113">
        <f>WORKDAY.INTL(F64,1,"0000110")</f>
        <v>46292</v>
      </c>
      <c r="F65" s="113">
        <f>WORKDAY.INTL(E65,1,"0000110")</f>
        <v>46293</v>
      </c>
      <c r="G65" s="113">
        <f>WORKDAY.INTL(H64,1,"0000110")</f>
        <v>46292</v>
      </c>
      <c r="H65" s="113">
        <f>WORKDAY.INTL(G65,1,"0000110")</f>
        <v>46293</v>
      </c>
      <c r="I65" s="113"/>
      <c r="J65" s="113"/>
      <c r="K65" s="119"/>
      <c r="L65" s="119" t="str">
        <f ca="1">IF(OR(K65=100%,J65&lt;&gt;""),"Completed",IF(AND(OR(K65="",K65=0),E65&gt;TODAY()),"Not Started",IF(AND(OR(K65="",K65=0),E65&lt;=TODAY()),"Delayed",IF(AND(K65&gt;0,K65&lt;100%,F65&lt;TODAY()),"Delayed",IF(AND(K65&gt;0,K65&lt;100%),"In Progress","")))))</f>
        <v>Not Started</v>
      </c>
      <c r="M65" s="303"/>
      <c r="N65" s="251"/>
      <c r="O65" s="251"/>
      <c r="P65" s="251"/>
      <c r="Q65" s="251"/>
      <c r="R65" s="251"/>
      <c r="S65" s="251"/>
      <c r="T65" s="250"/>
      <c r="U65" s="252" t="s">
        <v>111</v>
      </c>
      <c r="X65" s="266" t="s">
        <v>65</v>
      </c>
      <c r="Y65" s="295" t="s">
        <v>77</v>
      </c>
    </row>
    <row r="66" spans="2:28" ht="45" customHeight="1" thickBot="1" x14ac:dyDescent="0.3">
      <c r="B66" s="379"/>
      <c r="C66" s="118" t="s">
        <v>112</v>
      </c>
      <c r="D66" s="117">
        <f>NETWORKDAYS.INTL(E66,F66,"0000110",$AA$5:$AA$13)</f>
        <v>1</v>
      </c>
      <c r="E66" s="113">
        <f>WORKDAY.INTL(F65,0,"0000110")</f>
        <v>46293</v>
      </c>
      <c r="F66" s="113">
        <f>WORKDAY.INTL(E66,0,"0000110")</f>
        <v>46293</v>
      </c>
      <c r="G66" s="113">
        <f>WORKDAY.INTL(H65,0,"0000110")</f>
        <v>46293</v>
      </c>
      <c r="H66" s="113">
        <f>WORKDAY.INTL(G66,0,"0000110")</f>
        <v>46293</v>
      </c>
      <c r="I66" s="113"/>
      <c r="J66" s="113"/>
      <c r="K66" s="119"/>
      <c r="L66" s="119" t="str">
        <f ca="1">IF(OR(K66=100%,J66&lt;&gt;""),"Completed",IF(AND(OR(K66="",K66=0),E66&gt;TODAY()),"Not Started",IF(AND(OR(K66="",K66=0),E66&lt;=TODAY()),"Delayed",IF(AND(K66&gt;0,K66&lt;100%,F66&lt;TODAY()),"Delayed",IF(AND(K66&gt;0,K66&lt;100%),"In Progress","")))))</f>
        <v>Not Started</v>
      </c>
      <c r="M66" s="303"/>
      <c r="N66" s="251"/>
      <c r="O66" s="251"/>
      <c r="P66" s="251"/>
      <c r="Q66" s="251"/>
      <c r="R66" s="251"/>
      <c r="S66" s="251"/>
      <c r="T66" s="250"/>
      <c r="U66" s="252"/>
      <c r="X66" s="266" t="s">
        <v>66</v>
      </c>
      <c r="Y66" s="295" t="s">
        <v>77</v>
      </c>
    </row>
    <row r="67" spans="2:28" s="298" customFormat="1" ht="4.5" customHeight="1" thickBot="1" x14ac:dyDescent="0.3">
      <c r="B67" s="270"/>
      <c r="C67" s="270"/>
      <c r="D67" s="269"/>
      <c r="E67" s="270"/>
      <c r="F67" s="270"/>
      <c r="G67" s="270"/>
      <c r="H67" s="270"/>
      <c r="I67" s="270"/>
      <c r="J67" s="270"/>
      <c r="K67" s="268"/>
      <c r="L67" s="268"/>
      <c r="M67" s="270"/>
      <c r="N67" s="270"/>
      <c r="O67" s="270"/>
      <c r="P67" s="270"/>
      <c r="Q67" s="270"/>
      <c r="R67" s="270"/>
      <c r="S67" s="270"/>
      <c r="T67" s="270"/>
      <c r="U67" s="267"/>
      <c r="V67" s="304"/>
      <c r="AB67" s="289"/>
    </row>
    <row r="68" spans="2:28" ht="45" customHeight="1" x14ac:dyDescent="0.25">
      <c r="B68" s="380" t="s">
        <v>121</v>
      </c>
      <c r="C68" s="106" t="s">
        <v>122</v>
      </c>
      <c r="D68" s="107">
        <f t="shared" ref="D68:D70" si="3">NETWORKDAYS.INTL(E68,F68,"0000100",$AB$5:$AB$12)</f>
        <v>18</v>
      </c>
      <c r="E68" s="108">
        <f>WORKDAY.INTL(F8,1,"0000100",$AB$5:$AB$11)</f>
        <v>46223</v>
      </c>
      <c r="F68" s="108">
        <f>WORKDAY.INTL(E68,17,"0000100",$AB$5:$AB$11)</f>
        <v>46243</v>
      </c>
      <c r="G68" s="108">
        <f>WORKDAY.INTL(H8,1,"0000100",$AB$5:$AB$11)</f>
        <v>46223</v>
      </c>
      <c r="H68" s="108">
        <f>WORKDAY.INTL(G68,17,"0000100",$AB$5:$AB$11)</f>
        <v>46243</v>
      </c>
      <c r="I68" s="108"/>
      <c r="J68" s="108"/>
      <c r="K68" s="109"/>
      <c r="L68" s="109" t="str">
        <f ca="1">IF(OR(K68=100%,J68&lt;&gt;""),"Completed",IF(AND(OR(K68="",K68=0),E68&gt;TODAY()),"Not Started",IF(AND(OR(K68="",K68=0),E68&lt;=TODAY()),"Delayed",IF(AND(K68&gt;0,K68&lt;100%,F68&lt;TODAY()),"Delayed",IF(AND(K68&gt;0,K68&lt;100%),"In Progress","")))))</f>
        <v>Not Started</v>
      </c>
      <c r="M68" s="300"/>
      <c r="N68" s="264"/>
      <c r="O68" s="249"/>
      <c r="P68" s="249"/>
      <c r="Q68" s="249"/>
      <c r="R68" s="249"/>
      <c r="S68" s="249"/>
      <c r="T68" s="249"/>
      <c r="U68" s="263" t="s">
        <v>200</v>
      </c>
      <c r="V68" s="290"/>
      <c r="X68" s="266"/>
    </row>
    <row r="69" spans="2:28" ht="43.5" customHeight="1" x14ac:dyDescent="0.25">
      <c r="B69" s="376"/>
      <c r="C69" s="106" t="s">
        <v>123</v>
      </c>
      <c r="D69" s="107">
        <f t="shared" si="3"/>
        <v>18</v>
      </c>
      <c r="E69" s="108">
        <f>WORKDAY.INTL(F8,1,"0000100",$AB$5:$AB$11)</f>
        <v>46223</v>
      </c>
      <c r="F69" s="108">
        <f>WORKDAY.INTL(E69,17,"0000100",$AB$5:$AB$11)</f>
        <v>46243</v>
      </c>
      <c r="G69" s="108">
        <f>WORKDAY.INTL(H8,1,"0000100",$AB$5:$AB$11)</f>
        <v>46223</v>
      </c>
      <c r="H69" s="108">
        <f>WORKDAY.INTL(G69,17,"0000100",$AB$5:$AB$11)</f>
        <v>46243</v>
      </c>
      <c r="I69" s="108"/>
      <c r="J69" s="108"/>
      <c r="K69" s="109"/>
      <c r="L69" s="109" t="str">
        <f ca="1">IF(OR(K69=100%,J69&lt;&gt;""),"Completed",IF(AND(OR(K69="",K69=0),E69&gt;TODAY()),"Not Started",IF(AND(OR(K69="",K69=0),E69&lt;=TODAY()),"Delayed",IF(AND(K69&gt;0,K69&lt;100%,F69&lt;TODAY()),"Delayed",IF(AND(K69&gt;0,K69&lt;100%),"In Progress","")))))</f>
        <v>Not Started</v>
      </c>
      <c r="M69" s="300"/>
      <c r="N69" s="264"/>
      <c r="O69" s="249"/>
      <c r="P69" s="249"/>
      <c r="Q69" s="249"/>
      <c r="R69" s="249"/>
      <c r="S69" s="249"/>
      <c r="T69" s="249"/>
      <c r="U69" s="263" t="s">
        <v>30</v>
      </c>
      <c r="V69" s="290"/>
      <c r="X69" s="266"/>
    </row>
    <row r="70" spans="2:28" ht="36.75" thickBot="1" x14ac:dyDescent="0.3">
      <c r="B70" s="381"/>
      <c r="C70" s="106" t="s">
        <v>124</v>
      </c>
      <c r="D70" s="107">
        <f t="shared" si="3"/>
        <v>65</v>
      </c>
      <c r="E70" s="108">
        <f>WORKDAY.INTL(F8,1,"0000100",$AB$5:$AB$11)</f>
        <v>46223</v>
      </c>
      <c r="F70" s="108">
        <f>WORKDAY.INTL(E70,64,"0000100",$AB$5:$AB$11)</f>
        <v>46298</v>
      </c>
      <c r="G70" s="108">
        <f>WORKDAY.INTL(H8,1,"0000100",$AB$5:$AB$11)</f>
        <v>46223</v>
      </c>
      <c r="H70" s="108">
        <f>WORKDAY.INTL(G70,64,"0000100",$AB$5:$AB$11)</f>
        <v>46298</v>
      </c>
      <c r="I70" s="108"/>
      <c r="J70" s="108"/>
      <c r="K70" s="109"/>
      <c r="L70" s="109" t="str">
        <f ca="1">IF(OR(K70=100%,J70&lt;&gt;""),"Completed",IF(AND(OR(K70="",K70=0),E70&gt;TODAY()),"Not Started",IF(AND(OR(K70="",K70=0),E70&lt;=TODAY()),"Delayed",IF(AND(K70&gt;0,K70&lt;100%,F70&lt;TODAY()),"Delayed",IF(AND(K70&gt;0,K70&lt;100%),"In Progress","")))))</f>
        <v>Not Started</v>
      </c>
      <c r="M70" s="300"/>
      <c r="N70" s="265"/>
      <c r="O70" s="265"/>
      <c r="P70" s="265"/>
      <c r="Q70" s="265"/>
      <c r="R70" s="265"/>
      <c r="S70" s="265"/>
      <c r="T70" s="264"/>
      <c r="U70" s="263" t="s">
        <v>201</v>
      </c>
      <c r="V70" s="290"/>
      <c r="X70" s="266"/>
    </row>
    <row r="71" spans="2:28" s="298" customFormat="1" ht="4.5" customHeight="1" thickBot="1" x14ac:dyDescent="0.3">
      <c r="B71" s="270"/>
      <c r="C71" s="270"/>
      <c r="D71" s="269"/>
      <c r="E71" s="270"/>
      <c r="F71" s="270"/>
      <c r="G71" s="270"/>
      <c r="H71" s="270"/>
      <c r="I71" s="270"/>
      <c r="J71" s="270"/>
      <c r="K71" s="268"/>
      <c r="L71" s="268"/>
      <c r="M71" s="270"/>
      <c r="N71" s="270"/>
      <c r="O71" s="270"/>
      <c r="P71" s="270"/>
      <c r="Q71" s="270"/>
      <c r="R71" s="270"/>
      <c r="S71" s="270"/>
      <c r="T71" s="270"/>
      <c r="U71" s="267"/>
      <c r="X71" s="299"/>
      <c r="Y71" s="299"/>
    </row>
    <row r="72" spans="2:28" s="298" customFormat="1" ht="110.1" customHeight="1" x14ac:dyDescent="0.25">
      <c r="B72" s="385" t="s">
        <v>125</v>
      </c>
      <c r="C72" s="135" t="s">
        <v>126</v>
      </c>
      <c r="D72" s="136">
        <f t="shared" ref="D72:D76" si="4">NETWORKDAYS.INTL(E72,F72,"0000100",$AB$5:$AB$12)</f>
        <v>26</v>
      </c>
      <c r="E72" s="137">
        <f>WORKDAY.INTL(F66,1,"0000100",$AB$5:$AB$11)</f>
        <v>46294</v>
      </c>
      <c r="F72" s="137">
        <f>WORKDAY.INTL(E72,25,"0000100",$AB$5:$AB$11)</f>
        <v>46323</v>
      </c>
      <c r="G72" s="137">
        <f>WORKDAY.INTL(H66,1,"0000100",$AB$5:$AB$11)</f>
        <v>46294</v>
      </c>
      <c r="H72" s="137">
        <f>WORKDAY.INTL(G72,25,"0000100",$AB$5:$AB$11)</f>
        <v>46323</v>
      </c>
      <c r="I72" s="137"/>
      <c r="J72" s="137"/>
      <c r="K72" s="138"/>
      <c r="L72" s="138"/>
      <c r="M72" s="305"/>
      <c r="N72" s="306"/>
      <c r="O72" s="306"/>
      <c r="P72" s="306"/>
      <c r="Q72" s="306"/>
      <c r="R72" s="306"/>
      <c r="S72" s="306"/>
      <c r="T72" s="307"/>
      <c r="U72" s="308" t="s">
        <v>127</v>
      </c>
      <c r="X72" s="299"/>
      <c r="Y72" s="299"/>
    </row>
    <row r="73" spans="2:28" s="298" customFormat="1" ht="34.5" customHeight="1" x14ac:dyDescent="0.25">
      <c r="B73" s="386"/>
      <c r="C73" s="131" t="s">
        <v>128</v>
      </c>
      <c r="D73" s="132">
        <f t="shared" si="4"/>
        <v>7</v>
      </c>
      <c r="E73" s="133">
        <v>46203</v>
      </c>
      <c r="F73" s="133">
        <f>WORKDAY.INTL(E73,6,"0000100",$AB$5:$AB$11)</f>
        <v>46210</v>
      </c>
      <c r="G73" s="133">
        <v>46203</v>
      </c>
      <c r="H73" s="133">
        <f>WORKDAY.INTL(G73,6,"0000100",$AB$5:$AB$11)</f>
        <v>46210</v>
      </c>
      <c r="I73" s="133"/>
      <c r="J73" s="133"/>
      <c r="K73" s="134"/>
      <c r="L73" s="134"/>
      <c r="M73" s="309"/>
      <c r="N73" s="310"/>
      <c r="O73" s="310"/>
      <c r="P73" s="310"/>
      <c r="Q73" s="310"/>
      <c r="R73" s="310"/>
      <c r="S73" s="310"/>
      <c r="T73" s="311"/>
      <c r="U73" s="312"/>
      <c r="X73" s="299"/>
      <c r="Y73" s="299"/>
    </row>
    <row r="74" spans="2:28" s="298" customFormat="1" ht="124.5" customHeight="1" x14ac:dyDescent="0.25">
      <c r="B74" s="386"/>
      <c r="C74" s="131" t="s">
        <v>129</v>
      </c>
      <c r="D74" s="132">
        <f t="shared" si="4"/>
        <v>167</v>
      </c>
      <c r="E74" s="133">
        <v>46194</v>
      </c>
      <c r="F74" s="133">
        <f>WORKDAY.INTL(E74,166,"0000100",$AB$5:$AB$11)</f>
        <v>46387</v>
      </c>
      <c r="G74" s="133">
        <v>46194</v>
      </c>
      <c r="H74" s="133">
        <f>WORKDAY.INTL(G74,166,"0000100",$AB$5:$AB$11)</f>
        <v>46387</v>
      </c>
      <c r="I74" s="133"/>
      <c r="J74" s="133"/>
      <c r="K74" s="134"/>
      <c r="L74" s="134"/>
      <c r="M74" s="309"/>
      <c r="N74" s="310"/>
      <c r="O74" s="310"/>
      <c r="P74" s="310"/>
      <c r="Q74" s="310"/>
      <c r="R74" s="310"/>
      <c r="S74" s="310"/>
      <c r="T74" s="311"/>
      <c r="U74" s="313" t="s">
        <v>130</v>
      </c>
      <c r="X74" s="299"/>
      <c r="Y74" s="299"/>
    </row>
    <row r="75" spans="2:28" s="298" customFormat="1" ht="124.5" customHeight="1" x14ac:dyDescent="0.25">
      <c r="B75" s="386"/>
      <c r="C75" s="131" t="s">
        <v>131</v>
      </c>
      <c r="D75" s="132">
        <f t="shared" si="4"/>
        <v>129</v>
      </c>
      <c r="E75" s="133">
        <f>WORKDAY.INTL(F74,1,"0000100",$AB$5:$AB$11)</f>
        <v>46389</v>
      </c>
      <c r="F75" s="133">
        <f>WORKDAY.INTL(E75,128,"0000100",$AB$5:$AB$11)</f>
        <v>46538</v>
      </c>
      <c r="G75" s="133">
        <f>WORKDAY.INTL(H74,1,"0000100",$AB$5:$AB$11)</f>
        <v>46389</v>
      </c>
      <c r="H75" s="133">
        <f>WORKDAY.INTL(G75,128,"0000100",$AB$5:$AB$11)</f>
        <v>46538</v>
      </c>
      <c r="I75" s="133"/>
      <c r="J75" s="133"/>
      <c r="K75" s="134"/>
      <c r="L75" s="134"/>
      <c r="M75" s="309"/>
      <c r="N75" s="310"/>
      <c r="O75" s="310"/>
      <c r="P75" s="310"/>
      <c r="Q75" s="310"/>
      <c r="R75" s="310"/>
      <c r="S75" s="310"/>
      <c r="T75" s="311"/>
      <c r="U75" s="313" t="s">
        <v>130</v>
      </c>
      <c r="X75" s="299"/>
      <c r="Y75" s="299"/>
    </row>
    <row r="76" spans="2:28" s="298" customFormat="1" ht="34.5" customHeight="1" thickBot="1" x14ac:dyDescent="0.3">
      <c r="B76" s="387"/>
      <c r="C76" s="145" t="s">
        <v>132</v>
      </c>
      <c r="D76" s="146">
        <f t="shared" si="4"/>
        <v>18</v>
      </c>
      <c r="E76" s="147">
        <v>46357</v>
      </c>
      <c r="F76" s="147">
        <f t="shared" ref="F76" si="5">WORKDAY.INTL(E76,17,"0000100",$AB$5:$AB$11)</f>
        <v>46377</v>
      </c>
      <c r="G76" s="147">
        <v>46357</v>
      </c>
      <c r="H76" s="147">
        <f t="shared" ref="H76" si="6">WORKDAY.INTL(G76,17,"0000100",$AB$5:$AB$11)</f>
        <v>46377</v>
      </c>
      <c r="I76" s="147"/>
      <c r="J76" s="147"/>
      <c r="K76" s="148"/>
      <c r="L76" s="148"/>
      <c r="M76" s="314"/>
      <c r="N76" s="315"/>
      <c r="O76" s="315"/>
      <c r="P76" s="315"/>
      <c r="Q76" s="315"/>
      <c r="R76" s="315"/>
      <c r="S76" s="315"/>
      <c r="T76" s="316"/>
      <c r="U76" s="317" t="s">
        <v>133</v>
      </c>
      <c r="X76" s="299"/>
      <c r="Y76" s="299"/>
    </row>
    <row r="77" spans="2:28" s="298" customFormat="1" ht="4.5" customHeight="1" thickBot="1" x14ac:dyDescent="0.3">
      <c r="B77" s="248"/>
      <c r="C77" s="248"/>
      <c r="D77" s="247"/>
      <c r="E77" s="248"/>
      <c r="F77" s="248"/>
      <c r="G77" s="248"/>
      <c r="H77" s="248"/>
      <c r="I77" s="248"/>
      <c r="J77" s="248"/>
      <c r="K77" s="246"/>
      <c r="L77" s="246"/>
      <c r="M77" s="248"/>
      <c r="N77" s="248"/>
      <c r="O77" s="248"/>
      <c r="P77" s="248"/>
      <c r="Q77" s="248"/>
      <c r="R77" s="248"/>
      <c r="S77" s="248"/>
      <c r="T77" s="248"/>
      <c r="U77" s="245"/>
      <c r="X77" s="299"/>
      <c r="Y77" s="299"/>
    </row>
    <row r="78" spans="2:28" s="298" customFormat="1" ht="85.5" customHeight="1" thickBot="1" x14ac:dyDescent="0.3">
      <c r="B78" s="182" t="s">
        <v>134</v>
      </c>
      <c r="C78" s="153" t="s">
        <v>202</v>
      </c>
      <c r="D78" s="154">
        <f>NETWORKDAYS.INTL(E78,F78,"0000110",$AB$5:$AB$12)</f>
        <v>3</v>
      </c>
      <c r="E78" s="155">
        <f>MAX(WORKDAY.INTL(F65,1,"0000110"),WORKDAY.INTL(F86,1,"0000110"),WORKDAY.INTL(F84,1,"0000110"))</f>
        <v>46300</v>
      </c>
      <c r="F78" s="155">
        <f>WORKDAY.INTL(E78,2,"0000110")</f>
        <v>46302</v>
      </c>
      <c r="G78" s="155">
        <f>MAX(WORKDAY.INTL(H65,1,"0000110"),WORKDAY.INTL(H86,1,"0000110"),WORKDAY.INTL(H84,1,"0000110"))</f>
        <v>46300</v>
      </c>
      <c r="H78" s="155">
        <f>WORKDAY.INTL(G78,2,"0000110")</f>
        <v>46302</v>
      </c>
      <c r="I78" s="155"/>
      <c r="J78" s="155"/>
      <c r="K78" s="156"/>
      <c r="L78" s="156" t="str">
        <f ca="1">IF(OR(K78=100%,J78&lt;&gt;""),"Completed",IF(AND(OR(K78="",K78=0),E78&gt;TODAY()),"Not Started",IF(AND(OR(K78="",K78=0),E78&lt;=TODAY()),"Delayed",IF(AND(K78&gt;0,K78&lt;100%,F78&lt;TODAY()),"Delayed",IF(AND(K78&gt;0,K78&lt;100%),"In Progress","")))))</f>
        <v>Not Started</v>
      </c>
      <c r="M78" s="157"/>
      <c r="N78" s="158"/>
      <c r="O78" s="158"/>
      <c r="P78" s="158"/>
      <c r="Q78" s="158"/>
      <c r="R78" s="158"/>
      <c r="S78" s="158"/>
      <c r="T78" s="159"/>
      <c r="U78" s="318" t="s">
        <v>136</v>
      </c>
      <c r="X78" s="299"/>
      <c r="Y78" s="299"/>
    </row>
    <row r="79" spans="2:28" s="298" customFormat="1" ht="4.5" customHeight="1" thickBot="1" x14ac:dyDescent="0.3">
      <c r="B79" s="248"/>
      <c r="C79" s="248"/>
      <c r="D79" s="247"/>
      <c r="E79" s="248"/>
      <c r="F79" s="248"/>
      <c r="G79" s="248"/>
      <c r="H79" s="248"/>
      <c r="I79" s="248"/>
      <c r="J79" s="248"/>
      <c r="K79" s="246"/>
      <c r="L79" s="246"/>
      <c r="M79" s="248"/>
      <c r="N79" s="248"/>
      <c r="O79" s="248"/>
      <c r="P79" s="248"/>
      <c r="Q79" s="248"/>
      <c r="R79" s="248"/>
      <c r="S79" s="248"/>
      <c r="T79" s="248"/>
      <c r="U79" s="245"/>
      <c r="X79" s="266"/>
      <c r="Y79" s="295"/>
    </row>
    <row r="80" spans="2:28" ht="28.9" customHeight="1" x14ac:dyDescent="0.25">
      <c r="B80" s="388" t="s">
        <v>34</v>
      </c>
      <c r="C80" s="162" t="s">
        <v>36</v>
      </c>
      <c r="D80" s="163">
        <f t="shared" ref="D80:D84" si="7">NETWORKDAYS.INTL(E80,F80,"0000110",$AA$5:$AA$13)</f>
        <v>3</v>
      </c>
      <c r="E80" s="164">
        <f>MAX(WORKDAY.INTL(F63,1,"0000110",$AA$5:$AA$12),WORKDAY.INTL(F69,1,"0000110",$AA$5:$AA$12),WORKDAY.INTL(F54,1,"0000110",$AA$5:$AA$12))</f>
        <v>46282</v>
      </c>
      <c r="F80" s="164">
        <f>WORKDAY.INTL(E80,2,"0000110",$AA$5:$AA$12)</f>
        <v>46286</v>
      </c>
      <c r="G80" s="164">
        <f>MAX(WORKDAY.INTL(H63,1,"0000110",$AA$5:$AA$12),WORKDAY.INTL(H69,1,"0000110",$AA$5:$AA$12),WORKDAY.INTL(H54,1,"0000110",$AA$5:$AA$12))</f>
        <v>46282</v>
      </c>
      <c r="H80" s="164">
        <f>WORKDAY.INTL(G80,2,"0000110",$AA$5:$AA$12)</f>
        <v>46286</v>
      </c>
      <c r="I80" s="164"/>
      <c r="J80" s="164"/>
      <c r="K80" s="165"/>
      <c r="L80" s="165" t="str">
        <f t="shared" ref="L80:L84" ca="1" si="8">IF(OR(K80=100%,J80&lt;&gt;""),"Completed",IF(AND(OR(K80="",K80=0),E80&gt;TODAY()),"Not Started",IF(AND(OR(K80="",K80=0),E80&lt;=TODAY()),"Delayed",IF(AND(K80&gt;0,K80&lt;100%,F80&lt;TODAY()),"Delayed",IF(AND(K80&gt;0,K80&lt;100%),"In Progress","")))))</f>
        <v>Not Started</v>
      </c>
      <c r="M80" s="166"/>
      <c r="N80" s="167"/>
      <c r="O80" s="167"/>
      <c r="P80" s="167"/>
      <c r="Q80" s="167"/>
      <c r="R80" s="167"/>
      <c r="S80" s="167"/>
      <c r="T80" s="168"/>
      <c r="U80" s="169"/>
      <c r="V80" s="290"/>
      <c r="X80" s="266"/>
    </row>
    <row r="81" spans="2:26" ht="28.9" customHeight="1" x14ac:dyDescent="0.25">
      <c r="B81" s="389"/>
      <c r="C81" s="118" t="s">
        <v>38</v>
      </c>
      <c r="D81" s="117">
        <f t="shared" si="7"/>
        <v>4</v>
      </c>
      <c r="E81" s="113">
        <f>WORKDAY.INTL(F80,1,"0000110",$AA$5:$AA$12)</f>
        <v>46287</v>
      </c>
      <c r="F81" s="113">
        <f>WORKDAY.INTL(E81,4,"0000110",$AA$5:$AA$12)</f>
        <v>46293</v>
      </c>
      <c r="G81" s="113">
        <f>WORKDAY.INTL(H80,1,"0000110",$AA$5:$AA$12)</f>
        <v>46287</v>
      </c>
      <c r="H81" s="113">
        <f>WORKDAY.INTL(G81,4,"0000110",$AA$5:$AA$12)</f>
        <v>46293</v>
      </c>
      <c r="I81" s="113"/>
      <c r="J81" s="113"/>
      <c r="K81" s="119"/>
      <c r="L81" s="119" t="str">
        <f t="shared" ca="1" si="8"/>
        <v>Not Started</v>
      </c>
      <c r="M81" s="170"/>
      <c r="N81" s="171"/>
      <c r="O81" s="171"/>
      <c r="P81" s="171"/>
      <c r="Q81" s="171"/>
      <c r="R81" s="171"/>
      <c r="S81" s="171"/>
      <c r="T81" s="172"/>
      <c r="U81" s="173"/>
      <c r="V81" s="290"/>
      <c r="X81" s="298"/>
      <c r="Y81" s="298"/>
    </row>
    <row r="82" spans="2:26" ht="28.9" customHeight="1" x14ac:dyDescent="0.25">
      <c r="B82" s="389"/>
      <c r="C82" s="118" t="s">
        <v>43</v>
      </c>
      <c r="D82" s="117">
        <f t="shared" si="7"/>
        <v>2</v>
      </c>
      <c r="E82" s="113">
        <f>WORKDAY.INTL(F81,1,"0000110",$AA$5:$AA$12)</f>
        <v>46294</v>
      </c>
      <c r="F82" s="113">
        <f>WORKDAY.INTL(E82,1,"0000110",$AA$5:$AA$12)</f>
        <v>46295</v>
      </c>
      <c r="G82" s="113">
        <f>WORKDAY.INTL(H81,1,"0000110",$AA$5:$AA$12)</f>
        <v>46294</v>
      </c>
      <c r="H82" s="113">
        <f>WORKDAY.INTL(G82,1,"0000110",$AA$5:$AA$12)</f>
        <v>46295</v>
      </c>
      <c r="I82" s="113"/>
      <c r="J82" s="113"/>
      <c r="K82" s="119"/>
      <c r="L82" s="119" t="str">
        <f t="shared" ca="1" si="8"/>
        <v>Not Started</v>
      </c>
      <c r="M82" s="170"/>
      <c r="N82" s="171"/>
      <c r="O82" s="171"/>
      <c r="P82" s="171"/>
      <c r="Q82" s="171"/>
      <c r="R82" s="171"/>
      <c r="S82" s="171"/>
      <c r="T82" s="172"/>
      <c r="U82" s="173"/>
      <c r="V82" s="290"/>
      <c r="X82" s="266"/>
    </row>
    <row r="83" spans="2:26" ht="28.9" customHeight="1" x14ac:dyDescent="0.25">
      <c r="B83" s="389"/>
      <c r="C83" s="118" t="s">
        <v>44</v>
      </c>
      <c r="D83" s="117">
        <f t="shared" si="7"/>
        <v>1</v>
      </c>
      <c r="E83" s="113">
        <f>WORKDAY.INTL(F82,1,"0000110",$AA$5:$AA$12)</f>
        <v>46296</v>
      </c>
      <c r="F83" s="113">
        <f>WORKDAY.INTL(E83,0,"0000110",$AA$5:$AA$12)</f>
        <v>46296</v>
      </c>
      <c r="G83" s="113">
        <f>WORKDAY.INTL(H82,1,"0000110",$AA$5:$AA$12)</f>
        <v>46296</v>
      </c>
      <c r="H83" s="113">
        <f>WORKDAY.INTL(G83,0,"0000110",$AA$5:$AA$12)</f>
        <v>46296</v>
      </c>
      <c r="I83" s="113"/>
      <c r="J83" s="113"/>
      <c r="K83" s="119"/>
      <c r="L83" s="119" t="str">
        <f t="shared" ca="1" si="8"/>
        <v>Not Started</v>
      </c>
      <c r="M83" s="170"/>
      <c r="N83" s="171"/>
      <c r="O83" s="171"/>
      <c r="P83" s="171"/>
      <c r="Q83" s="171"/>
      <c r="R83" s="171"/>
      <c r="S83" s="171"/>
      <c r="T83" s="172"/>
      <c r="U83" s="173"/>
      <c r="V83" s="290"/>
      <c r="X83" s="266"/>
    </row>
    <row r="84" spans="2:26" ht="28.9" customHeight="1" thickBot="1" x14ac:dyDescent="0.3">
      <c r="B84" s="390"/>
      <c r="C84" s="174" t="s">
        <v>46</v>
      </c>
      <c r="D84" s="175">
        <f t="shared" si="7"/>
        <v>1</v>
      </c>
      <c r="E84" s="176">
        <f>WORKDAY.INTL(F83,1,"0000110",$AA$5:$AA$12)</f>
        <v>46299</v>
      </c>
      <c r="F84" s="176">
        <f>WORKDAY.INTL(E84,0,"0000110",$AA$5:$AA$12)</f>
        <v>46299</v>
      </c>
      <c r="G84" s="176">
        <f>WORKDAY.INTL(H83,1,"0000110",$AA$5:$AA$12)</f>
        <v>46299</v>
      </c>
      <c r="H84" s="176">
        <f>WORKDAY.INTL(G84,0,"0000110",$AA$5:$AA$12)</f>
        <v>46299</v>
      </c>
      <c r="I84" s="176"/>
      <c r="J84" s="176"/>
      <c r="K84" s="177"/>
      <c r="L84" s="177" t="str">
        <f t="shared" ca="1" si="8"/>
        <v>Not Started</v>
      </c>
      <c r="M84" s="178"/>
      <c r="N84" s="179"/>
      <c r="O84" s="179"/>
      <c r="P84" s="179"/>
      <c r="Q84" s="179"/>
      <c r="R84" s="179"/>
      <c r="S84" s="179"/>
      <c r="T84" s="180"/>
      <c r="U84" s="181"/>
      <c r="V84" s="290"/>
      <c r="X84" s="266"/>
    </row>
    <row r="85" spans="2:26" s="298" customFormat="1" ht="4.5" customHeight="1" thickBot="1" x14ac:dyDescent="0.3">
      <c r="B85" s="270"/>
      <c r="C85" s="270"/>
      <c r="D85" s="269"/>
      <c r="E85" s="270"/>
      <c r="F85" s="270"/>
      <c r="G85" s="270"/>
      <c r="H85" s="270"/>
      <c r="I85" s="270"/>
      <c r="J85" s="270"/>
      <c r="K85" s="268"/>
      <c r="L85" s="268"/>
      <c r="M85" s="270"/>
      <c r="N85" s="270"/>
      <c r="O85" s="270"/>
      <c r="P85" s="270"/>
      <c r="Q85" s="270"/>
      <c r="R85" s="270"/>
      <c r="S85" s="270"/>
      <c r="T85" s="270"/>
      <c r="U85" s="267"/>
    </row>
    <row r="86" spans="2:26" ht="34.5" customHeight="1" x14ac:dyDescent="0.25">
      <c r="B86" s="391" t="s">
        <v>137</v>
      </c>
      <c r="C86" s="183" t="s">
        <v>47</v>
      </c>
      <c r="D86" s="184">
        <f t="shared" ref="D86:D87" si="9">NETWORKDAYS.INTL(E86,F86,"0000110",$AB$5:$AB$12)</f>
        <v>30</v>
      </c>
      <c r="E86" s="185">
        <v>46235</v>
      </c>
      <c r="F86" s="185">
        <f>WORKDAY.INTL(E86,30,"0000110",$AB$5:$AB$11)</f>
        <v>46275</v>
      </c>
      <c r="G86" s="185">
        <v>46235</v>
      </c>
      <c r="H86" s="185">
        <f>WORKDAY.INTL(G86,30,"0000110",$AB$5:$AB$11)</f>
        <v>46275</v>
      </c>
      <c r="I86" s="185"/>
      <c r="J86" s="185"/>
      <c r="K86" s="186"/>
      <c r="L86" s="186" t="str">
        <f ca="1">IF(OR(K86=100%,J86&lt;&gt;""),"Completed",IF(AND(OR(K86="",K86=0),E86&gt;TODAY()),"Not Started",IF(AND(OR(K86="",K86=0),E86&lt;=TODAY()),"Delayed",IF(AND(K86&gt;0,K86&lt;100%,F86&lt;TODAY()),"Delayed",IF(AND(K86&gt;0,K86&lt;100%),"In Progress","")))))</f>
        <v>Not Started</v>
      </c>
      <c r="M86" s="319"/>
      <c r="N86" s="238"/>
      <c r="O86" s="238"/>
      <c r="P86" s="238"/>
      <c r="Q86" s="238"/>
      <c r="R86" s="238"/>
      <c r="S86" s="238"/>
      <c r="T86" s="238"/>
      <c r="U86" s="242"/>
      <c r="V86" s="290"/>
    </row>
    <row r="87" spans="2:26" ht="45.75" customHeight="1" thickBot="1" x14ac:dyDescent="0.3">
      <c r="B87" s="392"/>
      <c r="C87" s="187" t="s">
        <v>139</v>
      </c>
      <c r="D87" s="188">
        <f t="shared" si="9"/>
        <v>30</v>
      </c>
      <c r="E87" s="189">
        <f>F78+7</f>
        <v>46309</v>
      </c>
      <c r="F87" s="189">
        <f>WORKDAY.INTL(E87,29,"0000110",$AB$5:$AB$11)</f>
        <v>46350</v>
      </c>
      <c r="G87" s="189">
        <f>H78+7</f>
        <v>46309</v>
      </c>
      <c r="H87" s="189">
        <f>WORKDAY.INTL(G87,29,"0000110",$AB$5:$AB$11)</f>
        <v>46350</v>
      </c>
      <c r="I87" s="189"/>
      <c r="J87" s="189"/>
      <c r="K87" s="190"/>
      <c r="L87" s="190" t="str">
        <f ca="1">IF(OR(K87=100%,J87&lt;&gt;""),"Completed",IF(AND(OR(K87="",K87=0),E87&gt;TODAY()),"Not Started",IF(AND(OR(K87="",K87=0),E87&lt;=TODAY()),"Delayed",IF(AND(K87&gt;0,K87&lt;100%,F87&lt;TODAY()),"Delayed",IF(AND(K87&gt;0,K87&lt;100%),"In Progress","")))))</f>
        <v>Not Started</v>
      </c>
      <c r="M87" s="320"/>
      <c r="N87" s="236"/>
      <c r="O87" s="236"/>
      <c r="P87" s="236"/>
      <c r="Q87" s="236"/>
      <c r="R87" s="236"/>
      <c r="S87" s="236"/>
      <c r="T87" s="236"/>
      <c r="U87" s="239"/>
      <c r="V87" s="290"/>
    </row>
    <row r="88" spans="2:26" s="298" customFormat="1" ht="4.5" customHeight="1" thickBot="1" x14ac:dyDescent="0.3">
      <c r="B88" s="270"/>
      <c r="C88" s="270"/>
      <c r="D88" s="269"/>
      <c r="E88" s="270"/>
      <c r="F88" s="270"/>
      <c r="G88" s="270"/>
      <c r="H88" s="270"/>
      <c r="I88" s="270"/>
      <c r="J88" s="270"/>
      <c r="K88" s="268"/>
      <c r="L88" s="268"/>
      <c r="M88" s="270"/>
      <c r="N88" s="270"/>
      <c r="O88" s="270"/>
      <c r="P88" s="270"/>
      <c r="Q88" s="270"/>
      <c r="R88" s="270"/>
      <c r="S88" s="270"/>
      <c r="T88" s="270"/>
      <c r="U88" s="245"/>
      <c r="Y88" s="295"/>
      <c r="Z88" s="295"/>
    </row>
    <row r="89" spans="2:26" ht="36" customHeight="1" x14ac:dyDescent="0.25">
      <c r="B89" s="385" t="s">
        <v>140</v>
      </c>
      <c r="C89" s="213" t="s">
        <v>141</v>
      </c>
      <c r="D89" s="214">
        <f>NETWORKDAYS.INTL(E89,F89,"0000100",$AA$5:$AA$13)</f>
        <v>18</v>
      </c>
      <c r="E89" s="356">
        <v>46270</v>
      </c>
      <c r="F89" s="137">
        <f>E89+21</f>
        <v>46291</v>
      </c>
      <c r="G89" s="137">
        <f>G68</f>
        <v>46223</v>
      </c>
      <c r="H89" s="137">
        <f>G89+21</f>
        <v>46244</v>
      </c>
      <c r="I89" s="137"/>
      <c r="J89" s="137"/>
      <c r="K89" s="138"/>
      <c r="L89" s="138" t="str">
        <f ca="1">IF(OR(K89=100%,J89&lt;&gt;""),"Completed",IF(AND(OR(K89="",K89=0),E89&gt;TODAY()),"Not Started",IF(AND(OR(K89="",K89=0),E89&lt;=TODAY()),"Delayed",IF(AND(K89&gt;0,K89&lt;100%,F89&lt;TODAY()),"Delayed",IF(AND(K89&gt;0,K89&lt;100%),"In Progress","")))))</f>
        <v>Not Started</v>
      </c>
      <c r="M89" s="321"/>
      <c r="N89" s="322"/>
      <c r="O89" s="322"/>
      <c r="P89" s="322"/>
      <c r="Q89" s="322"/>
      <c r="R89" s="322"/>
      <c r="S89" s="322"/>
      <c r="T89" s="357"/>
      <c r="U89" s="358" t="s">
        <v>142</v>
      </c>
      <c r="V89" s="290"/>
      <c r="Y89" s="299"/>
      <c r="Z89" s="299"/>
    </row>
    <row r="90" spans="2:26" ht="36" customHeight="1" thickBot="1" x14ac:dyDescent="0.3">
      <c r="B90" s="387"/>
      <c r="C90" s="218" t="s">
        <v>51</v>
      </c>
      <c r="D90" s="219">
        <f>NETWORKDAYS.INTL(E90,F90,"0000110",$AA$5:$AA$13)</f>
        <v>11</v>
      </c>
      <c r="E90" s="147">
        <f>E97-23</f>
        <v>46373</v>
      </c>
      <c r="F90" s="147">
        <f>E90+14</f>
        <v>46387</v>
      </c>
      <c r="G90" s="147">
        <f>H89+1</f>
        <v>46245</v>
      </c>
      <c r="H90" s="147">
        <f>G90+14</f>
        <v>46259</v>
      </c>
      <c r="I90" s="147"/>
      <c r="J90" s="147"/>
      <c r="K90" s="148"/>
      <c r="L90" s="148" t="str">
        <f ca="1">IF(OR(K90=100%,J90&lt;&gt;""),"Completed",IF(AND(OR(K90="",K90=0),E90&gt;TODAY()),"Not Started",IF(AND(OR(K90="",K90=0),E90&lt;=TODAY()),"Delayed",IF(AND(K90&gt;0,K90&lt;100%,F90&lt;TODAY()),"Delayed",IF(AND(K90&gt;0,K90&lt;100%),"In Progress","")))))</f>
        <v>Not Started</v>
      </c>
      <c r="M90" s="323"/>
      <c r="N90" s="324"/>
      <c r="O90" s="324"/>
      <c r="P90" s="324"/>
      <c r="Q90" s="324"/>
      <c r="R90" s="324"/>
      <c r="S90" s="324"/>
      <c r="T90" s="324"/>
      <c r="U90" s="325" t="s">
        <v>213</v>
      </c>
      <c r="V90" s="290"/>
    </row>
    <row r="91" spans="2:26" s="298" customFormat="1" ht="4.5" customHeight="1" thickBot="1" x14ac:dyDescent="0.3">
      <c r="B91" s="270"/>
      <c r="C91" s="270"/>
      <c r="D91" s="269"/>
      <c r="E91" s="270"/>
      <c r="F91" s="270"/>
      <c r="G91" s="270"/>
      <c r="H91" s="270"/>
      <c r="I91" s="270"/>
      <c r="J91" s="270"/>
      <c r="K91" s="268"/>
      <c r="L91" s="268"/>
      <c r="M91" s="270"/>
      <c r="N91" s="270"/>
      <c r="O91" s="270"/>
      <c r="P91" s="270"/>
      <c r="Q91" s="270"/>
      <c r="R91" s="270"/>
      <c r="S91" s="270"/>
      <c r="T91" s="270"/>
      <c r="U91" s="267"/>
      <c r="Y91" s="295"/>
      <c r="Z91" s="295"/>
    </row>
    <row r="92" spans="2:26" ht="28.9" customHeight="1" x14ac:dyDescent="0.25">
      <c r="B92" s="382" t="s">
        <v>144</v>
      </c>
      <c r="C92" s="183" t="s">
        <v>214</v>
      </c>
      <c r="D92" s="193">
        <f>NETWORKDAYS.INTL(E92,F92,"0000100",$AB$5:$AB$13)</f>
        <v>91</v>
      </c>
      <c r="E92" s="194">
        <f>WORKDAY.INTL(F66,1,"0000100",$AB$5:$AB$12)</f>
        <v>46294</v>
      </c>
      <c r="F92" s="195">
        <f>WORKDAY.INTL(E92,90,"0000100",$AB$5:$AB$12)</f>
        <v>46399</v>
      </c>
      <c r="G92" s="185">
        <f>WORKDAY.INTL(H66,1,"0000100",$AB$5:$AB$12)</f>
        <v>46294</v>
      </c>
      <c r="H92" s="196">
        <f>WORKDAY.INTL(G92,90,"0000100",$AB$5:$AB$12)</f>
        <v>46399</v>
      </c>
      <c r="I92" s="196"/>
      <c r="J92" s="196"/>
      <c r="K92" s="197"/>
      <c r="L92" s="197" t="str">
        <f ca="1">IF(OR(K92=100%,J92&lt;&gt;""),"Completed",IF(AND(OR(K92="",K92=0),E92&gt;TODAY()),"Not Started",IF(AND(OR(K92="",K92=0),E92&lt;=TODAY()),"Delayed",IF(AND(K92&gt;0,K92&lt;100%,F92&lt;TODAY()),"Delayed",IF(AND(K92&gt;0,K92&lt;100%),"In Progress","")))))</f>
        <v>Not Started</v>
      </c>
      <c r="M92" s="326"/>
      <c r="N92" s="244"/>
      <c r="O92" s="244"/>
      <c r="P92" s="244"/>
      <c r="Q92" s="244"/>
      <c r="R92" s="244"/>
      <c r="S92" s="244"/>
      <c r="T92" s="243"/>
      <c r="U92" s="237"/>
      <c r="V92" s="290"/>
      <c r="X92" s="295"/>
    </row>
    <row r="93" spans="2:26" ht="28.9" customHeight="1" x14ac:dyDescent="0.25">
      <c r="B93" s="383"/>
      <c r="C93" s="211" t="s">
        <v>7</v>
      </c>
      <c r="D93" s="107">
        <f>NETWORKDAYS.INTL(E93,F93,"0000100",$AB$5:$AB$13)</f>
        <v>91</v>
      </c>
      <c r="E93" s="199">
        <f>WORKDAY.INTL(E92,14,"0000100",$AB$5:$AB$12)</f>
        <v>46310</v>
      </c>
      <c r="F93" s="200">
        <f>WORKDAY.INTL(F92,14,"0000100",$AB$5:$AB$12)</f>
        <v>46415</v>
      </c>
      <c r="G93" s="201">
        <f>WORKDAY.INTL(G92,14,"0000100",$AB$5:$AB$12)</f>
        <v>46310</v>
      </c>
      <c r="H93" s="202">
        <f>WORKDAY.INTL(H92,14,"0000100",$AB$5:$AB$12)</f>
        <v>46415</v>
      </c>
      <c r="I93" s="202"/>
      <c r="J93" s="202"/>
      <c r="K93" s="203"/>
      <c r="L93" s="203" t="str">
        <f ca="1">IF(OR(K93=100%,J93&lt;&gt;""),"Completed",IF(AND(OR(K93="",K93=0),E93&gt;TODAY()),"Not Started",IF(AND(OR(K93="",K93=0),E93&lt;=TODAY()),"Delayed",IF(AND(K93&gt;0,K93&lt;100%,F93&lt;TODAY()),"Delayed",IF(AND(K93&gt;0,K93&lt;100%),"In Progress","")))))</f>
        <v>Not Started</v>
      </c>
      <c r="M93" s="327"/>
      <c r="N93" s="262"/>
      <c r="O93" s="262"/>
      <c r="P93" s="262"/>
      <c r="Q93" s="262"/>
      <c r="R93" s="262"/>
      <c r="S93" s="262"/>
      <c r="T93" s="261"/>
      <c r="U93" s="328" t="s">
        <v>8</v>
      </c>
      <c r="V93" s="290"/>
      <c r="X93" s="295"/>
    </row>
    <row r="94" spans="2:26" ht="28.9" customHeight="1" x14ac:dyDescent="0.25">
      <c r="B94" s="383"/>
      <c r="C94" s="211" t="s">
        <v>215</v>
      </c>
      <c r="D94" s="107">
        <f>NETWORKDAYS.INTL(E94,F94,"0000110",$AB$5:$AB$13)</f>
        <v>66</v>
      </c>
      <c r="E94" s="204">
        <f>WORKDAY.INTL(E93,5,"0000110")</f>
        <v>46317</v>
      </c>
      <c r="F94" s="205">
        <f>WORKDAY.INTL(E94,65,"0000110")</f>
        <v>46408</v>
      </c>
      <c r="G94" s="108">
        <f>WORKDAY.INTL(G93,5,"0000110")</f>
        <v>46317</v>
      </c>
      <c r="H94" s="206">
        <f>WORKDAY.INTL(G94,65,"0000110")</f>
        <v>46408</v>
      </c>
      <c r="I94" s="206"/>
      <c r="J94" s="206"/>
      <c r="K94" s="207"/>
      <c r="L94" s="207" t="str">
        <f ca="1">IF(OR(K94=100%,J94&lt;&gt;""),"Completed",IF(AND(OR(K94="",K94=0),E94&gt;TODAY()),"Not Started",IF(AND(OR(K94="",K94=0),E94&lt;=TODAY()),"Delayed",IF(AND(K94&gt;0,K94&lt;100%,F94&lt;TODAY()),"Delayed",IF(AND(K94&gt;0,K94&lt;100%),"In Progress","")))))</f>
        <v>Not Started</v>
      </c>
      <c r="M94" s="300"/>
      <c r="N94" s="262"/>
      <c r="O94" s="262"/>
      <c r="P94" s="262"/>
      <c r="Q94" s="262"/>
      <c r="R94" s="262"/>
      <c r="S94" s="262"/>
      <c r="T94" s="261"/>
      <c r="U94" s="328" t="s">
        <v>147</v>
      </c>
      <c r="V94" s="290"/>
      <c r="X94" s="295"/>
    </row>
    <row r="95" spans="2:26" ht="28.9" customHeight="1" thickBot="1" x14ac:dyDescent="0.3">
      <c r="B95" s="384"/>
      <c r="C95" s="212" t="s">
        <v>148</v>
      </c>
      <c r="D95" s="209">
        <f>NETWORKDAYS.INTL(E95,F95,"0000110",$AB$5:$AB$13)+1</f>
        <v>1</v>
      </c>
      <c r="E95" s="210">
        <f>MAX(WORKDAY.INTL(F101,1,"0000100"),WORKDAY.INTL(F94,1,"0000100"))</f>
        <v>46410</v>
      </c>
      <c r="F95" s="210">
        <f>WORKDAY.INTL(E95,0,"0000110")</f>
        <v>46410</v>
      </c>
      <c r="G95" s="189">
        <f>MAX(WORKDAY.INTL(H101,1,"0000100"),WORKDAY.INTL(H94,1,"0000100"))</f>
        <v>46410</v>
      </c>
      <c r="H95" s="189">
        <f>WORKDAY.INTL(G95,0,"0000110")</f>
        <v>46410</v>
      </c>
      <c r="I95" s="189"/>
      <c r="J95" s="189"/>
      <c r="K95" s="190"/>
      <c r="L95" s="190" t="str">
        <f ca="1">IF(OR(K95=100%,J95&lt;&gt;""),"Completed",IF(AND(OR(K95="",K95=0),E95&gt;TODAY()),"Not Started",IF(AND(OR(K95="",K95=0),E95&lt;=TODAY()),"Delayed",IF(AND(K95&gt;0,K95&lt;100%,F95&lt;TODAY()),"Delayed",IF(AND(K95&gt;0,K95&lt;100%),"In Progress","")))))</f>
        <v>Not Started</v>
      </c>
      <c r="M95" s="329"/>
      <c r="N95" s="241"/>
      <c r="O95" s="241"/>
      <c r="P95" s="241"/>
      <c r="Q95" s="241"/>
      <c r="R95" s="241"/>
      <c r="S95" s="241"/>
      <c r="T95" s="240"/>
      <c r="U95" s="239"/>
      <c r="V95" s="290"/>
      <c r="X95" s="295"/>
    </row>
    <row r="96" spans="2:26" s="298" customFormat="1" ht="4.5" customHeight="1" thickBot="1" x14ac:dyDescent="0.3">
      <c r="B96" s="270"/>
      <c r="C96" s="270"/>
      <c r="D96" s="269"/>
      <c r="E96" s="270"/>
      <c r="F96" s="270"/>
      <c r="G96" s="270"/>
      <c r="H96" s="270"/>
      <c r="I96" s="270"/>
      <c r="J96" s="270"/>
      <c r="K96" s="268"/>
      <c r="L96" s="268"/>
      <c r="M96" s="270"/>
      <c r="N96" s="270"/>
      <c r="O96" s="270"/>
      <c r="P96" s="270"/>
      <c r="Q96" s="270"/>
      <c r="R96" s="270"/>
      <c r="S96" s="270"/>
      <c r="T96" s="270"/>
      <c r="U96" s="267"/>
      <c r="Y96" s="295"/>
      <c r="Z96" s="295"/>
    </row>
    <row r="97" spans="2:26" ht="30.75" customHeight="1" x14ac:dyDescent="0.25">
      <c r="B97" s="385" t="s">
        <v>149</v>
      </c>
      <c r="C97" s="222" t="s">
        <v>150</v>
      </c>
      <c r="D97" s="214">
        <f t="shared" ref="D97:D102" si="10">NETWORKDAYS.INTL(E97,F97,"0000110",$AB$5:$AB$13)</f>
        <v>4</v>
      </c>
      <c r="E97" s="137">
        <f>WORKDAY.INTL(E93,73,"0000100",$AB$5:$AB$12)</f>
        <v>46396</v>
      </c>
      <c r="F97" s="137">
        <f>WORKDAY.INTL(E97,4,"0000110",$AB$5:$AB$12)</f>
        <v>46400</v>
      </c>
      <c r="G97" s="137">
        <f>WORKDAY.INTL(G93,73,"0000100",$AB$5:$AB$12)</f>
        <v>46396</v>
      </c>
      <c r="H97" s="137">
        <f>WORKDAY.INTL(G97,4,"0000110",$AB$5:$AB$12)</f>
        <v>46400</v>
      </c>
      <c r="I97" s="137"/>
      <c r="J97" s="137"/>
      <c r="K97" s="138"/>
      <c r="L97" s="138" t="str">
        <f t="shared" ref="L97:L102" ca="1" si="11">IF(OR(K97=100%,J97&lt;&gt;""),"Completed",IF(AND(OR(K97="",K97=0),E97&gt;TODAY()),"Not Started",IF(AND(OR(K97="",K97=0),E97&lt;=TODAY()),"Delayed",IF(AND(K97&gt;0,K97&lt;100%,F97&lt;TODAY()),"Delayed",IF(AND(K97&gt;0,K97&lt;100%),"In Progress","")))))</f>
        <v>Not Started</v>
      </c>
      <c r="M97" s="321"/>
      <c r="N97" s="330"/>
      <c r="O97" s="330"/>
      <c r="P97" s="330"/>
      <c r="Q97" s="330"/>
      <c r="R97" s="330"/>
      <c r="S97" s="330"/>
      <c r="T97" s="330"/>
      <c r="U97" s="331"/>
      <c r="V97" s="290"/>
      <c r="X97" s="295"/>
      <c r="Y97" s="299"/>
      <c r="Z97" s="299"/>
    </row>
    <row r="98" spans="2:26" ht="30.75" customHeight="1" x14ac:dyDescent="0.25">
      <c r="B98" s="386"/>
      <c r="C98" s="225" t="s">
        <v>151</v>
      </c>
      <c r="D98" s="226">
        <f t="shared" si="10"/>
        <v>2</v>
      </c>
      <c r="E98" s="133">
        <f>WORKDAY.INTL(F97,1,"0000110",$AB$5:$AB$12)</f>
        <v>46401</v>
      </c>
      <c r="F98" s="133">
        <f>WORKDAY.INTL(E98,1,"0000110",$AB$5:$AB$12)</f>
        <v>46404</v>
      </c>
      <c r="G98" s="133">
        <f>WORKDAY.INTL(H97,1,"0000110",$AB$5:$AB$12)</f>
        <v>46401</v>
      </c>
      <c r="H98" s="133">
        <f>WORKDAY.INTL(G98,1,"0000110",$AB$5:$AB$12)</f>
        <v>46404</v>
      </c>
      <c r="I98" s="133"/>
      <c r="J98" s="133"/>
      <c r="K98" s="134"/>
      <c r="L98" s="134" t="str">
        <f t="shared" ca="1" si="11"/>
        <v>Not Started</v>
      </c>
      <c r="M98" s="332"/>
      <c r="N98" s="333"/>
      <c r="O98" s="333"/>
      <c r="P98" s="333"/>
      <c r="Q98" s="333"/>
      <c r="R98" s="333"/>
      <c r="S98" s="333"/>
      <c r="T98" s="333"/>
      <c r="U98" s="334"/>
      <c r="V98" s="290"/>
      <c r="X98" s="295"/>
    </row>
    <row r="99" spans="2:26" ht="30.75" customHeight="1" x14ac:dyDescent="0.25">
      <c r="B99" s="386"/>
      <c r="C99" s="225" t="s">
        <v>152</v>
      </c>
      <c r="D99" s="226">
        <f t="shared" si="10"/>
        <v>2</v>
      </c>
      <c r="E99" s="133">
        <f>WORKDAY.INTL(F98,1,"0000110",$AB$5:$AB$12)</f>
        <v>46405</v>
      </c>
      <c r="F99" s="133">
        <f>WORKDAY.INTL(E99,1,"0000110",$AB$5:$AB$12)</f>
        <v>46406</v>
      </c>
      <c r="G99" s="133">
        <f>WORKDAY.INTL(H98,1,"0000110",$AB$5:$AB$12)</f>
        <v>46405</v>
      </c>
      <c r="H99" s="133">
        <f>WORKDAY.INTL(G99,1,"0000110",$AB$5:$AB$12)</f>
        <v>46406</v>
      </c>
      <c r="I99" s="133"/>
      <c r="J99" s="133"/>
      <c r="K99" s="134"/>
      <c r="L99" s="134" t="str">
        <f t="shared" ca="1" si="11"/>
        <v>Not Started</v>
      </c>
      <c r="M99" s="332"/>
      <c r="N99" s="333"/>
      <c r="O99" s="333"/>
      <c r="P99" s="333"/>
      <c r="Q99" s="333"/>
      <c r="R99" s="333"/>
      <c r="S99" s="333"/>
      <c r="T99" s="333"/>
      <c r="U99" s="334"/>
      <c r="V99" s="290"/>
      <c r="X99" s="295"/>
      <c r="Y99" s="299"/>
      <c r="Z99" s="299"/>
    </row>
    <row r="100" spans="2:26" ht="30.75" customHeight="1" x14ac:dyDescent="0.25">
      <c r="B100" s="386"/>
      <c r="C100" s="225" t="s">
        <v>153</v>
      </c>
      <c r="D100" s="226">
        <f t="shared" si="10"/>
        <v>1</v>
      </c>
      <c r="E100" s="133">
        <f>WORKDAY.INTL(F99,1,"0000110",$AB$5:$AB$12)</f>
        <v>46407</v>
      </c>
      <c r="F100" s="133">
        <f>WORKDAY.INTL(E100,0,"0000110",$AB$5:$AB$12)</f>
        <v>46407</v>
      </c>
      <c r="G100" s="133">
        <f>WORKDAY.INTL(H99,1,"0000110",$AB$5:$AB$12)</f>
        <v>46407</v>
      </c>
      <c r="H100" s="133">
        <f>WORKDAY.INTL(G100,0,"0000110",$AB$5:$AB$12)</f>
        <v>46407</v>
      </c>
      <c r="I100" s="133"/>
      <c r="J100" s="133"/>
      <c r="K100" s="134"/>
      <c r="L100" s="134" t="str">
        <f t="shared" ca="1" si="11"/>
        <v>Not Started</v>
      </c>
      <c r="M100" s="332"/>
      <c r="N100" s="333"/>
      <c r="O100" s="333"/>
      <c r="P100" s="333"/>
      <c r="Q100" s="333"/>
      <c r="R100" s="333"/>
      <c r="S100" s="333"/>
      <c r="T100" s="333"/>
      <c r="U100" s="334"/>
      <c r="V100" s="290"/>
      <c r="X100" s="295"/>
    </row>
    <row r="101" spans="2:26" ht="30.75" customHeight="1" x14ac:dyDescent="0.25">
      <c r="B101" s="386"/>
      <c r="C101" s="225" t="s">
        <v>46</v>
      </c>
      <c r="D101" s="226">
        <f t="shared" si="10"/>
        <v>1</v>
      </c>
      <c r="E101" s="133">
        <f>WORKDAY.INTL(F100,1,"0000110",$AB$5:$AB$12)</f>
        <v>46408</v>
      </c>
      <c r="F101" s="133">
        <f>WORKDAY.INTL(E101,0,"0000110",$AB$5:$AB$12)</f>
        <v>46408</v>
      </c>
      <c r="G101" s="133">
        <f>WORKDAY.INTL(H100,1,"0000110",$AB$5:$AB$12)</f>
        <v>46408</v>
      </c>
      <c r="H101" s="133">
        <f>WORKDAY.INTL(G101,0,"0000110",$AB$5:$AB$12)</f>
        <v>46408</v>
      </c>
      <c r="I101" s="133"/>
      <c r="J101" s="133"/>
      <c r="K101" s="134"/>
      <c r="L101" s="134" t="str">
        <f t="shared" ca="1" si="11"/>
        <v>Not Started</v>
      </c>
      <c r="M101" s="332"/>
      <c r="N101" s="333"/>
      <c r="O101" s="333"/>
      <c r="P101" s="333"/>
      <c r="Q101" s="333"/>
      <c r="R101" s="333"/>
      <c r="S101" s="333"/>
      <c r="T101" s="333"/>
      <c r="U101" s="334"/>
      <c r="V101" s="290"/>
      <c r="X101" s="295"/>
    </row>
    <row r="102" spans="2:26" ht="30.75" customHeight="1" thickBot="1" x14ac:dyDescent="0.3">
      <c r="B102" s="387"/>
      <c r="C102" s="230" t="s">
        <v>154</v>
      </c>
      <c r="D102" s="219">
        <f t="shared" si="10"/>
        <v>3</v>
      </c>
      <c r="E102" s="147">
        <f>MAX(WORKDAY.INTL(F95,1,"0000110",$AB$5:$AB$12),WORKDAY.INTL(F97,1,"0000110",$AB$5:$AB$12))</f>
        <v>46411</v>
      </c>
      <c r="F102" s="147">
        <f>WORKDAY.INTL(E102,2,"0000110",$AB$5:$AB$12)</f>
        <v>46413</v>
      </c>
      <c r="G102" s="147">
        <f>MAX(WORKDAY.INTL(H95,1,"0000110",$AB$5:$AB$12),WORKDAY.INTL(H97,1,"0000110",$AB$5:$AB$12))</f>
        <v>46411</v>
      </c>
      <c r="H102" s="147">
        <f>WORKDAY.INTL(G102,2,"0000110",$AB$5:$AB$12)</f>
        <v>46413</v>
      </c>
      <c r="I102" s="147"/>
      <c r="J102" s="147"/>
      <c r="K102" s="148"/>
      <c r="L102" s="148" t="str">
        <f t="shared" ca="1" si="11"/>
        <v>Not Started</v>
      </c>
      <c r="M102" s="323"/>
      <c r="N102" s="335"/>
      <c r="O102" s="335"/>
      <c r="P102" s="335"/>
      <c r="Q102" s="335"/>
      <c r="R102" s="335"/>
      <c r="S102" s="335"/>
      <c r="T102" s="335"/>
      <c r="U102" s="336"/>
      <c r="V102" s="290"/>
      <c r="X102" s="295"/>
    </row>
  </sheetData>
  <mergeCells count="17">
    <mergeCell ref="B92:B95"/>
    <mergeCell ref="B97:B102"/>
    <mergeCell ref="B68:B70"/>
    <mergeCell ref="B72:B76"/>
    <mergeCell ref="B80:B84"/>
    <mergeCell ref="B86:B87"/>
    <mergeCell ref="B89:B90"/>
    <mergeCell ref="B38:B42"/>
    <mergeCell ref="B44:B48"/>
    <mergeCell ref="B50:B54"/>
    <mergeCell ref="B56:B60"/>
    <mergeCell ref="B62:B66"/>
    <mergeCell ref="B5:B12"/>
    <mergeCell ref="B14:B18"/>
    <mergeCell ref="B20:B24"/>
    <mergeCell ref="B26:B30"/>
    <mergeCell ref="B32:B36"/>
  </mergeCells>
  <conditionalFormatting sqref="L1:L1048576">
    <cfRule type="cellIs" dxfId="2" priority="1" operator="equal">
      <formula>"Delayed"</formula>
    </cfRule>
    <cfRule type="cellIs" dxfId="1" priority="2" operator="equal">
      <formula>"In Progress"</formula>
    </cfRule>
    <cfRule type="cellIs" dxfId="0" priority="3" operator="equal">
      <formula>"Completed"</formula>
    </cfRule>
  </conditionalFormatting>
  <dataValidations count="1">
    <dataValidation type="list" allowBlank="1" showInputMessage="1" showErrorMessage="1" sqref="V72:V78 V97:V102 V92:V95" xr:uid="{00000000-0002-0000-0600-000000000000}">
      <formula1>$W$2:$W$5</formula1>
    </dataValidation>
  </dataValidations>
  <pageMargins left="0.7" right="0.7" top="0.75" bottom="0.75"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FDCC4-1593-4CEC-9B47-91BBF7CE066A}">
  <sheetPr>
    <pageSetUpPr fitToPage="1"/>
  </sheetPr>
  <dimension ref="A1:Z21"/>
  <sheetViews>
    <sheetView topLeftCell="A6" zoomScale="70" zoomScaleNormal="70" workbookViewId="0">
      <selection activeCell="D1" sqref="D1:D1048576"/>
    </sheetView>
  </sheetViews>
  <sheetFormatPr defaultColWidth="9" defaultRowHeight="13.5" x14ac:dyDescent="0.15"/>
  <cols>
    <col min="1" max="1" width="29.625" style="2" customWidth="1"/>
    <col min="2" max="2" width="1.375" style="2" customWidth="1"/>
    <col min="3" max="3" width="19.625" style="2" bestFit="1" customWidth="1"/>
    <col min="4" max="4" width="21.25" style="2" bestFit="1" customWidth="1"/>
    <col min="5" max="5" width="19.625" bestFit="1" customWidth="1"/>
    <col min="6" max="6" width="21.25" bestFit="1" customWidth="1"/>
    <col min="7" max="7" width="1.125" customWidth="1"/>
    <col min="8" max="8" width="15.375" style="2" bestFit="1" customWidth="1"/>
    <col min="9" max="9" width="16.5" style="2" bestFit="1" customWidth="1"/>
    <col min="10" max="10" width="15.375" bestFit="1" customWidth="1"/>
    <col min="11" max="11" width="16.5" bestFit="1" customWidth="1"/>
    <col min="12" max="12" width="2.75" customWidth="1"/>
    <col min="13" max="13" width="15.375" style="2" bestFit="1" customWidth="1"/>
    <col min="14" max="14" width="16.5" style="2" bestFit="1" customWidth="1"/>
    <col min="15" max="15" width="15.375" bestFit="1" customWidth="1"/>
    <col min="16" max="16" width="16.5" bestFit="1" customWidth="1"/>
    <col min="17" max="17" width="2.75" customWidth="1"/>
    <col min="18" max="18" width="15.375" style="2" bestFit="1" customWidth="1"/>
    <col min="19" max="19" width="16.5" style="2" bestFit="1" customWidth="1"/>
    <col min="20" max="20" width="15.375" bestFit="1" customWidth="1"/>
    <col min="21" max="21" width="16.5" bestFit="1" customWidth="1"/>
    <col min="22" max="22" width="2.75" customWidth="1"/>
    <col min="23" max="23" width="15.375" style="2" bestFit="1" customWidth="1"/>
    <col min="24" max="24" width="16.5" style="2" bestFit="1" customWidth="1"/>
    <col min="25" max="25" width="15.375" bestFit="1" customWidth="1"/>
    <col min="26" max="26" width="16.5" bestFit="1" customWidth="1"/>
    <col min="27" max="27" width="2.75" customWidth="1"/>
    <col min="28" max="28" width="9" customWidth="1"/>
  </cols>
  <sheetData>
    <row r="1" spans="1:26" ht="14.25" thickBot="1" x14ac:dyDescent="0.2"/>
    <row r="2" spans="1:26" x14ac:dyDescent="0.15">
      <c r="C2" s="466" t="s">
        <v>216</v>
      </c>
      <c r="D2" s="467"/>
      <c r="E2" s="467"/>
      <c r="F2" s="467"/>
      <c r="G2" s="467"/>
      <c r="H2" s="467"/>
      <c r="I2" s="467"/>
      <c r="J2" s="467"/>
      <c r="K2" s="467"/>
      <c r="L2" s="467"/>
      <c r="M2" s="467"/>
      <c r="N2" s="467"/>
      <c r="O2" s="467"/>
      <c r="P2" s="468"/>
      <c r="R2" s="441" t="s">
        <v>217</v>
      </c>
      <c r="S2" s="442"/>
      <c r="T2" s="442"/>
      <c r="U2" s="442"/>
      <c r="V2" s="442"/>
      <c r="W2" s="442"/>
      <c r="X2" s="442"/>
      <c r="Y2" s="442"/>
      <c r="Z2" s="443"/>
    </row>
    <row r="3" spans="1:26" x14ac:dyDescent="0.15">
      <c r="C3" s="469"/>
      <c r="D3" s="470"/>
      <c r="E3" s="470"/>
      <c r="F3" s="470"/>
      <c r="G3" s="470"/>
      <c r="H3" s="470"/>
      <c r="I3" s="470"/>
      <c r="J3" s="470"/>
      <c r="K3" s="470"/>
      <c r="L3" s="470"/>
      <c r="M3" s="470"/>
      <c r="N3" s="470"/>
      <c r="O3" s="470"/>
      <c r="P3" s="471"/>
      <c r="R3" s="444"/>
      <c r="S3" s="445"/>
      <c r="T3" s="445"/>
      <c r="U3" s="445"/>
      <c r="V3" s="445"/>
      <c r="W3" s="445"/>
      <c r="X3" s="445"/>
      <c r="Y3" s="445"/>
      <c r="Z3" s="446"/>
    </row>
    <row r="4" spans="1:26" ht="15" customHeight="1" x14ac:dyDescent="0.15">
      <c r="A4"/>
      <c r="B4"/>
      <c r="C4" s="469"/>
      <c r="D4" s="470"/>
      <c r="E4" s="470"/>
      <c r="F4" s="470"/>
      <c r="G4" s="470"/>
      <c r="H4" s="470"/>
      <c r="I4" s="470"/>
      <c r="J4" s="470"/>
      <c r="K4" s="470"/>
      <c r="L4" s="470"/>
      <c r="M4" s="470"/>
      <c r="N4" s="470"/>
      <c r="O4" s="470"/>
      <c r="P4" s="471"/>
      <c r="R4" s="444"/>
      <c r="S4" s="445"/>
      <c r="T4" s="445"/>
      <c r="U4" s="445"/>
      <c r="V4" s="445"/>
      <c r="W4" s="445"/>
      <c r="X4" s="445"/>
      <c r="Y4" s="445"/>
      <c r="Z4" s="446"/>
    </row>
    <row r="5" spans="1:26" ht="15" customHeight="1" x14ac:dyDescent="0.15">
      <c r="A5"/>
      <c r="B5"/>
      <c r="C5" s="469"/>
      <c r="D5" s="470"/>
      <c r="E5" s="470"/>
      <c r="F5" s="470"/>
      <c r="G5" s="470"/>
      <c r="H5" s="470"/>
      <c r="I5" s="470"/>
      <c r="J5" s="470"/>
      <c r="K5" s="470"/>
      <c r="L5" s="470"/>
      <c r="M5" s="470"/>
      <c r="N5" s="470"/>
      <c r="O5" s="470"/>
      <c r="P5" s="471"/>
      <c r="R5" s="444"/>
      <c r="S5" s="445"/>
      <c r="T5" s="445"/>
      <c r="U5" s="445"/>
      <c r="V5" s="445"/>
      <c r="W5" s="445"/>
      <c r="X5" s="445"/>
      <c r="Y5" s="445"/>
      <c r="Z5" s="446"/>
    </row>
    <row r="6" spans="1:26" ht="15" customHeight="1" thickBot="1" x14ac:dyDescent="0.2">
      <c r="A6"/>
      <c r="B6"/>
      <c r="C6" s="472"/>
      <c r="D6" s="473"/>
      <c r="E6" s="473"/>
      <c r="F6" s="473"/>
      <c r="G6" s="473"/>
      <c r="H6" s="473"/>
      <c r="I6" s="473"/>
      <c r="J6" s="473"/>
      <c r="K6" s="473"/>
      <c r="L6" s="473"/>
      <c r="M6" s="473"/>
      <c r="N6" s="473"/>
      <c r="O6" s="473"/>
      <c r="P6" s="474"/>
      <c r="R6" s="447"/>
      <c r="S6" s="448"/>
      <c r="T6" s="448"/>
      <c r="U6" s="448"/>
      <c r="V6" s="448"/>
      <c r="W6" s="448"/>
      <c r="X6" s="448"/>
      <c r="Y6" s="448"/>
      <c r="Z6" s="449"/>
    </row>
    <row r="7" spans="1:26" ht="8.25" customHeight="1" thickBot="1" x14ac:dyDescent="0.2">
      <c r="A7"/>
      <c r="B7"/>
      <c r="C7"/>
      <c r="D7"/>
      <c r="H7"/>
      <c r="I7"/>
      <c r="M7"/>
      <c r="N7"/>
      <c r="R7"/>
      <c r="S7"/>
      <c r="W7"/>
      <c r="X7"/>
    </row>
    <row r="8" spans="1:26" ht="34.5" customHeight="1" x14ac:dyDescent="0.3">
      <c r="A8" s="475"/>
      <c r="B8" s="89"/>
      <c r="C8" s="477" t="s">
        <v>218</v>
      </c>
      <c r="D8" s="478"/>
      <c r="E8" s="478"/>
      <c r="F8" s="479"/>
      <c r="H8" s="477" t="s">
        <v>218</v>
      </c>
      <c r="I8" s="478"/>
      <c r="J8" s="478"/>
      <c r="K8" s="479"/>
      <c r="L8" s="93"/>
      <c r="M8" s="477" t="s">
        <v>218</v>
      </c>
      <c r="N8" s="478"/>
      <c r="O8" s="478"/>
      <c r="P8" s="479"/>
      <c r="Q8" s="93"/>
      <c r="R8" s="480" t="s">
        <v>218</v>
      </c>
      <c r="S8" s="481"/>
      <c r="T8" s="481"/>
      <c r="U8" s="482"/>
      <c r="V8" s="93"/>
      <c r="W8" s="480" t="s">
        <v>218</v>
      </c>
      <c r="X8" s="481"/>
      <c r="Y8" s="481"/>
      <c r="Z8" s="482"/>
    </row>
    <row r="9" spans="1:26" ht="34.5" customHeight="1" x14ac:dyDescent="0.3">
      <c r="A9" s="476"/>
      <c r="B9" s="89"/>
      <c r="C9" s="457" t="s">
        <v>82</v>
      </c>
      <c r="D9" s="458"/>
      <c r="E9" s="458"/>
      <c r="F9" s="459"/>
      <c r="H9" s="457" t="s">
        <v>83</v>
      </c>
      <c r="I9" s="458"/>
      <c r="J9" s="458"/>
      <c r="K9" s="459"/>
      <c r="L9" s="93"/>
      <c r="M9" s="457" t="s">
        <v>84</v>
      </c>
      <c r="N9" s="458"/>
      <c r="O9" s="458"/>
      <c r="P9" s="459"/>
      <c r="Q9" s="93"/>
      <c r="R9" s="460" t="s">
        <v>85</v>
      </c>
      <c r="S9" s="461"/>
      <c r="T9" s="461"/>
      <c r="U9" s="462"/>
      <c r="V9" s="93"/>
      <c r="W9" s="460" t="s">
        <v>86</v>
      </c>
      <c r="X9" s="461"/>
      <c r="Y9" s="461"/>
      <c r="Z9" s="462"/>
    </row>
    <row r="10" spans="1:26" ht="41.25" customHeight="1" x14ac:dyDescent="0.3">
      <c r="A10" s="476"/>
      <c r="B10" s="89"/>
      <c r="C10" s="483" t="s">
        <v>87</v>
      </c>
      <c r="D10" s="458"/>
      <c r="E10" s="463" t="s">
        <v>88</v>
      </c>
      <c r="F10" s="459"/>
      <c r="H10" s="484" t="s">
        <v>87</v>
      </c>
      <c r="I10" s="458"/>
      <c r="J10" s="463" t="s">
        <v>88</v>
      </c>
      <c r="K10" s="459"/>
      <c r="L10" s="93"/>
      <c r="M10" s="484" t="s">
        <v>87</v>
      </c>
      <c r="N10" s="458"/>
      <c r="O10" s="463" t="s">
        <v>88</v>
      </c>
      <c r="P10" s="459"/>
      <c r="Q10" s="93"/>
      <c r="R10" s="464" t="s">
        <v>87</v>
      </c>
      <c r="S10" s="461"/>
      <c r="T10" s="465" t="s">
        <v>88</v>
      </c>
      <c r="U10" s="462"/>
      <c r="V10" s="93"/>
      <c r="W10" s="464" t="s">
        <v>87</v>
      </c>
      <c r="X10" s="461"/>
      <c r="Y10" s="465" t="s">
        <v>88</v>
      </c>
      <c r="Z10" s="462"/>
    </row>
    <row r="11" spans="1:26" ht="41.25" customHeight="1" x14ac:dyDescent="0.3">
      <c r="A11" s="476"/>
      <c r="B11" s="89"/>
      <c r="C11" s="94" t="s">
        <v>219</v>
      </c>
      <c r="D11" s="90" t="s">
        <v>220</v>
      </c>
      <c r="E11" s="90" t="s">
        <v>219</v>
      </c>
      <c r="F11" s="105" t="s">
        <v>220</v>
      </c>
      <c r="H11" s="94" t="s">
        <v>219</v>
      </c>
      <c r="I11" s="90" t="s">
        <v>220</v>
      </c>
      <c r="J11" s="90" t="s">
        <v>219</v>
      </c>
      <c r="K11" s="105" t="s">
        <v>220</v>
      </c>
      <c r="L11" s="93"/>
      <c r="M11" s="94" t="s">
        <v>219</v>
      </c>
      <c r="N11" s="90" t="s">
        <v>220</v>
      </c>
      <c r="O11" s="90" t="s">
        <v>219</v>
      </c>
      <c r="P11" s="105" t="s">
        <v>220</v>
      </c>
      <c r="Q11" s="93"/>
      <c r="R11" s="94" t="s">
        <v>219</v>
      </c>
      <c r="S11" s="90" t="s">
        <v>220</v>
      </c>
      <c r="T11" s="90" t="s">
        <v>219</v>
      </c>
      <c r="U11" s="105" t="s">
        <v>220</v>
      </c>
      <c r="V11" s="93"/>
      <c r="W11" s="94" t="s">
        <v>219</v>
      </c>
      <c r="X11" s="90" t="s">
        <v>220</v>
      </c>
      <c r="Y11" s="90" t="s">
        <v>219</v>
      </c>
      <c r="Z11" s="105" t="s">
        <v>220</v>
      </c>
    </row>
    <row r="12" spans="1:26" ht="56.25" customHeight="1" x14ac:dyDescent="0.3">
      <c r="A12" s="354" t="s">
        <v>68</v>
      </c>
      <c r="B12" s="89"/>
      <c r="C12" s="95">
        <f>'MADINAH Migration Plan-'!F10</f>
        <v>46219</v>
      </c>
      <c r="D12" s="91">
        <f>'MADINAH Migration Plan-'!H10</f>
        <v>46219</v>
      </c>
      <c r="E12" s="455">
        <f>'MADINAH Migration Plan-'!F76</f>
        <v>46280</v>
      </c>
      <c r="F12" s="450">
        <f>'MADINAH Migration Plan-'!H76</f>
        <v>46280</v>
      </c>
      <c r="H12" s="95">
        <f>'Jeddah Migration Plan'!F12</f>
        <v>46229</v>
      </c>
      <c r="I12" s="91">
        <f>'Jeddah Migration Plan'!H12</f>
        <v>46229</v>
      </c>
      <c r="J12" s="455">
        <f>'Jeddah Migration Plan'!F78</f>
        <v>46320</v>
      </c>
      <c r="K12" s="450">
        <f>'Jeddah Migration Plan'!H78</f>
        <v>46320</v>
      </c>
      <c r="L12" s="93"/>
      <c r="M12" s="95">
        <f>'Makkah Migration Plan'!F12</f>
        <v>46232</v>
      </c>
      <c r="N12" s="91">
        <f>'Makkah Migration Plan'!H12</f>
        <v>46232</v>
      </c>
      <c r="O12" s="455">
        <f>'Makkah Migration Plan'!F78</f>
        <v>46302</v>
      </c>
      <c r="P12" s="450">
        <f>'Makkah Migration Plan'!H78</f>
        <v>46302</v>
      </c>
      <c r="Q12" s="93"/>
      <c r="R12" s="95">
        <f>'ABHA Migration Plan'!F10</f>
        <v>46223</v>
      </c>
      <c r="S12" s="91">
        <f>'ABHA Migration Plan'!H10</f>
        <v>46223</v>
      </c>
      <c r="T12" s="455">
        <f>'ABHA Migration Plan'!F64</f>
        <v>46280</v>
      </c>
      <c r="U12" s="450">
        <f>'ABHA Migration Plan'!H64</f>
        <v>46280</v>
      </c>
      <c r="V12" s="93"/>
      <c r="W12" s="95">
        <f>'Jizan Migration Plan'!F10</f>
        <v>46229</v>
      </c>
      <c r="X12" s="91">
        <f>'Jizan Migration Plan'!H10</f>
        <v>46229</v>
      </c>
      <c r="Y12" s="455">
        <f>'Jizan Migration Plan'!F64</f>
        <v>46280</v>
      </c>
      <c r="Z12" s="450">
        <f>'ABHA Migration Plan'!H64</f>
        <v>46280</v>
      </c>
    </row>
    <row r="13" spans="1:26" ht="56.25" customHeight="1" x14ac:dyDescent="0.3">
      <c r="A13" s="354" t="s">
        <v>69</v>
      </c>
      <c r="B13" s="89"/>
      <c r="C13" s="95">
        <f>'MADINAH Migration Plan-'!F16</f>
        <v>46224</v>
      </c>
      <c r="D13" s="91">
        <f>'MADINAH Migration Plan-'!H16</f>
        <v>46224</v>
      </c>
      <c r="E13" s="455"/>
      <c r="F13" s="450"/>
      <c r="H13" s="95">
        <f>'Jeddah Migration Plan'!F18</f>
        <v>46236</v>
      </c>
      <c r="I13" s="91">
        <f>'Jeddah Migration Plan'!H18</f>
        <v>46236</v>
      </c>
      <c r="J13" s="455">
        <f>'ABHA Migration Plan'!$F$70</f>
        <v>46275</v>
      </c>
      <c r="K13" s="450">
        <f>'ABHA Migration Plan'!$H$70</f>
        <v>46275</v>
      </c>
      <c r="L13" s="93"/>
      <c r="M13" s="95">
        <f>'Makkah Migration Plan'!F18</f>
        <v>46237</v>
      </c>
      <c r="N13" s="91">
        <f>'Makkah Migration Plan'!H18</f>
        <v>46237</v>
      </c>
      <c r="O13" s="455">
        <f>'ABHA Migration Plan'!$F$70</f>
        <v>46275</v>
      </c>
      <c r="P13" s="450">
        <f>'ABHA Migration Plan'!$H$70</f>
        <v>46275</v>
      </c>
      <c r="Q13" s="93"/>
      <c r="R13" s="95">
        <f>'ABHA Migration Plan'!F16</f>
        <v>46229</v>
      </c>
      <c r="S13" s="91">
        <f>'ABHA Migration Plan'!H16</f>
        <v>46229</v>
      </c>
      <c r="T13" s="455"/>
      <c r="U13" s="450"/>
      <c r="V13" s="93"/>
      <c r="W13" s="95">
        <f>'Jizan Migration Plan'!F16</f>
        <v>46231</v>
      </c>
      <c r="X13" s="91">
        <f>'Jizan Migration Plan'!H16</f>
        <v>46231</v>
      </c>
      <c r="Y13" s="455"/>
      <c r="Z13" s="450"/>
    </row>
    <row r="14" spans="1:26" ht="56.25" customHeight="1" x14ac:dyDescent="0.3">
      <c r="A14" s="354" t="s">
        <v>70</v>
      </c>
      <c r="B14" s="89"/>
      <c r="C14" s="95">
        <f>'MADINAH Migration Plan-'!F22</f>
        <v>46232</v>
      </c>
      <c r="D14" s="91">
        <f>'MADINAH Migration Plan-'!H22</f>
        <v>46232</v>
      </c>
      <c r="E14" s="455"/>
      <c r="F14" s="450"/>
      <c r="H14" s="95">
        <f>'Jeddah Migration Plan'!F24</f>
        <v>46245</v>
      </c>
      <c r="I14" s="91">
        <f>'Jeddah Migration Plan'!H24</f>
        <v>46245</v>
      </c>
      <c r="J14" s="455">
        <f>'Jizan Migration Plan'!$F$70</f>
        <v>46272</v>
      </c>
      <c r="K14" s="450">
        <f>'Jizan Migration Plan'!$H$70</f>
        <v>46272</v>
      </c>
      <c r="L14" s="93"/>
      <c r="M14" s="95">
        <f>'Makkah Migration Plan'!F24</f>
        <v>46244</v>
      </c>
      <c r="N14" s="91">
        <f>'Makkah Migration Plan'!H24</f>
        <v>46244</v>
      </c>
      <c r="O14" s="455">
        <f>'Jizan Migration Plan'!$F$70</f>
        <v>46272</v>
      </c>
      <c r="P14" s="450">
        <f>'Jizan Migration Plan'!$H$70</f>
        <v>46272</v>
      </c>
      <c r="Q14" s="93"/>
      <c r="R14" s="95">
        <f>'ABHA Migration Plan'!F22</f>
        <v>46236</v>
      </c>
      <c r="S14" s="91">
        <f>'ABHA Migration Plan'!H22</f>
        <v>46236</v>
      </c>
      <c r="T14" s="455"/>
      <c r="U14" s="450"/>
      <c r="V14" s="93"/>
      <c r="W14" s="95">
        <f>'Jizan Migration Plan'!F22</f>
        <v>46238</v>
      </c>
      <c r="X14" s="91">
        <f>'Jizan Migration Plan'!H22</f>
        <v>46238</v>
      </c>
      <c r="Y14" s="455"/>
      <c r="Z14" s="450"/>
    </row>
    <row r="15" spans="1:26" ht="56.25" customHeight="1" x14ac:dyDescent="0.3">
      <c r="A15" s="354" t="s">
        <v>71</v>
      </c>
      <c r="B15" s="89"/>
      <c r="C15" s="95">
        <f>'MADINAH Migration Plan-'!F28</f>
        <v>46236</v>
      </c>
      <c r="D15" s="91">
        <f>'MADINAH Migration Plan-'!H28</f>
        <v>46236</v>
      </c>
      <c r="E15" s="455"/>
      <c r="F15" s="450"/>
      <c r="H15" s="95">
        <f>'Jeddah Migration Plan'!F30</f>
        <v>46254</v>
      </c>
      <c r="I15" s="91">
        <f>'Jeddah Migration Plan'!H30</f>
        <v>46254</v>
      </c>
      <c r="J15" s="455">
        <f>'Jeddah Migration Plan'!$F$84</f>
        <v>46310</v>
      </c>
      <c r="K15" s="450">
        <f>'Jeddah Migration Plan'!$H$84</f>
        <v>46310</v>
      </c>
      <c r="L15" s="93"/>
      <c r="M15" s="95">
        <f>'Makkah Migration Plan'!F30</f>
        <v>46251</v>
      </c>
      <c r="N15" s="91">
        <f>'Makkah Migration Plan'!H30</f>
        <v>46251</v>
      </c>
      <c r="O15" s="455">
        <f>'Jeddah Migration Plan'!$F$84</f>
        <v>46310</v>
      </c>
      <c r="P15" s="450">
        <f>'Jeddah Migration Plan'!$H$84</f>
        <v>46310</v>
      </c>
      <c r="Q15" s="93"/>
      <c r="R15" s="95">
        <f>'ABHA Migration Plan'!F28</f>
        <v>46244</v>
      </c>
      <c r="S15" s="91">
        <f>'ABHA Migration Plan'!H28</f>
        <v>46244</v>
      </c>
      <c r="T15" s="455"/>
      <c r="U15" s="450"/>
      <c r="V15" s="93"/>
      <c r="W15" s="95">
        <f>'Jizan Migration Plan'!F28</f>
        <v>46244</v>
      </c>
      <c r="X15" s="91">
        <f>'Jizan Migration Plan'!H28</f>
        <v>46244</v>
      </c>
      <c r="Y15" s="455"/>
      <c r="Z15" s="450"/>
    </row>
    <row r="16" spans="1:26" ht="56.25" customHeight="1" x14ac:dyDescent="0.3">
      <c r="A16" s="354" t="s">
        <v>72</v>
      </c>
      <c r="B16" s="89"/>
      <c r="C16" s="95">
        <f>'MADINAH Migration Plan-'!F34</f>
        <v>46240</v>
      </c>
      <c r="D16" s="91">
        <f>'MADINAH Migration Plan-'!H34</f>
        <v>46240</v>
      </c>
      <c r="E16" s="455"/>
      <c r="F16" s="450"/>
      <c r="H16" s="95">
        <f>'Jeddah Migration Plan'!F36</f>
        <v>46265</v>
      </c>
      <c r="I16" s="91">
        <f>'Jeddah Migration Plan'!H36</f>
        <v>46265</v>
      </c>
      <c r="J16" s="455">
        <f>'Makkah Migration Plan'!$F$84</f>
        <v>46299</v>
      </c>
      <c r="K16" s="450">
        <f>'Makkah Migration Plan'!$H$84</f>
        <v>46299</v>
      </c>
      <c r="L16" s="93"/>
      <c r="M16" s="95">
        <f>'Makkah Migration Plan'!F36</f>
        <v>46258</v>
      </c>
      <c r="N16" s="91">
        <f>'Makkah Migration Plan'!H36</f>
        <v>46258</v>
      </c>
      <c r="O16" s="455">
        <f>'Makkah Migration Plan'!$F$84</f>
        <v>46299</v>
      </c>
      <c r="P16" s="450">
        <f>'Makkah Migration Plan'!$H$84</f>
        <v>46299</v>
      </c>
      <c r="Q16" s="93"/>
      <c r="R16" s="95">
        <f>'ABHA Migration Plan'!F34</f>
        <v>46252</v>
      </c>
      <c r="S16" s="91">
        <f>'ABHA Migration Plan'!H34</f>
        <v>46252</v>
      </c>
      <c r="T16" s="455"/>
      <c r="U16" s="450"/>
      <c r="V16" s="93"/>
      <c r="W16" s="95">
        <f>'Jizan Migration Plan'!F34</f>
        <v>46250</v>
      </c>
      <c r="X16" s="91">
        <f>'Jizan Migration Plan'!H34</f>
        <v>46250</v>
      </c>
      <c r="Y16" s="455"/>
      <c r="Z16" s="450"/>
    </row>
    <row r="17" spans="1:26" ht="56.25" customHeight="1" x14ac:dyDescent="0.3">
      <c r="A17" s="354" t="s">
        <v>73</v>
      </c>
      <c r="B17" s="89"/>
      <c r="C17" s="95">
        <f>'MADINAH Migration Plan-'!F40</f>
        <v>46246</v>
      </c>
      <c r="D17" s="91">
        <f>'MADINAH Migration Plan-'!H40</f>
        <v>46246</v>
      </c>
      <c r="E17" s="455"/>
      <c r="F17" s="450"/>
      <c r="H17" s="95">
        <f>'Jeddah Migration Plan'!F42</f>
        <v>46275</v>
      </c>
      <c r="I17" s="91">
        <f>'Jeddah Migration Plan'!H42</f>
        <v>46275</v>
      </c>
      <c r="J17" s="455"/>
      <c r="K17" s="450"/>
      <c r="L17" s="93"/>
      <c r="M17" s="95">
        <f>'Makkah Migration Plan'!F42</f>
        <v>46265</v>
      </c>
      <c r="N17" s="91">
        <f>'Makkah Migration Plan'!H42</f>
        <v>46265</v>
      </c>
      <c r="O17" s="455"/>
      <c r="P17" s="450"/>
      <c r="Q17" s="93"/>
      <c r="R17" s="95">
        <f>'ABHA Migration Plan'!F40</f>
        <v>46259</v>
      </c>
      <c r="S17" s="91">
        <f>'ABHA Migration Plan'!H40</f>
        <v>46259</v>
      </c>
      <c r="T17" s="455"/>
      <c r="U17" s="450"/>
      <c r="V17" s="93"/>
      <c r="W17" s="95">
        <f>'Jizan Migration Plan'!F40</f>
        <v>46254</v>
      </c>
      <c r="X17" s="91">
        <f>'Jizan Migration Plan'!H40</f>
        <v>46254</v>
      </c>
      <c r="Y17" s="455"/>
      <c r="Z17" s="450"/>
    </row>
    <row r="18" spans="1:26" ht="56.25" customHeight="1" x14ac:dyDescent="0.3">
      <c r="A18" s="354" t="s">
        <v>74</v>
      </c>
      <c r="B18" s="89"/>
      <c r="C18" s="95">
        <f>'MADINAH Migration Plan-'!F46</f>
        <v>46252</v>
      </c>
      <c r="D18" s="91">
        <f>'MADINAH Migration Plan-'!H46</f>
        <v>46252</v>
      </c>
      <c r="E18" s="455"/>
      <c r="F18" s="450"/>
      <c r="H18" s="95">
        <f>'Jeddah Migration Plan'!F48</f>
        <v>46285</v>
      </c>
      <c r="I18" s="91">
        <f>'Jeddah Migration Plan'!H48</f>
        <v>46285</v>
      </c>
      <c r="J18" s="455"/>
      <c r="K18" s="450"/>
      <c r="L18" s="93"/>
      <c r="M18" s="95">
        <f>'Makkah Migration Plan'!F48</f>
        <v>46272</v>
      </c>
      <c r="N18" s="91">
        <f>'Makkah Migration Plan'!H48</f>
        <v>46272</v>
      </c>
      <c r="O18" s="455"/>
      <c r="P18" s="450"/>
      <c r="Q18" s="93"/>
      <c r="R18" s="95">
        <f>'ABHA Migration Plan'!F46</f>
        <v>46266</v>
      </c>
      <c r="S18" s="91">
        <f>'ABHA Migration Plan'!H46</f>
        <v>46266</v>
      </c>
      <c r="T18" s="455"/>
      <c r="U18" s="450"/>
      <c r="V18" s="93"/>
      <c r="W18" s="95">
        <f>'Jizan Migration Plan'!F46</f>
        <v>46260</v>
      </c>
      <c r="X18" s="91">
        <f>'Jizan Migration Plan'!H46</f>
        <v>46260</v>
      </c>
      <c r="Y18" s="455"/>
      <c r="Z18" s="450"/>
    </row>
    <row r="19" spans="1:26" ht="56.25" customHeight="1" x14ac:dyDescent="0.3">
      <c r="A19" s="354" t="s">
        <v>75</v>
      </c>
      <c r="B19" s="89"/>
      <c r="C19" s="95">
        <f>'MADINAH Migration Plan-'!F52</f>
        <v>46258</v>
      </c>
      <c r="D19" s="91">
        <f>'MADINAH Migration Plan-'!H52</f>
        <v>46258</v>
      </c>
      <c r="E19" s="455"/>
      <c r="F19" s="450"/>
      <c r="H19" s="95">
        <f>'Jeddah Migration Plan'!F54</f>
        <v>46294</v>
      </c>
      <c r="I19" s="91">
        <f>'Jeddah Migration Plan'!H54</f>
        <v>46294</v>
      </c>
      <c r="J19" s="455"/>
      <c r="K19" s="450"/>
      <c r="L19" s="93"/>
      <c r="M19" s="95">
        <f>'Makkah Migration Plan'!F54</f>
        <v>46279</v>
      </c>
      <c r="N19" s="91">
        <f>'Makkah Migration Plan'!H54</f>
        <v>46279</v>
      </c>
      <c r="O19" s="455"/>
      <c r="P19" s="450"/>
      <c r="Q19" s="93"/>
      <c r="R19" s="95">
        <f>'ABHA Migration Plan'!F52</f>
        <v>46273</v>
      </c>
      <c r="S19" s="91">
        <f>'ABHA Migration Plan'!H52</f>
        <v>46273</v>
      </c>
      <c r="T19" s="455"/>
      <c r="U19" s="450"/>
      <c r="V19" s="93"/>
      <c r="W19" s="95">
        <f>'Jizan Migration Plan'!F52</f>
        <v>46268</v>
      </c>
      <c r="X19" s="91">
        <f>'Jizan Migration Plan'!H52</f>
        <v>46268</v>
      </c>
      <c r="Y19" s="455"/>
      <c r="Z19" s="450"/>
    </row>
    <row r="20" spans="1:26" ht="56.25" customHeight="1" x14ac:dyDescent="0.3">
      <c r="A20" s="354" t="s">
        <v>76</v>
      </c>
      <c r="B20" s="89"/>
      <c r="C20" s="95">
        <f>'MADINAH Migration Plan-'!F58</f>
        <v>46264</v>
      </c>
      <c r="D20" s="91">
        <f>'MADINAH Migration Plan-'!H58</f>
        <v>46264</v>
      </c>
      <c r="E20" s="455"/>
      <c r="F20" s="450"/>
      <c r="H20" s="95">
        <f>'Jeddah Migration Plan'!F60</f>
        <v>46303</v>
      </c>
      <c r="I20" s="91">
        <f>'Jeddah Migration Plan'!H60</f>
        <v>46303</v>
      </c>
      <c r="J20" s="455"/>
      <c r="K20" s="450"/>
      <c r="L20" s="93"/>
      <c r="M20" s="95">
        <f>'Makkah Migration Plan'!F60</f>
        <v>46286</v>
      </c>
      <c r="N20" s="91">
        <f>'Makkah Migration Plan'!H60</f>
        <v>46286</v>
      </c>
      <c r="O20" s="455"/>
      <c r="P20" s="450"/>
      <c r="Q20" s="93"/>
      <c r="R20" s="96"/>
      <c r="S20" s="97"/>
      <c r="T20" s="98"/>
      <c r="U20" s="99"/>
      <c r="V20" s="93"/>
      <c r="W20" s="96"/>
      <c r="X20" s="97"/>
      <c r="Y20" s="98"/>
      <c r="Z20" s="99"/>
    </row>
    <row r="21" spans="1:26" ht="56.25" customHeight="1" thickBot="1" x14ac:dyDescent="0.35">
      <c r="A21" s="355" t="s">
        <v>77</v>
      </c>
      <c r="B21" s="89"/>
      <c r="C21" s="100">
        <f>'MADINAH Migration Plan-'!F64</f>
        <v>46268</v>
      </c>
      <c r="D21" s="92">
        <f>'MADINAH Migration Plan-'!H64</f>
        <v>46268</v>
      </c>
      <c r="E21" s="456"/>
      <c r="F21" s="451"/>
      <c r="H21" s="100">
        <f>'Jeddah Migration Plan'!F66</f>
        <v>46315</v>
      </c>
      <c r="I21" s="92">
        <f>'Jeddah Migration Plan'!H66</f>
        <v>46315</v>
      </c>
      <c r="J21" s="456"/>
      <c r="K21" s="451"/>
      <c r="L21" s="93"/>
      <c r="M21" s="100">
        <f>'Makkah Migration Plan'!F66</f>
        <v>46293</v>
      </c>
      <c r="N21" s="92">
        <f>'Makkah Migration Plan'!H66</f>
        <v>46293</v>
      </c>
      <c r="O21" s="456"/>
      <c r="P21" s="451"/>
      <c r="Q21" s="93"/>
      <c r="R21" s="101"/>
      <c r="S21" s="102"/>
      <c r="T21" s="103"/>
      <c r="U21" s="104"/>
      <c r="V21" s="93"/>
      <c r="W21" s="101"/>
      <c r="X21" s="102"/>
      <c r="Y21" s="103"/>
      <c r="Z21" s="104"/>
    </row>
  </sheetData>
  <mergeCells count="33">
    <mergeCell ref="C2:P6"/>
    <mergeCell ref="R2:Z6"/>
    <mergeCell ref="A8:A11"/>
    <mergeCell ref="C8:F8"/>
    <mergeCell ref="H8:K8"/>
    <mergeCell ref="M8:P8"/>
    <mergeCell ref="R8:U8"/>
    <mergeCell ref="W8:Z8"/>
    <mergeCell ref="C9:F9"/>
    <mergeCell ref="H9:K9"/>
    <mergeCell ref="C10:D10"/>
    <mergeCell ref="E10:F10"/>
    <mergeCell ref="H10:I10"/>
    <mergeCell ref="J10:K10"/>
    <mergeCell ref="M10:N10"/>
    <mergeCell ref="P12:P21"/>
    <mergeCell ref="T12:T19"/>
    <mergeCell ref="M9:P9"/>
    <mergeCell ref="R9:U9"/>
    <mergeCell ref="W9:Z9"/>
    <mergeCell ref="O10:P10"/>
    <mergeCell ref="R10:S10"/>
    <mergeCell ref="U12:U19"/>
    <mergeCell ref="Y12:Y19"/>
    <mergeCell ref="Z12:Z19"/>
    <mergeCell ref="T10:U10"/>
    <mergeCell ref="W10:X10"/>
    <mergeCell ref="Y10:Z10"/>
    <mergeCell ref="E12:E21"/>
    <mergeCell ref="F12:F21"/>
    <mergeCell ref="J12:J21"/>
    <mergeCell ref="K12:K21"/>
    <mergeCell ref="O12:O21"/>
  </mergeCells>
  <pageMargins left="0.7" right="0.7" top="0.75" bottom="0.75" header="0.3" footer="0.3"/>
  <pageSetup paperSize="8" scale="51"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389f1ef8-9fc7-4250-9466-79c08d8bd832" xsi:nil="true"/>
    <TaxCatchAll xmlns="d5b2f26e-b630-44bd-87e5-d5d6c3db68be" xsi:nil="true"/>
    <lcf76f155ced4ddcb4097134ff3c332f xmlns="389f1ef8-9fc7-4250-9466-79c08d8bd83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DC0BB8BE08744AAD7823D7D2EEDA58" ma:contentTypeVersion="17" ma:contentTypeDescription="Create a new document." ma:contentTypeScope="" ma:versionID="480ee920b99d23bac99646da38ccbbdc">
  <xsd:schema xmlns:xsd="http://www.w3.org/2001/XMLSchema" xmlns:xs="http://www.w3.org/2001/XMLSchema" xmlns:p="http://schemas.microsoft.com/office/2006/metadata/properties" xmlns:ns2="389f1ef8-9fc7-4250-9466-79c08d8bd832" xmlns:ns3="d5b2f26e-b630-44bd-87e5-d5d6c3db68be" targetNamespace="http://schemas.microsoft.com/office/2006/metadata/properties" ma:root="true" ma:fieldsID="2d8ae27bcc703cee76efd159f85bc346" ns2:_="" ns3:_="">
    <xsd:import namespace="389f1ef8-9fc7-4250-9466-79c08d8bd832"/>
    <xsd:import namespace="d5b2f26e-b630-44bd-87e5-d5d6c3db68b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Status" minOccurs="0"/>
                <xsd:element ref="ns2:MediaServiceLocation"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9f1ef8-9fc7-4250-9466-79c08d8bd8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e15db89-250c-4d34-9bef-285ee39de08b"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Status" ma:index="19" nillable="true" ma:displayName="Status" ma:format="Dropdown" ma:internalName="Status">
      <xsd:simpleType>
        <xsd:restriction base="dms:Text">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b2f26e-b630-44bd-87e5-d5d6c3db68b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4103b4b-7053-4631-943a-3987abc8a121}" ma:internalName="TaxCatchAll" ma:showField="CatchAllData" ma:web="d5b2f26e-b630-44bd-87e5-d5d6c3db68be">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A00D0B-1F3C-4A9C-870E-467A8D18671C}">
  <ds:schemaRefs>
    <ds:schemaRef ds:uri="http://schemas.microsoft.com/office/2006/metadata/properties"/>
    <ds:schemaRef ds:uri="http://schemas.microsoft.com/office/infopath/2007/PartnerControls"/>
    <ds:schemaRef ds:uri="389f1ef8-9fc7-4250-9466-79c08d8bd832"/>
    <ds:schemaRef ds:uri="d5b2f26e-b630-44bd-87e5-d5d6c3db68be"/>
  </ds:schemaRefs>
</ds:datastoreItem>
</file>

<file path=customXml/itemProps2.xml><?xml version="1.0" encoding="utf-8"?>
<ds:datastoreItem xmlns:ds="http://schemas.openxmlformats.org/officeDocument/2006/customXml" ds:itemID="{CD353690-D15E-4A62-93BF-20497AD3AD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9f1ef8-9fc7-4250-9466-79c08d8bd832"/>
    <ds:schemaRef ds:uri="d5b2f26e-b630-44bd-87e5-d5d6c3db68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632E2A-9687-457B-BD9D-307E0D3134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MADINAH Migration Plan</vt:lpstr>
      <vt:lpstr>Progress Summary</vt:lpstr>
      <vt:lpstr>Summary Dates Option 01 &amp;02</vt:lpstr>
      <vt:lpstr>ABHA Migration Plan</vt:lpstr>
      <vt:lpstr>MADINAH Migration Plan-</vt:lpstr>
      <vt:lpstr>Jizan Migration Plan</vt:lpstr>
      <vt:lpstr>Jeddah Migration Plan</vt:lpstr>
      <vt:lpstr>Makkah Migration Plan</vt:lpstr>
      <vt:lpstr>Summary Dates Option 01 &amp;02 (2)</vt:lpstr>
      <vt:lpstr>'Progress 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 Narayanasamy</dc:creator>
  <cp:keywords/>
  <dc:description/>
  <cp:lastModifiedBy>Ahmed Abdelzaher</cp:lastModifiedBy>
  <cp:revision/>
  <dcterms:created xsi:type="dcterms:W3CDTF">2025-01-06T11:35:00Z</dcterms:created>
  <dcterms:modified xsi:type="dcterms:W3CDTF">2026-06-25T11:26:01Z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407c91-f24b-4cd4-a76b-785b6c54b38d_Enabled">
    <vt:lpwstr>true</vt:lpwstr>
  </property>
  <property fmtid="{D5CDD505-2E9C-101B-9397-08002B2CF9AE}" pid="3" name="MSIP_Label_6b407c91-f24b-4cd4-a76b-785b6c54b38d_SetDate">
    <vt:lpwstr>2025-07-19T06:51:01Z</vt:lpwstr>
  </property>
  <property fmtid="{D5CDD505-2E9C-101B-9397-08002B2CF9AE}" pid="4" name="MSIP_Label_6b407c91-f24b-4cd4-a76b-785b6c54b38d_Method">
    <vt:lpwstr>Privileged</vt:lpwstr>
  </property>
  <property fmtid="{D5CDD505-2E9C-101B-9397-08002B2CF9AE}" pid="5" name="MSIP_Label_6b407c91-f24b-4cd4-a76b-785b6c54b38d_Name">
    <vt:lpwstr>Public</vt:lpwstr>
  </property>
  <property fmtid="{D5CDD505-2E9C-101B-9397-08002B2CF9AE}" pid="6" name="MSIP_Label_6b407c91-f24b-4cd4-a76b-785b6c54b38d_SiteId">
    <vt:lpwstr>947d9dbe-5f08-4416-96a9-8468f7f8299e</vt:lpwstr>
  </property>
  <property fmtid="{D5CDD505-2E9C-101B-9397-08002B2CF9AE}" pid="7" name="MSIP_Label_6b407c91-f24b-4cd4-a76b-785b6c54b38d_ActionId">
    <vt:lpwstr>817f76e9-7df5-4087-8062-fb8098be9e86</vt:lpwstr>
  </property>
  <property fmtid="{D5CDD505-2E9C-101B-9397-08002B2CF9AE}" pid="8" name="MSIP_Label_6b407c91-f24b-4cd4-a76b-785b6c54b38d_ContentBits">
    <vt:lpwstr>2</vt:lpwstr>
  </property>
  <property fmtid="{D5CDD505-2E9C-101B-9397-08002B2CF9AE}" pid="9" name="MSIP_Label_6b407c91-f24b-4cd4-a76b-785b6c54b38d_Tag">
    <vt:lpwstr>10, 0, 1, 1</vt:lpwstr>
  </property>
  <property fmtid="{D5CDD505-2E9C-101B-9397-08002B2CF9AE}" pid="10" name="ContentTypeId">
    <vt:lpwstr>0x01010093DC0BB8BE08744AAD7823D7D2EEDA58</vt:lpwstr>
  </property>
  <property fmtid="{D5CDD505-2E9C-101B-9397-08002B2CF9AE}" pid="11" name="MediaServiceImageTags">
    <vt:lpwstr/>
  </property>
  <property fmtid="{D5CDD505-2E9C-101B-9397-08002B2CF9AE}" pid="12" name="ICV">
    <vt:lpwstr>8C0ED66B96074D0692907614702126AD_12</vt:lpwstr>
  </property>
  <property fmtid="{D5CDD505-2E9C-101B-9397-08002B2CF9AE}" pid="13" name="KSOProductBuildVer">
    <vt:lpwstr>2052-12.1.0.26895</vt:lpwstr>
  </property>
  <property fmtid="{D5CDD505-2E9C-101B-9397-08002B2CF9AE}" pid="14" name="CalculationRule">
    <vt:i4>0</vt:i4>
  </property>
</Properties>
</file>