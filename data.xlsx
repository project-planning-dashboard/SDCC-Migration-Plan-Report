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mc:AlternateContent xmlns:mc="http://schemas.openxmlformats.org/markup-compatibility/2006">
    <mc:Choice Requires="x15">
      <x15ac:absPath xmlns:x15ac="http://schemas.microsoft.com/office/spreadsheetml/2010/11/ac" url="https://alfanargroup-my.sharepoint.com/personal/ahmed_abdelzaher_alfanar_com/Documents/"/>
    </mc:Choice>
  </mc:AlternateContent>
  <xr:revisionPtr revIDLastSave="2165" documentId="11_FE56DEA76A282FFB01373392047A7FAB0986B2FA" xr6:coauthVersionLast="47" xr6:coauthVersionMax="47" xr10:uidLastSave="{C93417A3-9C1F-4B23-A3E8-E6078DCA1325}"/>
  <bookViews>
    <workbookView minimized="1" xWindow="3585" yWindow="3585" windowWidth="21600" windowHeight="12645" tabRatio="744" firstSheet="2" activeTab="2" xr2:uid="{00000000-000D-0000-FFFF-FFFF00000000}"/>
  </bookViews>
  <sheets>
    <sheet name="MADINAH Migration Plan" sheetId="30" state="hidden" r:id="rId1"/>
    <sheet name="Progress Summary" sheetId="46" r:id="rId2"/>
    <sheet name="Summary Dates" sheetId="47" r:id="rId3"/>
    <sheet name="ABHA Migration Plan" sheetId="31" r:id="rId4"/>
    <sheet name="MADINAH Migration Plan-" sheetId="41" r:id="rId5"/>
    <sheet name="Jizan Migration Plan" sheetId="40" r:id="rId6"/>
    <sheet name="Jeddah Migration Plan" sheetId="38" r:id="rId7"/>
    <sheet name="Makkah Migration Plan" sheetId="37" r:id="rId8"/>
  </sheets>
  <externalReferences>
    <externalReference r:id="rId9"/>
    <externalReference r:id="rId10"/>
  </externalReferences>
  <definedNames>
    <definedName name="_xlnm._FilterDatabase" localSheetId="4" hidden="1">'MADINAH Migration Plan-'!$A$2:$AE$2</definedName>
    <definedName name="_xlcn.WorksheetConnection_MasterSheetC1016C8915" hidden="1">'[1]Master Sheet'!$C$1016:$C$8915</definedName>
    <definedName name="_xlcn.WorksheetConnection_PE286SDCCProgressTrackingSheetEVAnalysisMasterSheet.xlsxTable1" hidden="1">Table1</definedName>
    <definedName name="_xlnm.Print_Area" localSheetId="1">'Progress Summary'!$A$1:$X$27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71" i="41" l="1"/>
  <c r="M68" i="41"/>
  <c r="M12" i="41"/>
  <c r="M11" i="41"/>
  <c r="M7" i="41"/>
  <c r="M6" i="41"/>
  <c r="M5" i="41"/>
  <c r="M73" i="37"/>
  <c r="M70" i="37"/>
  <c r="M9" i="37"/>
  <c r="M73" i="38"/>
  <c r="M70" i="38"/>
  <c r="M9" i="38"/>
  <c r="M6" i="38"/>
  <c r="M61" i="40"/>
  <c r="M58" i="40"/>
  <c r="M11" i="40"/>
  <c r="M7" i="40"/>
  <c r="M5" i="40"/>
  <c r="M74" i="31"/>
  <c r="M73" i="31"/>
  <c r="M72" i="31"/>
  <c r="M71" i="31"/>
  <c r="M70" i="31"/>
  <c r="M69" i="31"/>
  <c r="M67" i="31"/>
  <c r="M66" i="31"/>
  <c r="M65" i="31"/>
  <c r="M64" i="31"/>
  <c r="M63" i="31"/>
  <c r="M61" i="31"/>
  <c r="M60" i="31"/>
  <c r="M58" i="31"/>
  <c r="M57" i="31"/>
  <c r="M55" i="31"/>
  <c r="M54" i="31"/>
  <c r="M53" i="31"/>
  <c r="M52" i="31"/>
  <c r="M51" i="31"/>
  <c r="M49" i="31"/>
  <c r="M47" i="31"/>
  <c r="M46" i="31"/>
  <c r="M45" i="31"/>
  <c r="M43" i="31"/>
  <c r="M42" i="31"/>
  <c r="M41" i="31"/>
  <c r="M40" i="31"/>
  <c r="M38" i="31"/>
  <c r="M37" i="31"/>
  <c r="M36" i="31"/>
  <c r="M35" i="31"/>
  <c r="M33" i="31"/>
  <c r="M32" i="31"/>
  <c r="M31" i="31"/>
  <c r="M30" i="31"/>
  <c r="M28" i="31"/>
  <c r="M27" i="31"/>
  <c r="M26" i="31"/>
  <c r="M25" i="31"/>
  <c r="M23" i="31"/>
  <c r="M22" i="31"/>
  <c r="M21" i="31"/>
  <c r="M20" i="31"/>
  <c r="M18" i="31"/>
  <c r="M17" i="31"/>
  <c r="M16" i="31"/>
  <c r="M15" i="31"/>
  <c r="M13" i="31"/>
  <c r="M12" i="31"/>
  <c r="M11" i="31"/>
  <c r="M10" i="31"/>
  <c r="M8" i="31"/>
  <c r="M7" i="31"/>
  <c r="M6" i="31"/>
  <c r="M5" i="31"/>
  <c r="M4" i="31"/>
  <c r="L21" i="47"/>
  <c r="H65" i="40"/>
  <c r="H66" i="40" s="1"/>
  <c r="H67" i="40" s="1"/>
  <c r="I67" i="40" s="1"/>
  <c r="H70" i="40" s="1"/>
  <c r="H64" i="40"/>
  <c r="I61" i="40"/>
  <c r="I58" i="40"/>
  <c r="I11" i="40"/>
  <c r="H12" i="40" s="1"/>
  <c r="I12" i="40" s="1"/>
  <c r="H13" i="40" s="1"/>
  <c r="I13" i="40" s="1"/>
  <c r="H14" i="40" s="1"/>
  <c r="I14" i="40" s="1"/>
  <c r="H8" i="40"/>
  <c r="I8" i="40" s="1"/>
  <c r="H9" i="40" s="1"/>
  <c r="I9" i="40" s="1"/>
  <c r="I6" i="40"/>
  <c r="J23" i="47"/>
  <c r="J22" i="47"/>
  <c r="J21" i="47"/>
  <c r="J20" i="47"/>
  <c r="J18" i="47"/>
  <c r="J17" i="47"/>
  <c r="J16" i="47"/>
  <c r="J15" i="47"/>
  <c r="J11" i="47"/>
  <c r="J10" i="47"/>
  <c r="J9" i="47"/>
  <c r="J8" i="47"/>
  <c r="J6" i="47"/>
  <c r="J5" i="47"/>
  <c r="J4" i="47"/>
  <c r="J3" i="47"/>
  <c r="H63" i="31"/>
  <c r="H64" i="31" s="1"/>
  <c r="H65" i="31" s="1"/>
  <c r="H66" i="31" s="1"/>
  <c r="I66" i="31" s="1"/>
  <c r="I60" i="31"/>
  <c r="I57" i="31"/>
  <c r="H15" i="31"/>
  <c r="I15" i="31" s="1"/>
  <c r="H16" i="31" s="1"/>
  <c r="I16" i="31" s="1"/>
  <c r="I11" i="31"/>
  <c r="H7" i="31"/>
  <c r="I7" i="31" s="1"/>
  <c r="H8" i="31" s="1"/>
  <c r="I8" i="31" s="1"/>
  <c r="I5" i="31"/>
  <c r="E32" i="47"/>
  <c r="H77" i="37"/>
  <c r="I77" i="37" s="1"/>
  <c r="I78" i="37" s="1"/>
  <c r="H76" i="37"/>
  <c r="I73" i="37"/>
  <c r="I70" i="37"/>
  <c r="H6" i="37"/>
  <c r="I6" i="37" s="1"/>
  <c r="H5" i="37"/>
  <c r="I5" i="37" s="1"/>
  <c r="C35" i="47"/>
  <c r="C34" i="47"/>
  <c r="C33" i="47"/>
  <c r="C32" i="47"/>
  <c r="C30" i="47"/>
  <c r="C29" i="47"/>
  <c r="C28" i="47"/>
  <c r="C27" i="47"/>
  <c r="H77" i="38"/>
  <c r="H78" i="38" s="1"/>
  <c r="H79" i="38" s="1"/>
  <c r="I79" i="38" s="1"/>
  <c r="H76" i="38"/>
  <c r="C23" i="47"/>
  <c r="C22" i="47"/>
  <c r="C21" i="47"/>
  <c r="C20" i="47"/>
  <c r="C17" i="47"/>
  <c r="C16" i="47"/>
  <c r="I73" i="38"/>
  <c r="I70" i="38"/>
  <c r="H6" i="38"/>
  <c r="I6" i="38" s="1"/>
  <c r="H7" i="38" s="1"/>
  <c r="I7" i="38" s="1"/>
  <c r="H5" i="38"/>
  <c r="I5" i="38" s="1"/>
  <c r="C15" i="47"/>
  <c r="C18" i="47"/>
  <c r="C11" i="47"/>
  <c r="C10" i="47"/>
  <c r="C9" i="47"/>
  <c r="C8" i="47"/>
  <c r="C6" i="47"/>
  <c r="C5" i="47"/>
  <c r="C4" i="47"/>
  <c r="C3" i="47"/>
  <c r="H75" i="41"/>
  <c r="H76" i="41" s="1"/>
  <c r="H77" i="41" s="1"/>
  <c r="I77" i="41" s="1"/>
  <c r="H80" i="41" s="1"/>
  <c r="H74" i="41"/>
  <c r="I71" i="41"/>
  <c r="I68" i="41"/>
  <c r="I16" i="41"/>
  <c r="H17" i="41" s="1"/>
  <c r="I17" i="41" s="1"/>
  <c r="H16" i="41"/>
  <c r="H12" i="41"/>
  <c r="I8" i="41"/>
  <c r="H13" i="41" s="1"/>
  <c r="I13" i="41" s="1"/>
  <c r="H14" i="41" s="1"/>
  <c r="I14" i="41" s="1"/>
  <c r="H8" i="41"/>
  <c r="H6" i="41"/>
  <c r="W27" i="46" a="1"/>
  <c r="W27" i="46" s="1"/>
  <c r="V27" i="46" a="1"/>
  <c r="V27" i="46" s="1"/>
  <c r="U27" i="46" a="1"/>
  <c r="U27" i="46" s="1"/>
  <c r="T27" i="46" a="1"/>
  <c r="T27" i="46" s="1"/>
  <c r="W26" i="46" a="1"/>
  <c r="W26" i="46" s="1"/>
  <c r="V26" i="46" a="1"/>
  <c r="V26" i="46" s="1"/>
  <c r="U26" i="46" a="1"/>
  <c r="U26" i="46" s="1"/>
  <c r="T26" i="46" a="1"/>
  <c r="T26" i="46" s="1"/>
  <c r="W25" i="46" a="1"/>
  <c r="W25" i="46" s="1"/>
  <c r="V25" i="46" a="1"/>
  <c r="V25" i="46" s="1"/>
  <c r="U25" i="46" a="1"/>
  <c r="U25" i="46" s="1"/>
  <c r="T25" i="46" a="1"/>
  <c r="T25" i="46" s="1"/>
  <c r="W24" i="46" a="1"/>
  <c r="W24" i="46" s="1"/>
  <c r="V24" i="46" a="1"/>
  <c r="V24" i="46" s="1"/>
  <c r="U24" i="46" a="1"/>
  <c r="U24" i="46" s="1"/>
  <c r="T24" i="46" a="1"/>
  <c r="T24" i="46" s="1"/>
  <c r="W23" i="46" a="1"/>
  <c r="W23" i="46" s="1"/>
  <c r="V23" i="46" a="1"/>
  <c r="V23" i="46" s="1"/>
  <c r="U23" i="46" a="1"/>
  <c r="U23" i="46" s="1"/>
  <c r="T23" i="46" a="1"/>
  <c r="T23" i="46" s="1"/>
  <c r="W22" i="46" a="1"/>
  <c r="W22" i="46" s="1"/>
  <c r="V22" i="46" a="1"/>
  <c r="V22" i="46" s="1"/>
  <c r="U22" i="46" a="1"/>
  <c r="U22" i="46" s="1"/>
  <c r="T22" i="46" a="1"/>
  <c r="T22" i="46" s="1"/>
  <c r="W21" i="46" a="1"/>
  <c r="W21" i="46" s="1"/>
  <c r="V21" i="46" a="1"/>
  <c r="V21" i="46" s="1"/>
  <c r="U21" i="46" a="1"/>
  <c r="U21" i="46" s="1"/>
  <c r="T21" i="46" a="1"/>
  <c r="T21" i="46" s="1"/>
  <c r="W20" i="46" a="1"/>
  <c r="W20" i="46" s="1"/>
  <c r="V20" i="46" a="1"/>
  <c r="V20" i="46" s="1"/>
  <c r="U20" i="46" a="1"/>
  <c r="U20" i="46" s="1"/>
  <c r="T20" i="46" a="1"/>
  <c r="T20" i="46" s="1"/>
  <c r="G27" i="46" a="1"/>
  <c r="G27" i="46" s="1"/>
  <c r="F27" i="46" a="1"/>
  <c r="F27" i="46" s="1"/>
  <c r="E27" i="46" a="1"/>
  <c r="E27" i="46" s="1"/>
  <c r="D27" i="46" a="1"/>
  <c r="D27" i="46" s="1"/>
  <c r="G26" i="46" a="1"/>
  <c r="G26" i="46" s="1"/>
  <c r="F26" i="46" a="1"/>
  <c r="F26" i="46" s="1"/>
  <c r="E26" i="46" a="1"/>
  <c r="E26" i="46" s="1"/>
  <c r="D26" i="46" a="1"/>
  <c r="D26" i="46" s="1"/>
  <c r="G25" i="46" a="1"/>
  <c r="G25" i="46" s="1"/>
  <c r="F25" i="46" a="1"/>
  <c r="F25" i="46" s="1"/>
  <c r="E25" i="46" a="1"/>
  <c r="E25" i="46" s="1"/>
  <c r="D25" i="46" a="1"/>
  <c r="D25" i="46" s="1"/>
  <c r="G24" i="46" a="1"/>
  <c r="G24" i="46" s="1"/>
  <c r="F24" i="46" a="1"/>
  <c r="F24" i="46" s="1"/>
  <c r="E24" i="46" a="1"/>
  <c r="E24" i="46" s="1"/>
  <c r="D24" i="46" a="1"/>
  <c r="D24" i="46" s="1"/>
  <c r="G23" i="46" a="1"/>
  <c r="G23" i="46" s="1"/>
  <c r="F23" i="46" a="1"/>
  <c r="F23" i="46" s="1"/>
  <c r="E23" i="46" a="1"/>
  <c r="E23" i="46" s="1"/>
  <c r="D23" i="46" a="1"/>
  <c r="D23" i="46" s="1"/>
  <c r="G22" i="46" a="1"/>
  <c r="G22" i="46" s="1"/>
  <c r="F22" i="46" a="1"/>
  <c r="F22" i="46" s="1"/>
  <c r="E22" i="46" a="1"/>
  <c r="E22" i="46" s="1"/>
  <c r="D22" i="46" a="1"/>
  <c r="D22" i="46" s="1"/>
  <c r="G21" i="46" a="1"/>
  <c r="G21" i="46" s="1"/>
  <c r="F21" i="46" a="1"/>
  <c r="F21" i="46" s="1"/>
  <c r="E21" i="46" a="1"/>
  <c r="E21" i="46" s="1"/>
  <c r="D21" i="46" a="1"/>
  <c r="D21" i="46" s="1"/>
  <c r="G20" i="46" a="1"/>
  <c r="G20" i="46" s="1"/>
  <c r="F20" i="46" a="1"/>
  <c r="F20" i="46" s="1"/>
  <c r="E20" i="46" a="1"/>
  <c r="E20" i="46" s="1"/>
  <c r="D20" i="46" a="1"/>
  <c r="D20" i="46" s="1"/>
  <c r="W16" i="46" a="1"/>
  <c r="W16" i="46" s="1"/>
  <c r="V16" i="46" a="1"/>
  <c r="V16" i="46" s="1"/>
  <c r="U16" i="46" a="1"/>
  <c r="U16" i="46" s="1"/>
  <c r="T16" i="46" a="1"/>
  <c r="T16" i="46" s="1"/>
  <c r="W15" i="46" a="1"/>
  <c r="W15" i="46" s="1"/>
  <c r="V15" i="46" a="1"/>
  <c r="V15" i="46" s="1"/>
  <c r="U15" i="46" a="1"/>
  <c r="U15" i="46" s="1"/>
  <c r="T15" i="46" a="1"/>
  <c r="T15" i="46" s="1"/>
  <c r="W14" i="46" a="1"/>
  <c r="W14" i="46" s="1"/>
  <c r="V14" i="46" a="1"/>
  <c r="V14" i="46" s="1"/>
  <c r="U14" i="46" a="1"/>
  <c r="U14" i="46" s="1"/>
  <c r="T14" i="46" a="1"/>
  <c r="T14" i="46" s="1"/>
  <c r="W13" i="46" a="1"/>
  <c r="W13" i="46" s="1"/>
  <c r="V13" i="46" a="1"/>
  <c r="V13" i="46" s="1"/>
  <c r="U13" i="46" a="1"/>
  <c r="U13" i="46" s="1"/>
  <c r="T13" i="46" a="1"/>
  <c r="T13" i="46" s="1"/>
  <c r="W12" i="46" a="1"/>
  <c r="W12" i="46" s="1"/>
  <c r="V12" i="46" a="1"/>
  <c r="V12" i="46" s="1"/>
  <c r="U12" i="46" a="1"/>
  <c r="U12" i="46" s="1"/>
  <c r="T12" i="46" a="1"/>
  <c r="T12" i="46" s="1"/>
  <c r="W11" i="46" a="1"/>
  <c r="W11" i="46" s="1"/>
  <c r="V11" i="46" a="1"/>
  <c r="V11" i="46" s="1"/>
  <c r="U11" i="46" a="1"/>
  <c r="U11" i="46" s="1"/>
  <c r="T11" i="46" a="1"/>
  <c r="T11" i="46" s="1"/>
  <c r="W10" i="46" a="1"/>
  <c r="W10" i="46" s="1"/>
  <c r="V10" i="46" a="1"/>
  <c r="V10" i="46" s="1"/>
  <c r="U10" i="46" a="1"/>
  <c r="U10" i="46" s="1"/>
  <c r="T10" i="46" a="1"/>
  <c r="T10" i="46" s="1"/>
  <c r="W9" i="46" a="1"/>
  <c r="W9" i="46" s="1"/>
  <c r="V9" i="46" a="1"/>
  <c r="V9" i="46" s="1"/>
  <c r="U9" i="46" a="1"/>
  <c r="U9" i="46" s="1"/>
  <c r="T9" i="46" a="1"/>
  <c r="T9" i="46" s="1"/>
  <c r="W8" i="46" a="1"/>
  <c r="W8" i="46" s="1"/>
  <c r="V8" i="46" a="1"/>
  <c r="V8" i="46" s="1"/>
  <c r="U8" i="46" a="1"/>
  <c r="U8" i="46" s="1"/>
  <c r="T8" i="46" a="1"/>
  <c r="T8" i="46" s="1"/>
  <c r="W7" i="46" a="1"/>
  <c r="W7" i="46" s="1"/>
  <c r="V7" i="46" a="1"/>
  <c r="V7" i="46" s="1"/>
  <c r="U7" i="46" a="1"/>
  <c r="U7" i="46" s="1"/>
  <c r="T7" i="46" a="1"/>
  <c r="T7" i="46" s="1"/>
  <c r="O16" i="46" a="1"/>
  <c r="O16" i="46" s="1"/>
  <c r="N16" i="46" a="1"/>
  <c r="N16" i="46" s="1"/>
  <c r="M16" i="46" a="1"/>
  <c r="M16" i="46" s="1"/>
  <c r="L16" i="46" a="1"/>
  <c r="L16" i="46" s="1"/>
  <c r="O15" i="46" a="1"/>
  <c r="O15" i="46" s="1"/>
  <c r="N15" i="46" a="1"/>
  <c r="N15" i="46" s="1"/>
  <c r="M15" i="46" a="1"/>
  <c r="M15" i="46" s="1"/>
  <c r="L15" i="46" a="1"/>
  <c r="L15" i="46" s="1"/>
  <c r="O14" i="46" a="1"/>
  <c r="O14" i="46" s="1"/>
  <c r="N14" i="46" a="1"/>
  <c r="N14" i="46" s="1"/>
  <c r="M14" i="46" a="1"/>
  <c r="M14" i="46" s="1"/>
  <c r="L14" i="46" a="1"/>
  <c r="L14" i="46" s="1"/>
  <c r="O13" i="46" a="1"/>
  <c r="O13" i="46" s="1"/>
  <c r="N13" i="46" a="1"/>
  <c r="N13" i="46" s="1"/>
  <c r="M13" i="46" a="1"/>
  <c r="M13" i="46" s="1"/>
  <c r="L13" i="46" a="1"/>
  <c r="L13" i="46" s="1"/>
  <c r="O12" i="46" a="1"/>
  <c r="O12" i="46" s="1"/>
  <c r="N12" i="46" a="1"/>
  <c r="N12" i="46" s="1"/>
  <c r="M12" i="46" a="1"/>
  <c r="M12" i="46" s="1"/>
  <c r="L12" i="46" a="1"/>
  <c r="L12" i="46" s="1"/>
  <c r="O11" i="46" a="1"/>
  <c r="O11" i="46" s="1"/>
  <c r="N11" i="46" a="1"/>
  <c r="N11" i="46" s="1"/>
  <c r="M11" i="46" a="1"/>
  <c r="M11" i="46" s="1"/>
  <c r="L11" i="46" a="1"/>
  <c r="L11" i="46" s="1"/>
  <c r="O10" i="46" a="1"/>
  <c r="O10" i="46" s="1"/>
  <c r="N10" i="46" a="1"/>
  <c r="N10" i="46" s="1"/>
  <c r="M10" i="46" a="1"/>
  <c r="M10" i="46" s="1"/>
  <c r="L10" i="46" a="1"/>
  <c r="L10" i="46" s="1"/>
  <c r="O9" i="46" a="1"/>
  <c r="O9" i="46" s="1"/>
  <c r="N9" i="46" a="1"/>
  <c r="N9" i="46" s="1"/>
  <c r="M9" i="46" a="1"/>
  <c r="M9" i="46" s="1"/>
  <c r="L9" i="46" a="1"/>
  <c r="L9" i="46" s="1"/>
  <c r="O8" i="46" a="1"/>
  <c r="O8" i="46" s="1"/>
  <c r="N8" i="46" a="1"/>
  <c r="N8" i="46" s="1"/>
  <c r="M8" i="46" a="1"/>
  <c r="M8" i="46" s="1"/>
  <c r="L8" i="46" a="1"/>
  <c r="L8" i="46" s="1"/>
  <c r="O7" i="46" a="1"/>
  <c r="O7" i="46" s="1"/>
  <c r="N7" i="46" a="1"/>
  <c r="N7" i="46" s="1"/>
  <c r="M7" i="46" a="1"/>
  <c r="M7" i="46" s="1"/>
  <c r="L7" i="46" a="1"/>
  <c r="L7" i="46" s="1"/>
  <c r="E7" i="46" a="1"/>
  <c r="E7" i="46" s="1"/>
  <c r="F7" i="46" a="1"/>
  <c r="F7" i="46" s="1"/>
  <c r="G7" i="46" a="1"/>
  <c r="G7" i="46" s="1"/>
  <c r="E8" i="46" a="1"/>
  <c r="E8" i="46" s="1"/>
  <c r="F8" i="46" a="1"/>
  <c r="F8" i="46" s="1"/>
  <c r="G8" i="46" a="1"/>
  <c r="G8" i="46" s="1"/>
  <c r="E9" i="46" a="1"/>
  <c r="E9" i="46" s="1"/>
  <c r="F9" i="46" a="1"/>
  <c r="F9" i="46" s="1"/>
  <c r="G9" i="46" a="1"/>
  <c r="G9" i="46" s="1"/>
  <c r="E10" i="46" a="1"/>
  <c r="E10" i="46" s="1"/>
  <c r="F10" i="46" a="1"/>
  <c r="F10" i="46" s="1"/>
  <c r="G10" i="46" a="1"/>
  <c r="G10" i="46" s="1"/>
  <c r="E11" i="46" a="1"/>
  <c r="E11" i="46" s="1"/>
  <c r="F11" i="46" a="1"/>
  <c r="F11" i="46" s="1"/>
  <c r="G11" i="46" a="1"/>
  <c r="G11" i="46" s="1"/>
  <c r="E12" i="46" a="1"/>
  <c r="E12" i="46" s="1"/>
  <c r="F12" i="46" a="1"/>
  <c r="F12" i="46" s="1"/>
  <c r="G12" i="46" a="1"/>
  <c r="G12" i="46" s="1"/>
  <c r="E13" i="46" a="1"/>
  <c r="E13" i="46" s="1"/>
  <c r="F13" i="46" a="1"/>
  <c r="F13" i="46" s="1"/>
  <c r="G13" i="46" a="1"/>
  <c r="G13" i="46" s="1"/>
  <c r="E14" i="46" a="1"/>
  <c r="E14" i="46" s="1"/>
  <c r="F14" i="46" a="1"/>
  <c r="F14" i="46" s="1"/>
  <c r="G14" i="46" a="1"/>
  <c r="G14" i="46" s="1"/>
  <c r="E15" i="46" a="1"/>
  <c r="E15" i="46" s="1"/>
  <c r="F15" i="46" a="1"/>
  <c r="F15" i="46" s="1"/>
  <c r="G15" i="46" a="1"/>
  <c r="G15" i="46" s="1"/>
  <c r="E16" i="46" a="1"/>
  <c r="E16" i="46" s="1"/>
  <c r="F16" i="46" a="1"/>
  <c r="F16" i="46" s="1"/>
  <c r="G16" i="46" a="1"/>
  <c r="G16" i="46" s="1"/>
  <c r="D8" i="46" a="1"/>
  <c r="D8" i="46" s="1"/>
  <c r="D9" i="46" a="1"/>
  <c r="D9" i="46" s="1"/>
  <c r="D10" i="46" a="1"/>
  <c r="D10" i="46" s="1"/>
  <c r="D11" i="46" a="1"/>
  <c r="D11" i="46" s="1"/>
  <c r="D12" i="46" a="1"/>
  <c r="D12" i="46" s="1"/>
  <c r="D13" i="46" a="1"/>
  <c r="D13" i="46" s="1"/>
  <c r="D14" i="46" a="1"/>
  <c r="D14" i="46" s="1"/>
  <c r="D15" i="46" a="1"/>
  <c r="D15" i="46" s="1"/>
  <c r="D16" i="46" a="1"/>
  <c r="D16" i="46" s="1"/>
  <c r="D7" i="46" a="1"/>
  <c r="D7" i="46" s="1"/>
  <c r="E9" i="47" l="1"/>
  <c r="I75" i="41"/>
  <c r="I76" i="41" s="1"/>
  <c r="E8" i="47" s="1"/>
  <c r="H69" i="31"/>
  <c r="L9" i="47"/>
  <c r="H12" i="31"/>
  <c r="I12" i="31" s="1"/>
  <c r="H13" i="31" s="1"/>
  <c r="I13" i="31" s="1"/>
  <c r="I70" i="40"/>
  <c r="H71" i="40"/>
  <c r="I71" i="40" s="1"/>
  <c r="H72" i="40" s="1"/>
  <c r="H47" i="40"/>
  <c r="I65" i="40"/>
  <c r="I66" i="40" s="1"/>
  <c r="L20" i="47" s="1"/>
  <c r="H16" i="40"/>
  <c r="I16" i="40" s="1"/>
  <c r="H17" i="40" s="1"/>
  <c r="I17" i="40" s="1"/>
  <c r="H20" i="31"/>
  <c r="I20" i="31" s="1"/>
  <c r="H21" i="31" s="1"/>
  <c r="I21" i="31" s="1"/>
  <c r="H61" i="31"/>
  <c r="I61" i="31" s="1"/>
  <c r="H70" i="31"/>
  <c r="I70" i="31" s="1"/>
  <c r="H71" i="31" s="1"/>
  <c r="I69" i="31"/>
  <c r="H46" i="31"/>
  <c r="I64" i="31"/>
  <c r="I65" i="31" s="1"/>
  <c r="L8" i="47" s="1"/>
  <c r="H7" i="37"/>
  <c r="I7" i="37" s="1"/>
  <c r="H8" i="37"/>
  <c r="I8" i="37" s="1"/>
  <c r="H13" i="37" s="1"/>
  <c r="I13" i="37" s="1"/>
  <c r="H14" i="37" s="1"/>
  <c r="I14" i="37" s="1"/>
  <c r="H59" i="37"/>
  <c r="I59" i="37" s="1"/>
  <c r="H58" i="37" s="1"/>
  <c r="I58" i="37" s="1"/>
  <c r="H60" i="37"/>
  <c r="I60" i="37" s="1"/>
  <c r="H78" i="37"/>
  <c r="H79" i="37" s="1"/>
  <c r="I79" i="37" s="1"/>
  <c r="H82" i="38"/>
  <c r="H74" i="38" s="1"/>
  <c r="I74" i="38" s="1"/>
  <c r="E21" i="47"/>
  <c r="I77" i="38"/>
  <c r="I78" i="38" s="1"/>
  <c r="E20" i="47" s="1"/>
  <c r="H8" i="38"/>
  <c r="I8" i="38" s="1"/>
  <c r="H13" i="38" s="1"/>
  <c r="I13" i="38" s="1"/>
  <c r="H14" i="38" s="1"/>
  <c r="I14" i="38" s="1"/>
  <c r="H59" i="38"/>
  <c r="H21" i="41"/>
  <c r="I21" i="41" s="1"/>
  <c r="H18" i="41"/>
  <c r="I18" i="41" s="1"/>
  <c r="H19" i="41" s="1"/>
  <c r="I19" i="41" s="1"/>
  <c r="H72" i="41"/>
  <c r="I72" i="41" s="1"/>
  <c r="H81" i="41"/>
  <c r="I81" i="41" s="1"/>
  <c r="H82" i="41" s="1"/>
  <c r="I80" i="41"/>
  <c r="H9" i="41"/>
  <c r="I9" i="41" s="1"/>
  <c r="H82" i="37" l="1"/>
  <c r="E33" i="47"/>
  <c r="H83" i="38"/>
  <c r="I83" i="38" s="1"/>
  <c r="H84" i="38" s="1"/>
  <c r="H85" i="38" s="1"/>
  <c r="I85" i="38" s="1"/>
  <c r="H22" i="41"/>
  <c r="I22" i="41" s="1"/>
  <c r="H17" i="31"/>
  <c r="I17" i="31" s="1"/>
  <c r="H18" i="31" s="1"/>
  <c r="I18" i="31" s="1"/>
  <c r="H18" i="40"/>
  <c r="I18" i="40" s="1"/>
  <c r="H19" i="40" s="1"/>
  <c r="I19" i="40" s="1"/>
  <c r="H21" i="40"/>
  <c r="I21" i="40" s="1"/>
  <c r="H22" i="40" s="1"/>
  <c r="I22" i="40" s="1"/>
  <c r="H48" i="40"/>
  <c r="I48" i="40" s="1"/>
  <c r="I47" i="40"/>
  <c r="H46" i="40" s="1"/>
  <c r="I46" i="40" s="1"/>
  <c r="H73" i="40"/>
  <c r="I73" i="40" s="1"/>
  <c r="H74" i="40" s="1"/>
  <c r="I74" i="40" s="1"/>
  <c r="H75" i="40" s="1"/>
  <c r="I75" i="40" s="1"/>
  <c r="I72" i="40"/>
  <c r="H47" i="31"/>
  <c r="I47" i="31" s="1"/>
  <c r="I46" i="31"/>
  <c r="H45" i="31" s="1"/>
  <c r="I45" i="31" s="1"/>
  <c r="H72" i="31"/>
  <c r="I72" i="31" s="1"/>
  <c r="H73" i="31" s="1"/>
  <c r="I73" i="31" s="1"/>
  <c r="H74" i="31" s="1"/>
  <c r="I74" i="31" s="1"/>
  <c r="I71" i="31"/>
  <c r="H22" i="31"/>
  <c r="I22" i="31" s="1"/>
  <c r="H23" i="31" s="1"/>
  <c r="I23" i="31" s="1"/>
  <c r="H25" i="31"/>
  <c r="I25" i="31" s="1"/>
  <c r="H26" i="31" s="1"/>
  <c r="I26" i="31" s="1"/>
  <c r="H74" i="37"/>
  <c r="I74" i="37" s="1"/>
  <c r="H83" i="37"/>
  <c r="I83" i="37" s="1"/>
  <c r="H84" i="37" s="1"/>
  <c r="I82" i="37"/>
  <c r="H18" i="37"/>
  <c r="I18" i="37" s="1"/>
  <c r="H19" i="37" s="1"/>
  <c r="I19" i="37" s="1"/>
  <c r="H10" i="37"/>
  <c r="I10" i="37" s="1"/>
  <c r="H11" i="37" s="1"/>
  <c r="I11" i="37" s="1"/>
  <c r="I82" i="38"/>
  <c r="H60" i="38"/>
  <c r="I60" i="38" s="1"/>
  <c r="I59" i="38"/>
  <c r="H58" i="38" s="1"/>
  <c r="I58" i="38" s="1"/>
  <c r="H10" i="38"/>
  <c r="I10" i="38" s="1"/>
  <c r="H11" i="38" s="1"/>
  <c r="I11" i="38" s="1"/>
  <c r="H18" i="38"/>
  <c r="I18" i="38" s="1"/>
  <c r="H19" i="38" s="1"/>
  <c r="I19" i="38" s="1"/>
  <c r="H83" i="41"/>
  <c r="I83" i="41" s="1"/>
  <c r="H84" i="41" s="1"/>
  <c r="I84" i="41" s="1"/>
  <c r="H85" i="41" s="1"/>
  <c r="I85" i="41" s="1"/>
  <c r="I82" i="41"/>
  <c r="H26" i="41"/>
  <c r="I26" i="41" s="1"/>
  <c r="H27" i="41" s="1"/>
  <c r="I27" i="41" s="1"/>
  <c r="H23" i="41"/>
  <c r="I23" i="41" s="1"/>
  <c r="H24" i="41" s="1"/>
  <c r="I24" i="41" s="1"/>
  <c r="I84" i="38" l="1"/>
  <c r="H15" i="38"/>
  <c r="I15" i="38" s="1"/>
  <c r="H16" i="38" s="1"/>
  <c r="I16" i="38" s="1"/>
  <c r="H68" i="40"/>
  <c r="I68" i="40" s="1"/>
  <c r="L23" i="47" s="1"/>
  <c r="L22" i="47"/>
  <c r="H78" i="41"/>
  <c r="I78" i="41" s="1"/>
  <c r="E11" i="47" s="1"/>
  <c r="E10" i="47"/>
  <c r="H67" i="31"/>
  <c r="I67" i="31" s="1"/>
  <c r="L11" i="47" s="1"/>
  <c r="L10" i="47"/>
  <c r="H26" i="40"/>
  <c r="I26" i="40" s="1"/>
  <c r="H27" i="40" s="1"/>
  <c r="I27" i="40" s="1"/>
  <c r="H23" i="40"/>
  <c r="I23" i="40" s="1"/>
  <c r="H24" i="40" s="1"/>
  <c r="I24" i="40" s="1"/>
  <c r="H30" i="31"/>
  <c r="I30" i="31" s="1"/>
  <c r="H31" i="31" s="1"/>
  <c r="I31" i="31" s="1"/>
  <c r="H27" i="31"/>
  <c r="I27" i="31" s="1"/>
  <c r="H28" i="31" s="1"/>
  <c r="I28" i="31" s="1"/>
  <c r="H85" i="37"/>
  <c r="I85" i="37" s="1"/>
  <c r="H86" i="37" s="1"/>
  <c r="I86" i="37" s="1"/>
  <c r="H87" i="37" s="1"/>
  <c r="I87" i="37" s="1"/>
  <c r="I84" i="37"/>
  <c r="H23" i="37"/>
  <c r="I23" i="37" s="1"/>
  <c r="H24" i="37" s="1"/>
  <c r="I24" i="37" s="1"/>
  <c r="H15" i="37"/>
  <c r="I15" i="37" s="1"/>
  <c r="H16" i="37" s="1"/>
  <c r="I16" i="37" s="1"/>
  <c r="H23" i="38"/>
  <c r="I23" i="38" s="1"/>
  <c r="H24" i="38" s="1"/>
  <c r="I24" i="38" s="1"/>
  <c r="H86" i="38"/>
  <c r="I86" i="38" s="1"/>
  <c r="H87" i="38" s="1"/>
  <c r="I87" i="38" s="1"/>
  <c r="H28" i="41"/>
  <c r="I28" i="41" s="1"/>
  <c r="H29" i="41" s="1"/>
  <c r="I29" i="41" s="1"/>
  <c r="H31" i="41"/>
  <c r="I31" i="41" s="1"/>
  <c r="H32" i="41" s="1"/>
  <c r="I32" i="41" s="1"/>
  <c r="H20" i="38" l="1"/>
  <c r="I20" i="38" s="1"/>
  <c r="H21" i="38" s="1"/>
  <c r="I21" i="38" s="1"/>
  <c r="H80" i="37"/>
  <c r="I80" i="37" s="1"/>
  <c r="E35" i="47" s="1"/>
  <c r="E34" i="47"/>
  <c r="H80" i="38"/>
  <c r="I80" i="38" s="1"/>
  <c r="E23" i="47" s="1"/>
  <c r="E22" i="47"/>
  <c r="H31" i="40"/>
  <c r="I31" i="40" s="1"/>
  <c r="H32" i="40" s="1"/>
  <c r="I32" i="40" s="1"/>
  <c r="H28" i="40"/>
  <c r="I28" i="40" s="1"/>
  <c r="H29" i="40" s="1"/>
  <c r="I29" i="40" s="1"/>
  <c r="H35" i="31"/>
  <c r="I35" i="31" s="1"/>
  <c r="H36" i="31" s="1"/>
  <c r="I36" i="31" s="1"/>
  <c r="H32" i="31"/>
  <c r="I32" i="31" s="1"/>
  <c r="H33" i="31" s="1"/>
  <c r="I33" i="31" s="1"/>
  <c r="H28" i="37"/>
  <c r="I28" i="37" s="1"/>
  <c r="H29" i="37" s="1"/>
  <c r="I29" i="37" s="1"/>
  <c r="H20" i="37"/>
  <c r="I20" i="37" s="1"/>
  <c r="H21" i="37" s="1"/>
  <c r="I21" i="37" s="1"/>
  <c r="H28" i="38"/>
  <c r="I28" i="38" s="1"/>
  <c r="H29" i="38" s="1"/>
  <c r="I29" i="38" s="1"/>
  <c r="H56" i="41"/>
  <c r="I56" i="41" s="1"/>
  <c r="H33" i="41"/>
  <c r="I33" i="41" s="1"/>
  <c r="H34" i="41" s="1"/>
  <c r="I34" i="41" s="1"/>
  <c r="H36" i="41"/>
  <c r="I36" i="41" s="1"/>
  <c r="H37" i="41" s="1"/>
  <c r="I37" i="41" s="1"/>
  <c r="H25" i="38" l="1"/>
  <c r="I25" i="38" s="1"/>
  <c r="H26" i="38" s="1"/>
  <c r="I26" i="38" s="1"/>
  <c r="H36" i="40"/>
  <c r="I36" i="40" s="1"/>
  <c r="H37" i="40" s="1"/>
  <c r="I37" i="40" s="1"/>
  <c r="H33" i="40"/>
  <c r="I33" i="40" s="1"/>
  <c r="H34" i="40" s="1"/>
  <c r="I34" i="40" s="1"/>
  <c r="H40" i="31"/>
  <c r="I40" i="31" s="1"/>
  <c r="H41" i="31" s="1"/>
  <c r="I41" i="31" s="1"/>
  <c r="L3" i="47" s="1"/>
  <c r="H37" i="31"/>
  <c r="I37" i="31" s="1"/>
  <c r="H38" i="31" s="1"/>
  <c r="I38" i="31" s="1"/>
  <c r="H25" i="37"/>
  <c r="I25" i="37" s="1"/>
  <c r="H26" i="37" s="1"/>
  <c r="I26" i="37" s="1"/>
  <c r="H33" i="37"/>
  <c r="I33" i="37" s="1"/>
  <c r="H34" i="37" s="1"/>
  <c r="I34" i="37" s="1"/>
  <c r="H30" i="38"/>
  <c r="I30" i="38" s="1"/>
  <c r="H31" i="38" s="1"/>
  <c r="I31" i="38" s="1"/>
  <c r="H33" i="38"/>
  <c r="I33" i="38" s="1"/>
  <c r="H34" i="38" s="1"/>
  <c r="I34" i="38" s="1"/>
  <c r="H41" i="41"/>
  <c r="I41" i="41" s="1"/>
  <c r="H42" i="41" s="1"/>
  <c r="I42" i="41" s="1"/>
  <c r="H38" i="41"/>
  <c r="I38" i="41" s="1"/>
  <c r="H39" i="41" s="1"/>
  <c r="I39" i="41" s="1"/>
  <c r="H57" i="41"/>
  <c r="H30" i="37" l="1"/>
  <c r="I30" i="37" s="1"/>
  <c r="H31" i="37" s="1"/>
  <c r="I31" i="37" s="1"/>
  <c r="H38" i="40"/>
  <c r="I38" i="40" s="1"/>
  <c r="H39" i="40" s="1"/>
  <c r="I39" i="40" s="1"/>
  <c r="H41" i="40"/>
  <c r="I41" i="40" s="1"/>
  <c r="H42" i="40" s="1"/>
  <c r="I42" i="40" s="1"/>
  <c r="L15" i="47" s="1"/>
  <c r="H42" i="31"/>
  <c r="I42" i="31" s="1"/>
  <c r="H43" i="31" s="1"/>
  <c r="I43" i="31" s="1"/>
  <c r="H51" i="31"/>
  <c r="I51" i="31" s="1"/>
  <c r="H52" i="31" s="1"/>
  <c r="I52" i="31" s="1"/>
  <c r="H53" i="31" s="1"/>
  <c r="I53" i="31" s="1"/>
  <c r="H54" i="31" s="1"/>
  <c r="I54" i="31" s="1"/>
  <c r="H55" i="31" s="1"/>
  <c r="I55" i="31" s="1"/>
  <c r="L5" i="47" s="1"/>
  <c r="H38" i="37"/>
  <c r="I38" i="37" s="1"/>
  <c r="H39" i="37" s="1"/>
  <c r="I39" i="37" s="1"/>
  <c r="H35" i="37"/>
  <c r="I35" i="37" s="1"/>
  <c r="H36" i="37" s="1"/>
  <c r="I36" i="37" s="1"/>
  <c r="H38" i="38"/>
  <c r="I38" i="38" s="1"/>
  <c r="H39" i="38" s="1"/>
  <c r="I39" i="38" s="1"/>
  <c r="H35" i="38"/>
  <c r="I35" i="38" s="1"/>
  <c r="H36" i="38" s="1"/>
  <c r="I36" i="38" s="1"/>
  <c r="H46" i="41"/>
  <c r="I46" i="41" s="1"/>
  <c r="H47" i="41" s="1"/>
  <c r="I47" i="41" s="1"/>
  <c r="H43" i="41"/>
  <c r="I43" i="41" s="1"/>
  <c r="H44" i="41" s="1"/>
  <c r="I44" i="41" s="1"/>
  <c r="H58" i="41"/>
  <c r="I58" i="41" s="1"/>
  <c r="I57" i="41"/>
  <c r="H49" i="31" l="1"/>
  <c r="I49" i="31" s="1"/>
  <c r="L4" i="47"/>
  <c r="H43" i="40"/>
  <c r="I43" i="40" s="1"/>
  <c r="H44" i="40" s="1"/>
  <c r="I44" i="40" s="1"/>
  <c r="L16" i="47" s="1"/>
  <c r="H52" i="40"/>
  <c r="I52" i="40" s="1"/>
  <c r="H53" i="40" s="1"/>
  <c r="I53" i="40" s="1"/>
  <c r="H43" i="37"/>
  <c r="I43" i="37" s="1"/>
  <c r="H44" i="37" s="1"/>
  <c r="I44" i="37" s="1"/>
  <c r="H40" i="37"/>
  <c r="I40" i="37" s="1"/>
  <c r="H41" i="37" s="1"/>
  <c r="I41" i="37" s="1"/>
  <c r="H43" i="38"/>
  <c r="I43" i="38" s="1"/>
  <c r="H44" i="38" s="1"/>
  <c r="I44" i="38" s="1"/>
  <c r="H40" i="38"/>
  <c r="I40" i="38" s="1"/>
  <c r="H41" i="38" s="1"/>
  <c r="I41" i="38" s="1"/>
  <c r="H51" i="41"/>
  <c r="I51" i="41" s="1"/>
  <c r="H52" i="41" s="1"/>
  <c r="I52" i="41" s="1"/>
  <c r="H48" i="41"/>
  <c r="I48" i="41" s="1"/>
  <c r="H49" i="41" s="1"/>
  <c r="I49" i="41" s="1"/>
  <c r="E3" i="47" l="1"/>
  <c r="H58" i="31"/>
  <c r="I58" i="31" s="1"/>
  <c r="L6" i="47"/>
  <c r="H62" i="40"/>
  <c r="I62" i="40" s="1"/>
  <c r="H54" i="40"/>
  <c r="I54" i="40" s="1"/>
  <c r="H55" i="40" s="1"/>
  <c r="I55" i="40" s="1"/>
  <c r="H56" i="40" s="1"/>
  <c r="I56" i="40" s="1"/>
  <c r="H48" i="37"/>
  <c r="I48" i="37" s="1"/>
  <c r="H49" i="37" s="1"/>
  <c r="I49" i="37" s="1"/>
  <c r="H45" i="37"/>
  <c r="I45" i="37" s="1"/>
  <c r="H46" i="37" s="1"/>
  <c r="I46" i="37" s="1"/>
  <c r="H48" i="38"/>
  <c r="I48" i="38" s="1"/>
  <c r="H45" i="38"/>
  <c r="I45" i="38" s="1"/>
  <c r="H46" i="38" s="1"/>
  <c r="I46" i="38" s="1"/>
  <c r="H53" i="41"/>
  <c r="I53" i="41" s="1"/>
  <c r="H54" i="41" s="1"/>
  <c r="I54" i="41" s="1"/>
  <c r="E4" i="47" s="1"/>
  <c r="H62" i="41"/>
  <c r="I62" i="41" s="1"/>
  <c r="H63" i="41" s="1"/>
  <c r="I63" i="41" s="1"/>
  <c r="H64" i="41" s="1"/>
  <c r="I64" i="41" s="1"/>
  <c r="H65" i="41" s="1"/>
  <c r="I65" i="41" s="1"/>
  <c r="H66" i="41" s="1"/>
  <c r="I66" i="41" s="1"/>
  <c r="E5" i="47" s="1"/>
  <c r="H50" i="40" l="1"/>
  <c r="I50" i="40" s="1"/>
  <c r="L17" i="47"/>
  <c r="H53" i="37"/>
  <c r="I53" i="37" s="1"/>
  <c r="H54" i="37" s="1"/>
  <c r="I54" i="37" s="1"/>
  <c r="E27" i="47" s="1"/>
  <c r="H50" i="37"/>
  <c r="I50" i="37" s="1"/>
  <c r="H51" i="37" s="1"/>
  <c r="I51" i="37" s="1"/>
  <c r="H49" i="38"/>
  <c r="I49" i="38" s="1"/>
  <c r="H60" i="41"/>
  <c r="I60" i="41" s="1"/>
  <c r="H59" i="40" l="1"/>
  <c r="I59" i="40" s="1"/>
  <c r="L18" i="47"/>
  <c r="H69" i="41"/>
  <c r="I69" i="41" s="1"/>
  <c r="E6" i="47"/>
  <c r="H55" i="37"/>
  <c r="I55" i="37" s="1"/>
  <c r="H56" i="37" s="1"/>
  <c r="I56" i="37" s="1"/>
  <c r="E28" i="47" s="1"/>
  <c r="H64" i="37"/>
  <c r="I64" i="37" s="1"/>
  <c r="H65" i="37" s="1"/>
  <c r="I65" i="37" s="1"/>
  <c r="H66" i="37" s="1"/>
  <c r="I66" i="37" s="1"/>
  <c r="H67" i="37" s="1"/>
  <c r="I67" i="37" s="1"/>
  <c r="H68" i="37" s="1"/>
  <c r="I68" i="37" s="1"/>
  <c r="E29" i="47" s="1"/>
  <c r="H53" i="38"/>
  <c r="I53" i="38" s="1"/>
  <c r="H50" i="38"/>
  <c r="I50" i="38" s="1"/>
  <c r="H51" i="38" s="1"/>
  <c r="I51" i="38" s="1"/>
  <c r="H54" i="38" l="1"/>
  <c r="I54" i="38" s="1"/>
  <c r="E15" i="47"/>
  <c r="H62" i="37"/>
  <c r="I62" i="37" s="1"/>
  <c r="H55" i="38"/>
  <c r="I55" i="38" s="1"/>
  <c r="H56" i="38" s="1"/>
  <c r="I56" i="38" s="1"/>
  <c r="E16" i="47" s="1"/>
  <c r="H64" i="38"/>
  <c r="I64" i="38" s="1"/>
  <c r="H65" i="38" s="1"/>
  <c r="I65" i="38" s="1"/>
  <c r="H66" i="38" s="1"/>
  <c r="I66" i="38" s="1"/>
  <c r="H71" i="37" l="1"/>
  <c r="I71" i="37" s="1"/>
  <c r="E30" i="47"/>
  <c r="H67" i="38"/>
  <c r="I67" i="38" s="1"/>
  <c r="H68" i="38" s="1"/>
  <c r="I68" i="38" s="1"/>
  <c r="H62" i="38" l="1"/>
  <c r="I62" i="38" s="1"/>
  <c r="E17" i="47"/>
  <c r="H71" i="38" l="1"/>
  <c r="I71" i="38" s="1"/>
  <c r="E18" i="47"/>
  <c r="B16" i="46" l="1" a="1"/>
  <c r="B16" i="46" s="1"/>
  <c r="B15" i="46" a="1"/>
  <c r="B15" i="46" s="1"/>
  <c r="B14" i="46" a="1"/>
  <c r="B14" i="46" s="1"/>
  <c r="B13" i="46" a="1"/>
  <c r="B13" i="46" s="1"/>
  <c r="B12" i="46" a="1"/>
  <c r="B12" i="46" s="1"/>
  <c r="B11" i="46" a="1"/>
  <c r="B11" i="46" s="1"/>
  <c r="B10" i="46" a="1"/>
  <c r="B10" i="46" s="1"/>
  <c r="B9" i="46" a="1"/>
  <c r="B9" i="46" s="1"/>
  <c r="B8" i="46" a="1"/>
  <c r="B8" i="46" s="1"/>
  <c r="B7" i="46" a="1"/>
  <c r="B7" i="46" s="1"/>
  <c r="R27" i="46" a="1"/>
  <c r="R27" i="46" s="1"/>
  <c r="B27" i="46" a="1"/>
  <c r="B27" i="46" s="1"/>
  <c r="R26" i="46" a="1"/>
  <c r="R26" i="46" s="1"/>
  <c r="B26" i="46" a="1"/>
  <c r="B26" i="46" s="1"/>
  <c r="R25" i="46" a="1"/>
  <c r="R25" i="46" s="1"/>
  <c r="B25" i="46" a="1"/>
  <c r="B25" i="46" s="1"/>
  <c r="R24" i="46" a="1"/>
  <c r="R24" i="46" s="1"/>
  <c r="B24" i="46" a="1"/>
  <c r="B24" i="46" s="1"/>
  <c r="R23" i="46" a="1"/>
  <c r="R23" i="46" s="1"/>
  <c r="B23" i="46" a="1"/>
  <c r="B23" i="46" s="1"/>
  <c r="R22" i="46" a="1"/>
  <c r="R22" i="46" s="1"/>
  <c r="B22" i="46" a="1"/>
  <c r="B22" i="46" s="1"/>
  <c r="R21" i="46" a="1"/>
  <c r="R21" i="46" s="1"/>
  <c r="B21" i="46" a="1"/>
  <c r="B21" i="46" s="1"/>
  <c r="R20" i="46" a="1"/>
  <c r="R20" i="46" s="1"/>
  <c r="B20" i="46" a="1"/>
  <c r="B20" i="46" s="1"/>
  <c r="R16" i="46" a="1"/>
  <c r="R16" i="46" s="1"/>
  <c r="J16" i="46" a="1"/>
  <c r="J16" i="46" s="1"/>
  <c r="R15" i="46" a="1"/>
  <c r="R15" i="46" s="1"/>
  <c r="J15" i="46" a="1"/>
  <c r="J15" i="46" s="1"/>
  <c r="R14" i="46" a="1"/>
  <c r="R14" i="46" s="1"/>
  <c r="J14" i="46" a="1"/>
  <c r="J14" i="46" s="1"/>
  <c r="R13" i="46" a="1"/>
  <c r="R13" i="46" s="1"/>
  <c r="J13" i="46" a="1"/>
  <c r="J13" i="46" s="1"/>
  <c r="R12" i="46" a="1"/>
  <c r="R12" i="46" s="1"/>
  <c r="J12" i="46" a="1"/>
  <c r="J12" i="46" s="1"/>
  <c r="R11" i="46" a="1"/>
  <c r="R11" i="46" s="1"/>
  <c r="J11" i="46" a="1"/>
  <c r="J11" i="46" s="1"/>
  <c r="R10" i="46" a="1"/>
  <c r="R10" i="46" s="1"/>
  <c r="J10" i="46" a="1"/>
  <c r="J10" i="46" s="1"/>
  <c r="R9" i="46" a="1"/>
  <c r="R9" i="46" s="1"/>
  <c r="J9" i="46" a="1"/>
  <c r="J9" i="46" s="1"/>
  <c r="R8" i="46" a="1"/>
  <c r="R8" i="46" s="1"/>
  <c r="J8" i="46" a="1"/>
  <c r="J8" i="46" s="1"/>
  <c r="R7" i="46" a="1"/>
  <c r="R7" i="46" s="1"/>
  <c r="J7" i="46" a="1"/>
  <c r="J7" i="46" s="1"/>
  <c r="S23" i="46" l="1"/>
  <c r="S26" i="46"/>
  <c r="S22" i="46"/>
  <c r="S21" i="46"/>
  <c r="S25" i="46"/>
  <c r="S27" i="46"/>
  <c r="S20" i="46"/>
  <c r="S24" i="46"/>
  <c r="F6" i="37" l="1"/>
  <c r="G70" i="37"/>
  <c r="F6" i="38"/>
  <c r="G6" i="38" s="1"/>
  <c r="F7" i="38" s="1"/>
  <c r="M7" i="38" s="1"/>
  <c r="G70" i="38"/>
  <c r="G61" i="40"/>
  <c r="G58" i="40"/>
  <c r="G6" i="37" l="1"/>
  <c r="M6" i="37"/>
  <c r="F7" i="37"/>
  <c r="G7" i="38"/>
  <c r="G6" i="40"/>
  <c r="M6" i="40" s="1"/>
  <c r="F77" i="37"/>
  <c r="M77" i="37" s="1"/>
  <c r="F5" i="37"/>
  <c r="F77" i="38"/>
  <c r="F5" i="38"/>
  <c r="G11" i="40"/>
  <c r="F12" i="40" s="1"/>
  <c r="G68" i="41"/>
  <c r="F12" i="41"/>
  <c r="F16" i="41" s="1"/>
  <c r="F6" i="41"/>
  <c r="G57" i="31"/>
  <c r="F7" i="31"/>
  <c r="F76" i="37"/>
  <c r="G11" i="31"/>
  <c r="F15" i="31" s="1"/>
  <c r="G5" i="31"/>
  <c r="F76" i="38"/>
  <c r="F64" i="40"/>
  <c r="M64" i="40" s="1"/>
  <c r="F74" i="41"/>
  <c r="E4" i="31"/>
  <c r="F63" i="31"/>
  <c r="F64" i="31" s="1"/>
  <c r="F46" i="31" s="1"/>
  <c r="G5" i="37" l="1"/>
  <c r="F8" i="37" s="1"/>
  <c r="M8" i="37" s="1"/>
  <c r="M5" i="37"/>
  <c r="E76" i="37"/>
  <c r="M76" i="37"/>
  <c r="G7" i="37"/>
  <c r="M7" i="37" s="1"/>
  <c r="G5" i="38"/>
  <c r="M5" i="38" s="1"/>
  <c r="E76" i="38"/>
  <c r="M76" i="38"/>
  <c r="G77" i="38"/>
  <c r="G78" i="38" s="1"/>
  <c r="M77" i="38"/>
  <c r="M12" i="40"/>
  <c r="F75" i="41"/>
  <c r="M74" i="41"/>
  <c r="F59" i="37"/>
  <c r="G77" i="37"/>
  <c r="G78" i="37" s="1"/>
  <c r="D32" i="47" s="1"/>
  <c r="F32" i="47" s="1"/>
  <c r="F60" i="37"/>
  <c r="M60" i="37" s="1"/>
  <c r="F78" i="37"/>
  <c r="M78" i="37" s="1"/>
  <c r="F59" i="38"/>
  <c r="G75" i="41"/>
  <c r="G76" i="41" s="1"/>
  <c r="D8" i="47" s="1"/>
  <c r="F8" i="47" s="1"/>
  <c r="G12" i="40"/>
  <c r="E64" i="40"/>
  <c r="F65" i="40"/>
  <c r="G16" i="41"/>
  <c r="F16" i="40"/>
  <c r="F78" i="38"/>
  <c r="M78" i="38" s="1"/>
  <c r="F47" i="31"/>
  <c r="G46" i="31"/>
  <c r="F45" i="31" s="1"/>
  <c r="G15" i="31"/>
  <c r="F16" i="31" s="1"/>
  <c r="G16" i="31" s="1"/>
  <c r="E74" i="41"/>
  <c r="E63" i="31"/>
  <c r="G64" i="31"/>
  <c r="G65" i="31" s="1"/>
  <c r="K8" i="47" s="1"/>
  <c r="M8" i="47" s="1"/>
  <c r="F65" i="31"/>
  <c r="G59" i="37" l="1"/>
  <c r="F58" i="37" s="1"/>
  <c r="M59" i="37"/>
  <c r="G59" i="38"/>
  <c r="F58" i="38" s="1"/>
  <c r="M58" i="38" s="1"/>
  <c r="M59" i="38"/>
  <c r="M65" i="40"/>
  <c r="F47" i="40"/>
  <c r="F17" i="41"/>
  <c r="F76" i="41"/>
  <c r="M76" i="41" s="1"/>
  <c r="M75" i="41"/>
  <c r="M16" i="41"/>
  <c r="D20" i="47"/>
  <c r="F20" i="47" s="1"/>
  <c r="E15" i="31"/>
  <c r="F20" i="31"/>
  <c r="G20" i="31" s="1"/>
  <c r="F21" i="31" s="1"/>
  <c r="G21" i="31" s="1"/>
  <c r="F66" i="40"/>
  <c r="M66" i="40" s="1"/>
  <c r="G16" i="40"/>
  <c r="F17" i="40" s="1"/>
  <c r="M17" i="40" s="1"/>
  <c r="G65" i="40"/>
  <c r="G66" i="40" s="1"/>
  <c r="K20" i="47" s="1"/>
  <c r="M20" i="47" s="1"/>
  <c r="G60" i="31"/>
  <c r="E60" i="31" s="1"/>
  <c r="E57" i="31"/>
  <c r="G47" i="31"/>
  <c r="G7" i="31"/>
  <c r="F12" i="31" s="1"/>
  <c r="G73" i="37"/>
  <c r="E73" i="37" s="1"/>
  <c r="E70" i="37"/>
  <c r="E6" i="37"/>
  <c r="E5" i="37"/>
  <c r="M3" i="37"/>
  <c r="H3" i="37"/>
  <c r="I3" i="37" s="1"/>
  <c r="F3" i="37"/>
  <c r="G3" i="37" s="1"/>
  <c r="G73" i="38"/>
  <c r="E73" i="38" s="1"/>
  <c r="E70" i="38"/>
  <c r="E6" i="38"/>
  <c r="E5" i="38"/>
  <c r="M3" i="38"/>
  <c r="E61" i="40"/>
  <c r="E58" i="40"/>
  <c r="E12" i="40"/>
  <c r="E11" i="40"/>
  <c r="F8" i="40"/>
  <c r="M8" i="40" s="1"/>
  <c r="E6" i="40"/>
  <c r="E5" i="40"/>
  <c r="M3" i="40"/>
  <c r="G71" i="41"/>
  <c r="E71" i="41" s="1"/>
  <c r="E68" i="41"/>
  <c r="E16" i="41"/>
  <c r="E11" i="41"/>
  <c r="F8" i="41"/>
  <c r="E6" i="41"/>
  <c r="E5" i="41"/>
  <c r="M3" i="41"/>
  <c r="E11" i="31"/>
  <c r="E10" i="31"/>
  <c r="E5" i="31"/>
  <c r="G58" i="37" l="1"/>
  <c r="M58" i="37"/>
  <c r="M47" i="40"/>
  <c r="F48" i="40"/>
  <c r="G47" i="40"/>
  <c r="F46" i="40" s="1"/>
  <c r="M16" i="40"/>
  <c r="G8" i="41"/>
  <c r="M8" i="41"/>
  <c r="G17" i="41"/>
  <c r="M17" i="41"/>
  <c r="E21" i="31"/>
  <c r="F25" i="31"/>
  <c r="F67" i="40"/>
  <c r="M67" i="40" s="1"/>
  <c r="G8" i="40"/>
  <c r="F13" i="40" s="1"/>
  <c r="M13" i="40" s="1"/>
  <c r="G17" i="40"/>
  <c r="F21" i="40" s="1"/>
  <c r="M21" i="40" s="1"/>
  <c r="E8" i="40"/>
  <c r="E8" i="41"/>
  <c r="G8" i="37"/>
  <c r="F8" i="38"/>
  <c r="F9" i="40"/>
  <c r="M9" i="40" s="1"/>
  <c r="E16" i="40"/>
  <c r="E17" i="40"/>
  <c r="F13" i="41"/>
  <c r="M13" i="41" s="1"/>
  <c r="F9" i="41"/>
  <c r="M9" i="41" s="1"/>
  <c r="F8" i="31"/>
  <c r="G12" i="31"/>
  <c r="F17" i="31" s="1"/>
  <c r="G45" i="31"/>
  <c r="E45" i="31" s="1"/>
  <c r="E7" i="31"/>
  <c r="G8" i="38" l="1"/>
  <c r="F13" i="38" s="1"/>
  <c r="M13" i="38" s="1"/>
  <c r="M8" i="38"/>
  <c r="G46" i="40"/>
  <c r="M46" i="40"/>
  <c r="G48" i="40"/>
  <c r="M48" i="40"/>
  <c r="F21" i="41"/>
  <c r="G13" i="38"/>
  <c r="F14" i="38" s="1"/>
  <c r="M14" i="38" s="1"/>
  <c r="G25" i="31"/>
  <c r="E25" i="31"/>
  <c r="F13" i="37"/>
  <c r="M13" i="37" s="1"/>
  <c r="G21" i="40"/>
  <c r="F22" i="40" s="1"/>
  <c r="M22" i="40" s="1"/>
  <c r="E8" i="37"/>
  <c r="E8" i="38"/>
  <c r="E21" i="40"/>
  <c r="G9" i="40"/>
  <c r="E9" i="40"/>
  <c r="G13" i="40"/>
  <c r="F18" i="40" s="1"/>
  <c r="M18" i="40" s="1"/>
  <c r="G9" i="41"/>
  <c r="G13" i="41"/>
  <c r="E12" i="41"/>
  <c r="E12" i="31"/>
  <c r="G8" i="31"/>
  <c r="F13" i="31"/>
  <c r="G13" i="31" s="1"/>
  <c r="G17" i="31"/>
  <c r="F22" i="31" s="1"/>
  <c r="E47" i="31"/>
  <c r="E46" i="31"/>
  <c r="E13" i="38" l="1"/>
  <c r="G21" i="41"/>
  <c r="M21" i="41"/>
  <c r="F26" i="31"/>
  <c r="S7" i="46"/>
  <c r="C20" i="46"/>
  <c r="C7" i="46"/>
  <c r="K7" i="46"/>
  <c r="G14" i="38"/>
  <c r="F18" i="38" s="1"/>
  <c r="M18" i="38" s="1"/>
  <c r="E13" i="41"/>
  <c r="F18" i="41"/>
  <c r="M18" i="41" s="1"/>
  <c r="G26" i="31"/>
  <c r="E26" i="31" s="1"/>
  <c r="G13" i="37"/>
  <c r="F14" i="37" s="1"/>
  <c r="G22" i="40"/>
  <c r="E13" i="40"/>
  <c r="E9" i="41"/>
  <c r="F14" i="40"/>
  <c r="M14" i="40" s="1"/>
  <c r="E17" i="41"/>
  <c r="F14" i="41"/>
  <c r="M14" i="41" s="1"/>
  <c r="E13" i="31"/>
  <c r="E8" i="31"/>
  <c r="F18" i="31"/>
  <c r="G18" i="31" s="1"/>
  <c r="G22" i="31"/>
  <c r="E17" i="31"/>
  <c r="G14" i="37" l="1"/>
  <c r="F18" i="37" s="1"/>
  <c r="M14" i="37"/>
  <c r="F22" i="41"/>
  <c r="E21" i="41"/>
  <c r="G18" i="38"/>
  <c r="F30" i="31"/>
  <c r="F27" i="31"/>
  <c r="E13" i="37"/>
  <c r="F26" i="40"/>
  <c r="M26" i="40" s="1"/>
  <c r="E22" i="40"/>
  <c r="E14" i="37"/>
  <c r="E14" i="38"/>
  <c r="G14" i="40"/>
  <c r="G18" i="40"/>
  <c r="G14" i="41"/>
  <c r="G18" i="41"/>
  <c r="G27" i="31"/>
  <c r="F23" i="31"/>
  <c r="G23" i="31" s="1"/>
  <c r="E18" i="31"/>
  <c r="G18" i="37" l="1"/>
  <c r="F19" i="37" s="1"/>
  <c r="M19" i="37" s="1"/>
  <c r="M18" i="37"/>
  <c r="E14" i="41"/>
  <c r="M22" i="41"/>
  <c r="G22" i="41"/>
  <c r="S8" i="46"/>
  <c r="C21" i="46"/>
  <c r="C8" i="46"/>
  <c r="K8" i="46"/>
  <c r="F19" i="38"/>
  <c r="M19" i="38" s="1"/>
  <c r="E18" i="38"/>
  <c r="G30" i="31"/>
  <c r="E30" i="31"/>
  <c r="E18" i="37"/>
  <c r="G19" i="37"/>
  <c r="F23" i="37" s="1"/>
  <c r="G26" i="40"/>
  <c r="F23" i="40"/>
  <c r="M23" i="40" s="1"/>
  <c r="E18" i="40"/>
  <c r="F23" i="41"/>
  <c r="E18" i="41"/>
  <c r="E14" i="40"/>
  <c r="F19" i="40"/>
  <c r="M19" i="40" s="1"/>
  <c r="F19" i="41"/>
  <c r="M19" i="41" s="1"/>
  <c r="F28" i="31"/>
  <c r="G28" i="31" s="1"/>
  <c r="F66" i="31"/>
  <c r="E22" i="31"/>
  <c r="G23" i="37" l="1"/>
  <c r="M23" i="37"/>
  <c r="G23" i="41"/>
  <c r="M23" i="41"/>
  <c r="F26" i="41"/>
  <c r="E22" i="41"/>
  <c r="F31" i="31"/>
  <c r="G19" i="38"/>
  <c r="G31" i="31"/>
  <c r="E19" i="37"/>
  <c r="E23" i="37"/>
  <c r="G23" i="40"/>
  <c r="F27" i="40"/>
  <c r="M27" i="40" s="1"/>
  <c r="E26" i="40"/>
  <c r="G19" i="40"/>
  <c r="E23" i="40"/>
  <c r="G19" i="41"/>
  <c r="E23" i="41"/>
  <c r="G66" i="31"/>
  <c r="E27" i="31"/>
  <c r="G26" i="41" l="1"/>
  <c r="M26" i="41"/>
  <c r="E26" i="41"/>
  <c r="F69" i="31"/>
  <c r="F61" i="31" s="1"/>
  <c r="K9" i="47"/>
  <c r="M9" i="47" s="1"/>
  <c r="E31" i="31"/>
  <c r="S9" i="46"/>
  <c r="C22" i="46"/>
  <c r="C9" i="46"/>
  <c r="K9" i="46"/>
  <c r="F23" i="38"/>
  <c r="M23" i="38" s="1"/>
  <c r="E19" i="38"/>
  <c r="F35" i="31"/>
  <c r="F32" i="31"/>
  <c r="F24" i="37"/>
  <c r="M24" i="37" s="1"/>
  <c r="G27" i="40"/>
  <c r="F31" i="40" s="1"/>
  <c r="M31" i="40" s="1"/>
  <c r="E19" i="41"/>
  <c r="E19" i="40"/>
  <c r="F24" i="40"/>
  <c r="M24" i="40" s="1"/>
  <c r="F24" i="41"/>
  <c r="M24" i="41" s="1"/>
  <c r="G61" i="31"/>
  <c r="E61" i="31" s="1"/>
  <c r="F70" i="31"/>
  <c r="G70" i="31" s="1"/>
  <c r="G69" i="31"/>
  <c r="E23" i="31"/>
  <c r="F28" i="40" l="1"/>
  <c r="M28" i="40" s="1"/>
  <c r="F27" i="41"/>
  <c r="G23" i="38"/>
  <c r="F24" i="38" s="1"/>
  <c r="M24" i="38" s="1"/>
  <c r="F71" i="31"/>
  <c r="F72" i="31" s="1"/>
  <c r="G32" i="31"/>
  <c r="F33" i="31" s="1"/>
  <c r="G35" i="31"/>
  <c r="F36" i="31" s="1"/>
  <c r="G24" i="37"/>
  <c r="G31" i="40"/>
  <c r="F32" i="40" s="1"/>
  <c r="M32" i="40" s="1"/>
  <c r="E27" i="40"/>
  <c r="G24" i="40"/>
  <c r="G28" i="40"/>
  <c r="G24" i="41"/>
  <c r="G71" i="31"/>
  <c r="E71" i="31" s="1"/>
  <c r="E28" i="31"/>
  <c r="E32" i="31"/>
  <c r="E23" i="38" l="1"/>
  <c r="M27" i="41"/>
  <c r="G27" i="41"/>
  <c r="E27" i="41" s="1"/>
  <c r="S10" i="46"/>
  <c r="C23" i="46"/>
  <c r="C10" i="46"/>
  <c r="K10" i="46"/>
  <c r="G24" i="38"/>
  <c r="F28" i="38" s="1"/>
  <c r="M28" i="38" s="1"/>
  <c r="G72" i="31"/>
  <c r="F73" i="31" s="1"/>
  <c r="E72" i="31"/>
  <c r="G33" i="31"/>
  <c r="G36" i="31"/>
  <c r="E35" i="31"/>
  <c r="E24" i="37"/>
  <c r="F28" i="37"/>
  <c r="E31" i="40"/>
  <c r="G32" i="40"/>
  <c r="F36" i="40" s="1"/>
  <c r="M36" i="40" s="1"/>
  <c r="E32" i="40"/>
  <c r="F33" i="40"/>
  <c r="M33" i="40" s="1"/>
  <c r="E24" i="41"/>
  <c r="E24" i="40"/>
  <c r="E28" i="40"/>
  <c r="F29" i="40"/>
  <c r="M29" i="40" s="1"/>
  <c r="G28" i="37" l="1"/>
  <c r="M28" i="37"/>
  <c r="F28" i="41"/>
  <c r="F31" i="41"/>
  <c r="G28" i="38"/>
  <c r="F29" i="38" s="1"/>
  <c r="M29" i="38" s="1"/>
  <c r="E24" i="38"/>
  <c r="F40" i="31"/>
  <c r="F37" i="31"/>
  <c r="E36" i="31"/>
  <c r="G36" i="40"/>
  <c r="G29" i="40"/>
  <c r="G33" i="40"/>
  <c r="E33" i="31"/>
  <c r="G31" i="41" l="1"/>
  <c r="M31" i="41"/>
  <c r="E31" i="41"/>
  <c r="M28" i="41"/>
  <c r="G28" i="41"/>
  <c r="F29" i="41" s="1"/>
  <c r="S11" i="46"/>
  <c r="C24" i="46"/>
  <c r="C11" i="46"/>
  <c r="K11" i="46"/>
  <c r="G29" i="38"/>
  <c r="E28" i="38"/>
  <c r="G37" i="31"/>
  <c r="F38" i="31" s="1"/>
  <c r="G40" i="31"/>
  <c r="E28" i="37"/>
  <c r="F29" i="37"/>
  <c r="M29" i="37" s="1"/>
  <c r="E36" i="40"/>
  <c r="F37" i="40"/>
  <c r="M37" i="40" s="1"/>
  <c r="E33" i="40"/>
  <c r="E29" i="40"/>
  <c r="F34" i="40"/>
  <c r="M34" i="40" s="1"/>
  <c r="M29" i="41" l="1"/>
  <c r="G29" i="41"/>
  <c r="E28" i="41"/>
  <c r="E29" i="41"/>
  <c r="F32" i="41"/>
  <c r="F41" i="31"/>
  <c r="E29" i="38"/>
  <c r="F33" i="38"/>
  <c r="M33" i="38" s="1"/>
  <c r="G41" i="31"/>
  <c r="E40" i="31"/>
  <c r="E37" i="31"/>
  <c r="G38" i="31"/>
  <c r="E38" i="31" s="1"/>
  <c r="G29" i="37"/>
  <c r="G37" i="40"/>
  <c r="G34" i="40"/>
  <c r="M32" i="41" l="1"/>
  <c r="G32" i="41"/>
  <c r="E32" i="41"/>
  <c r="E41" i="31"/>
  <c r="K3" i="47"/>
  <c r="S12" i="46"/>
  <c r="C25" i="46"/>
  <c r="C12" i="46"/>
  <c r="K12" i="46"/>
  <c r="G33" i="38"/>
  <c r="F34" i="38" s="1"/>
  <c r="M34" i="38" s="1"/>
  <c r="F42" i="31"/>
  <c r="F51" i="31"/>
  <c r="E29" i="37"/>
  <c r="F33" i="37"/>
  <c r="F41" i="40"/>
  <c r="M41" i="40" s="1"/>
  <c r="F38" i="40"/>
  <c r="M38" i="40" s="1"/>
  <c r="E37" i="40"/>
  <c r="E34" i="40"/>
  <c r="G33" i="37" l="1"/>
  <c r="M33" i="37"/>
  <c r="E33" i="38"/>
  <c r="F33" i="41"/>
  <c r="F56" i="41"/>
  <c r="F36" i="41"/>
  <c r="G34" i="38"/>
  <c r="G51" i="31"/>
  <c r="E51" i="31"/>
  <c r="G42" i="31"/>
  <c r="F43" i="31" s="1"/>
  <c r="F34" i="37"/>
  <c r="M34" i="37" s="1"/>
  <c r="G38" i="40"/>
  <c r="G41" i="40"/>
  <c r="G36" i="41" l="1"/>
  <c r="M36" i="41"/>
  <c r="E36" i="41"/>
  <c r="M56" i="41"/>
  <c r="G56" i="41"/>
  <c r="M33" i="41"/>
  <c r="G33" i="41"/>
  <c r="F34" i="41" s="1"/>
  <c r="F52" i="31"/>
  <c r="M3" i="47"/>
  <c r="S13" i="46"/>
  <c r="C26" i="46"/>
  <c r="C13" i="46"/>
  <c r="K13" i="46"/>
  <c r="E34" i="38"/>
  <c r="F38" i="38"/>
  <c r="M38" i="38" s="1"/>
  <c r="G43" i="31"/>
  <c r="K4" i="47" s="1"/>
  <c r="G52" i="31"/>
  <c r="F53" i="31" s="1"/>
  <c r="E42" i="31"/>
  <c r="E33" i="37"/>
  <c r="G34" i="37"/>
  <c r="E34" i="37" s="1"/>
  <c r="E41" i="40"/>
  <c r="F42" i="40"/>
  <c r="M42" i="40" s="1"/>
  <c r="F39" i="40"/>
  <c r="M39" i="40" s="1"/>
  <c r="E38" i="40"/>
  <c r="E64" i="31"/>
  <c r="E65" i="31"/>
  <c r="M34" i="41" l="1"/>
  <c r="G34" i="41"/>
  <c r="E34" i="41"/>
  <c r="E33" i="41"/>
  <c r="F37" i="41"/>
  <c r="E52" i="31"/>
  <c r="E43" i="31"/>
  <c r="G38" i="38"/>
  <c r="G53" i="31"/>
  <c r="F54" i="31" s="1"/>
  <c r="F38" i="37"/>
  <c r="G39" i="40"/>
  <c r="E39" i="40" s="1"/>
  <c r="G42" i="40"/>
  <c r="E66" i="31"/>
  <c r="G38" i="37" l="1"/>
  <c r="M38" i="37"/>
  <c r="F43" i="40"/>
  <c r="M43" i="40" s="1"/>
  <c r="K15" i="47"/>
  <c r="M15" i="47" s="1"/>
  <c r="M37" i="41"/>
  <c r="G37" i="41"/>
  <c r="E37" i="41" s="1"/>
  <c r="E53" i="31"/>
  <c r="M4" i="47"/>
  <c r="E38" i="38"/>
  <c r="F39" i="38"/>
  <c r="M39" i="38" s="1"/>
  <c r="G54" i="31"/>
  <c r="F55" i="31" s="1"/>
  <c r="E54" i="31"/>
  <c r="F39" i="37"/>
  <c r="M39" i="37" s="1"/>
  <c r="E38" i="37"/>
  <c r="E58" i="37"/>
  <c r="E42" i="40"/>
  <c r="G43" i="40"/>
  <c r="F44" i="40" s="1"/>
  <c r="M44" i="40" s="1"/>
  <c r="E65" i="40"/>
  <c r="F38" i="41" l="1"/>
  <c r="F57" i="41"/>
  <c r="F41" i="41"/>
  <c r="G39" i="38"/>
  <c r="G55" i="31"/>
  <c r="K5" i="47" s="1"/>
  <c r="M5" i="47" s="1"/>
  <c r="E55" i="31"/>
  <c r="G39" i="37"/>
  <c r="E43" i="40"/>
  <c r="G44" i="40"/>
  <c r="G67" i="40"/>
  <c r="K21" i="47" s="1"/>
  <c r="M21" i="47" s="1"/>
  <c r="E66" i="40"/>
  <c r="E69" i="31"/>
  <c r="E44" i="40" l="1"/>
  <c r="K16" i="47"/>
  <c r="M16" i="47" s="1"/>
  <c r="G41" i="41"/>
  <c r="M41" i="41"/>
  <c r="E41" i="41"/>
  <c r="M57" i="41"/>
  <c r="G57" i="41"/>
  <c r="M38" i="41"/>
  <c r="G38" i="41"/>
  <c r="E39" i="38"/>
  <c r="F43" i="38"/>
  <c r="M43" i="38" s="1"/>
  <c r="F49" i="31"/>
  <c r="E59" i="37"/>
  <c r="E39" i="37"/>
  <c r="F43" i="37"/>
  <c r="F70" i="40"/>
  <c r="M70" i="40" s="1"/>
  <c r="E67" i="40"/>
  <c r="E70" i="31"/>
  <c r="G43" i="37" l="1"/>
  <c r="M43" i="37"/>
  <c r="E38" i="41"/>
  <c r="F39" i="41"/>
  <c r="F42" i="41"/>
  <c r="S14" i="46"/>
  <c r="C27" i="46"/>
  <c r="C14" i="46"/>
  <c r="K14" i="46"/>
  <c r="G43" i="38"/>
  <c r="F44" i="38" s="1"/>
  <c r="M44" i="38" s="1"/>
  <c r="E43" i="38"/>
  <c r="G49" i="31"/>
  <c r="K6" i="47" s="1"/>
  <c r="M6" i="47" s="1"/>
  <c r="E49" i="31"/>
  <c r="F44" i="37"/>
  <c r="M44" i="37" s="1"/>
  <c r="G60" i="37"/>
  <c r="E60" i="37" s="1"/>
  <c r="F71" i="40"/>
  <c r="M71" i="40" s="1"/>
  <c r="G70" i="40"/>
  <c r="E70" i="40" s="1"/>
  <c r="M39" i="41" l="1"/>
  <c r="G39" i="41"/>
  <c r="E39" i="41"/>
  <c r="M42" i="41"/>
  <c r="G42" i="41"/>
  <c r="G44" i="38"/>
  <c r="F58" i="31"/>
  <c r="E43" i="37"/>
  <c r="G44" i="37"/>
  <c r="E44" i="37" s="1"/>
  <c r="G71" i="40"/>
  <c r="F72" i="40" s="1"/>
  <c r="M72" i="40" s="1"/>
  <c r="S15" i="46"/>
  <c r="E71" i="40"/>
  <c r="G72" i="40"/>
  <c r="E72" i="40" s="1"/>
  <c r="F73" i="40"/>
  <c r="M73" i="40" s="1"/>
  <c r="E77" i="38"/>
  <c r="F43" i="41" l="1"/>
  <c r="F46" i="41"/>
  <c r="E42" i="41"/>
  <c r="C15" i="46"/>
  <c r="K15" i="46"/>
  <c r="E44" i="38"/>
  <c r="F48" i="38"/>
  <c r="M48" i="38" s="1"/>
  <c r="G58" i="31"/>
  <c r="E58" i="31" s="1"/>
  <c r="F48" i="37"/>
  <c r="E75" i="41"/>
  <c r="G73" i="40"/>
  <c r="F74" i="40" s="1"/>
  <c r="M74" i="40" s="1"/>
  <c r="F79" i="38"/>
  <c r="E78" i="38"/>
  <c r="F77" i="41"/>
  <c r="E76" i="41"/>
  <c r="G48" i="37" l="1"/>
  <c r="M48" i="37"/>
  <c r="G79" i="38"/>
  <c r="D21" i="47" s="1"/>
  <c r="F21" i="47" s="1"/>
  <c r="M79" i="38"/>
  <c r="G77" i="41"/>
  <c r="M77" i="41"/>
  <c r="G46" i="41"/>
  <c r="M46" i="41"/>
  <c r="E46" i="41"/>
  <c r="M43" i="41"/>
  <c r="G43" i="41"/>
  <c r="S16" i="46"/>
  <c r="G48" i="38"/>
  <c r="F49" i="38" s="1"/>
  <c r="M49" i="38" s="1"/>
  <c r="E73" i="40"/>
  <c r="G74" i="40"/>
  <c r="E74" i="40" s="1"/>
  <c r="E77" i="41"/>
  <c r="E48" i="38" l="1"/>
  <c r="E79" i="38"/>
  <c r="F82" i="38"/>
  <c r="M82" i="38" s="1"/>
  <c r="E43" i="41"/>
  <c r="F44" i="41"/>
  <c r="F47" i="41"/>
  <c r="F80" i="41"/>
  <c r="D9" i="47"/>
  <c r="F9" i="47" s="1"/>
  <c r="C16" i="46"/>
  <c r="K16" i="46"/>
  <c r="F83" i="38"/>
  <c r="G82" i="38"/>
  <c r="G49" i="38"/>
  <c r="E48" i="37"/>
  <c r="F49" i="37"/>
  <c r="M49" i="37" s="1"/>
  <c r="F75" i="40"/>
  <c r="M75" i="40" s="1"/>
  <c r="G83" i="38" l="1"/>
  <c r="M83" i="38"/>
  <c r="M80" i="41"/>
  <c r="F72" i="41"/>
  <c r="F81" i="41"/>
  <c r="G80" i="41"/>
  <c r="E80" i="41" s="1"/>
  <c r="M44" i="41"/>
  <c r="G44" i="41"/>
  <c r="M47" i="41"/>
  <c r="G47" i="41"/>
  <c r="E47" i="41"/>
  <c r="E49" i="38"/>
  <c r="F53" i="38"/>
  <c r="M53" i="38" s="1"/>
  <c r="G49" i="37"/>
  <c r="G75" i="40"/>
  <c r="K22" i="47" s="1"/>
  <c r="M22" i="47" s="1"/>
  <c r="E82" i="38"/>
  <c r="F74" i="38"/>
  <c r="M74" i="38" s="1"/>
  <c r="G81" i="41" l="1"/>
  <c r="F82" i="41" s="1"/>
  <c r="M81" i="41"/>
  <c r="E81" i="41"/>
  <c r="M72" i="41"/>
  <c r="G72" i="41"/>
  <c r="E72" i="41"/>
  <c r="F51" i="41"/>
  <c r="F48" i="41"/>
  <c r="E44" i="41"/>
  <c r="G53" i="38"/>
  <c r="E49" i="37"/>
  <c r="F53" i="37"/>
  <c r="E75" i="40"/>
  <c r="F68" i="40"/>
  <c r="M68" i="40" s="1"/>
  <c r="E77" i="37"/>
  <c r="F79" i="37"/>
  <c r="E78" i="37"/>
  <c r="G74" i="38"/>
  <c r="E74" i="38" s="1"/>
  <c r="F84" i="38"/>
  <c r="M84" i="38" s="1"/>
  <c r="E83" i="38"/>
  <c r="G79" i="37" l="1"/>
  <c r="D33" i="47" s="1"/>
  <c r="F33" i="47" s="1"/>
  <c r="M79" i="37"/>
  <c r="G53" i="37"/>
  <c r="M53" i="37"/>
  <c r="F54" i="38"/>
  <c r="M54" i="38" s="1"/>
  <c r="D15" i="47"/>
  <c r="F15" i="47" s="1"/>
  <c r="E53" i="38"/>
  <c r="M48" i="41"/>
  <c r="G48" i="41"/>
  <c r="F49" i="41" s="1"/>
  <c r="G51" i="41"/>
  <c r="M51" i="41"/>
  <c r="M82" i="41"/>
  <c r="F83" i="41"/>
  <c r="G82" i="41"/>
  <c r="E82" i="41"/>
  <c r="G54" i="38"/>
  <c r="E54" i="38" s="1"/>
  <c r="F54" i="37"/>
  <c r="M54" i="37" s="1"/>
  <c r="F82" i="37"/>
  <c r="M82" i="37" s="1"/>
  <c r="G68" i="40"/>
  <c r="G84" i="38"/>
  <c r="E84" i="38" s="1"/>
  <c r="F85" i="38"/>
  <c r="G85" i="38" l="1"/>
  <c r="M85" i="38"/>
  <c r="E68" i="40"/>
  <c r="K23" i="47"/>
  <c r="M23" i="47" s="1"/>
  <c r="F52" i="41"/>
  <c r="E51" i="41"/>
  <c r="E48" i="41"/>
  <c r="G83" i="41"/>
  <c r="F84" i="41" s="1"/>
  <c r="M83" i="41"/>
  <c r="E83" i="41"/>
  <c r="M49" i="41"/>
  <c r="G49" i="41"/>
  <c r="F86" i="38"/>
  <c r="E53" i="37"/>
  <c r="G54" i="37"/>
  <c r="F83" i="37"/>
  <c r="M83" i="37" s="1"/>
  <c r="G82" i="37"/>
  <c r="E82" i="37" s="1"/>
  <c r="F74" i="37"/>
  <c r="M74" i="37" s="1"/>
  <c r="E79" i="37"/>
  <c r="E85" i="38"/>
  <c r="G74" i="37" l="1"/>
  <c r="E74" i="37" s="1"/>
  <c r="E54" i="37"/>
  <c r="D27" i="47"/>
  <c r="F27" i="47" s="1"/>
  <c r="G86" i="38"/>
  <c r="F87" i="38" s="1"/>
  <c r="M86" i="38"/>
  <c r="E49" i="41"/>
  <c r="G84" i="41"/>
  <c r="F85" i="41" s="1"/>
  <c r="M84" i="41"/>
  <c r="G52" i="41"/>
  <c r="M52" i="41"/>
  <c r="E52" i="41"/>
  <c r="G83" i="37"/>
  <c r="F84" i="37" s="1"/>
  <c r="M84" i="37" s="1"/>
  <c r="F64" i="37"/>
  <c r="M64" i="37" s="1"/>
  <c r="E86" i="38"/>
  <c r="G87" i="38" l="1"/>
  <c r="M87" i="38"/>
  <c r="G85" i="41"/>
  <c r="E85" i="41" s="1"/>
  <c r="M85" i="41"/>
  <c r="F53" i="41"/>
  <c r="D3" i="47"/>
  <c r="F3" i="47" s="1"/>
  <c r="E84" i="41"/>
  <c r="F85" i="37"/>
  <c r="M85" i="37" s="1"/>
  <c r="G84" i="37"/>
  <c r="E84" i="37" s="1"/>
  <c r="E83" i="37"/>
  <c r="G64" i="37"/>
  <c r="F65" i="37" s="1"/>
  <c r="M65" i="37" s="1"/>
  <c r="G85" i="37"/>
  <c r="F86" i="37" s="1"/>
  <c r="M86" i="37" s="1"/>
  <c r="E87" i="38"/>
  <c r="F80" i="38" l="1"/>
  <c r="D22" i="47"/>
  <c r="F22" i="47" s="1"/>
  <c r="G53" i="41"/>
  <c r="F54" i="41" s="1"/>
  <c r="M53" i="41"/>
  <c r="E53" i="41"/>
  <c r="F78" i="41"/>
  <c r="D10" i="47"/>
  <c r="F10" i="47" s="1"/>
  <c r="E64" i="37"/>
  <c r="G65" i="37"/>
  <c r="F66" i="37" s="1"/>
  <c r="M66" i="37" s="1"/>
  <c r="E85" i="37"/>
  <c r="G86" i="37"/>
  <c r="E86" i="37" s="1"/>
  <c r="E16" i="31"/>
  <c r="E20" i="31"/>
  <c r="G73" i="31"/>
  <c r="F74" i="31" s="1"/>
  <c r="G74" i="31" s="1"/>
  <c r="K10" i="47" s="1"/>
  <c r="M10" i="47" s="1"/>
  <c r="M80" i="38" l="1"/>
  <c r="G80" i="38"/>
  <c r="G78" i="41"/>
  <c r="D11" i="47" s="1"/>
  <c r="F11" i="47" s="1"/>
  <c r="M78" i="41"/>
  <c r="E78" i="41"/>
  <c r="M54" i="41"/>
  <c r="G54" i="41"/>
  <c r="E65" i="37"/>
  <c r="G66" i="37"/>
  <c r="F67" i="37" s="1"/>
  <c r="M67" i="37" s="1"/>
  <c r="F87" i="37"/>
  <c r="M87" i="37" s="1"/>
  <c r="E73" i="31"/>
  <c r="E74" i="31"/>
  <c r="E80" i="38" l="1"/>
  <c r="D23" i="47"/>
  <c r="F23" i="47" s="1"/>
  <c r="E54" i="41"/>
  <c r="D4" i="47"/>
  <c r="F4" i="47" s="1"/>
  <c r="E66" i="37"/>
  <c r="G67" i="37"/>
  <c r="F68" i="37" s="1"/>
  <c r="M68" i="37" s="1"/>
  <c r="G87" i="37"/>
  <c r="D34" i="47" s="1"/>
  <c r="F34" i="47" s="1"/>
  <c r="F67" i="31"/>
  <c r="E67" i="37" l="1"/>
  <c r="G68" i="37"/>
  <c r="D29" i="47" s="1"/>
  <c r="F29" i="47" s="1"/>
  <c r="E87" i="37"/>
  <c r="F80" i="37"/>
  <c r="M80" i="37" s="1"/>
  <c r="G67" i="31"/>
  <c r="E56" i="41"/>
  <c r="F58" i="41"/>
  <c r="M58" i="41" s="1"/>
  <c r="E57" i="41"/>
  <c r="F62" i="41"/>
  <c r="M62" i="41" s="1"/>
  <c r="E67" i="31" l="1"/>
  <c r="K11" i="47"/>
  <c r="M11" i="47" s="1"/>
  <c r="G62" i="41"/>
  <c r="F63" i="41" s="1"/>
  <c r="M63" i="41" s="1"/>
  <c r="E68" i="37"/>
  <c r="G80" i="37"/>
  <c r="G58" i="41"/>
  <c r="E58" i="41" s="1"/>
  <c r="E62" i="41"/>
  <c r="E46" i="40"/>
  <c r="E80" i="37" l="1"/>
  <c r="D35" i="47"/>
  <c r="F35" i="47" s="1"/>
  <c r="G63" i="41"/>
  <c r="E48" i="40"/>
  <c r="E47" i="40"/>
  <c r="F52" i="40"/>
  <c r="M52" i="40" s="1"/>
  <c r="G58" i="38"/>
  <c r="E58" i="38" s="1"/>
  <c r="F64" i="41" l="1"/>
  <c r="M64" i="41" s="1"/>
  <c r="E63" i="41"/>
  <c r="G52" i="40"/>
  <c r="E52" i="40"/>
  <c r="F53" i="40"/>
  <c r="M53" i="40" s="1"/>
  <c r="G64" i="41" l="1"/>
  <c r="F65" i="41" s="1"/>
  <c r="M65" i="41" s="1"/>
  <c r="G53" i="40"/>
  <c r="G65" i="41" l="1"/>
  <c r="F66" i="41" s="1"/>
  <c r="M66" i="41" s="1"/>
  <c r="E65" i="41"/>
  <c r="E64" i="41"/>
  <c r="F54" i="40"/>
  <c r="M54" i="40" s="1"/>
  <c r="F62" i="40"/>
  <c r="M62" i="40" s="1"/>
  <c r="E53" i="40"/>
  <c r="G66" i="41" l="1"/>
  <c r="E66" i="41"/>
  <c r="G54" i="40"/>
  <c r="F55" i="40" s="1"/>
  <c r="M55" i="40" s="1"/>
  <c r="G62" i="40"/>
  <c r="E62" i="40" s="1"/>
  <c r="F60" i="41" l="1"/>
  <c r="M60" i="41" s="1"/>
  <c r="D5" i="47"/>
  <c r="F5" i="47" s="1"/>
  <c r="G60" i="41"/>
  <c r="E54" i="40"/>
  <c r="G55" i="40"/>
  <c r="F56" i="40" s="1"/>
  <c r="M56" i="40" s="1"/>
  <c r="E55" i="40" l="1"/>
  <c r="E60" i="41"/>
  <c r="D6" i="47"/>
  <c r="F6" i="47" s="1"/>
  <c r="F69" i="41"/>
  <c r="M69" i="41" s="1"/>
  <c r="G56" i="40"/>
  <c r="E56" i="40" l="1"/>
  <c r="K17" i="47"/>
  <c r="M17" i="47" s="1"/>
  <c r="G69" i="41"/>
  <c r="E69" i="41" s="1"/>
  <c r="F50" i="40"/>
  <c r="M50" i="40" s="1"/>
  <c r="G50" i="40" l="1"/>
  <c r="E50" i="40" l="1"/>
  <c r="K18" i="47"/>
  <c r="M18" i="47" s="1"/>
  <c r="F59" i="40"/>
  <c r="M59" i="40" s="1"/>
  <c r="G59" i="40"/>
  <c r="E59" i="40" s="1"/>
  <c r="E7" i="38"/>
  <c r="F10" i="38" l="1"/>
  <c r="M10" i="38" s="1"/>
  <c r="G10" i="38" l="1"/>
  <c r="F15" i="38" s="1"/>
  <c r="M15" i="38" s="1"/>
  <c r="F11" i="38" l="1"/>
  <c r="M11" i="38" s="1"/>
  <c r="E10" i="38"/>
  <c r="G15" i="38" l="1"/>
  <c r="G11" i="38"/>
  <c r="E11" i="38" s="1"/>
  <c r="E15" i="38" l="1"/>
  <c r="F20" i="38"/>
  <c r="M20" i="38" s="1"/>
  <c r="F16" i="38"/>
  <c r="M16" i="38" s="1"/>
  <c r="G16" i="38" l="1"/>
  <c r="E16" i="38" s="1"/>
  <c r="G20" i="38"/>
  <c r="F25" i="38" s="1"/>
  <c r="M25" i="38" s="1"/>
  <c r="F21" i="38" l="1"/>
  <c r="M21" i="38" s="1"/>
  <c r="E20" i="38"/>
  <c r="G21" i="38" l="1"/>
  <c r="E21" i="38" s="1"/>
  <c r="G25" i="38"/>
  <c r="F30" i="38" s="1"/>
  <c r="M30" i="38" s="1"/>
  <c r="E25" i="38" l="1"/>
  <c r="F26" i="38"/>
  <c r="M26" i="38" s="1"/>
  <c r="G26" i="38" l="1"/>
  <c r="E26" i="38" s="1"/>
  <c r="G30" i="38"/>
  <c r="F35" i="38" s="1"/>
  <c r="M35" i="38" s="1"/>
  <c r="E30" i="38" l="1"/>
  <c r="F31" i="38"/>
  <c r="M31" i="38" s="1"/>
  <c r="G35" i="38" l="1"/>
  <c r="F40" i="38" s="1"/>
  <c r="M40" i="38" s="1"/>
  <c r="G31" i="38"/>
  <c r="E31" i="38" s="1"/>
  <c r="F36" i="38" l="1"/>
  <c r="M36" i="38" s="1"/>
  <c r="E35" i="38"/>
  <c r="G36" i="38" l="1"/>
  <c r="E36" i="38" s="1"/>
  <c r="G40" i="38"/>
  <c r="F45" i="38" s="1"/>
  <c r="M45" i="38" s="1"/>
  <c r="F60" i="38"/>
  <c r="M60" i="38" s="1"/>
  <c r="G60" i="38" l="1"/>
  <c r="E60" i="38" s="1"/>
  <c r="E40" i="38"/>
  <c r="F41" i="38"/>
  <c r="M41" i="38" s="1"/>
  <c r="G41" i="38" l="1"/>
  <c r="E41" i="38" s="1"/>
  <c r="G45" i="38"/>
  <c r="F50" i="38" s="1"/>
  <c r="M50" i="38" s="1"/>
  <c r="E45" i="38" l="1"/>
  <c r="F46" i="38"/>
  <c r="M46" i="38" s="1"/>
  <c r="G50" i="38" l="1"/>
  <c r="F55" i="38" s="1"/>
  <c r="M55" i="38" s="1"/>
  <c r="G46" i="38"/>
  <c r="E46" i="38" s="1"/>
  <c r="E50" i="38" l="1"/>
  <c r="F51" i="38"/>
  <c r="M51" i="38" s="1"/>
  <c r="G51" i="38" l="1"/>
  <c r="E51" i="38" s="1"/>
  <c r="G55" i="38"/>
  <c r="F56" i="38" s="1"/>
  <c r="M56" i="38" s="1"/>
  <c r="E55" i="38" l="1"/>
  <c r="G56" i="38"/>
  <c r="D16" i="47" s="1"/>
  <c r="F16" i="47" s="1"/>
  <c r="E56" i="38" l="1"/>
  <c r="F64" i="38"/>
  <c r="E59" i="38"/>
  <c r="G64" i="38" l="1"/>
  <c r="F65" i="38" s="1"/>
  <c r="M65" i="38" s="1"/>
  <c r="M64" i="38"/>
  <c r="G65" i="38"/>
  <c r="F66" i="38" s="1"/>
  <c r="M66" i="38" s="1"/>
  <c r="E64" i="38"/>
  <c r="G66" i="38" l="1"/>
  <c r="F67" i="38" s="1"/>
  <c r="M67" i="38" s="1"/>
  <c r="E65" i="38"/>
  <c r="E66" i="38" l="1"/>
  <c r="G67" i="38"/>
  <c r="F68" i="38" s="1"/>
  <c r="M68" i="38" s="1"/>
  <c r="E67" i="38" l="1"/>
  <c r="G68" i="38"/>
  <c r="D17" i="47" s="1"/>
  <c r="F17" i="47" s="1"/>
  <c r="E68" i="38"/>
  <c r="F62" i="38" l="1"/>
  <c r="M62" i="38" s="1"/>
  <c r="G62" i="38" l="1"/>
  <c r="D18" i="47" s="1"/>
  <c r="F18" i="47" s="1"/>
  <c r="F71" i="38" l="1"/>
  <c r="M71" i="38" s="1"/>
  <c r="E62" i="38"/>
  <c r="G71" i="38" l="1"/>
  <c r="E71" i="38" s="1"/>
  <c r="E7" i="37"/>
  <c r="F10" i="37"/>
  <c r="M10" i="37" s="1"/>
  <c r="G10" i="37" l="1"/>
  <c r="F11" i="37" l="1"/>
  <c r="M11" i="37" s="1"/>
  <c r="F15" i="37"/>
  <c r="M15" i="37" s="1"/>
  <c r="E10" i="37"/>
  <c r="G15" i="37" l="1"/>
  <c r="G11" i="37"/>
  <c r="E11" i="37" s="1"/>
  <c r="F16" i="37" l="1"/>
  <c r="M16" i="37" s="1"/>
  <c r="F20" i="37"/>
  <c r="M20" i="37" s="1"/>
  <c r="E15" i="37"/>
  <c r="G20" i="37" l="1"/>
  <c r="E20" i="37" s="1"/>
  <c r="G16" i="37"/>
  <c r="E16" i="37" s="1"/>
  <c r="F21" i="37" l="1"/>
  <c r="M21" i="37" s="1"/>
  <c r="F25" i="37"/>
  <c r="M25" i="37" s="1"/>
  <c r="G25" i="37" l="1"/>
  <c r="E25" i="37" s="1"/>
  <c r="G21" i="37"/>
  <c r="E21" i="37" s="1"/>
  <c r="F30" i="37" l="1"/>
  <c r="M30" i="37" s="1"/>
  <c r="F26" i="37"/>
  <c r="M26" i="37" s="1"/>
  <c r="G26" i="37" l="1"/>
  <c r="E26" i="37" s="1"/>
  <c r="G30" i="37"/>
  <c r="E30" i="37" s="1"/>
  <c r="F35" i="37" l="1"/>
  <c r="M35" i="37" s="1"/>
  <c r="F31" i="37"/>
  <c r="M31" i="37" s="1"/>
  <c r="G31" i="37" l="1"/>
  <c r="E31" i="37" s="1"/>
  <c r="G35" i="37"/>
  <c r="E35" i="37" s="1"/>
  <c r="F36" i="37" l="1"/>
  <c r="M36" i="37" s="1"/>
  <c r="F40" i="37"/>
  <c r="M40" i="37" s="1"/>
  <c r="G40" i="37" l="1"/>
  <c r="E40" i="37" s="1"/>
  <c r="G36" i="37"/>
  <c r="E36" i="37" s="1"/>
  <c r="F41" i="37" l="1"/>
  <c r="M41" i="37" s="1"/>
  <c r="F45" i="37"/>
  <c r="M45" i="37" s="1"/>
  <c r="G45" i="37" l="1"/>
  <c r="G41" i="37"/>
  <c r="E41" i="37" s="1"/>
  <c r="F46" i="37" l="1"/>
  <c r="M46" i="37" s="1"/>
  <c r="F50" i="37"/>
  <c r="M50" i="37" s="1"/>
  <c r="E45" i="37"/>
  <c r="G46" i="37" l="1"/>
  <c r="E46" i="37" s="1"/>
  <c r="G50" i="37"/>
  <c r="F51" i="37" l="1"/>
  <c r="M51" i="37" s="1"/>
  <c r="F55" i="37"/>
  <c r="M55" i="37" s="1"/>
  <c r="E50" i="37"/>
  <c r="G55" i="37" l="1"/>
  <c r="F56" i="37" s="1"/>
  <c r="M56" i="37" s="1"/>
  <c r="G51" i="37"/>
  <c r="E51" i="37" s="1"/>
  <c r="E55" i="37" l="1"/>
  <c r="G56" i="37"/>
  <c r="F62" i="37" l="1"/>
  <c r="M62" i="37" s="1"/>
  <c r="D28" i="47"/>
  <c r="F28" i="47" s="1"/>
  <c r="G62" i="37"/>
  <c r="D30" i="47" s="1"/>
  <c r="F30" i="47" s="1"/>
  <c r="E56" i="37"/>
  <c r="F71" i="37" l="1"/>
  <c r="M71" i="37" s="1"/>
  <c r="E62" i="37"/>
  <c r="G71" i="37" l="1"/>
  <c r="E71" i="37"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Master Sheet!$C$1016:$C$8915" type="5" refreshedVersion="2" saveData="1">
    <dbPr connection="" command=""/>
  </connection>
  <connection id="2" xr16:uid="{00000000-0015-0000-FFFF-FFFF01000000}" name="WorksheetConnection_PE-286 SDCC Progress Tracking Sheet - EV Analysis (Master Sheet).xlsx!Table1" type="5" refreshedVersion="2" saveData="1">
    <dbPr connection="" command=""/>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<sst xmlns="http://schemas.openxmlformats.org/spreadsheetml/2006/main" count="1687" uniqueCount="243">
  <si>
    <t>MADINAH Migration Flow</t>
  </si>
  <si>
    <t>Activity</t>
  </si>
  <si>
    <t>Remark</t>
  </si>
  <si>
    <r>
      <rPr>
        <b/>
        <sz val="11"/>
        <color theme="1"/>
        <rFont val="Aptos Narrow"/>
        <charset val="134"/>
        <scheme val="minor"/>
      </rPr>
      <t xml:space="preserve">Database Migration (1st Round)
</t>
    </r>
    <r>
      <rPr>
        <b/>
        <sz val="8"/>
        <color rgb="FF00B0F0"/>
        <rFont val="Aptos Narrow"/>
        <charset val="134"/>
        <scheme val="minor"/>
      </rPr>
      <t>(20-May-26)</t>
    </r>
  </si>
  <si>
    <t>Madinah Database Migration (1st Round) completed</t>
  </si>
  <si>
    <t>SLD 1st patch (10 SS)</t>
  </si>
  <si>
    <r>
      <rPr>
        <sz val="9"/>
        <color theme="1"/>
        <rFont val="Aptos Narrow"/>
        <charset val="134"/>
        <scheme val="minor"/>
      </rPr>
      <t>SLD 1st patch in Madinah:</t>
    </r>
    <r>
      <rPr>
        <b/>
        <sz val="9"/>
        <color rgb="FFFF0000"/>
        <rFont val="Aptos Narrow"/>
        <charset val="134"/>
        <scheme val="minor"/>
      </rPr>
      <t xml:space="preserve"> (to be confirmed by CET)</t>
    </r>
  </si>
  <si>
    <t>Validation by SE</t>
  </si>
  <si>
    <t>3 days FF with SLD 1st patch</t>
  </si>
  <si>
    <t>E2E for 1st patch (10 SS - 20 points)</t>
  </si>
  <si>
    <t>Start 18-Jun
Finish: 21-Jun
Depend on Telecom Readiness</t>
  </si>
  <si>
    <t>SLD 2nd patch</t>
  </si>
  <si>
    <t>Start: 23-May
Finish: 30-May</t>
  </si>
  <si>
    <t>SLD 3rd patch</t>
  </si>
  <si>
    <t>Start: 01-Jun
Finish: 08-Jun</t>
  </si>
  <si>
    <t>SLD 4th patch</t>
  </si>
  <si>
    <t>SLD 5th patch</t>
  </si>
  <si>
    <t>SLD 6th patch</t>
  </si>
  <si>
    <t>Start: 09-Jun
Finish: 16-Jun</t>
  </si>
  <si>
    <t>SLD 7th patch</t>
  </si>
  <si>
    <t>SLD 8th patch</t>
  </si>
  <si>
    <t>SLD 9th patch</t>
  </si>
  <si>
    <t>Start: 17-Jun
Finish: 24-Jun</t>
  </si>
  <si>
    <t>SLD 10th patch</t>
  </si>
  <si>
    <t>Start: 24-Jul
Finish: 30-Jul</t>
  </si>
  <si>
    <t>Final Validation by SE</t>
  </si>
  <si>
    <t>Start: 01-Aug
Finish: 07-Aug
E2E test shall be Finish to Finish +3 days with SLD</t>
  </si>
  <si>
    <t>Completion of E2E test</t>
  </si>
  <si>
    <t>shall be by mid of Aug-2026 (for Madinah)</t>
  </si>
  <si>
    <r>
      <rPr>
        <b/>
        <sz val="11"/>
        <color theme="1"/>
        <rFont val="Aptos Narrow"/>
        <charset val="134"/>
        <scheme val="minor"/>
      </rPr>
      <t xml:space="preserve">Alarm &amp; Reporting Migration
</t>
    </r>
    <r>
      <rPr>
        <b/>
        <sz val="8"/>
        <color rgb="FF00B0F0"/>
        <rFont val="Aptos Narrow"/>
        <charset val="134"/>
        <scheme val="minor"/>
      </rPr>
      <t>(14-Jun-26)</t>
    </r>
  </si>
  <si>
    <t>Depend on :
*1st Round of Database Migration
*Workstation Availability</t>
  </si>
  <si>
    <r>
      <rPr>
        <b/>
        <sz val="11"/>
        <color theme="1"/>
        <rFont val="Aptos Narrow"/>
        <charset val="134"/>
        <scheme val="minor"/>
      </rPr>
      <t xml:space="preserve">UI &amp; Display Configuration
</t>
    </r>
    <r>
      <rPr>
        <b/>
        <sz val="8"/>
        <color rgb="FF00B0F0"/>
        <rFont val="Aptos Narrow"/>
        <charset val="134"/>
        <scheme val="minor"/>
      </rPr>
      <t>(14-Jun-26)</t>
    </r>
  </si>
  <si>
    <r>
      <rPr>
        <b/>
        <sz val="11"/>
        <color theme="1"/>
        <rFont val="Aptos Narrow"/>
        <charset val="134"/>
        <scheme val="minor"/>
      </rPr>
      <t xml:space="preserve">Historian Migration
</t>
    </r>
    <r>
      <rPr>
        <b/>
        <sz val="8"/>
        <color rgb="FF00B0F0"/>
        <rFont val="Aptos Narrow"/>
        <charset val="134"/>
        <scheme val="minor"/>
      </rPr>
      <t>(15-Aug-26)</t>
    </r>
  </si>
  <si>
    <r>
      <rPr>
        <sz val="9"/>
        <color theme="1"/>
        <rFont val="Aptos Narrow"/>
        <charset val="134"/>
        <scheme val="minor"/>
      </rPr>
      <t xml:space="preserve">Depend on :
*1st Round of Database Migration
</t>
    </r>
    <r>
      <rPr>
        <b/>
        <sz val="9"/>
        <color theme="1"/>
        <rFont val="Aptos Narrow"/>
        <charset val="134"/>
        <scheme val="minor"/>
      </rPr>
      <t>*Data Structure &amp; Analysis from SE</t>
    </r>
  </si>
  <si>
    <t>ADMS SAT</t>
  </si>
  <si>
    <r>
      <rPr>
        <sz val="9"/>
        <color theme="1"/>
        <rFont val="Aptos Narrow"/>
        <charset val="134"/>
        <scheme val="minor"/>
      </rPr>
      <t xml:space="preserve">Depend on :
</t>
    </r>
    <r>
      <rPr>
        <b/>
        <sz val="9"/>
        <color theme="1"/>
        <rFont val="Aptos Narrow"/>
        <charset val="134"/>
        <scheme val="minor"/>
      </rPr>
      <t>*Migration completion
*80% of E2E testing</t>
    </r>
  </si>
  <si>
    <t>Hardware cybersecurity test</t>
  </si>
  <si>
    <t>3 days</t>
  </si>
  <si>
    <t>Functional test</t>
  </si>
  <si>
    <t>5 days</t>
  </si>
  <si>
    <t>Performance test</t>
  </si>
  <si>
    <t>Integration test</t>
  </si>
  <si>
    <t>2 days</t>
  </si>
  <si>
    <t>Redundancy test</t>
  </si>
  <si>
    <t>Stability &amp; unstructure test</t>
  </si>
  <si>
    <t>1 day</t>
  </si>
  <si>
    <t>Regression test</t>
  </si>
  <si>
    <t>Training inside KSA</t>
  </si>
  <si>
    <t>Training in China</t>
  </si>
  <si>
    <r>
      <rPr>
        <b/>
        <sz val="11"/>
        <color theme="1"/>
        <rFont val="Aptos Narrow"/>
        <charset val="134"/>
        <scheme val="minor"/>
      </rPr>
      <t xml:space="preserve">DERMS Software Installation
</t>
    </r>
    <r>
      <rPr>
        <b/>
        <sz val="8"/>
        <color rgb="FF00B0F0"/>
        <rFont val="Aptos Narrow"/>
        <charset val="134"/>
        <scheme val="minor"/>
      </rPr>
      <t>shall start by 19-May-26 (Madinah)</t>
    </r>
  </si>
  <si>
    <t>OT switches shall be mobilized by 16-May</t>
  </si>
  <si>
    <t>DERMS SAT</t>
  </si>
  <si>
    <t>Not Strated</t>
  </si>
  <si>
    <t>SDCC - Overall Upstream Progress</t>
  </si>
  <si>
    <t>In Progress</t>
  </si>
  <si>
    <t>Completed</t>
  </si>
  <si>
    <t>MADINAH UpstreZ Progress</t>
  </si>
  <si>
    <t>JEDDAH UpstreZ Progress</t>
  </si>
  <si>
    <t>MAKKAH UpstreZ Progress</t>
  </si>
  <si>
    <t>Batch No.</t>
  </si>
  <si>
    <t>Planned %</t>
  </si>
  <si>
    <t>Completed %</t>
  </si>
  <si>
    <t>SLD Submission</t>
  </si>
  <si>
    <t>SLD Validation</t>
  </si>
  <si>
    <t>E2E for Grid SS</t>
  </si>
  <si>
    <t>E2E Rectification</t>
  </si>
  <si>
    <t>SLD VYidation</t>
  </si>
  <si>
    <t>-</t>
  </si>
  <si>
    <t>Batch 01</t>
  </si>
  <si>
    <t>Batch 02</t>
  </si>
  <si>
    <t>Batch 03</t>
  </si>
  <si>
    <t>Batch 04</t>
  </si>
  <si>
    <t>Batch 05</t>
  </si>
  <si>
    <t>Batch 06</t>
  </si>
  <si>
    <t>Batch 07</t>
  </si>
  <si>
    <t>Batch 08</t>
  </si>
  <si>
    <t>Batch 09</t>
  </si>
  <si>
    <t>Batch 10</t>
  </si>
  <si>
    <t>ABHA UpstreZ Progress</t>
  </si>
  <si>
    <t>JIZAN UpstreZ Progress</t>
  </si>
  <si>
    <t>MADINAH</t>
  </si>
  <si>
    <t>ABHA</t>
  </si>
  <si>
    <t>% Progress</t>
  </si>
  <si>
    <t>Planned Finish</t>
  </si>
  <si>
    <t>Expected Finish</t>
  </si>
  <si>
    <t>Variance</t>
  </si>
  <si>
    <t>Upstream</t>
  </si>
  <si>
    <t>SLD &amp; DB Submission &amp; Validation</t>
  </si>
  <si>
    <t>E2E Test</t>
  </si>
  <si>
    <t>SAT</t>
  </si>
  <si>
    <t>Final Cuttover - Live on</t>
  </si>
  <si>
    <t>Downstream</t>
  </si>
  <si>
    <t>JEDDAH</t>
  </si>
  <si>
    <t>JIZAN</t>
  </si>
  <si>
    <t>MAKKAH</t>
  </si>
  <si>
    <t>Final Cuttover</t>
  </si>
  <si>
    <t>Workstream</t>
  </si>
  <si>
    <t>Working Days</t>
  </si>
  <si>
    <t>Planned Start</t>
  </si>
  <si>
    <t>Expected Start</t>
  </si>
  <si>
    <t>Actual Start / Expected Start</t>
  </si>
  <si>
    <t>Actual Finish / Expected Finish</t>
  </si>
  <si>
    <t>Status</t>
  </si>
  <si>
    <t>Root Cause of Delay</t>
  </si>
  <si>
    <t>1st Batch (6 SS)</t>
  </si>
  <si>
    <t>SLD and DB - Upstream</t>
  </si>
  <si>
    <t>6 Days Calendar</t>
  </si>
  <si>
    <t>Validation by SE - Upstream</t>
  </si>
  <si>
    <t>Submitted, waitting for feedback from DCC team.</t>
  </si>
  <si>
    <t>Telecom Rediness - Upstream</t>
  </si>
  <si>
    <t>*(DVM-E1-TSR ) should be received no later than 10-Jul-26
*Bisha LDC DC Issue should be solved by maximum 9-Jul-26 
*Telecom Rediness including Bisha LDC will be 30-Jul-26
*ABHA DR Rediness depend on start Jizan SDCC  Telecom SAT on 7-Jul-26
*Gate Passes &amp; Work permit should be ready before Telecom Rediness Date</t>
  </si>
  <si>
    <t>E2E - Upstream</t>
  </si>
  <si>
    <t xml:space="preserve">Depend on Telecom Readiness </t>
  </si>
  <si>
    <t>5 Days Calendar</t>
  </si>
  <si>
    <t>E2E Comments Rectification - Upstream</t>
  </si>
  <si>
    <t>Handle grid models, graphics, data accuracy issues, not including field equipment and communication etc</t>
  </si>
  <si>
    <t>2nd Batch (10 SS)</t>
  </si>
  <si>
    <t xml:space="preserve">Depend on Telecom Readiness 
</t>
  </si>
  <si>
    <t>3rd Batch (14 SS)</t>
  </si>
  <si>
    <t>4th Batch (16 SS)</t>
  </si>
  <si>
    <t>Patch will be Submitted partially to work in parallel</t>
  </si>
  <si>
    <t>5th Batch (16 SS)</t>
  </si>
  <si>
    <t>6th Batch (14 SS)</t>
  </si>
  <si>
    <t>7th Batch (15 SS)</t>
  </si>
  <si>
    <t>8th Batch (15 SS)</t>
  </si>
  <si>
    <t>Migration</t>
  </si>
  <si>
    <t xml:space="preserve">Alarm &amp; Reporting Migration
</t>
  </si>
  <si>
    <t xml:space="preserve">UI &amp; Display Configuration
</t>
  </si>
  <si>
    <t xml:space="preserve">Historian Migration
</t>
  </si>
  <si>
    <r>
      <t xml:space="preserve">Depend on :
</t>
    </r>
    <r>
      <rPr>
        <b/>
        <sz val="12"/>
        <color theme="1"/>
        <rFont val="Aptos"/>
        <family val="2"/>
      </rPr>
      <t>*Data Structure &amp; Analysis from SE</t>
    </r>
  </si>
  <si>
    <t>Cut Over - Upstream (Live-On)</t>
  </si>
  <si>
    <t>Live On - Upstream</t>
  </si>
  <si>
    <t>Cut Over（Batch 1:8）
(2nd Option)</t>
  </si>
  <si>
    <t>1.Completed Cut Over(Upstream Batch1-8)
2.Completed SAT
3.Completed System Available Testing</t>
  </si>
  <si>
    <t>Final Cutover (Upstream)</t>
  </si>
  <si>
    <t>Upstream SAT</t>
  </si>
  <si>
    <t>Training</t>
  </si>
  <si>
    <t>on Job training to be conducted on each SDCC</t>
  </si>
  <si>
    <t>Training in Factory</t>
  </si>
  <si>
    <t>DERMS</t>
  </si>
  <si>
    <t>DERMS Software Installation</t>
  </si>
  <si>
    <t>The firewall configuration and required access rules shall be fully implemented and verified.
Network access between the relevant systems and sites shall be available and confirmed.
Connectivity between DC/DR shall be completed to support DC/DR communication and failover testing.
All required ports, routing rules, and security policies shall be provided before testing.</t>
  </si>
  <si>
    <t>Data for DER is required from SE</t>
  </si>
  <si>
    <t>Dowstream</t>
  </si>
  <si>
    <t>Downstream DB Validation Demo</t>
  </si>
  <si>
    <t>SLD and DB ( Total 1,400 Feeders)</t>
  </si>
  <si>
    <t>Draft Man will mobilize on 7-Jul-26</t>
  </si>
  <si>
    <t>Downstream SLD Submission</t>
  </si>
  <si>
    <t>Downstream Validation</t>
  </si>
  <si>
    <t xml:space="preserve">E2E for SFD  (10% - 1100 RMUs) </t>
  </si>
  <si>
    <t>Depend on STC Rediness
Depend on Availability of SE Field Engineer
Start of E2E Test after 5 Days from Validation
E2E RMU Rate = 14 / Day</t>
  </si>
  <si>
    <t>Downstream E2E</t>
  </si>
  <si>
    <t>Cuttover &amp; GO Live</t>
  </si>
  <si>
    <t>After STC Success E2E</t>
  </si>
  <si>
    <t>Final Cutover (Downstream)</t>
  </si>
  <si>
    <t>Dowstream SAT</t>
  </si>
  <si>
    <t>Downstream SAT</t>
  </si>
  <si>
    <t>Functional test - ADMS</t>
  </si>
  <si>
    <t xml:space="preserve">Integration test </t>
  </si>
  <si>
    <t xml:space="preserve">Redundancy test </t>
  </si>
  <si>
    <t xml:space="preserve">Stability &amp; unstructure test </t>
  </si>
  <si>
    <t xml:space="preserve">Performance test </t>
  </si>
  <si>
    <t>Root Cause of  Delay</t>
  </si>
  <si>
    <t>7 Days Claendar</t>
  </si>
  <si>
    <t>Downstream Database Migration (1st Round)</t>
  </si>
  <si>
    <t>SLD and DB Submission - Upstream</t>
  </si>
  <si>
    <t>Batch 01 Validated from Control Systema Division Team ans waiting final signedSLD &amp; DB Approval Form</t>
  </si>
  <si>
    <t>*Readiness forecast date subject to existing MPLS at Airport SS issue to be solved before 10-Jul-26
*SAT Shall be Started on 13-Jul-26
*MADINAH LDC Power Issue to be solved by maximum 10-Jul-26
*(DVM-E1-TSR ) should be received no later than 15-Jul-26
*Gate Passes &amp; Work permit should be ready before Telecom Rediness Date</t>
  </si>
  <si>
    <t>2nd Batch (9 SS)</t>
  </si>
  <si>
    <t>Batch 02 Validated from Control Systema Division Team ans waiting final signedSLD &amp; DB Approval Form</t>
  </si>
  <si>
    <t>3rd Batch (10 SS)</t>
  </si>
  <si>
    <t>4th Batch (11 SS)</t>
  </si>
  <si>
    <t>5th Batch (10 SS)</t>
  </si>
  <si>
    <t>6th Batch (10 SS)</t>
  </si>
  <si>
    <t>7th Batch (10 SS)</t>
  </si>
  <si>
    <t>8th Batch (10 SS)</t>
  </si>
  <si>
    <t>9th Batch (11 SS)</t>
  </si>
  <si>
    <t>10th Batch (11 SS)</t>
  </si>
  <si>
    <r>
      <t xml:space="preserve">Depend on :
</t>
    </r>
    <r>
      <rPr>
        <b/>
        <sz val="9"/>
        <color theme="1"/>
        <rFont val="Aptos"/>
        <family val="2"/>
      </rPr>
      <t>*Data Structure &amp; Analysis from SE</t>
    </r>
  </si>
  <si>
    <t>Cut Over（Batch 1:10）
(2nd Option)</t>
  </si>
  <si>
    <t>1.Completed Cut Over(Upstream Batch1-10)
2.Completed SAT
3.Completed System Available Testing</t>
  </si>
  <si>
    <t>ADMS SAT - Upstream</t>
  </si>
  <si>
    <t xml:space="preserve">Hardware cybersecurity test </t>
  </si>
  <si>
    <t>Functional test - SCADA</t>
  </si>
  <si>
    <t>Depend on Training Room Rediness</t>
  </si>
  <si>
    <t>SLD and DB Validation Demo</t>
  </si>
  <si>
    <t>SLD and DB ( Total 2,600 Feeders)</t>
  </si>
  <si>
    <t xml:space="preserve">E2E for SFD  (10% - 1200 RMUs) </t>
  </si>
  <si>
    <t>A</t>
  </si>
  <si>
    <r>
      <t xml:space="preserve">Database Migration (1st Round)
</t>
    </r>
    <r>
      <rPr>
        <b/>
        <sz val="12"/>
        <color rgb="FF00B0F0"/>
        <rFont val="Aptos"/>
        <family val="2"/>
      </rPr>
      <t>(20-May-26)</t>
    </r>
  </si>
  <si>
    <t>Jizan Database Migration (1st Round) completed</t>
  </si>
  <si>
    <t>1st Batch (7 SS)</t>
  </si>
  <si>
    <t>Started</t>
  </si>
  <si>
    <t>*(DVM-E1-TSR ) should be received no later than 14-Jul-26
*Jizan SDCC Telecom SAT to be started on 6-Jul-26
*Jizan DCC Telecom SAT to be started on 8-Jul-26
*Najran SDCC Telecom SAT to be started on 8-Jul-26
*Gate Passes &amp; Work permit should be ready before Telecom Rediness Date</t>
  </si>
  <si>
    <r>
      <rPr>
        <sz val="12"/>
        <color rgb="FFFF0000"/>
        <rFont val="Aptos"/>
        <family val="2"/>
      </rPr>
      <t xml:space="preserve">Grid Substation
</t>
    </r>
    <r>
      <rPr>
        <sz val="12"/>
        <color rgb="FF000000"/>
        <rFont val="Aptos"/>
        <family val="2"/>
      </rPr>
      <t>Depend on Telecom Readiness (24-Jun-26)
Cutover Depend on Succesful Completion of E2E</t>
    </r>
  </si>
  <si>
    <t xml:space="preserve"> - Upstream</t>
  </si>
  <si>
    <t>2nd Batch (6 SS)</t>
  </si>
  <si>
    <t>5th Batch (11 SS)</t>
  </si>
  <si>
    <t>6th Batch (11 SS)</t>
  </si>
  <si>
    <t>7th Batch (12 SS)</t>
  </si>
  <si>
    <t>8th Batch (13 SS)</t>
  </si>
  <si>
    <r>
      <rPr>
        <sz val="12"/>
        <color rgb="FF000000"/>
        <rFont val="Aptos Narrow"/>
        <family val="2"/>
        <scheme val="minor"/>
      </rPr>
      <t xml:space="preserve">Depend on :
</t>
    </r>
    <r>
      <rPr>
        <b/>
        <sz val="12"/>
        <color rgb="FF000000"/>
        <rFont val="Aptos Narrow"/>
        <family val="2"/>
        <scheme val="minor"/>
      </rPr>
      <t>*Data Structure &amp; Analysis from SE</t>
    </r>
  </si>
  <si>
    <t>Cut Over（Batch1-8）</t>
  </si>
  <si>
    <t>SLD and DB ( Total feeder 1,200)</t>
  </si>
  <si>
    <t xml:space="preserve">E2E for SFD  (10% - RMU-800) </t>
  </si>
  <si>
    <t>Cuttover</t>
  </si>
  <si>
    <t>Database Migration for Upstream (1st Round)</t>
  </si>
  <si>
    <t>Makkah Database Migration (1st Round) in progress</t>
  </si>
  <si>
    <t>6/30 1 Substaion
7/2   2 Substaions
7/5   4 Substaions</t>
  </si>
  <si>
    <t>Software Installation</t>
  </si>
  <si>
    <t>Configuration of Network &amp; Cyber Security</t>
  </si>
  <si>
    <t>*Jeddah Dc ready 
*Jeddah DR readiness Depends on madinah SDCC TELEOM REDINESS (26-July) considering all the prerequisite of achieving this date</t>
  </si>
  <si>
    <t>Depend on Telecom Readiness 
Cutover Depend on Succesful Completion of E2E</t>
  </si>
  <si>
    <t>2nd Batch (15 SS)</t>
  </si>
  <si>
    <t>3rd Batch (19 SS)</t>
  </si>
  <si>
    <t>4th Batch (20 SS)</t>
  </si>
  <si>
    <t>5th Batch (19 SS)</t>
  </si>
  <si>
    <t>6th Batch (22 SS)</t>
  </si>
  <si>
    <t>7th Batch (17 SS)</t>
  </si>
  <si>
    <t>8th Batch (20 SS)</t>
  </si>
  <si>
    <t>9th Batch (19 SS)</t>
  </si>
  <si>
    <t>10th Batch (22 SS)</t>
  </si>
  <si>
    <t>Depend on :
*1st Round of Database Migration
*Workstation Availability
*Software Completion</t>
  </si>
  <si>
    <r>
      <t xml:space="preserve">Depend on :
*1st Round of Database Migration
</t>
    </r>
    <r>
      <rPr>
        <b/>
        <sz val="12"/>
        <color theme="1"/>
        <rFont val="Aptos"/>
        <family val="2"/>
      </rPr>
      <t>*Data Structure &amp; Analysis from SE</t>
    </r>
  </si>
  <si>
    <t>Cut Over（Batch1-10）</t>
  </si>
  <si>
    <t xml:space="preserve">depend on Training Room Rediness </t>
  </si>
  <si>
    <t>no resource avaialble , depend on finalizeatoion Cutover</t>
  </si>
  <si>
    <t>SLD and DB ( Total 4,000)</t>
  </si>
  <si>
    <t xml:space="preserve">E2E for SFD  (10% - 1500) </t>
  </si>
  <si>
    <t>Depend on STC Rediness
Depend on Availability of SE Field Engineer
Start of E2E Test after 5 Days from Validation
E2E RMU Rate = 17 / Day</t>
  </si>
  <si>
    <t>Database Migration (1st Round)</t>
  </si>
  <si>
    <t>*Extension of Working Hours to be extending till  9:00 PM on daily basis including weekend Friday and Saturday</t>
  </si>
  <si>
    <t>*(DVM-E1-TSR ) should be received no later than 10-Jul-26</t>
  </si>
  <si>
    <t>3rd Batch (15 SS)</t>
  </si>
  <si>
    <t>4th Batch (15 SS)</t>
  </si>
  <si>
    <t>5th Batch (15 SS)</t>
  </si>
  <si>
    <t>6th Batch (15 SS)</t>
  </si>
  <si>
    <t>9th Batch (15 SS)</t>
  </si>
  <si>
    <t>10th Batch (15 SS)</t>
  </si>
  <si>
    <t>1.Data for DER is required from SE</t>
  </si>
  <si>
    <t>SLD and DB ( Total 3,500)</t>
  </si>
  <si>
    <t xml:space="preserve">E2E for SFD  (10% - 1250) </t>
  </si>
  <si>
    <t>Depend on STC Rediness
Depend on Availability of SE Field Engineer
Start of E2E Test after 5 Days from Validation
E2E RMU Rate = 16 / 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</si>
</sst>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409]dd\-mmm\-yy;@"/>
    <numFmt numFmtId="165" formatCode="[$-409]d\-mmm\-yy;@"/>
  </numFmts>
  <fonts count="37">
    <font>
      <sz val="11"/>
      <color theme="1"/>
      <name val="Aptos Narrow"/>
      <charset val="134"/>
      <scheme val="minor"/>
    </font>
    <font>
      <sz val="11"/>
      <color theme="1"/>
      <name val="Aptos Narrow"/>
      <family val="2"/>
      <scheme val="minor"/>
    </font>
    <font>
      <sz val="11"/>
      <color theme="1"/>
      <name val="Aptos Narrow"/>
      <family val="2"/>
      <scheme val="minor"/>
    </font>
    <font>
      <b/>
      <sz val="11"/>
      <color theme="1"/>
      <name val="Aptos Narrow"/>
      <charset val="134"/>
      <scheme val="minor"/>
    </font>
    <font>
      <sz val="9"/>
      <color theme="1"/>
      <name val="Aptos Narrow"/>
      <charset val="134"/>
      <scheme val="minor"/>
    </font>
    <font>
      <b/>
      <sz val="9"/>
      <color rgb="FF00B0F0"/>
      <name val="Aptos Narrow"/>
      <charset val="134"/>
      <scheme val="minor"/>
    </font>
    <font>
      <b/>
      <sz val="11"/>
      <color rgb="FFFF0000"/>
      <name val="Aptos Narrow"/>
      <charset val="134"/>
      <scheme val="minor"/>
    </font>
    <font>
      <b/>
      <sz val="8"/>
      <color rgb="FF00B0F0"/>
      <name val="Aptos Narrow"/>
      <charset val="134"/>
      <scheme val="minor"/>
    </font>
    <font>
      <b/>
      <sz val="9"/>
      <color theme="1"/>
      <name val="Aptos Narrow"/>
      <charset val="134"/>
      <scheme val="minor"/>
    </font>
    <font>
      <b/>
      <sz val="9"/>
      <color rgb="FFFF0000"/>
      <name val="Aptos Narrow"/>
      <charset val="134"/>
      <scheme val="minor"/>
    </font>
    <font>
      <sz val="11"/>
      <color theme="1"/>
      <name val="Aptos Narrow"/>
      <charset val="134"/>
      <scheme val="minor"/>
    </font>
    <font>
      <b/>
      <sz val="12"/>
      <color theme="1"/>
      <name val="Aptos"/>
      <family val="2"/>
    </font>
    <font>
      <sz val="12"/>
      <color theme="1"/>
      <name val="Aptos"/>
      <family val="2"/>
    </font>
    <font>
      <sz val="9"/>
      <color theme="1"/>
      <name val="Aptos"/>
      <family val="2"/>
    </font>
    <font>
      <b/>
      <sz val="9"/>
      <color theme="1"/>
      <name val="Aptos"/>
      <family val="2"/>
    </font>
    <font>
      <b/>
      <sz val="12"/>
      <name val="Aptos"/>
      <family val="2"/>
    </font>
    <font>
      <b/>
      <sz val="12"/>
      <color rgb="FF000000"/>
      <name val="Aptos"/>
      <family val="2"/>
    </font>
    <font>
      <sz val="12"/>
      <color theme="1"/>
      <name val="Aptos Narrow"/>
      <family val="2"/>
      <scheme val="minor"/>
    </font>
    <font>
      <b/>
      <sz val="12"/>
      <color theme="1"/>
      <name val="Aptos Narrow"/>
      <family val="2"/>
      <scheme val="minor"/>
    </font>
    <font>
      <sz val="12"/>
      <color theme="1"/>
      <name val="Aptos Narrow"/>
      <family val="2"/>
      <charset val="134"/>
      <scheme val="minor"/>
    </font>
    <font>
      <b/>
      <sz val="12"/>
      <color theme="1"/>
      <name val="Aptos Narrow"/>
      <family val="2"/>
      <charset val="134"/>
      <scheme val="minor"/>
    </font>
    <font>
      <sz val="12"/>
      <color rgb="FF000000"/>
      <name val="Aptos Narrow"/>
      <family val="2"/>
      <scheme val="minor"/>
    </font>
    <font>
      <b/>
      <sz val="12"/>
      <color rgb="FF000000"/>
      <name val="Aptos Narrow"/>
      <family val="2"/>
      <scheme val="minor"/>
    </font>
    <font>
      <b/>
      <sz val="12"/>
      <color rgb="FF00B0F0"/>
      <name val="Aptos"/>
      <family val="2"/>
    </font>
    <font>
      <sz val="12"/>
      <color rgb="FFFF0000"/>
      <name val="Aptos"/>
      <family val="2"/>
    </font>
    <font>
      <sz val="12"/>
      <color rgb="FF000000"/>
      <name val="Aptos"/>
      <family val="2"/>
    </font>
    <font>
      <b/>
      <sz val="12"/>
      <color rgb="FFFF0000"/>
      <name val="Aptos"/>
      <family val="2"/>
    </font>
    <font>
      <b/>
      <sz val="11"/>
      <color theme="1"/>
      <name val="Aptos Narrow"/>
      <family val="2"/>
      <scheme val="minor"/>
    </font>
    <font>
      <sz val="10"/>
      <color theme="1"/>
      <name val="Aptos Narrow"/>
      <family val="2"/>
      <scheme val="minor"/>
    </font>
    <font>
      <b/>
      <sz val="10"/>
      <color theme="1"/>
      <name val="Aptos Narrow"/>
      <family val="2"/>
      <scheme val="minor"/>
    </font>
    <font>
      <b/>
      <sz val="26"/>
      <color theme="8" tint="-0.249977111117893"/>
      <name val="Aptos Narrow"/>
      <family val="2"/>
      <scheme val="minor"/>
    </font>
    <font>
      <b/>
      <sz val="22"/>
      <color theme="1"/>
      <name val="Aptos Narrow"/>
      <family val="2"/>
      <scheme val="minor"/>
    </font>
    <font>
      <b/>
      <sz val="20"/>
      <color theme="8" tint="-0.249977111117893"/>
      <name val="Aptos Narrow"/>
      <family val="2"/>
      <scheme val="minor"/>
    </font>
    <font>
      <b/>
      <sz val="10"/>
      <color theme="0"/>
      <name val="Aptos Narrow"/>
      <family val="2"/>
      <scheme val="minor"/>
    </font>
    <font>
      <sz val="9"/>
      <color theme="1"/>
      <name val="Aptos Narrow"/>
      <family val="2"/>
      <scheme val="minor"/>
    </font>
    <font>
      <b/>
      <sz val="12"/>
      <color theme="8" tint="-0.249977111117893"/>
      <name val="Aptos Narrow"/>
      <family val="2"/>
      <scheme val="minor"/>
    </font>
    <font>
      <b/>
      <sz val="14"/>
      <color theme="1"/>
      <name val="Aptos Narrow"/>
      <family val="2"/>
      <scheme val="minor"/>
    </font>
  </fonts>
  <fills count="15">
    <fill>
      <patternFill patternType="none"/>
    </fill>
    <fill>
      <patternFill patternType="gray125"/>
    </fill>
    <fill>
      <patternFill patternType="solid">
        <fgColor theme="3" tint="0.89992980742820516"/>
        <bgColor indexed="64"/>
      </patternFill>
    </fill>
    <fill>
      <patternFill patternType="solid">
        <fgColor theme="0"/>
        <bgColor indexed="64"/>
      </patternFill>
    </fill>
    <fill>
      <patternFill patternType="solid">
        <fgColor theme="9" tint="0.79989013336588644"/>
        <bgColor indexed="64"/>
      </patternFill>
    </fill>
    <fill>
      <patternFill patternType="solid">
        <fgColor theme="4" tint="0.79989013336588644"/>
        <bgColor indexed="64"/>
      </patternFill>
    </fill>
    <fill>
      <patternFill patternType="solid">
        <fgColor rgb="FFFFFF00"/>
        <bgColor indexed="64"/>
      </patternFill>
    </fill>
    <fill>
      <patternFill patternType="solid">
        <fgColor theme="2"/>
        <bgColor indexed="64"/>
      </patternFill>
    </fill>
    <fill>
      <patternFill patternType="solid">
        <fgColor theme="3" tint="0.89989928891872917"/>
        <bgColor indexed="64"/>
      </patternFill>
    </fill>
    <fill>
      <patternFill patternType="solid">
        <fgColor theme="0" tint="-4.9989318521683403E-2"/>
        <bgColor indexed="64"/>
      </patternFill>
    </fill>
    <fill>
      <patternFill patternType="solid">
        <fgColor rgb="FFFFC000"/>
        <bgColor indexed="64"/>
      </patternFill>
    </fill>
    <fill>
      <patternFill patternType="solid">
        <fgColor rgb="FF00B050"/>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3" tint="0.89999084444715716"/>
        <bgColor indexed="64"/>
      </patternFill>
    </fill>
  </fills>
  <borders count="89">
    <border>
      <left/>
      <right/>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style="dashed">
        <color auto="1"/>
      </right>
      <top style="medium">
        <color auto="1"/>
      </top>
      <bottom style="dashed">
        <color auto="1"/>
      </bottom>
      <diagonal/>
    </border>
    <border>
      <left style="dashed">
        <color auto="1"/>
      </left>
      <right style="dashed">
        <color auto="1"/>
      </right>
      <top style="medium">
        <color auto="1"/>
      </top>
      <bottom style="dashed">
        <color auto="1"/>
      </bottom>
      <diagonal/>
    </border>
    <border>
      <left style="dashed">
        <color auto="1"/>
      </left>
      <right style="medium">
        <color auto="1"/>
      </right>
      <top style="medium">
        <color auto="1"/>
      </top>
      <bottom style="dashed">
        <color auto="1"/>
      </bottom>
      <diagonal/>
    </border>
    <border>
      <left style="medium">
        <color auto="1"/>
      </left>
      <right style="dashed">
        <color auto="1"/>
      </right>
      <top style="dashed">
        <color auto="1"/>
      </top>
      <bottom style="dashed">
        <color auto="1"/>
      </bottom>
      <diagonal/>
    </border>
    <border>
      <left style="dashed">
        <color auto="1"/>
      </left>
      <right style="dashed">
        <color auto="1"/>
      </right>
      <top style="dashed">
        <color auto="1"/>
      </top>
      <bottom style="dashed">
        <color auto="1"/>
      </bottom>
      <diagonal/>
    </border>
    <border>
      <left style="dashed">
        <color auto="1"/>
      </left>
      <right style="medium">
        <color auto="1"/>
      </right>
      <top style="dashed">
        <color auto="1"/>
      </top>
      <bottom style="dashed">
        <color auto="1"/>
      </bottom>
      <diagonal/>
    </border>
    <border>
      <left style="medium">
        <color auto="1"/>
      </left>
      <right style="dashed">
        <color auto="1"/>
      </right>
      <top style="dashed">
        <color auto="1"/>
      </top>
      <bottom style="medium">
        <color auto="1"/>
      </bottom>
      <diagonal/>
    </border>
    <border>
      <left style="dashed">
        <color auto="1"/>
      </left>
      <right style="dashed">
        <color auto="1"/>
      </right>
      <top style="dashed">
        <color auto="1"/>
      </top>
      <bottom style="medium">
        <color auto="1"/>
      </bottom>
      <diagonal/>
    </border>
    <border>
      <left style="dashed">
        <color auto="1"/>
      </left>
      <right style="medium">
        <color auto="1"/>
      </right>
      <top style="dashed">
        <color auto="1"/>
      </top>
      <bottom style="medium">
        <color auto="1"/>
      </bottom>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auto="1"/>
      </right>
      <top style="thin">
        <color auto="1"/>
      </top>
      <bottom style="thin">
        <color auto="1"/>
      </bottom>
      <diagonal/>
    </border>
    <border>
      <left style="thin">
        <color auto="1"/>
      </left>
      <right/>
      <top/>
      <bottom/>
      <diagonal/>
    </border>
    <border>
      <left/>
      <right/>
      <top style="medium">
        <color auto="1"/>
      </top>
      <bottom style="medium">
        <color auto="1"/>
      </bottom>
      <diagonal/>
    </border>
    <border>
      <left/>
      <right style="medium">
        <color auto="1"/>
      </right>
      <top style="medium">
        <color auto="1"/>
      </top>
      <bottom style="medium">
        <color auto="1"/>
      </bottom>
      <diagonal/>
    </border>
    <border>
      <left/>
      <right/>
      <top style="thin">
        <color auto="1"/>
      </top>
      <bottom style="thin">
        <color auto="1"/>
      </bottom>
      <diagonal/>
    </border>
    <border>
      <left style="thin">
        <color auto="1"/>
      </left>
      <right style="thin">
        <color auto="1"/>
      </right>
      <top style="medium">
        <color auto="1"/>
      </top>
      <bottom/>
      <diagonal/>
    </border>
    <border>
      <left style="thin">
        <color auto="1"/>
      </left>
      <right/>
      <top/>
      <bottom style="thin">
        <color auto="1"/>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bottom style="medium">
        <color auto="1"/>
      </bottom>
      <diagonal/>
    </border>
    <border>
      <left style="medium">
        <color auto="1"/>
      </left>
      <right style="thin">
        <color auto="1"/>
      </right>
      <top style="medium">
        <color auto="1"/>
      </top>
      <bottom/>
      <diagonal/>
    </border>
    <border>
      <left style="thin">
        <color auto="1"/>
      </left>
      <right/>
      <top style="medium">
        <color auto="1"/>
      </top>
      <bottom style="thin">
        <color auto="1"/>
      </bottom>
      <diagonal/>
    </border>
    <border>
      <left style="thin">
        <color auto="1"/>
      </left>
      <right style="thin">
        <color auto="1"/>
      </right>
      <top style="medium">
        <color auto="1"/>
      </top>
      <bottom style="thin">
        <color auto="1"/>
      </bottom>
      <diagonal/>
    </border>
    <border>
      <left/>
      <right/>
      <top style="medium">
        <color auto="1"/>
      </top>
      <bottom style="thin">
        <color auto="1"/>
      </bottom>
      <diagonal/>
    </border>
    <border>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bottom/>
      <diagonal/>
    </border>
    <border>
      <left style="medium">
        <color auto="1"/>
      </left>
      <right style="thin">
        <color auto="1"/>
      </right>
      <top/>
      <bottom style="medium">
        <color auto="1"/>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right/>
      <top style="thin">
        <color auto="1"/>
      </top>
      <bottom style="medium">
        <color auto="1"/>
      </bottom>
      <diagonal/>
    </border>
    <border>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thin">
        <color auto="1"/>
      </left>
      <right style="thin">
        <color auto="1"/>
      </right>
      <top style="medium">
        <color auto="1"/>
      </top>
      <bottom style="medium">
        <color auto="1"/>
      </bottom>
      <diagonal/>
    </border>
    <border>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medium">
        <color auto="1"/>
      </right>
      <top style="medium">
        <color auto="1"/>
      </top>
      <bottom/>
      <diagonal/>
    </border>
    <border>
      <left style="thin">
        <color auto="1"/>
      </left>
      <right style="medium">
        <color auto="1"/>
      </right>
      <top/>
      <bottom/>
      <diagonal/>
    </border>
    <border>
      <left style="thin">
        <color auto="1"/>
      </left>
      <right style="medium">
        <color auto="1"/>
      </right>
      <top/>
      <bottom style="medium">
        <color auto="1"/>
      </bottom>
      <diagonal/>
    </border>
    <border>
      <left/>
      <right style="thin">
        <color auto="1"/>
      </right>
      <top style="medium">
        <color auto="1"/>
      </top>
      <bottom/>
      <diagonal/>
    </border>
    <border>
      <left style="thin">
        <color auto="1"/>
      </left>
      <right style="medium">
        <color auto="1"/>
      </right>
      <top style="medium">
        <color auto="1"/>
      </top>
      <bottom style="thin">
        <color rgb="FF000000"/>
      </bottom>
      <diagonal/>
    </border>
    <border>
      <left/>
      <right style="thin">
        <color auto="1"/>
      </right>
      <top/>
      <bottom style="medium">
        <color auto="1"/>
      </bottom>
      <diagonal/>
    </border>
    <border>
      <left style="thin">
        <color rgb="FF000000"/>
      </left>
      <right style="thin">
        <color rgb="FF000000"/>
      </right>
      <top style="thin">
        <color rgb="FF000000"/>
      </top>
      <bottom style="thin">
        <color rgb="FF000000"/>
      </bottom>
      <diagonal/>
    </border>
    <border>
      <left/>
      <right style="thin">
        <color auto="1"/>
      </right>
      <top/>
      <bottom/>
      <diagonal/>
    </border>
    <border>
      <left style="thin">
        <color auto="1"/>
      </left>
      <right style="medium">
        <color auto="1"/>
      </right>
      <top style="thin">
        <color auto="1"/>
      </top>
      <bottom style="thin">
        <color auto="1"/>
      </bottom>
      <diagonal/>
    </border>
    <border>
      <left style="medium">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right style="medium">
        <color auto="1"/>
      </right>
      <top style="medium">
        <color auto="1"/>
      </top>
      <bottom style="thin">
        <color auto="1"/>
      </bottom>
      <diagonal/>
    </border>
    <border>
      <left/>
      <right style="medium">
        <color auto="1"/>
      </right>
      <top style="thin">
        <color auto="1"/>
      </top>
      <bottom style="thin">
        <color auto="1"/>
      </bottom>
      <diagonal/>
    </border>
    <border>
      <left/>
      <right style="medium">
        <color auto="1"/>
      </right>
      <top style="thin">
        <color auto="1"/>
      </top>
      <bottom style="medium">
        <color auto="1"/>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B0F0"/>
      </left>
      <right style="thin">
        <color rgb="FF00B0F0"/>
      </right>
      <top style="thin">
        <color rgb="FF00B0F0"/>
      </top>
      <bottom style="thin">
        <color rgb="FF00B0F0"/>
      </bottom>
      <diagonal/>
    </border>
    <border>
      <left style="thin">
        <color rgb="FF00B0F0"/>
      </left>
      <right/>
      <top style="thin">
        <color rgb="FF00B0F0"/>
      </top>
      <bottom style="thin">
        <color rgb="FF00B0F0"/>
      </bottom>
      <diagonal/>
    </border>
    <border>
      <left style="thin">
        <color rgb="FF00B0F0"/>
      </left>
      <right/>
      <top style="thin">
        <color rgb="FF00B0F0"/>
      </top>
      <bottom/>
      <diagonal/>
    </border>
    <border>
      <left/>
      <right/>
      <top style="thin">
        <color rgb="FF00B0F0"/>
      </top>
      <bottom/>
      <diagonal/>
    </border>
    <border>
      <left/>
      <right style="thin">
        <color rgb="FF00B0F0"/>
      </right>
      <top style="thin">
        <color rgb="FF00B0F0"/>
      </top>
      <bottom/>
      <diagonal/>
    </border>
    <border>
      <left style="thin">
        <color rgb="FF00B0F0"/>
      </left>
      <right/>
      <top/>
      <bottom/>
      <diagonal/>
    </border>
    <border>
      <left/>
      <right style="thin">
        <color rgb="FF00B0F0"/>
      </right>
      <top/>
      <bottom/>
      <diagonal/>
    </border>
    <border>
      <left style="thin">
        <color rgb="FF00B0F0"/>
      </left>
      <right/>
      <top/>
      <bottom style="thin">
        <color rgb="FF00B0F0"/>
      </bottom>
      <diagonal/>
    </border>
    <border>
      <left/>
      <right/>
      <top/>
      <bottom style="thin">
        <color rgb="FF00B0F0"/>
      </bottom>
      <diagonal/>
    </border>
    <border>
      <left/>
      <right/>
      <top style="thin">
        <color rgb="FF00B0F0"/>
      </top>
      <bottom style="thin">
        <color rgb="FF00B0F0"/>
      </bottom>
      <diagonal/>
    </border>
    <border>
      <left/>
      <right style="thin">
        <color rgb="FF00B0F0"/>
      </right>
      <top/>
      <bottom style="thin">
        <color rgb="FF00B0F0"/>
      </bottom>
      <diagonal/>
    </border>
    <border>
      <left style="thin">
        <color rgb="FF00B0F0"/>
      </left>
      <right style="thin">
        <color rgb="FF00B0F0"/>
      </right>
      <top style="thin">
        <color rgb="FF00B0F0"/>
      </top>
      <bottom/>
      <diagonal/>
    </border>
    <border>
      <left style="thin">
        <color rgb="FF00B0F0"/>
      </left>
      <right style="thin">
        <color rgb="FF00B0F0"/>
      </right>
      <top/>
      <bottom/>
      <diagonal/>
    </border>
    <border>
      <left style="thin">
        <color rgb="FF00B0F0"/>
      </left>
      <right style="thin">
        <color rgb="FF00B0F0"/>
      </right>
      <top/>
      <bottom style="thin">
        <color rgb="FF00B0F0"/>
      </bottom>
      <diagonal/>
    </border>
  </borders>
  <cellStyleXfs count="4">
    <xf numFmtId="0" fontId="0" fillId="0" borderId="0"/>
    <xf numFmtId="9" fontId="10" fillId="0" borderId="0" applyFont="0" applyFill="0" applyBorder="0" applyAlignment="0" applyProtection="0"/>
    <xf numFmtId="0" fontId="2" fillId="0" borderId="0"/>
    <xf numFmtId="9" fontId="2" fillId="0" borderId="0" applyFont="0" applyFill="0" applyBorder="0" applyAlignment="0" applyProtection="0"/>
  </cellStyleXfs>
  <cellXfs count="502">
    <xf numFmtId="0" fontId="0" fillId="0" borderId="0" xfId="0"/>
    <xf numFmtId="0" fontId="0" fillId="0" borderId="0" xfId="0" applyAlignment="1">
      <alignment horizontal="center" vertical="center"/>
    </xf>
    <xf numFmtId="49" fontId="0" fillId="0" borderId="0" xfId="0" applyNumberFormat="1" applyAlignment="1">
      <alignment horizontal="left" wrapText="1"/>
    </xf>
    <xf numFmtId="0" fontId="3" fillId="5" borderId="21" xfId="0" applyFont="1" applyFill="1" applyBorder="1" applyAlignment="1">
      <alignment horizontal="center" vertical="center"/>
    </xf>
    <xf numFmtId="17" fontId="3" fillId="5" borderId="21" xfId="0" applyNumberFormat="1" applyFont="1" applyFill="1" applyBorder="1" applyAlignment="1">
      <alignment horizontal="center" vertical="center"/>
    </xf>
    <xf numFmtId="49" fontId="3" fillId="4" borderId="21" xfId="0" applyNumberFormat="1" applyFont="1" applyFill="1" applyBorder="1" applyAlignment="1">
      <alignment horizontal="center" vertical="center" wrapText="1"/>
    </xf>
    <xf numFmtId="49" fontId="4" fillId="0" borderId="21" xfId="0" applyNumberFormat="1" applyFont="1" applyBorder="1" applyAlignment="1">
      <alignment horizontal="left" vertical="center" wrapText="1"/>
    </xf>
    <xf numFmtId="0" fontId="3" fillId="0" borderId="20" xfId="0" applyFont="1" applyBorder="1" applyAlignment="1">
      <alignment horizontal="left" vertical="center" wrapText="1"/>
    </xf>
    <xf numFmtId="0" fontId="3" fillId="0" borderId="27" xfId="0" applyFont="1" applyBorder="1" applyAlignment="1">
      <alignment horizontal="left" vertical="center" wrapText="1"/>
    </xf>
    <xf numFmtId="0" fontId="3" fillId="0" borderId="23" xfId="0" applyFont="1" applyBorder="1" applyAlignment="1">
      <alignment horizontal="left" vertical="center" wrapText="1"/>
    </xf>
    <xf numFmtId="49" fontId="5" fillId="0" borderId="21" xfId="0" applyNumberFormat="1" applyFont="1" applyBorder="1" applyAlignment="1">
      <alignment horizontal="left" vertical="center" wrapText="1"/>
    </xf>
    <xf numFmtId="0" fontId="6" fillId="0" borderId="20" xfId="0" applyFont="1" applyBorder="1" applyAlignment="1">
      <alignment horizontal="left" vertical="center" wrapText="1"/>
    </xf>
    <xf numFmtId="49" fontId="0" fillId="0" borderId="0" xfId="0" applyNumberFormat="1" applyAlignment="1">
      <alignment horizontal="left" vertical="center" wrapText="1"/>
    </xf>
    <xf numFmtId="0" fontId="11" fillId="5" borderId="20" xfId="0" applyFont="1" applyFill="1" applyBorder="1" applyAlignment="1">
      <alignment horizontal="center" vertical="center"/>
    </xf>
    <xf numFmtId="0" fontId="11" fillId="5" borderId="21" xfId="0" applyFont="1" applyFill="1" applyBorder="1" applyAlignment="1">
      <alignment horizontal="center" vertical="center"/>
    </xf>
    <xf numFmtId="0" fontId="11" fillId="6" borderId="21" xfId="0" applyFont="1" applyFill="1" applyBorder="1" applyAlignment="1">
      <alignment horizontal="center" vertical="center"/>
    </xf>
    <xf numFmtId="9" fontId="11" fillId="6" borderId="21" xfId="1" applyFont="1" applyFill="1" applyBorder="1" applyAlignment="1">
      <alignment horizontal="center" vertical="center"/>
    </xf>
    <xf numFmtId="0" fontId="12" fillId="0" borderId="22" xfId="0" applyFont="1" applyBorder="1"/>
    <xf numFmtId="17" fontId="11" fillId="5" borderId="23" xfId="0" applyNumberFormat="1" applyFont="1" applyFill="1" applyBorder="1" applyAlignment="1">
      <alignment horizontal="center" vertical="center"/>
    </xf>
    <xf numFmtId="17" fontId="11" fillId="5" borderId="21" xfId="0" applyNumberFormat="1" applyFont="1" applyFill="1" applyBorder="1" applyAlignment="1">
      <alignment horizontal="center" vertical="center"/>
    </xf>
    <xf numFmtId="49" fontId="11" fillId="4" borderId="21" xfId="0" applyNumberFormat="1" applyFont="1" applyFill="1" applyBorder="1" applyAlignment="1">
      <alignment horizontal="center" vertical="center" wrapText="1"/>
    </xf>
    <xf numFmtId="0" fontId="11" fillId="7" borderId="20" xfId="0" applyFont="1" applyFill="1" applyBorder="1" applyAlignment="1">
      <alignment vertical="center" wrapText="1"/>
    </xf>
    <xf numFmtId="0" fontId="11" fillId="7" borderId="20" xfId="0" applyFont="1" applyFill="1" applyBorder="1" applyAlignment="1">
      <alignment horizontal="center" vertical="center" wrapText="1"/>
    </xf>
    <xf numFmtId="15" fontId="11" fillId="7" borderId="21" xfId="0" applyNumberFormat="1" applyFont="1" applyFill="1" applyBorder="1" applyAlignment="1">
      <alignment horizontal="center" vertical="center" wrapText="1"/>
    </xf>
    <xf numFmtId="9" fontId="11" fillId="7" borderId="21" xfId="1" applyFont="1" applyFill="1" applyBorder="1" applyAlignment="1">
      <alignment horizontal="center" vertical="center" wrapText="1"/>
    </xf>
    <xf numFmtId="49" fontId="13" fillId="7" borderId="21" xfId="0" applyNumberFormat="1" applyFont="1" applyFill="1" applyBorder="1" applyAlignment="1">
      <alignment horizontal="left" vertical="center" wrapText="1"/>
    </xf>
    <xf numFmtId="0" fontId="11" fillId="7" borderId="20" xfId="0" applyFont="1" applyFill="1" applyBorder="1" applyAlignment="1">
      <alignment horizontal="left" vertical="center" wrapText="1"/>
    </xf>
    <xf numFmtId="0" fontId="11" fillId="8" borderId="29" xfId="0" applyFont="1" applyFill="1" applyBorder="1" applyAlignment="1">
      <alignment vertical="center" wrapText="1"/>
    </xf>
    <xf numFmtId="0" fontId="11" fillId="8" borderId="29" xfId="0" applyFont="1" applyFill="1" applyBorder="1" applyAlignment="1">
      <alignment horizontal="center" vertical="center" wrapText="1"/>
    </xf>
    <xf numFmtId="15" fontId="11" fillId="8" borderId="21" xfId="0" applyNumberFormat="1" applyFont="1" applyFill="1" applyBorder="1" applyAlignment="1">
      <alignment horizontal="center" vertical="center" wrapText="1"/>
    </xf>
    <xf numFmtId="15" fontId="11" fillId="8" borderId="30" xfId="0" applyNumberFormat="1" applyFont="1" applyFill="1" applyBorder="1" applyAlignment="1">
      <alignment horizontal="center" vertical="center" wrapText="1"/>
    </xf>
    <xf numFmtId="9" fontId="11" fillId="8" borderId="30" xfId="1" applyFont="1" applyFill="1" applyBorder="1" applyAlignment="1">
      <alignment horizontal="center" vertical="center" wrapText="1"/>
    </xf>
    <xf numFmtId="0" fontId="11" fillId="8" borderId="20" xfId="0" applyFont="1" applyFill="1" applyBorder="1" applyAlignment="1">
      <alignment vertical="center" wrapText="1"/>
    </xf>
    <xf numFmtId="0" fontId="11" fillId="8" borderId="20" xfId="0" applyFont="1" applyFill="1" applyBorder="1" applyAlignment="1">
      <alignment horizontal="center" vertical="center" wrapText="1"/>
    </xf>
    <xf numFmtId="0" fontId="11" fillId="8" borderId="20" xfId="0" applyFont="1" applyFill="1" applyBorder="1" applyAlignment="1">
      <alignment horizontal="left" vertical="center" wrapText="1"/>
    </xf>
    <xf numFmtId="9" fontId="11" fillId="8" borderId="21" xfId="1" applyFont="1" applyFill="1" applyBorder="1" applyAlignment="1">
      <alignment horizontal="center" vertical="center" wrapText="1"/>
    </xf>
    <xf numFmtId="15" fontId="11" fillId="2" borderId="36" xfId="0" applyNumberFormat="1" applyFont="1" applyFill="1" applyBorder="1" applyAlignment="1">
      <alignment horizontal="center" vertical="center" wrapText="1"/>
    </xf>
    <xf numFmtId="9" fontId="11" fillId="2" borderId="36" xfId="1" applyFont="1" applyFill="1" applyBorder="1" applyAlignment="1">
      <alignment horizontal="center" vertical="center" wrapText="1"/>
    </xf>
    <xf numFmtId="15" fontId="11" fillId="2" borderId="21" xfId="0" applyNumberFormat="1" applyFont="1" applyFill="1" applyBorder="1" applyAlignment="1">
      <alignment horizontal="center" vertical="center" wrapText="1"/>
    </xf>
    <xf numFmtId="9" fontId="11" fillId="2" borderId="21" xfId="1" applyFont="1" applyFill="1" applyBorder="1" applyAlignment="1">
      <alignment horizontal="center" vertical="center" wrapText="1"/>
    </xf>
    <xf numFmtId="15" fontId="11" fillId="2" borderId="43" xfId="0" applyNumberFormat="1" applyFont="1" applyFill="1" applyBorder="1" applyAlignment="1">
      <alignment horizontal="center" vertical="center" wrapText="1"/>
    </xf>
    <xf numFmtId="9" fontId="11" fillId="2" borderId="43" xfId="1" applyFont="1" applyFill="1" applyBorder="1" applyAlignment="1">
      <alignment horizontal="center" vertical="center" wrapText="1"/>
    </xf>
    <xf numFmtId="0" fontId="11" fillId="7" borderId="48" xfId="0" applyFont="1" applyFill="1" applyBorder="1" applyAlignment="1">
      <alignment horizontal="left" vertical="center" wrapText="1"/>
    </xf>
    <xf numFmtId="0" fontId="11" fillId="7" borderId="48" xfId="0" applyFont="1" applyFill="1" applyBorder="1" applyAlignment="1">
      <alignment horizontal="center" vertical="center" wrapText="1"/>
    </xf>
    <xf numFmtId="15" fontId="11" fillId="7" borderId="49" xfId="0" applyNumberFormat="1" applyFont="1" applyFill="1" applyBorder="1" applyAlignment="1">
      <alignment horizontal="center" vertical="center" wrapText="1"/>
    </xf>
    <xf numFmtId="9" fontId="11" fillId="7" borderId="49" xfId="1" applyFont="1" applyFill="1" applyBorder="1" applyAlignment="1">
      <alignment horizontal="center" vertical="center" wrapText="1"/>
    </xf>
    <xf numFmtId="0" fontId="12" fillId="7" borderId="49" xfId="0" applyFont="1" applyFill="1" applyBorder="1"/>
    <xf numFmtId="0" fontId="11" fillId="7" borderId="25" xfId="0" applyFont="1" applyFill="1" applyBorder="1" applyAlignment="1">
      <alignment horizontal="left" vertical="center" wrapText="1"/>
    </xf>
    <xf numFmtId="0" fontId="11" fillId="7" borderId="50" xfId="0" applyFont="1" applyFill="1" applyBorder="1" applyAlignment="1">
      <alignment horizontal="left" vertical="center" wrapText="1"/>
    </xf>
    <xf numFmtId="0" fontId="11" fillId="8" borderId="35" xfId="0" applyFont="1" applyFill="1" applyBorder="1" applyAlignment="1">
      <alignment horizontal="left" vertical="center" wrapText="1"/>
    </xf>
    <xf numFmtId="0" fontId="11" fillId="8" borderId="35" xfId="0" applyFont="1" applyFill="1" applyBorder="1" applyAlignment="1">
      <alignment horizontal="center" vertical="center" wrapText="1"/>
    </xf>
    <xf numFmtId="15" fontId="11" fillId="8" borderId="36" xfId="0" applyNumberFormat="1" applyFont="1" applyFill="1" applyBorder="1" applyAlignment="1">
      <alignment horizontal="center" vertical="center" wrapText="1"/>
    </xf>
    <xf numFmtId="9" fontId="11" fillId="8" borderId="36" xfId="1" applyFont="1" applyFill="1" applyBorder="1" applyAlignment="1">
      <alignment horizontal="center" vertical="center" wrapText="1"/>
    </xf>
    <xf numFmtId="0" fontId="12" fillId="8" borderId="28" xfId="0" applyFont="1" applyFill="1" applyBorder="1"/>
    <xf numFmtId="0" fontId="11" fillId="8" borderId="37" xfId="0" applyFont="1" applyFill="1" applyBorder="1" applyAlignment="1">
      <alignment horizontal="left" vertical="center" wrapText="1"/>
    </xf>
    <xf numFmtId="0" fontId="11" fillId="8" borderId="38" xfId="0" applyFont="1" applyFill="1" applyBorder="1" applyAlignment="1">
      <alignment horizontal="left" vertical="center" wrapText="1"/>
    </xf>
    <xf numFmtId="49" fontId="12" fillId="8" borderId="52" xfId="0" applyNumberFormat="1" applyFont="1" applyFill="1" applyBorder="1" applyAlignment="1">
      <alignment horizontal="center" vertical="center" wrapText="1"/>
    </xf>
    <xf numFmtId="0" fontId="12" fillId="8" borderId="22" xfId="0" applyFont="1" applyFill="1" applyBorder="1"/>
    <xf numFmtId="0" fontId="11" fillId="8" borderId="27" xfId="0" applyFont="1" applyFill="1" applyBorder="1" applyAlignment="1">
      <alignment horizontal="left" vertical="center" wrapText="1"/>
    </xf>
    <xf numFmtId="0" fontId="11" fillId="8" borderId="23" xfId="0" applyFont="1" applyFill="1" applyBorder="1" applyAlignment="1">
      <alignment horizontal="left" vertical="center" wrapText="1"/>
    </xf>
    <xf numFmtId="49" fontId="12" fillId="8" borderId="53" xfId="0" applyNumberFormat="1" applyFont="1" applyFill="1" applyBorder="1" applyAlignment="1">
      <alignment horizontal="center" vertical="center" wrapText="1"/>
    </xf>
    <xf numFmtId="0" fontId="11" fillId="8" borderId="42" xfId="0" applyFont="1" applyFill="1" applyBorder="1" applyAlignment="1">
      <alignment horizontal="left" vertical="center" wrapText="1"/>
    </xf>
    <xf numFmtId="0" fontId="11" fillId="8" borderId="42" xfId="0" applyFont="1" applyFill="1" applyBorder="1" applyAlignment="1">
      <alignment horizontal="center" vertical="center" wrapText="1"/>
    </xf>
    <xf numFmtId="15" fontId="11" fillId="8" borderId="43" xfId="0" applyNumberFormat="1" applyFont="1" applyFill="1" applyBorder="1" applyAlignment="1">
      <alignment horizontal="center" vertical="center" wrapText="1"/>
    </xf>
    <xf numFmtId="9" fontId="11" fillId="8" borderId="43" xfId="1" applyFont="1" applyFill="1" applyBorder="1" applyAlignment="1">
      <alignment horizontal="center" vertical="center" wrapText="1"/>
    </xf>
    <xf numFmtId="0" fontId="12" fillId="8" borderId="33" xfId="0" applyFont="1" applyFill="1" applyBorder="1"/>
    <xf numFmtId="0" fontId="11" fillId="8" borderId="44" xfId="0" applyFont="1" applyFill="1" applyBorder="1" applyAlignment="1">
      <alignment horizontal="left" vertical="center" wrapText="1"/>
    </xf>
    <xf numFmtId="0" fontId="11" fillId="8" borderId="45" xfId="0" applyFont="1" applyFill="1" applyBorder="1" applyAlignment="1">
      <alignment horizontal="left" vertical="center" wrapText="1"/>
    </xf>
    <xf numFmtId="49" fontId="12" fillId="8" borderId="54" xfId="0" applyNumberFormat="1" applyFont="1" applyFill="1" applyBorder="1" applyAlignment="1">
      <alignment horizontal="center" vertical="center" wrapText="1"/>
    </xf>
    <xf numFmtId="0" fontId="11" fillId="7" borderId="36" xfId="0" applyFont="1" applyFill="1" applyBorder="1" applyAlignment="1">
      <alignment horizontal="left" vertical="center" wrapText="1"/>
    </xf>
    <xf numFmtId="0" fontId="11" fillId="7" borderId="36" xfId="0" applyFont="1" applyFill="1" applyBorder="1" applyAlignment="1">
      <alignment horizontal="center" vertical="center" wrapText="1"/>
    </xf>
    <xf numFmtId="15" fontId="11" fillId="7" borderId="36" xfId="0" applyNumberFormat="1" applyFont="1" applyFill="1" applyBorder="1" applyAlignment="1">
      <alignment horizontal="center" vertical="center" wrapText="1"/>
    </xf>
    <xf numFmtId="9" fontId="11" fillId="7" borderId="36" xfId="1" applyFont="1" applyFill="1" applyBorder="1" applyAlignment="1">
      <alignment horizontal="center" vertical="center" wrapText="1"/>
    </xf>
    <xf numFmtId="49" fontId="13" fillId="7" borderId="39" xfId="0" applyNumberFormat="1" applyFont="1" applyFill="1" applyBorder="1" applyAlignment="1">
      <alignment horizontal="left" vertical="center" wrapText="1"/>
    </xf>
    <xf numFmtId="0" fontId="11" fillId="7" borderId="42" xfId="0" applyFont="1" applyFill="1" applyBorder="1" applyAlignment="1">
      <alignment horizontal="left" vertical="center" wrapText="1"/>
    </xf>
    <xf numFmtId="0" fontId="11" fillId="7" borderId="43" xfId="0" applyFont="1" applyFill="1" applyBorder="1" applyAlignment="1">
      <alignment horizontal="center" vertical="center" wrapText="1"/>
    </xf>
    <xf numFmtId="15" fontId="11" fillId="7" borderId="43" xfId="0" applyNumberFormat="1" applyFont="1" applyFill="1" applyBorder="1" applyAlignment="1">
      <alignment horizontal="center" vertical="center" wrapText="1"/>
    </xf>
    <xf numFmtId="9" fontId="11" fillId="7" borderId="43" xfId="1" applyFont="1" applyFill="1" applyBorder="1" applyAlignment="1">
      <alignment horizontal="center" vertical="center" wrapText="1"/>
    </xf>
    <xf numFmtId="49" fontId="13" fillId="7" borderId="46" xfId="0" applyNumberFormat="1" applyFont="1" applyFill="1" applyBorder="1" applyAlignment="1">
      <alignment horizontal="left" vertical="center" wrapText="1"/>
    </xf>
    <xf numFmtId="0" fontId="11" fillId="2" borderId="36" xfId="0" applyFont="1" applyFill="1" applyBorder="1" applyAlignment="1">
      <alignment vertical="center" wrapText="1"/>
    </xf>
    <xf numFmtId="0" fontId="11" fillId="2" borderId="36" xfId="0" applyFont="1" applyFill="1" applyBorder="1" applyAlignment="1">
      <alignment horizontal="center" vertical="center" wrapText="1"/>
    </xf>
    <xf numFmtId="15" fontId="15" fillId="2" borderId="36" xfId="0" applyNumberFormat="1" applyFont="1" applyFill="1" applyBorder="1" applyAlignment="1">
      <alignment horizontal="center" vertical="center" wrapText="1"/>
    </xf>
    <xf numFmtId="0" fontId="11" fillId="2" borderId="43" xfId="0" applyFont="1" applyFill="1" applyBorder="1" applyAlignment="1">
      <alignment vertical="center" wrapText="1"/>
    </xf>
    <xf numFmtId="0" fontId="11" fillId="2" borderId="43" xfId="0" applyFont="1" applyFill="1" applyBorder="1" applyAlignment="1">
      <alignment horizontal="center" vertical="center" wrapText="1"/>
    </xf>
    <xf numFmtId="15" fontId="16" fillId="7" borderId="36" xfId="0" applyNumberFormat="1" applyFont="1" applyFill="1" applyBorder="1" applyAlignment="1">
      <alignment horizontal="center" vertical="center" wrapText="1"/>
    </xf>
    <xf numFmtId="49" fontId="13" fillId="7" borderId="60" xfId="0" applyNumberFormat="1" applyFont="1" applyFill="1" applyBorder="1" applyAlignment="1">
      <alignment horizontal="left" vertical="center" wrapText="1"/>
    </xf>
    <xf numFmtId="15" fontId="16" fillId="7" borderId="21" xfId="0" applyNumberFormat="1" applyFont="1" applyFill="1" applyBorder="1" applyAlignment="1">
      <alignment horizontal="center" vertical="center" wrapText="1"/>
    </xf>
    <xf numFmtId="15" fontId="16" fillId="7" borderId="43" xfId="0" applyNumberFormat="1" applyFont="1" applyFill="1" applyBorder="1" applyAlignment="1">
      <alignment horizontal="center" vertical="center" wrapText="1"/>
    </xf>
    <xf numFmtId="0" fontId="11" fillId="2" borderId="36" xfId="0" applyFont="1" applyFill="1" applyBorder="1" applyAlignment="1">
      <alignment horizontal="left" vertical="center" wrapText="1"/>
    </xf>
    <xf numFmtId="0" fontId="11" fillId="2" borderId="21" xfId="0" applyFont="1" applyFill="1" applyBorder="1" applyAlignment="1">
      <alignment horizontal="left" vertical="center" wrapText="1"/>
    </xf>
    <xf numFmtId="0" fontId="11" fillId="2" borderId="21" xfId="0" applyFont="1" applyFill="1" applyBorder="1" applyAlignment="1">
      <alignment horizontal="center" vertical="center" wrapText="1"/>
    </xf>
    <xf numFmtId="0" fontId="11" fillId="2" borderId="43" xfId="0" applyFont="1" applyFill="1" applyBorder="1" applyAlignment="1">
      <alignment horizontal="left" vertical="center" wrapText="1"/>
    </xf>
    <xf numFmtId="15" fontId="11" fillId="2" borderId="49" xfId="0" applyNumberFormat="1" applyFont="1" applyFill="1" applyBorder="1" applyAlignment="1">
      <alignment horizontal="center" vertical="center" wrapText="1"/>
    </xf>
    <xf numFmtId="0" fontId="11" fillId="7" borderId="21" xfId="0" applyFont="1" applyFill="1" applyBorder="1" applyAlignment="1">
      <alignment horizontal="left" vertical="center" wrapText="1"/>
    </xf>
    <xf numFmtId="0" fontId="11" fillId="7" borderId="21" xfId="0" applyFont="1" applyFill="1" applyBorder="1" applyAlignment="1">
      <alignment horizontal="center" vertical="center" wrapText="1"/>
    </xf>
    <xf numFmtId="0" fontId="11" fillId="7" borderId="43" xfId="0" applyFont="1" applyFill="1" applyBorder="1" applyAlignment="1">
      <alignment horizontal="left" vertical="center" wrapText="1"/>
    </xf>
    <xf numFmtId="0" fontId="11" fillId="7" borderId="36" xfId="0" applyFont="1" applyFill="1" applyBorder="1" applyAlignment="1">
      <alignment vertical="center" wrapText="1"/>
    </xf>
    <xf numFmtId="0" fontId="11" fillId="7" borderId="21" xfId="0" applyFont="1" applyFill="1" applyBorder="1" applyAlignment="1">
      <alignment vertical="center" wrapText="1"/>
    </xf>
    <xf numFmtId="0" fontId="17" fillId="0" borderId="0" xfId="0" applyFont="1"/>
    <xf numFmtId="0" fontId="17" fillId="0" borderId="0" xfId="0" applyFont="1" applyAlignment="1">
      <alignment horizontal="center" vertical="center"/>
    </xf>
    <xf numFmtId="0" fontId="17" fillId="0" borderId="18" xfId="0" applyFont="1" applyBorder="1" applyAlignment="1">
      <alignment horizontal="center"/>
    </xf>
    <xf numFmtId="9" fontId="17" fillId="0" borderId="18" xfId="1" applyFont="1" applyBorder="1" applyAlignment="1">
      <alignment horizontal="center"/>
    </xf>
    <xf numFmtId="0" fontId="17" fillId="0" borderId="18" xfId="0" applyFont="1" applyBorder="1"/>
    <xf numFmtId="49" fontId="17" fillId="0" borderId="0" xfId="0" applyNumberFormat="1" applyFont="1" applyAlignment="1">
      <alignment horizontal="left" wrapText="1"/>
    </xf>
    <xf numFmtId="164" fontId="17" fillId="0" borderId="0" xfId="0" applyNumberFormat="1" applyFont="1"/>
    <xf numFmtId="0" fontId="18" fillId="4" borderId="19" xfId="0" applyFont="1" applyFill="1" applyBorder="1" applyAlignment="1">
      <alignment horizontal="center" vertical="center" textRotation="90"/>
    </xf>
    <xf numFmtId="0" fontId="18" fillId="5" borderId="20" xfId="0" applyFont="1" applyFill="1" applyBorder="1" applyAlignment="1">
      <alignment horizontal="center" vertical="center"/>
    </xf>
    <xf numFmtId="0" fontId="18" fillId="5" borderId="21" xfId="0" applyFont="1" applyFill="1" applyBorder="1" applyAlignment="1">
      <alignment horizontal="center" vertical="center"/>
    </xf>
    <xf numFmtId="0" fontId="18" fillId="6" borderId="21" xfId="0" applyFont="1" applyFill="1" applyBorder="1" applyAlignment="1">
      <alignment horizontal="center" vertical="center"/>
    </xf>
    <xf numFmtId="9" fontId="18" fillId="6" borderId="21" xfId="1" applyFont="1" applyFill="1" applyBorder="1" applyAlignment="1">
      <alignment horizontal="center" vertical="center"/>
    </xf>
    <xf numFmtId="0" fontId="17" fillId="0" borderId="22" xfId="0" applyFont="1" applyBorder="1"/>
    <xf numFmtId="17" fontId="18" fillId="5" borderId="23" xfId="0" applyNumberFormat="1" applyFont="1" applyFill="1" applyBorder="1" applyAlignment="1">
      <alignment horizontal="center" vertical="center"/>
    </xf>
    <xf numFmtId="17" fontId="18" fillId="5" borderId="21" xfId="0" applyNumberFormat="1" applyFont="1" applyFill="1" applyBorder="1" applyAlignment="1">
      <alignment horizontal="center" vertical="center"/>
    </xf>
    <xf numFmtId="49" fontId="18" fillId="4" borderId="21" xfId="0" applyNumberFormat="1" applyFont="1" applyFill="1" applyBorder="1" applyAlignment="1">
      <alignment horizontal="center" vertical="center" wrapText="1"/>
    </xf>
    <xf numFmtId="0" fontId="18" fillId="4" borderId="24" xfId="0" applyFont="1" applyFill="1" applyBorder="1" applyAlignment="1">
      <alignment horizontal="center" vertical="center" textRotation="90"/>
    </xf>
    <xf numFmtId="0" fontId="18" fillId="0" borderId="20" xfId="0" applyFont="1" applyBorder="1" applyAlignment="1">
      <alignment vertical="center" wrapText="1"/>
    </xf>
    <xf numFmtId="0" fontId="18" fillId="0" borderId="20" xfId="0" applyFont="1" applyBorder="1" applyAlignment="1">
      <alignment horizontal="center" vertical="center" wrapText="1"/>
    </xf>
    <xf numFmtId="0" fontId="18" fillId="0" borderId="21" xfId="0" applyFont="1" applyBorder="1" applyAlignment="1">
      <alignment horizontal="center" vertical="center" wrapText="1"/>
    </xf>
    <xf numFmtId="9" fontId="18" fillId="0" borderId="21" xfId="1" applyFont="1" applyBorder="1" applyAlignment="1">
      <alignment horizontal="center" vertical="center" wrapText="1"/>
    </xf>
    <xf numFmtId="0" fontId="18" fillId="0" borderId="23" xfId="0" applyFont="1" applyBorder="1" applyAlignment="1">
      <alignment vertical="center"/>
    </xf>
    <xf numFmtId="0" fontId="18" fillId="0" borderId="21" xfId="0" applyFont="1" applyBorder="1" applyAlignment="1">
      <alignment vertical="center"/>
    </xf>
    <xf numFmtId="49" fontId="17" fillId="0" borderId="21" xfId="0" applyNumberFormat="1" applyFont="1" applyBorder="1" applyAlignment="1">
      <alignment horizontal="left" vertical="center" wrapText="1"/>
    </xf>
    <xf numFmtId="0" fontId="18" fillId="3" borderId="25" xfId="0" applyFont="1" applyFill="1" applyBorder="1" applyAlignment="1">
      <alignment vertical="center" textRotation="90"/>
    </xf>
    <xf numFmtId="0" fontId="18" fillId="3" borderId="25" xfId="0" applyFont="1" applyFill="1" applyBorder="1" applyAlignment="1">
      <alignment horizontal="center" vertical="center" textRotation="90"/>
    </xf>
    <xf numFmtId="9" fontId="18" fillId="3" borderId="25" xfId="1" applyFont="1" applyFill="1" applyBorder="1" applyAlignment="1">
      <alignment vertical="center" textRotation="90"/>
    </xf>
    <xf numFmtId="0" fontId="18" fillId="3" borderId="26" xfId="0" applyFont="1" applyFill="1" applyBorder="1" applyAlignment="1">
      <alignment vertical="center" textRotation="90"/>
    </xf>
    <xf numFmtId="0" fontId="17" fillId="3" borderId="0" xfId="0" applyFont="1" applyFill="1"/>
    <xf numFmtId="164" fontId="17" fillId="3" borderId="0" xfId="0" applyNumberFormat="1" applyFont="1" applyFill="1"/>
    <xf numFmtId="0" fontId="18" fillId="7" borderId="24" xfId="0" applyFont="1" applyFill="1" applyBorder="1" applyAlignment="1">
      <alignment horizontal="center" vertical="center" textRotation="90"/>
    </xf>
    <xf numFmtId="0" fontId="18" fillId="7" borderId="20" xfId="0" applyFont="1" applyFill="1" applyBorder="1" applyAlignment="1">
      <alignment vertical="center" wrapText="1"/>
    </xf>
    <xf numFmtId="0" fontId="18" fillId="7" borderId="20" xfId="0" applyFont="1" applyFill="1" applyBorder="1" applyAlignment="1">
      <alignment horizontal="center" vertical="center" wrapText="1"/>
    </xf>
    <xf numFmtId="15" fontId="18" fillId="7" borderId="21" xfId="0" applyNumberFormat="1" applyFont="1" applyFill="1" applyBorder="1" applyAlignment="1">
      <alignment horizontal="center" vertical="center" wrapText="1"/>
    </xf>
    <xf numFmtId="9" fontId="18" fillId="7" borderId="21" xfId="1" applyFont="1" applyFill="1" applyBorder="1" applyAlignment="1">
      <alignment horizontal="center" vertical="center" wrapText="1"/>
    </xf>
    <xf numFmtId="0" fontId="17" fillId="7" borderId="22" xfId="0" applyFont="1" applyFill="1" applyBorder="1"/>
    <xf numFmtId="0" fontId="18" fillId="7" borderId="27" xfId="0" applyFont="1" applyFill="1" applyBorder="1" applyAlignment="1">
      <alignment vertical="center" wrapText="1"/>
    </xf>
    <xf numFmtId="0" fontId="18" fillId="7" borderId="23" xfId="0" applyFont="1" applyFill="1" applyBorder="1" applyAlignment="1">
      <alignment vertical="center" wrapText="1"/>
    </xf>
    <xf numFmtId="49" fontId="17" fillId="7" borderId="21" xfId="0" applyNumberFormat="1" applyFont="1" applyFill="1" applyBorder="1" applyAlignment="1">
      <alignment horizontal="left" vertical="center" wrapText="1"/>
    </xf>
    <xf numFmtId="15" fontId="17" fillId="0" borderId="0" xfId="0" applyNumberFormat="1" applyFont="1"/>
    <xf numFmtId="0" fontId="18" fillId="7" borderId="20" xfId="0" applyFont="1" applyFill="1" applyBorder="1" applyAlignment="1">
      <alignment horizontal="left" vertical="center" wrapText="1"/>
    </xf>
    <xf numFmtId="0" fontId="18" fillId="7" borderId="27" xfId="0" applyFont="1" applyFill="1" applyBorder="1" applyAlignment="1">
      <alignment horizontal="left" vertical="center" wrapText="1"/>
    </xf>
    <xf numFmtId="0" fontId="18" fillId="7" borderId="23" xfId="0" applyFont="1" applyFill="1" applyBorder="1" applyAlignment="1">
      <alignment horizontal="left" vertical="center" wrapText="1"/>
    </xf>
    <xf numFmtId="0" fontId="18" fillId="8" borderId="24" xfId="0" applyFont="1" applyFill="1" applyBorder="1" applyAlignment="1">
      <alignment horizontal="center" vertical="center" textRotation="90"/>
    </xf>
    <xf numFmtId="0" fontId="18" fillId="8" borderId="29" xfId="0" applyFont="1" applyFill="1" applyBorder="1" applyAlignment="1">
      <alignment vertical="center" wrapText="1"/>
    </xf>
    <xf numFmtId="0" fontId="18" fillId="8" borderId="29" xfId="0" applyFont="1" applyFill="1" applyBorder="1" applyAlignment="1">
      <alignment horizontal="center" vertical="center" wrapText="1"/>
    </xf>
    <xf numFmtId="15" fontId="18" fillId="8" borderId="30" xfId="0" applyNumberFormat="1" applyFont="1" applyFill="1" applyBorder="1" applyAlignment="1">
      <alignment horizontal="center" vertical="center" wrapText="1"/>
    </xf>
    <xf numFmtId="15" fontId="18" fillId="8" borderId="21" xfId="0" applyNumberFormat="1" applyFont="1" applyFill="1" applyBorder="1" applyAlignment="1">
      <alignment horizontal="center" vertical="center" wrapText="1"/>
    </xf>
    <xf numFmtId="9" fontId="18" fillId="8" borderId="30" xfId="1" applyFont="1" applyFill="1" applyBorder="1" applyAlignment="1">
      <alignment horizontal="center" vertical="center" wrapText="1"/>
    </xf>
    <xf numFmtId="0" fontId="17" fillId="8" borderId="22" xfId="0" applyFont="1" applyFill="1" applyBorder="1"/>
    <xf numFmtId="0" fontId="18" fillId="8" borderId="31" xfId="0" applyFont="1" applyFill="1" applyBorder="1" applyAlignment="1">
      <alignment vertical="center" wrapText="1"/>
    </xf>
    <xf numFmtId="0" fontId="18" fillId="8" borderId="32" xfId="0" applyFont="1" applyFill="1" applyBorder="1" applyAlignment="1">
      <alignment vertical="center" wrapText="1"/>
    </xf>
    <xf numFmtId="49" fontId="17" fillId="8" borderId="30" xfId="0" applyNumberFormat="1" applyFont="1" applyFill="1" applyBorder="1" applyAlignment="1">
      <alignment horizontal="left" vertical="center" wrapText="1"/>
    </xf>
    <xf numFmtId="0" fontId="18" fillId="8" borderId="20" xfId="0" applyFont="1" applyFill="1" applyBorder="1" applyAlignment="1">
      <alignment vertical="center" wrapText="1"/>
    </xf>
    <xf numFmtId="0" fontId="18" fillId="8" borderId="20" xfId="0" applyFont="1" applyFill="1" applyBorder="1" applyAlignment="1">
      <alignment horizontal="center" vertical="center" wrapText="1"/>
    </xf>
    <xf numFmtId="0" fontId="18" fillId="8" borderId="27" xfId="0" applyFont="1" applyFill="1" applyBorder="1" applyAlignment="1">
      <alignment vertical="center" wrapText="1"/>
    </xf>
    <xf numFmtId="0" fontId="18" fillId="8" borderId="23" xfId="0" applyFont="1" applyFill="1" applyBorder="1" applyAlignment="1">
      <alignment vertical="center" wrapText="1"/>
    </xf>
    <xf numFmtId="49" fontId="17" fillId="8" borderId="21" xfId="0" applyNumberFormat="1" applyFont="1" applyFill="1" applyBorder="1" applyAlignment="1">
      <alignment horizontal="left" vertical="center" wrapText="1"/>
    </xf>
    <xf numFmtId="0" fontId="18" fillId="8" borderId="20" xfId="0" applyFont="1" applyFill="1" applyBorder="1" applyAlignment="1">
      <alignment horizontal="left" vertical="center" wrapText="1"/>
    </xf>
    <xf numFmtId="9" fontId="18" fillId="8" borderId="21" xfId="1" applyFont="1" applyFill="1" applyBorder="1" applyAlignment="1">
      <alignment horizontal="center" vertical="center" wrapText="1"/>
    </xf>
    <xf numFmtId="0" fontId="18" fillId="8" borderId="27" xfId="0" applyFont="1" applyFill="1" applyBorder="1" applyAlignment="1">
      <alignment horizontal="left" vertical="center" wrapText="1"/>
    </xf>
    <xf numFmtId="0" fontId="18" fillId="8" borderId="23" xfId="0" applyFont="1" applyFill="1" applyBorder="1" applyAlignment="1">
      <alignment horizontal="left" vertical="center" wrapText="1"/>
    </xf>
    <xf numFmtId="165" fontId="17" fillId="3" borderId="0" xfId="0" applyNumberFormat="1" applyFont="1" applyFill="1"/>
    <xf numFmtId="0" fontId="18" fillId="7" borderId="21" xfId="0" applyFont="1" applyFill="1" applyBorder="1" applyAlignment="1">
      <alignment vertical="center" wrapText="1"/>
    </xf>
    <xf numFmtId="15" fontId="18" fillId="2" borderId="36" xfId="0" applyNumberFormat="1" applyFont="1" applyFill="1" applyBorder="1" applyAlignment="1">
      <alignment horizontal="center" vertical="center" wrapText="1"/>
    </xf>
    <xf numFmtId="9" fontId="18" fillId="2" borderId="36" xfId="1" applyFont="1" applyFill="1" applyBorder="1" applyAlignment="1">
      <alignment horizontal="center" vertical="center" wrapText="1"/>
    </xf>
    <xf numFmtId="15" fontId="18" fillId="2" borderId="21" xfId="0" applyNumberFormat="1" applyFont="1" applyFill="1" applyBorder="1" applyAlignment="1">
      <alignment horizontal="center" vertical="center" wrapText="1"/>
    </xf>
    <xf numFmtId="9" fontId="18" fillId="2" borderId="21" xfId="1" applyFont="1" applyFill="1" applyBorder="1" applyAlignment="1">
      <alignment horizontal="center" vertical="center" wrapText="1"/>
    </xf>
    <xf numFmtId="15" fontId="18" fillId="2" borderId="43" xfId="0" applyNumberFormat="1" applyFont="1" applyFill="1" applyBorder="1" applyAlignment="1">
      <alignment horizontal="center" vertical="center" wrapText="1"/>
    </xf>
    <xf numFmtId="9" fontId="18" fillId="2" borderId="43" xfId="1" applyFont="1" applyFill="1" applyBorder="1" applyAlignment="1">
      <alignment horizontal="center" vertical="center" wrapText="1"/>
    </xf>
    <xf numFmtId="0" fontId="18" fillId="3" borderId="2" xfId="0" applyFont="1" applyFill="1" applyBorder="1" applyAlignment="1">
      <alignment vertical="center" textRotation="90"/>
    </xf>
    <xf numFmtId="0" fontId="18" fillId="3" borderId="2" xfId="0" applyFont="1" applyFill="1" applyBorder="1" applyAlignment="1">
      <alignment horizontal="center" vertical="center" textRotation="90"/>
    </xf>
    <xf numFmtId="9" fontId="18" fillId="3" borderId="2" xfId="1" applyFont="1" applyFill="1" applyBorder="1" applyAlignment="1">
      <alignment vertical="center" textRotation="90"/>
    </xf>
    <xf numFmtId="0" fontId="18" fillId="3" borderId="3" xfId="0" applyFont="1" applyFill="1" applyBorder="1" applyAlignment="1">
      <alignment vertical="center" textRotation="90"/>
    </xf>
    <xf numFmtId="0" fontId="18" fillId="7" borderId="47" xfId="0" applyFont="1" applyFill="1" applyBorder="1" applyAlignment="1">
      <alignment horizontal="center" vertical="center" textRotation="90" wrapText="1"/>
    </xf>
    <xf numFmtId="0" fontId="18" fillId="7" borderId="25" xfId="0" applyFont="1" applyFill="1" applyBorder="1" applyAlignment="1">
      <alignment horizontal="center" vertical="center" textRotation="90" wrapText="1"/>
    </xf>
    <xf numFmtId="0" fontId="18" fillId="7" borderId="48" xfId="0" applyFont="1" applyFill="1" applyBorder="1" applyAlignment="1">
      <alignment horizontal="left" vertical="center" wrapText="1"/>
    </xf>
    <xf numFmtId="0" fontId="18" fillId="7" borderId="48" xfId="0" applyFont="1" applyFill="1" applyBorder="1" applyAlignment="1">
      <alignment horizontal="center" vertical="center" wrapText="1"/>
    </xf>
    <xf numFmtId="15" fontId="18" fillId="7" borderId="49" xfId="0" applyNumberFormat="1" applyFont="1" applyFill="1" applyBorder="1" applyAlignment="1">
      <alignment horizontal="center" vertical="center" wrapText="1"/>
    </xf>
    <xf numFmtId="9" fontId="18" fillId="7" borderId="49" xfId="1" applyFont="1" applyFill="1" applyBorder="1" applyAlignment="1">
      <alignment horizontal="center" vertical="center" wrapText="1"/>
    </xf>
    <xf numFmtId="0" fontId="17" fillId="7" borderId="49" xfId="0" applyFont="1" applyFill="1" applyBorder="1"/>
    <xf numFmtId="0" fontId="18" fillId="7" borderId="25" xfId="0" applyFont="1" applyFill="1" applyBorder="1" applyAlignment="1">
      <alignment horizontal="left" vertical="center" wrapText="1"/>
    </xf>
    <xf numFmtId="0" fontId="18" fillId="7" borderId="50" xfId="0" applyFont="1" applyFill="1" applyBorder="1" applyAlignment="1">
      <alignment horizontal="left" vertical="center" wrapText="1"/>
    </xf>
    <xf numFmtId="49" fontId="17" fillId="7" borderId="51" xfId="0" applyNumberFormat="1" applyFont="1" applyFill="1" applyBorder="1" applyAlignment="1">
      <alignment horizontal="left" vertical="center" wrapText="1"/>
    </xf>
    <xf numFmtId="0" fontId="18" fillId="8" borderId="2" xfId="0" applyFont="1" applyFill="1" applyBorder="1" applyAlignment="1">
      <alignment horizontal="center" vertical="center" textRotation="90"/>
    </xf>
    <xf numFmtId="0" fontId="18" fillId="8" borderId="35" xfId="0" applyFont="1" applyFill="1" applyBorder="1" applyAlignment="1">
      <alignment horizontal="left" vertical="center" wrapText="1"/>
    </xf>
    <xf numFmtId="0" fontId="18" fillId="8" borderId="35" xfId="0" applyFont="1" applyFill="1" applyBorder="1" applyAlignment="1">
      <alignment horizontal="center" vertical="center" wrapText="1"/>
    </xf>
    <xf numFmtId="15" fontId="18" fillId="8" borderId="36" xfId="0" applyNumberFormat="1" applyFont="1" applyFill="1" applyBorder="1" applyAlignment="1">
      <alignment horizontal="center" vertical="center" wrapText="1"/>
    </xf>
    <xf numFmtId="9" fontId="18" fillId="8" borderId="36" xfId="1" applyFont="1" applyFill="1" applyBorder="1" applyAlignment="1">
      <alignment horizontal="center" vertical="center" wrapText="1"/>
    </xf>
    <xf numFmtId="0" fontId="17" fillId="8" borderId="28" xfId="0" applyFont="1" applyFill="1" applyBorder="1"/>
    <xf numFmtId="0" fontId="18" fillId="8" borderId="37" xfId="0" applyFont="1" applyFill="1" applyBorder="1" applyAlignment="1">
      <alignment horizontal="left" vertical="center" wrapText="1"/>
    </xf>
    <xf numFmtId="0" fontId="18" fillId="8" borderId="38" xfId="0" applyFont="1" applyFill="1" applyBorder="1" applyAlignment="1">
      <alignment horizontal="left" vertical="center" wrapText="1"/>
    </xf>
    <xf numFmtId="49" fontId="17" fillId="8" borderId="52" xfId="0" applyNumberFormat="1" applyFont="1" applyFill="1" applyBorder="1" applyAlignment="1">
      <alignment horizontal="center" vertical="center" wrapText="1"/>
    </xf>
    <xf numFmtId="0" fontId="18" fillId="8" borderId="0" xfId="0" applyFont="1" applyFill="1" applyAlignment="1">
      <alignment horizontal="center" vertical="center" textRotation="90"/>
    </xf>
    <xf numFmtId="49" fontId="17" fillId="8" borderId="53" xfId="0" applyNumberFormat="1" applyFont="1" applyFill="1" applyBorder="1" applyAlignment="1">
      <alignment horizontal="center" vertical="center" wrapText="1"/>
    </xf>
    <xf numFmtId="0" fontId="18" fillId="8" borderId="7" xfId="0" applyFont="1" applyFill="1" applyBorder="1" applyAlignment="1">
      <alignment horizontal="center" vertical="center" textRotation="90"/>
    </xf>
    <xf numFmtId="0" fontId="18" fillId="8" borderId="42" xfId="0" applyFont="1" applyFill="1" applyBorder="1" applyAlignment="1">
      <alignment horizontal="left" vertical="center" wrapText="1"/>
    </xf>
    <xf numFmtId="0" fontId="18" fillId="8" borderId="42" xfId="0" applyFont="1" applyFill="1" applyBorder="1" applyAlignment="1">
      <alignment horizontal="center" vertical="center" wrapText="1"/>
    </xf>
    <xf numFmtId="15" fontId="18" fillId="8" borderId="43" xfId="0" applyNumberFormat="1" applyFont="1" applyFill="1" applyBorder="1" applyAlignment="1">
      <alignment horizontal="center" vertical="center" wrapText="1"/>
    </xf>
    <xf numFmtId="9" fontId="18" fillId="8" borderId="43" xfId="1" applyFont="1" applyFill="1" applyBorder="1" applyAlignment="1">
      <alignment horizontal="center" vertical="center" wrapText="1"/>
    </xf>
    <xf numFmtId="0" fontId="17" fillId="8" borderId="33" xfId="0" applyFont="1" applyFill="1" applyBorder="1"/>
    <xf numFmtId="0" fontId="18" fillId="8" borderId="44" xfId="0" applyFont="1" applyFill="1" applyBorder="1" applyAlignment="1">
      <alignment horizontal="left" vertical="center" wrapText="1"/>
    </xf>
    <xf numFmtId="0" fontId="18" fillId="8" borderId="45" xfId="0" applyFont="1" applyFill="1" applyBorder="1" applyAlignment="1">
      <alignment horizontal="left" vertical="center" wrapText="1"/>
    </xf>
    <xf numFmtId="49" fontId="17" fillId="8" borderId="54" xfId="0" applyNumberFormat="1" applyFont="1" applyFill="1" applyBorder="1" applyAlignment="1">
      <alignment horizontal="center" vertical="center" wrapText="1"/>
    </xf>
    <xf numFmtId="0" fontId="18" fillId="7" borderId="55" xfId="0" applyFont="1" applyFill="1" applyBorder="1" applyAlignment="1">
      <alignment horizontal="center" vertical="center" textRotation="90"/>
    </xf>
    <xf numFmtId="0" fontId="18" fillId="7" borderId="36" xfId="0" applyFont="1" applyFill="1" applyBorder="1" applyAlignment="1">
      <alignment horizontal="left" vertical="center" wrapText="1"/>
    </xf>
    <xf numFmtId="0" fontId="18" fillId="7" borderId="36" xfId="0" applyFont="1" applyFill="1" applyBorder="1" applyAlignment="1">
      <alignment horizontal="center" vertical="center" wrapText="1"/>
    </xf>
    <xf numFmtId="15" fontId="18" fillId="7" borderId="36" xfId="0" applyNumberFormat="1" applyFont="1" applyFill="1" applyBorder="1" applyAlignment="1">
      <alignment horizontal="center" vertical="center" wrapText="1"/>
    </xf>
    <xf numFmtId="9" fontId="18" fillId="7" borderId="36" xfId="1" applyFont="1" applyFill="1" applyBorder="1" applyAlignment="1">
      <alignment horizontal="center" vertical="center" wrapText="1"/>
    </xf>
    <xf numFmtId="0" fontId="17" fillId="7" borderId="36" xfId="0" applyFont="1" applyFill="1" applyBorder="1"/>
    <xf numFmtId="49" fontId="17" fillId="7" borderId="39" xfId="0" applyNumberFormat="1" applyFont="1" applyFill="1" applyBorder="1" applyAlignment="1">
      <alignment horizontal="left" vertical="center" wrapText="1"/>
    </xf>
    <xf numFmtId="0" fontId="18" fillId="7" borderId="7" xfId="0" applyFont="1" applyFill="1" applyBorder="1" applyAlignment="1">
      <alignment horizontal="center" vertical="center" textRotation="90"/>
    </xf>
    <xf numFmtId="0" fontId="18" fillId="7" borderId="42" xfId="0" applyFont="1" applyFill="1" applyBorder="1" applyAlignment="1">
      <alignment horizontal="left" vertical="center" wrapText="1"/>
    </xf>
    <xf numFmtId="0" fontId="18" fillId="7" borderId="43" xfId="0" applyFont="1" applyFill="1" applyBorder="1" applyAlignment="1">
      <alignment horizontal="center" vertical="center" wrapText="1"/>
    </xf>
    <xf numFmtId="15" fontId="18" fillId="7" borderId="43" xfId="0" applyNumberFormat="1" applyFont="1" applyFill="1" applyBorder="1" applyAlignment="1">
      <alignment horizontal="center" vertical="center" wrapText="1"/>
    </xf>
    <xf numFmtId="9" fontId="18" fillId="7" borderId="43" xfId="1" applyFont="1" applyFill="1" applyBorder="1" applyAlignment="1">
      <alignment horizontal="center" vertical="center" wrapText="1"/>
    </xf>
    <xf numFmtId="0" fontId="17" fillId="7" borderId="43" xfId="0" applyFont="1" applyFill="1" applyBorder="1"/>
    <xf numFmtId="0" fontId="18" fillId="7" borderId="43" xfId="0" applyFont="1" applyFill="1" applyBorder="1" applyAlignment="1">
      <alignment horizontal="left" vertical="center" wrapText="1"/>
    </xf>
    <xf numFmtId="49" fontId="17" fillId="7" borderId="46" xfId="0" applyNumberFormat="1" applyFont="1" applyFill="1" applyBorder="1" applyAlignment="1">
      <alignment horizontal="left" vertical="center" wrapText="1"/>
    </xf>
    <xf numFmtId="0" fontId="18" fillId="2" borderId="55" xfId="0" applyFont="1" applyFill="1" applyBorder="1" applyAlignment="1">
      <alignment horizontal="center" vertical="center" textRotation="90"/>
    </xf>
    <xf numFmtId="0" fontId="18" fillId="2" borderId="36" xfId="0" applyFont="1" applyFill="1" applyBorder="1" applyAlignment="1">
      <alignment vertical="center" wrapText="1"/>
    </xf>
    <xf numFmtId="0" fontId="18" fillId="2" borderId="36" xfId="0" applyFont="1" applyFill="1" applyBorder="1" applyAlignment="1">
      <alignment horizontal="center" vertical="center" wrapText="1"/>
    </xf>
    <xf numFmtId="0" fontId="17" fillId="2" borderId="36" xfId="0" applyFont="1" applyFill="1" applyBorder="1"/>
    <xf numFmtId="49" fontId="17" fillId="2" borderId="56" xfId="0" applyNumberFormat="1" applyFont="1" applyFill="1" applyBorder="1" applyAlignment="1">
      <alignment horizontal="center" vertical="center" wrapText="1"/>
    </xf>
    <xf numFmtId="0" fontId="18" fillId="2" borderId="57" xfId="0" applyFont="1" applyFill="1" applyBorder="1" applyAlignment="1">
      <alignment horizontal="center" vertical="center" textRotation="90"/>
    </xf>
    <xf numFmtId="0" fontId="18" fillId="2" borderId="43" xfId="0" applyFont="1" applyFill="1" applyBorder="1" applyAlignment="1">
      <alignment vertical="center" wrapText="1"/>
    </xf>
    <xf numFmtId="0" fontId="18" fillId="2" borderId="43" xfId="0" applyFont="1" applyFill="1" applyBorder="1" applyAlignment="1">
      <alignment horizontal="center" vertical="center" wrapText="1"/>
    </xf>
    <xf numFmtId="0" fontId="17" fillId="2" borderId="43" xfId="0" applyFont="1" applyFill="1" applyBorder="1"/>
    <xf numFmtId="49" fontId="17" fillId="2" borderId="52" xfId="0" applyNumberFormat="1" applyFont="1" applyFill="1" applyBorder="1" applyAlignment="1">
      <alignment horizontal="center" vertical="center" wrapText="1"/>
    </xf>
    <xf numFmtId="0" fontId="12" fillId="7" borderId="36" xfId="0" applyFont="1" applyFill="1" applyBorder="1"/>
    <xf numFmtId="49" fontId="12" fillId="7" borderId="39" xfId="0" applyNumberFormat="1" applyFont="1" applyFill="1" applyBorder="1" applyAlignment="1">
      <alignment horizontal="left" vertical="center" wrapText="1"/>
    </xf>
    <xf numFmtId="0" fontId="12" fillId="0" borderId="0" xfId="0" applyFont="1" applyAlignment="1">
      <alignment horizontal="center" vertical="center"/>
    </xf>
    <xf numFmtId="0" fontId="12" fillId="0" borderId="0" xfId="0" applyFont="1"/>
    <xf numFmtId="164" fontId="12" fillId="0" borderId="0" xfId="0" applyNumberFormat="1" applyFont="1"/>
    <xf numFmtId="0" fontId="18" fillId="7" borderId="21" xfId="0" applyFont="1" applyFill="1" applyBorder="1" applyAlignment="1">
      <alignment horizontal="left" vertical="center" wrapText="1"/>
    </xf>
    <xf numFmtId="0" fontId="12" fillId="0" borderId="0" xfId="0" applyFont="1" applyAlignment="1">
      <alignment horizontal="center"/>
    </xf>
    <xf numFmtId="0" fontId="18" fillId="2" borderId="36" xfId="0" applyFont="1" applyFill="1" applyBorder="1" applyAlignment="1">
      <alignment horizontal="left" vertical="center" wrapText="1"/>
    </xf>
    <xf numFmtId="49" fontId="17" fillId="2" borderId="39" xfId="0" applyNumberFormat="1" applyFont="1" applyFill="1" applyBorder="1" applyAlignment="1">
      <alignment vertical="center" wrapText="1"/>
    </xf>
    <xf numFmtId="0" fontId="18" fillId="2" borderId="21" xfId="0" applyFont="1" applyFill="1" applyBorder="1" applyAlignment="1">
      <alignment horizontal="left" vertical="center" wrapText="1"/>
    </xf>
    <xf numFmtId="0" fontId="18" fillId="2" borderId="21" xfId="0" applyFont="1" applyFill="1" applyBorder="1" applyAlignment="1">
      <alignment horizontal="center" vertical="center" wrapText="1"/>
    </xf>
    <xf numFmtId="0" fontId="17" fillId="2" borderId="21" xfId="0" applyFont="1" applyFill="1" applyBorder="1"/>
    <xf numFmtId="49" fontId="17" fillId="2" borderId="60" xfId="0" applyNumberFormat="1" applyFont="1" applyFill="1" applyBorder="1" applyAlignment="1">
      <alignment vertical="center" wrapText="1"/>
    </xf>
    <xf numFmtId="0" fontId="18" fillId="2" borderId="43" xfId="0" applyFont="1" applyFill="1" applyBorder="1" applyAlignment="1">
      <alignment horizontal="left" vertical="center" wrapText="1"/>
    </xf>
    <xf numFmtId="49" fontId="17" fillId="2" borderId="46" xfId="0" applyNumberFormat="1" applyFont="1" applyFill="1" applyBorder="1" applyAlignment="1">
      <alignment vertical="center" wrapText="1"/>
    </xf>
    <xf numFmtId="0" fontId="17" fillId="0" borderId="0" xfId="0" applyFont="1" applyAlignment="1">
      <alignment horizontal="center"/>
    </xf>
    <xf numFmtId="9" fontId="17" fillId="0" borderId="0" xfId="1" applyFont="1" applyAlignment="1">
      <alignment horizontal="center"/>
    </xf>
    <xf numFmtId="0" fontId="11" fillId="7" borderId="55" xfId="0" applyFont="1" applyFill="1" applyBorder="1" applyAlignment="1">
      <alignment horizontal="center" vertical="center" textRotation="90"/>
    </xf>
    <xf numFmtId="49" fontId="17" fillId="7" borderId="21" xfId="0" applyNumberFormat="1" applyFont="1" applyFill="1" applyBorder="1" applyAlignment="1">
      <alignment horizontal="left" vertical="top" wrapText="1"/>
    </xf>
    <xf numFmtId="49" fontId="19" fillId="7" borderId="21" xfId="0" applyNumberFormat="1" applyFont="1" applyFill="1" applyBorder="1" applyAlignment="1">
      <alignment horizontal="left" vertical="center" wrapText="1"/>
    </xf>
    <xf numFmtId="15" fontId="20" fillId="8" borderId="30" xfId="0" applyNumberFormat="1" applyFont="1" applyFill="1" applyBorder="1" applyAlignment="1">
      <alignment horizontal="center" vertical="center" wrapText="1"/>
    </xf>
    <xf numFmtId="0" fontId="11" fillId="7" borderId="36" xfId="0" applyFont="1" applyFill="1" applyBorder="1" applyAlignment="1">
      <alignment horizontal="center" vertical="center" textRotation="90"/>
    </xf>
    <xf numFmtId="0" fontId="11" fillId="7" borderId="21" xfId="0" applyFont="1" applyFill="1" applyBorder="1" applyAlignment="1">
      <alignment horizontal="center" vertical="center" textRotation="90"/>
    </xf>
    <xf numFmtId="0" fontId="18" fillId="7" borderId="21" xfId="0" applyFont="1" applyFill="1" applyBorder="1" applyAlignment="1">
      <alignment horizontal="center" vertical="center" wrapText="1"/>
    </xf>
    <xf numFmtId="0" fontId="17" fillId="7" borderId="21" xfId="0" applyFont="1" applyFill="1" applyBorder="1"/>
    <xf numFmtId="0" fontId="11" fillId="7" borderId="43" xfId="0" applyFont="1" applyFill="1" applyBorder="1" applyAlignment="1">
      <alignment horizontal="center" vertical="center" textRotation="90"/>
    </xf>
    <xf numFmtId="0" fontId="18" fillId="3" borderId="7" xfId="0" applyFont="1" applyFill="1" applyBorder="1" applyAlignment="1">
      <alignment vertical="center" textRotation="90"/>
    </xf>
    <xf numFmtId="0" fontId="18" fillId="3" borderId="7" xfId="0" applyFont="1" applyFill="1" applyBorder="1" applyAlignment="1">
      <alignment horizontal="center" vertical="center" textRotation="90"/>
    </xf>
    <xf numFmtId="9" fontId="18" fillId="3" borderId="7" xfId="1" applyFont="1" applyFill="1" applyBorder="1" applyAlignment="1">
      <alignment vertical="center" textRotation="90"/>
    </xf>
    <xf numFmtId="0" fontId="18" fillId="3" borderId="8" xfId="0" applyFont="1" applyFill="1" applyBorder="1" applyAlignment="1">
      <alignment vertical="center" textRotation="90"/>
    </xf>
    <xf numFmtId="0" fontId="12" fillId="0" borderId="18" xfId="0" applyFont="1" applyBorder="1" applyAlignment="1">
      <alignment horizontal="center"/>
    </xf>
    <xf numFmtId="9" fontId="12" fillId="0" borderId="18" xfId="1" applyFont="1" applyBorder="1" applyAlignment="1">
      <alignment horizontal="center"/>
    </xf>
    <xf numFmtId="0" fontId="12" fillId="0" borderId="18" xfId="0" applyFont="1" applyBorder="1"/>
    <xf numFmtId="49" fontId="12" fillId="0" borderId="0" xfId="0" applyNumberFormat="1" applyFont="1" applyAlignment="1">
      <alignment horizontal="left" wrapText="1"/>
    </xf>
    <xf numFmtId="0" fontId="11" fillId="4" borderId="19" xfId="0" applyFont="1" applyFill="1" applyBorder="1" applyAlignment="1">
      <alignment horizontal="center" vertical="center" textRotation="90"/>
    </xf>
    <xf numFmtId="0" fontId="11" fillId="4" borderId="24" xfId="0" applyFont="1" applyFill="1" applyBorder="1" applyAlignment="1">
      <alignment horizontal="center" vertical="center" textRotation="90"/>
    </xf>
    <xf numFmtId="0" fontId="11" fillId="0" borderId="20" xfId="0" applyFont="1" applyBorder="1" applyAlignment="1">
      <alignment vertical="center" wrapText="1"/>
    </xf>
    <xf numFmtId="0" fontId="11" fillId="0" borderId="20" xfId="0" applyFont="1" applyBorder="1" applyAlignment="1">
      <alignment horizontal="center" vertical="center" wrapText="1"/>
    </xf>
    <xf numFmtId="0" fontId="11" fillId="0" borderId="21" xfId="0" applyFont="1" applyBorder="1" applyAlignment="1">
      <alignment horizontal="center" vertical="center" wrapText="1"/>
    </xf>
    <xf numFmtId="9" fontId="11" fillId="0" borderId="21" xfId="1" applyFont="1" applyBorder="1" applyAlignment="1">
      <alignment horizontal="center" vertical="center" wrapText="1"/>
    </xf>
    <xf numFmtId="0" fontId="11" fillId="0" borderId="23" xfId="0" applyFont="1" applyBorder="1" applyAlignment="1">
      <alignment vertical="center"/>
    </xf>
    <xf numFmtId="0" fontId="11" fillId="0" borderId="21" xfId="0" applyFont="1" applyBorder="1" applyAlignment="1">
      <alignment vertical="center"/>
    </xf>
    <xf numFmtId="49" fontId="12" fillId="0" borderId="21" xfId="0" applyNumberFormat="1" applyFont="1" applyBorder="1" applyAlignment="1">
      <alignment horizontal="left" vertical="center" wrapText="1"/>
    </xf>
    <xf numFmtId="0" fontId="11" fillId="3" borderId="2" xfId="0" applyFont="1" applyFill="1" applyBorder="1" applyAlignment="1">
      <alignment vertical="center" textRotation="90"/>
    </xf>
    <xf numFmtId="0" fontId="11" fillId="3" borderId="2" xfId="0" applyFont="1" applyFill="1" applyBorder="1" applyAlignment="1">
      <alignment horizontal="center" vertical="center" textRotation="90"/>
    </xf>
    <xf numFmtId="9" fontId="11" fillId="3" borderId="2" xfId="1" applyFont="1" applyFill="1" applyBorder="1" applyAlignment="1">
      <alignment vertical="center" textRotation="90"/>
    </xf>
    <xf numFmtId="0" fontId="11" fillId="3" borderId="3" xfId="0" applyFont="1" applyFill="1" applyBorder="1" applyAlignment="1">
      <alignment vertical="center" textRotation="90"/>
    </xf>
    <xf numFmtId="0" fontId="12" fillId="3" borderId="0" xfId="0" applyFont="1" applyFill="1"/>
    <xf numFmtId="164" fontId="12" fillId="3" borderId="0" xfId="0" applyNumberFormat="1" applyFont="1" applyFill="1"/>
    <xf numFmtId="15" fontId="12" fillId="0" borderId="0" xfId="0" applyNumberFormat="1" applyFont="1"/>
    <xf numFmtId="0" fontId="12" fillId="7" borderId="21" xfId="0" applyFont="1" applyFill="1" applyBorder="1"/>
    <xf numFmtId="49" fontId="12" fillId="7" borderId="60" xfId="0" applyNumberFormat="1" applyFont="1" applyFill="1" applyBorder="1" applyAlignment="1">
      <alignment horizontal="left" vertical="center" wrapText="1"/>
    </xf>
    <xf numFmtId="0" fontId="12" fillId="7" borderId="43" xfId="0" applyFont="1" applyFill="1" applyBorder="1"/>
    <xf numFmtId="49" fontId="12" fillId="7" borderId="46" xfId="0" applyNumberFormat="1" applyFont="1" applyFill="1" applyBorder="1" applyAlignment="1">
      <alignment horizontal="left" vertical="center" wrapText="1"/>
    </xf>
    <xf numFmtId="0" fontId="11" fillId="3" borderId="7" xfId="0" applyFont="1" applyFill="1" applyBorder="1" applyAlignment="1">
      <alignment vertical="center" textRotation="90"/>
    </xf>
    <xf numFmtId="0" fontId="11" fillId="3" borderId="7" xfId="0" applyFont="1" applyFill="1" applyBorder="1" applyAlignment="1">
      <alignment horizontal="center" vertical="center" textRotation="90"/>
    </xf>
    <xf numFmtId="9" fontId="11" fillId="3" borderId="7" xfId="1" applyFont="1" applyFill="1" applyBorder="1" applyAlignment="1">
      <alignment vertical="center" textRotation="90"/>
    </xf>
    <xf numFmtId="0" fontId="11" fillId="3" borderId="8" xfId="0" applyFont="1" applyFill="1" applyBorder="1" applyAlignment="1">
      <alignment vertical="center" textRotation="90"/>
    </xf>
    <xf numFmtId="0" fontId="11" fillId="8" borderId="24" xfId="0" applyFont="1" applyFill="1" applyBorder="1" applyAlignment="1">
      <alignment horizontal="center" vertical="center" textRotation="90"/>
    </xf>
    <xf numFmtId="0" fontId="11" fillId="8" borderId="31" xfId="0" applyFont="1" applyFill="1" applyBorder="1" applyAlignment="1">
      <alignment vertical="center" wrapText="1"/>
    </xf>
    <xf numFmtId="0" fontId="11" fillId="8" borderId="32" xfId="0" applyFont="1" applyFill="1" applyBorder="1" applyAlignment="1">
      <alignment vertical="center" wrapText="1"/>
    </xf>
    <xf numFmtId="49" fontId="12" fillId="8" borderId="30" xfId="0" applyNumberFormat="1" applyFont="1" applyFill="1" applyBorder="1" applyAlignment="1">
      <alignment horizontal="left" vertical="center" wrapText="1"/>
    </xf>
    <xf numFmtId="0" fontId="11" fillId="8" borderId="27" xfId="0" applyFont="1" applyFill="1" applyBorder="1" applyAlignment="1">
      <alignment vertical="center" wrapText="1"/>
    </xf>
    <xf numFmtId="0" fontId="11" fillId="8" borderId="23" xfId="0" applyFont="1" applyFill="1" applyBorder="1" applyAlignment="1">
      <alignment vertical="center" wrapText="1"/>
    </xf>
    <xf numFmtId="49" fontId="12" fillId="8" borderId="21" xfId="0" applyNumberFormat="1" applyFont="1" applyFill="1" applyBorder="1" applyAlignment="1">
      <alignment horizontal="left" vertical="center" wrapText="1"/>
    </xf>
    <xf numFmtId="0" fontId="11" fillId="3" borderId="25" xfId="0" applyFont="1" applyFill="1" applyBorder="1" applyAlignment="1">
      <alignment vertical="center" textRotation="90"/>
    </xf>
    <xf numFmtId="0" fontId="11" fillId="3" borderId="25" xfId="0" applyFont="1" applyFill="1" applyBorder="1" applyAlignment="1">
      <alignment horizontal="center" vertical="center" textRotation="90"/>
    </xf>
    <xf numFmtId="9" fontId="11" fillId="3" borderId="25" xfId="1" applyFont="1" applyFill="1" applyBorder="1" applyAlignment="1">
      <alignment vertical="center" textRotation="90"/>
    </xf>
    <xf numFmtId="0" fontId="11" fillId="3" borderId="26" xfId="0" applyFont="1" applyFill="1" applyBorder="1" applyAlignment="1">
      <alignment vertical="center" textRotation="90"/>
    </xf>
    <xf numFmtId="0" fontId="11" fillId="7" borderId="24" xfId="0" applyFont="1" applyFill="1" applyBorder="1" applyAlignment="1">
      <alignment horizontal="center" vertical="center" textRotation="90"/>
    </xf>
    <xf numFmtId="0" fontId="12" fillId="7" borderId="22" xfId="0" applyFont="1" applyFill="1" applyBorder="1"/>
    <xf numFmtId="0" fontId="11" fillId="7" borderId="27" xfId="0" applyFont="1" applyFill="1" applyBorder="1" applyAlignment="1">
      <alignment vertical="center" wrapText="1"/>
    </xf>
    <xf numFmtId="0" fontId="11" fillId="7" borderId="23" xfId="0" applyFont="1" applyFill="1" applyBorder="1" applyAlignment="1">
      <alignment vertical="center" wrapText="1"/>
    </xf>
    <xf numFmtId="49" fontId="12" fillId="7" borderId="21" xfId="0" applyNumberFormat="1" applyFont="1" applyFill="1" applyBorder="1" applyAlignment="1">
      <alignment horizontal="left" vertical="center" wrapText="1"/>
    </xf>
    <xf numFmtId="0" fontId="11" fillId="7" borderId="27" xfId="0" applyFont="1" applyFill="1" applyBorder="1" applyAlignment="1">
      <alignment horizontal="left" vertical="center" wrapText="1"/>
    </xf>
    <xf numFmtId="0" fontId="11" fillId="7" borderId="23" xfId="0" applyFont="1" applyFill="1" applyBorder="1" applyAlignment="1">
      <alignment horizontal="left" vertical="center" wrapText="1"/>
    </xf>
    <xf numFmtId="0" fontId="11" fillId="7" borderId="47" xfId="0" applyFont="1" applyFill="1" applyBorder="1" applyAlignment="1">
      <alignment horizontal="center" vertical="center" textRotation="90" wrapText="1"/>
    </xf>
    <xf numFmtId="0" fontId="11" fillId="7" borderId="25" xfId="0" applyFont="1" applyFill="1" applyBorder="1" applyAlignment="1">
      <alignment horizontal="center" vertical="center" textRotation="90" wrapText="1"/>
    </xf>
    <xf numFmtId="49" fontId="12" fillId="7" borderId="51" xfId="0" applyNumberFormat="1" applyFont="1" applyFill="1" applyBorder="1" applyAlignment="1">
      <alignment horizontal="left" vertical="center" wrapText="1"/>
    </xf>
    <xf numFmtId="0" fontId="11" fillId="8" borderId="2" xfId="0" applyFont="1" applyFill="1" applyBorder="1" applyAlignment="1">
      <alignment horizontal="center" vertical="center" textRotation="90"/>
    </xf>
    <xf numFmtId="0" fontId="11" fillId="8" borderId="0" xfId="0" applyFont="1" applyFill="1" applyAlignment="1">
      <alignment horizontal="center" vertical="center" textRotation="90"/>
    </xf>
    <xf numFmtId="0" fontId="11" fillId="8" borderId="7" xfId="0" applyFont="1" applyFill="1" applyBorder="1" applyAlignment="1">
      <alignment horizontal="center" vertical="center" textRotation="90"/>
    </xf>
    <xf numFmtId="0" fontId="11" fillId="7" borderId="7" xfId="0" applyFont="1" applyFill="1" applyBorder="1" applyAlignment="1">
      <alignment horizontal="center" vertical="center" textRotation="90"/>
    </xf>
    <xf numFmtId="0" fontId="11" fillId="2" borderId="55" xfId="0" applyFont="1" applyFill="1" applyBorder="1" applyAlignment="1">
      <alignment horizontal="center" vertical="center" textRotation="90"/>
    </xf>
    <xf numFmtId="0" fontId="12" fillId="2" borderId="36" xfId="0" applyFont="1" applyFill="1" applyBorder="1"/>
    <xf numFmtId="49" fontId="12" fillId="2" borderId="56" xfId="0" applyNumberFormat="1" applyFont="1" applyFill="1" applyBorder="1" applyAlignment="1">
      <alignment horizontal="left" vertical="center" wrapText="1"/>
    </xf>
    <xf numFmtId="0" fontId="11" fillId="2" borderId="57" xfId="0" applyFont="1" applyFill="1" applyBorder="1" applyAlignment="1">
      <alignment horizontal="center" vertical="center" textRotation="90"/>
    </xf>
    <xf numFmtId="0" fontId="12" fillId="2" borderId="43" xfId="0" applyFont="1" applyFill="1" applyBorder="1"/>
    <xf numFmtId="49" fontId="12" fillId="2" borderId="52" xfId="0" applyNumberFormat="1" applyFont="1" applyFill="1" applyBorder="1" applyAlignment="1">
      <alignment vertical="center" wrapText="1"/>
    </xf>
    <xf numFmtId="9" fontId="12" fillId="0" borderId="0" xfId="1" applyFont="1" applyAlignment="1">
      <alignment horizontal="center"/>
    </xf>
    <xf numFmtId="0" fontId="11" fillId="2" borderId="36" xfId="0" applyFont="1" applyFill="1" applyBorder="1" applyAlignment="1">
      <alignment horizontal="center" vertical="center" textRotation="90"/>
    </xf>
    <xf numFmtId="49" fontId="12" fillId="2" borderId="39" xfId="0" applyNumberFormat="1" applyFont="1" applyFill="1" applyBorder="1" applyAlignment="1">
      <alignment vertical="center" wrapText="1"/>
    </xf>
    <xf numFmtId="0" fontId="11" fillId="2" borderId="21" xfId="0" applyFont="1" applyFill="1" applyBorder="1" applyAlignment="1">
      <alignment horizontal="center" vertical="center" textRotation="90"/>
    </xf>
    <xf numFmtId="0" fontId="12" fillId="2" borderId="21" xfId="0" applyFont="1" applyFill="1" applyBorder="1"/>
    <xf numFmtId="49" fontId="12" fillId="2" borderId="60" xfId="0" applyNumberFormat="1" applyFont="1" applyFill="1" applyBorder="1" applyAlignment="1">
      <alignment vertical="center" wrapText="1"/>
    </xf>
    <xf numFmtId="0" fontId="11" fillId="2" borderId="43" xfId="0" applyFont="1" applyFill="1" applyBorder="1" applyAlignment="1">
      <alignment horizontal="center" vertical="center" textRotation="90"/>
    </xf>
    <xf numFmtId="49" fontId="12" fillId="2" borderId="46" xfId="0" applyNumberFormat="1" applyFont="1" applyFill="1" applyBorder="1" applyAlignment="1">
      <alignment vertical="center" wrapText="1"/>
    </xf>
    <xf numFmtId="9" fontId="12" fillId="0" borderId="0" xfId="1" applyFont="1" applyBorder="1" applyAlignment="1">
      <alignment horizontal="center"/>
    </xf>
    <xf numFmtId="0" fontId="11" fillId="2" borderId="59" xfId="0" applyFont="1" applyFill="1" applyBorder="1" applyAlignment="1">
      <alignment horizontal="center" vertical="center" textRotation="90"/>
    </xf>
    <xf numFmtId="49" fontId="25" fillId="7" borderId="21" xfId="0" applyNumberFormat="1" applyFont="1" applyFill="1" applyBorder="1" applyAlignment="1">
      <alignment horizontal="left" vertical="center" wrapText="1"/>
    </xf>
    <xf numFmtId="49" fontId="12" fillId="2" borderId="39" xfId="0" applyNumberFormat="1" applyFont="1" applyFill="1" applyBorder="1" applyAlignment="1">
      <alignment horizontal="center" vertical="center" wrapText="1"/>
    </xf>
    <xf numFmtId="49" fontId="12" fillId="2" borderId="46" xfId="0" applyNumberFormat="1" applyFont="1" applyFill="1" applyBorder="1" applyAlignment="1">
      <alignment horizontal="center" vertical="center" wrapText="1"/>
    </xf>
    <xf numFmtId="0" fontId="11" fillId="7" borderId="39" xfId="0" applyFont="1" applyFill="1" applyBorder="1" applyAlignment="1">
      <alignment horizontal="left" vertical="center" wrapText="1"/>
    </xf>
    <xf numFmtId="49" fontId="12" fillId="7" borderId="64" xfId="0" applyNumberFormat="1" applyFont="1" applyFill="1" applyBorder="1" applyAlignment="1">
      <alignment horizontal="left" vertical="center" wrapText="1"/>
    </xf>
    <xf numFmtId="15" fontId="11" fillId="0" borderId="21" xfId="0" applyNumberFormat="1" applyFont="1" applyBorder="1" applyAlignment="1">
      <alignment horizontal="center" vertical="center" wrapText="1"/>
    </xf>
    <xf numFmtId="0" fontId="11" fillId="7" borderId="19" xfId="0" applyFont="1" applyFill="1" applyBorder="1" applyAlignment="1">
      <alignment horizontal="center" vertical="center" textRotation="90"/>
    </xf>
    <xf numFmtId="49" fontId="12" fillId="7" borderId="21" xfId="0" applyNumberFormat="1" applyFont="1" applyFill="1" applyBorder="1" applyAlignment="1">
      <alignment horizontal="left" vertical="top" wrapText="1"/>
    </xf>
    <xf numFmtId="165" fontId="12" fillId="3" borderId="0" xfId="0" applyNumberFormat="1" applyFont="1" applyFill="1"/>
    <xf numFmtId="15" fontId="26" fillId="2" borderId="36" xfId="0" applyNumberFormat="1" applyFont="1" applyFill="1" applyBorder="1" applyAlignment="1">
      <alignment horizontal="center" vertical="center" wrapText="1"/>
    </xf>
    <xf numFmtId="49" fontId="12" fillId="2" borderId="56" xfId="0" applyNumberFormat="1" applyFont="1" applyFill="1" applyBorder="1" applyAlignment="1">
      <alignment horizontal="center" vertical="center" wrapText="1"/>
    </xf>
    <xf numFmtId="49" fontId="12" fillId="2" borderId="54" xfId="0" applyNumberFormat="1" applyFont="1" applyFill="1" applyBorder="1" applyAlignment="1">
      <alignment horizontal="center" vertical="center" wrapText="1"/>
    </xf>
    <xf numFmtId="0" fontId="11" fillId="7" borderId="60" xfId="0" applyFont="1" applyFill="1" applyBorder="1" applyAlignment="1">
      <alignment horizontal="left" vertical="center" wrapText="1"/>
    </xf>
    <xf numFmtId="49" fontId="12" fillId="7" borderId="3" xfId="0" applyNumberFormat="1" applyFont="1" applyFill="1" applyBorder="1" applyAlignment="1">
      <alignment horizontal="center" vertical="center" wrapText="1"/>
    </xf>
    <xf numFmtId="49" fontId="12" fillId="7" borderId="65" xfId="0" applyNumberFormat="1" applyFont="1" applyFill="1" applyBorder="1" applyAlignment="1">
      <alignment horizontal="left" vertical="center" wrapText="1"/>
    </xf>
    <xf numFmtId="0" fontId="11" fillId="7" borderId="46" xfId="0" applyFont="1" applyFill="1" applyBorder="1" applyAlignment="1">
      <alignment horizontal="left" vertical="center" wrapText="1"/>
    </xf>
    <xf numFmtId="49" fontId="12" fillId="7" borderId="66" xfId="0" applyNumberFormat="1" applyFont="1" applyFill="1" applyBorder="1" applyAlignment="1">
      <alignment horizontal="left" vertical="center" wrapText="1"/>
    </xf>
    <xf numFmtId="49" fontId="12" fillId="7" borderId="39" xfId="0" applyNumberFormat="1" applyFont="1" applyFill="1" applyBorder="1" applyAlignment="1">
      <alignment vertical="top" wrapText="1"/>
    </xf>
    <xf numFmtId="49" fontId="12" fillId="7" borderId="60" xfId="0" applyNumberFormat="1" applyFont="1" applyFill="1" applyBorder="1" applyAlignment="1">
      <alignment vertical="top" wrapText="1"/>
    </xf>
    <xf numFmtId="49" fontId="12" fillId="7" borderId="46" xfId="0" applyNumberFormat="1" applyFont="1" applyFill="1" applyBorder="1" applyAlignment="1">
      <alignment vertical="top" wrapText="1"/>
    </xf>
    <xf numFmtId="0" fontId="12" fillId="3" borderId="18" xfId="0" applyFont="1" applyFill="1" applyBorder="1"/>
    <xf numFmtId="0" fontId="12" fillId="3" borderId="22" xfId="0" applyFont="1" applyFill="1" applyBorder="1"/>
    <xf numFmtId="15" fontId="11" fillId="3" borderId="21" xfId="0" applyNumberFormat="1" applyFont="1" applyFill="1" applyBorder="1" applyAlignment="1">
      <alignment horizontal="center" vertical="center" wrapText="1"/>
    </xf>
    <xf numFmtId="9" fontId="11" fillId="3" borderId="21" xfId="1" applyFont="1" applyFill="1" applyBorder="1" applyAlignment="1">
      <alignment horizontal="center" vertical="center" wrapText="1"/>
    </xf>
    <xf numFmtId="0" fontId="11" fillId="2" borderId="35" xfId="0" applyFont="1" applyFill="1" applyBorder="1" applyAlignment="1">
      <alignment vertical="center" wrapText="1"/>
    </xf>
    <xf numFmtId="15" fontId="11" fillId="7" borderId="58" xfId="0" applyNumberFormat="1" applyFont="1" applyFill="1" applyBorder="1" applyAlignment="1">
      <alignment horizontal="center" vertical="center" wrapText="1"/>
    </xf>
    <xf numFmtId="9" fontId="11" fillId="7" borderId="58" xfId="1" applyFont="1" applyFill="1" applyBorder="1" applyAlignment="1">
      <alignment horizontal="center" vertical="center" wrapText="1"/>
    </xf>
    <xf numFmtId="0" fontId="11" fillId="7" borderId="68" xfId="0" applyFont="1" applyFill="1" applyBorder="1" applyAlignment="1">
      <alignment horizontal="left" vertical="center" wrapText="1"/>
    </xf>
    <xf numFmtId="0" fontId="11" fillId="7" borderId="68" xfId="0" applyFont="1" applyFill="1" applyBorder="1" applyAlignment="1">
      <alignment horizontal="center" vertical="center" wrapText="1"/>
    </xf>
    <xf numFmtId="15" fontId="16" fillId="7" borderId="68" xfId="0" applyNumberFormat="1" applyFont="1" applyFill="1" applyBorder="1" applyAlignment="1">
      <alignment horizontal="center" vertical="center" wrapText="1"/>
    </xf>
    <xf numFmtId="15" fontId="11" fillId="7" borderId="68" xfId="0" applyNumberFormat="1" applyFont="1" applyFill="1" applyBorder="1" applyAlignment="1">
      <alignment horizontal="center" vertical="center" wrapText="1"/>
    </xf>
    <xf numFmtId="9" fontId="11" fillId="7" borderId="68" xfId="1" applyFont="1" applyFill="1" applyBorder="1" applyAlignment="1">
      <alignment horizontal="center" vertical="center" wrapText="1"/>
    </xf>
    <xf numFmtId="0" fontId="12" fillId="7" borderId="68" xfId="0" applyFont="1" applyFill="1" applyBorder="1"/>
    <xf numFmtId="49" fontId="12" fillId="7" borderId="69" xfId="0" applyNumberFormat="1" applyFont="1" applyFill="1" applyBorder="1" applyAlignment="1">
      <alignment horizontal="left" vertical="center" wrapText="1"/>
    </xf>
    <xf numFmtId="0" fontId="11" fillId="7" borderId="58" xfId="0" applyFont="1" applyFill="1" applyBorder="1" applyAlignment="1">
      <alignment horizontal="left" vertical="center" wrapText="1"/>
    </xf>
    <xf numFmtId="0" fontId="11" fillId="7" borderId="58" xfId="0" applyFont="1" applyFill="1" applyBorder="1" applyAlignment="1">
      <alignment horizontal="center" vertical="center" wrapText="1"/>
    </xf>
    <xf numFmtId="15" fontId="16" fillId="7" borderId="58" xfId="0" applyNumberFormat="1" applyFont="1" applyFill="1" applyBorder="1" applyAlignment="1">
      <alignment horizontal="center" vertical="center" wrapText="1"/>
    </xf>
    <xf numFmtId="0" fontId="12" fillId="7" borderId="58" xfId="0" applyFont="1" applyFill="1" applyBorder="1"/>
    <xf numFmtId="49" fontId="12" fillId="7" borderId="71" xfId="0" applyNumberFormat="1" applyFont="1" applyFill="1" applyBorder="1" applyAlignment="1">
      <alignment horizontal="left" vertical="center" wrapText="1"/>
    </xf>
    <xf numFmtId="0" fontId="11" fillId="7" borderId="73" xfId="0" applyFont="1" applyFill="1" applyBorder="1" applyAlignment="1">
      <alignment horizontal="left" vertical="center" wrapText="1"/>
    </xf>
    <xf numFmtId="0" fontId="11" fillId="7" borderId="73" xfId="0" applyFont="1" applyFill="1" applyBorder="1" applyAlignment="1">
      <alignment horizontal="center" vertical="center" wrapText="1"/>
    </xf>
    <xf numFmtId="15" fontId="16" fillId="7" borderId="73" xfId="0" applyNumberFormat="1" applyFont="1" applyFill="1" applyBorder="1" applyAlignment="1">
      <alignment horizontal="center" vertical="center" wrapText="1"/>
    </xf>
    <xf numFmtId="15" fontId="11" fillId="7" borderId="73" xfId="0" applyNumberFormat="1" applyFont="1" applyFill="1" applyBorder="1" applyAlignment="1">
      <alignment horizontal="center" vertical="center" wrapText="1"/>
    </xf>
    <xf numFmtId="9" fontId="11" fillId="7" borderId="73" xfId="1" applyFont="1" applyFill="1" applyBorder="1" applyAlignment="1">
      <alignment horizontal="center" vertical="center" wrapText="1"/>
    </xf>
    <xf numFmtId="0" fontId="12" fillId="7" borderId="73" xfId="0" applyFont="1" applyFill="1" applyBorder="1"/>
    <xf numFmtId="49" fontId="12" fillId="7" borderId="74" xfId="0" applyNumberFormat="1" applyFont="1" applyFill="1" applyBorder="1" applyAlignment="1">
      <alignment horizontal="left" vertical="center" wrapText="1"/>
    </xf>
    <xf numFmtId="0" fontId="11" fillId="7" borderId="68" xfId="0" applyFont="1" applyFill="1" applyBorder="1" applyAlignment="1">
      <alignment vertical="center" textRotation="90"/>
    </xf>
    <xf numFmtId="9" fontId="28" fillId="0" borderId="75" xfId="2" applyNumberFormat="1" applyFont="1" applyBorder="1" applyAlignment="1">
      <alignment horizontal="center" vertical="center"/>
    </xf>
    <xf numFmtId="9" fontId="29" fillId="0" borderId="75" xfId="2" applyNumberFormat="1" applyFont="1" applyBorder="1" applyAlignment="1">
      <alignment horizontal="left" vertical="center"/>
    </xf>
    <xf numFmtId="9" fontId="29" fillId="0" borderId="76" xfId="2" applyNumberFormat="1" applyFont="1" applyBorder="1" applyAlignment="1">
      <alignment horizontal="left" vertical="center"/>
    </xf>
    <xf numFmtId="0" fontId="2" fillId="0" borderId="0" xfId="2"/>
    <xf numFmtId="0" fontId="31" fillId="0" borderId="82" xfId="2" applyFont="1" applyBorder="1" applyAlignment="1">
      <alignment vertical="center"/>
    </xf>
    <xf numFmtId="0" fontId="31" fillId="0" borderId="83" xfId="2" applyFont="1" applyBorder="1" applyAlignment="1">
      <alignment vertical="center"/>
    </xf>
    <xf numFmtId="0" fontId="30" fillId="0" borderId="84" xfId="2" applyFont="1" applyBorder="1" applyAlignment="1">
      <alignment vertical="center"/>
    </xf>
    <xf numFmtId="0" fontId="27" fillId="9" borderId="75" xfId="2" applyFont="1" applyFill="1" applyBorder="1" applyAlignment="1">
      <alignment horizontal="center" vertical="center"/>
    </xf>
    <xf numFmtId="0" fontId="27" fillId="10" borderId="75" xfId="2" applyFont="1" applyFill="1" applyBorder="1" applyAlignment="1">
      <alignment horizontal="center" vertical="center"/>
    </xf>
    <xf numFmtId="0" fontId="27" fillId="11" borderId="75" xfId="2" applyFont="1" applyFill="1" applyBorder="1" applyAlignment="1">
      <alignment horizontal="center" vertical="center"/>
    </xf>
    <xf numFmtId="0" fontId="27" fillId="12" borderId="75" xfId="2" applyFont="1" applyFill="1" applyBorder="1" applyAlignment="1">
      <alignment horizontal="center" textRotation="90"/>
    </xf>
    <xf numFmtId="0" fontId="2" fillId="0" borderId="0" xfId="2" applyAlignment="1">
      <alignment horizontal="center" vertical="center"/>
    </xf>
    <xf numFmtId="0" fontId="27" fillId="0" borderId="75" xfId="2" applyFont="1" applyBorder="1" applyAlignment="1">
      <alignment horizontal="center" vertical="center"/>
    </xf>
    <xf numFmtId="9" fontId="29" fillId="0" borderId="75" xfId="3" applyFont="1" applyBorder="1" applyAlignment="1">
      <alignment horizontal="right" vertical="center"/>
    </xf>
    <xf numFmtId="9" fontId="33" fillId="0" borderId="75" xfId="2" applyNumberFormat="1" applyFont="1" applyBorder="1" applyAlignment="1">
      <alignment horizontal="left" vertical="center"/>
    </xf>
    <xf numFmtId="9" fontId="34" fillId="0" borderId="75" xfId="2" applyNumberFormat="1" applyFont="1" applyBorder="1" applyAlignment="1">
      <alignment horizontal="center" vertical="center"/>
    </xf>
    <xf numFmtId="9" fontId="33" fillId="0" borderId="75" xfId="3" applyFont="1" applyBorder="1" applyAlignment="1">
      <alignment horizontal="right" vertical="center"/>
    </xf>
    <xf numFmtId="0" fontId="35" fillId="0" borderId="77" xfId="2" applyFont="1" applyBorder="1" applyAlignment="1">
      <alignment vertical="center"/>
    </xf>
    <xf numFmtId="0" fontId="35" fillId="0" borderId="79" xfId="2" applyFont="1" applyBorder="1" applyAlignment="1">
      <alignment vertical="center"/>
    </xf>
    <xf numFmtId="0" fontId="35" fillId="0" borderId="80" xfId="2" applyFont="1" applyBorder="1" applyAlignment="1">
      <alignment vertical="center"/>
    </xf>
    <xf numFmtId="0" fontId="35" fillId="0" borderId="81" xfId="2" applyFont="1" applyBorder="1" applyAlignment="1">
      <alignment vertical="center"/>
    </xf>
    <xf numFmtId="0" fontId="35" fillId="0" borderId="82" xfId="2" applyFont="1" applyBorder="1" applyAlignment="1">
      <alignment vertical="center"/>
    </xf>
    <xf numFmtId="0" fontId="35" fillId="0" borderId="85" xfId="2" applyFont="1" applyBorder="1" applyAlignment="1">
      <alignment vertical="center"/>
    </xf>
    <xf numFmtId="0" fontId="1" fillId="0" borderId="0" xfId="0" applyFont="1"/>
    <xf numFmtId="0" fontId="17" fillId="0" borderId="13" xfId="0" applyFont="1" applyBorder="1" applyAlignment="1">
      <alignment horizontal="center" vertical="center"/>
    </xf>
    <xf numFmtId="0" fontId="17" fillId="0" borderId="14" xfId="0" applyFont="1" applyBorder="1" applyAlignment="1">
      <alignment horizontal="center" vertical="center"/>
    </xf>
    <xf numFmtId="0" fontId="1" fillId="14" borderId="13" xfId="0" applyFont="1" applyFill="1" applyBorder="1"/>
    <xf numFmtId="0" fontId="1" fillId="14" borderId="16" xfId="0" applyFont="1" applyFill="1" applyBorder="1"/>
    <xf numFmtId="9" fontId="17" fillId="0" borderId="13" xfId="0" applyNumberFormat="1" applyFont="1" applyBorder="1" applyAlignment="1">
      <alignment horizontal="center" vertical="center"/>
    </xf>
    <xf numFmtId="9" fontId="12" fillId="0" borderId="13" xfId="0" applyNumberFormat="1" applyFont="1" applyBorder="1" applyAlignment="1">
      <alignment horizontal="center" vertical="top"/>
    </xf>
    <xf numFmtId="165" fontId="12" fillId="0" borderId="13" xfId="0" applyNumberFormat="1" applyFont="1" applyBorder="1" applyAlignment="1">
      <alignment horizontal="center" vertical="top"/>
    </xf>
    <xf numFmtId="4" fontId="12" fillId="0" borderId="14" xfId="0" applyNumberFormat="1" applyFont="1" applyBorder="1" applyAlignment="1">
      <alignment horizontal="center" vertical="top"/>
    </xf>
    <xf numFmtId="9" fontId="12" fillId="0" borderId="16" xfId="0" applyNumberFormat="1" applyFont="1" applyBorder="1" applyAlignment="1">
      <alignment horizontal="center" vertical="top"/>
    </xf>
    <xf numFmtId="165" fontId="12" fillId="0" borderId="16" xfId="0" applyNumberFormat="1" applyFont="1" applyBorder="1" applyAlignment="1">
      <alignment horizontal="center" vertical="top"/>
    </xf>
    <xf numFmtId="4" fontId="12" fillId="0" borderId="17" xfId="0" applyNumberFormat="1" applyFont="1" applyBorder="1" applyAlignment="1">
      <alignment horizontal="center" vertical="top"/>
    </xf>
    <xf numFmtId="0" fontId="17" fillId="3" borderId="12" xfId="0" applyFont="1" applyFill="1" applyBorder="1"/>
    <xf numFmtId="0" fontId="17" fillId="3" borderId="13" xfId="0" applyFont="1" applyFill="1" applyBorder="1" applyAlignment="1">
      <alignment horizontal="center" vertical="center"/>
    </xf>
    <xf numFmtId="165" fontId="12" fillId="3" borderId="13" xfId="0" applyNumberFormat="1" applyFont="1" applyFill="1" applyBorder="1" applyAlignment="1">
      <alignment horizontal="center" vertical="top"/>
    </xf>
    <xf numFmtId="9" fontId="11" fillId="6" borderId="22" xfId="1" applyFont="1" applyFill="1" applyBorder="1" applyAlignment="1">
      <alignment horizontal="center" vertical="center"/>
    </xf>
    <xf numFmtId="9" fontId="11" fillId="8" borderId="22" xfId="1" applyFont="1" applyFill="1" applyBorder="1" applyAlignment="1">
      <alignment horizontal="center" vertical="center" wrapText="1"/>
    </xf>
    <xf numFmtId="9" fontId="11" fillId="7" borderId="22" xfId="1" applyFont="1" applyFill="1" applyBorder="1" applyAlignment="1">
      <alignment horizontal="center" vertical="center" wrapText="1"/>
    </xf>
    <xf numFmtId="9" fontId="11" fillId="8" borderId="28" xfId="1" applyFont="1" applyFill="1" applyBorder="1" applyAlignment="1">
      <alignment horizontal="center" vertical="center" wrapText="1"/>
    </xf>
    <xf numFmtId="9" fontId="11" fillId="8" borderId="33" xfId="1" applyFont="1" applyFill="1" applyBorder="1" applyAlignment="1">
      <alignment horizontal="center" vertical="center" wrapText="1"/>
    </xf>
    <xf numFmtId="0" fontId="0" fillId="0" borderId="12" xfId="0" applyBorder="1" applyAlignment="1">
      <alignment horizontal="center"/>
    </xf>
    <xf numFmtId="0" fontId="0" fillId="0" borderId="13" xfId="0" applyBorder="1" applyAlignment="1">
      <alignment horizontal="center"/>
    </xf>
    <xf numFmtId="0" fontId="0" fillId="0" borderId="14" xfId="0" applyBorder="1" applyAlignment="1">
      <alignment horizontal="center"/>
    </xf>
    <xf numFmtId="0" fontId="36" fillId="13" borderId="9" xfId="0" applyFont="1" applyFill="1" applyBorder="1" applyAlignment="1">
      <alignment horizontal="center"/>
    </xf>
    <xf numFmtId="0" fontId="36" fillId="13" borderId="10" xfId="0" applyFont="1" applyFill="1" applyBorder="1" applyAlignment="1">
      <alignment horizontal="center"/>
    </xf>
    <xf numFmtId="0" fontId="36" fillId="13" borderId="11" xfId="0" applyFont="1" applyFill="1" applyBorder="1" applyAlignment="1">
      <alignment horizontal="center"/>
    </xf>
    <xf numFmtId="0" fontId="1" fillId="14" borderId="12" xfId="0" applyFont="1" applyFill="1" applyBorder="1" applyAlignment="1">
      <alignment horizontal="center" vertical="center"/>
    </xf>
    <xf numFmtId="0" fontId="1" fillId="14" borderId="15" xfId="0" applyFont="1" applyFill="1" applyBorder="1" applyAlignment="1">
      <alignment horizontal="center" vertical="center"/>
    </xf>
    <xf numFmtId="0" fontId="36" fillId="0" borderId="1" xfId="0" applyFont="1" applyBorder="1" applyAlignment="1">
      <alignment horizontal="center"/>
    </xf>
    <xf numFmtId="0" fontId="36" fillId="0" borderId="2" xfId="0" applyFont="1" applyBorder="1" applyAlignment="1">
      <alignment horizontal="center"/>
    </xf>
    <xf numFmtId="0" fontId="36" fillId="0" borderId="3" xfId="0" applyFont="1" applyBorder="1" applyAlignment="1">
      <alignment horizontal="center"/>
    </xf>
    <xf numFmtId="0" fontId="36" fillId="0" borderId="4" xfId="0" applyFont="1" applyBorder="1" applyAlignment="1">
      <alignment horizontal="center"/>
    </xf>
    <xf numFmtId="0" fontId="36" fillId="0" borderId="0" xfId="0" applyFont="1" applyAlignment="1">
      <alignment horizontal="center"/>
    </xf>
    <xf numFmtId="0" fontId="36" fillId="0" borderId="5" xfId="0" applyFont="1" applyBorder="1" applyAlignment="1">
      <alignment horizontal="center"/>
    </xf>
    <xf numFmtId="0" fontId="36" fillId="0" borderId="6" xfId="0" applyFont="1" applyBorder="1" applyAlignment="1">
      <alignment horizontal="center"/>
    </xf>
    <xf numFmtId="0" fontId="36" fillId="0" borderId="7" xfId="0" applyFont="1" applyBorder="1" applyAlignment="1">
      <alignment horizontal="center"/>
    </xf>
    <xf numFmtId="0" fontId="36" fillId="0" borderId="8" xfId="0" applyFont="1" applyBorder="1" applyAlignment="1">
      <alignment horizontal="center"/>
    </xf>
    <xf numFmtId="0" fontId="3" fillId="0" borderId="20" xfId="0" applyFont="1" applyBorder="1" applyAlignment="1">
      <alignment horizontal="left" vertical="center" wrapText="1"/>
    </xf>
    <xf numFmtId="0" fontId="3" fillId="0" borderId="27" xfId="0" applyFont="1" applyBorder="1" applyAlignment="1">
      <alignment horizontal="left" vertical="center" wrapText="1"/>
    </xf>
    <xf numFmtId="0" fontId="3" fillId="0" borderId="23" xfId="0" applyFont="1" applyBorder="1" applyAlignment="1">
      <alignment horizontal="left" vertical="center" wrapText="1"/>
    </xf>
    <xf numFmtId="0" fontId="3" fillId="4" borderId="18" xfId="0" applyFont="1" applyFill="1" applyBorder="1" applyAlignment="1">
      <alignment horizontal="center" vertical="center" textRotation="90"/>
    </xf>
    <xf numFmtId="0" fontId="3" fillId="4" borderId="22" xfId="0" applyFont="1" applyFill="1" applyBorder="1" applyAlignment="1">
      <alignment horizontal="center" vertical="center" textRotation="90"/>
    </xf>
    <xf numFmtId="0" fontId="3" fillId="4" borderId="30" xfId="0" applyFont="1" applyFill="1" applyBorder="1" applyAlignment="1">
      <alignment horizontal="center" vertical="center" textRotation="90"/>
    </xf>
    <xf numFmtId="0" fontId="3" fillId="0" borderId="21" xfId="0" applyFont="1" applyBorder="1" applyAlignment="1">
      <alignment horizontal="left" vertical="center" wrapText="1"/>
    </xf>
    <xf numFmtId="0" fontId="3" fillId="0" borderId="21" xfId="0" applyFont="1" applyBorder="1" applyAlignment="1">
      <alignment horizontal="left" vertical="center"/>
    </xf>
    <xf numFmtId="0" fontId="2" fillId="0" borderId="82" xfId="2" applyBorder="1" applyAlignment="1">
      <alignment horizontal="center"/>
    </xf>
    <xf numFmtId="0" fontId="2" fillId="0" borderId="83" xfId="2" applyBorder="1" applyAlignment="1">
      <alignment horizontal="center"/>
    </xf>
    <xf numFmtId="0" fontId="2" fillId="0" borderId="84" xfId="2" applyBorder="1" applyAlignment="1">
      <alignment horizontal="center"/>
    </xf>
    <xf numFmtId="0" fontId="32" fillId="0" borderId="75" xfId="2" applyFont="1" applyBorder="1" applyAlignment="1">
      <alignment horizontal="center" vertical="center"/>
    </xf>
    <xf numFmtId="0" fontId="30" fillId="0" borderId="77" xfId="2" applyFont="1" applyBorder="1" applyAlignment="1">
      <alignment horizontal="center" vertical="center"/>
    </xf>
    <xf numFmtId="0" fontId="30" fillId="0" borderId="78" xfId="2" applyFont="1" applyBorder="1" applyAlignment="1">
      <alignment horizontal="center" vertical="center"/>
    </xf>
    <xf numFmtId="0" fontId="30" fillId="0" borderId="80" xfId="2" applyFont="1" applyBorder="1" applyAlignment="1">
      <alignment horizontal="center" vertical="center"/>
    </xf>
    <xf numFmtId="0" fontId="30" fillId="0" borderId="0" xfId="2" applyFont="1" applyAlignment="1">
      <alignment horizontal="center" vertical="center"/>
    </xf>
    <xf numFmtId="0" fontId="30" fillId="0" borderId="83" xfId="2" applyFont="1" applyBorder="1" applyAlignment="1">
      <alignment horizontal="center" vertical="center"/>
    </xf>
    <xf numFmtId="0" fontId="2" fillId="0" borderId="86" xfId="2" applyBorder="1" applyAlignment="1">
      <alignment horizontal="center"/>
    </xf>
    <xf numFmtId="0" fontId="2" fillId="0" borderId="87" xfId="2" applyBorder="1" applyAlignment="1">
      <alignment horizontal="center"/>
    </xf>
    <xf numFmtId="0" fontId="2" fillId="0" borderId="88" xfId="2" applyBorder="1" applyAlignment="1">
      <alignment horizontal="center"/>
    </xf>
    <xf numFmtId="0" fontId="35" fillId="0" borderId="78" xfId="2" applyFont="1" applyBorder="1" applyAlignment="1">
      <alignment horizontal="center" vertical="center"/>
    </xf>
    <xf numFmtId="0" fontId="35" fillId="0" borderId="0" xfId="2" applyFont="1" applyAlignment="1">
      <alignment horizontal="center" vertical="center"/>
    </xf>
    <xf numFmtId="0" fontId="35" fillId="0" borderId="83" xfId="2" applyFont="1" applyBorder="1" applyAlignment="1">
      <alignment horizontal="center" vertical="center"/>
    </xf>
    <xf numFmtId="0" fontId="11" fillId="7" borderId="61" xfId="0" applyFont="1" applyFill="1" applyBorder="1" applyAlignment="1">
      <alignment horizontal="center" vertical="center" textRotation="90"/>
    </xf>
    <xf numFmtId="0" fontId="11" fillId="7" borderId="62" xfId="0" applyFont="1" applyFill="1" applyBorder="1" applyAlignment="1">
      <alignment horizontal="center" vertical="center" textRotation="90"/>
    </xf>
    <xf numFmtId="0" fontId="11" fillId="7" borderId="63" xfId="0" applyFont="1" applyFill="1" applyBorder="1" applyAlignment="1">
      <alignment horizontal="center" vertical="center" textRotation="90"/>
    </xf>
    <xf numFmtId="0" fontId="11" fillId="8" borderId="28" xfId="0" applyFont="1" applyFill="1" applyBorder="1" applyAlignment="1">
      <alignment horizontal="center" vertical="center" textRotation="90"/>
    </xf>
    <xf numFmtId="0" fontId="11" fillId="8" borderId="22" xfId="0" applyFont="1" applyFill="1" applyBorder="1" applyAlignment="1">
      <alignment horizontal="center" vertical="center" textRotation="90"/>
    </xf>
    <xf numFmtId="0" fontId="11" fillId="7" borderId="28" xfId="0" applyFont="1" applyFill="1" applyBorder="1" applyAlignment="1">
      <alignment horizontal="center" vertical="center" textRotation="90"/>
    </xf>
    <xf numFmtId="0" fontId="11" fillId="7" borderId="22" xfId="0" applyFont="1" applyFill="1" applyBorder="1" applyAlignment="1">
      <alignment horizontal="center" vertical="center" textRotation="90"/>
    </xf>
    <xf numFmtId="0" fontId="11" fillId="7" borderId="34" xfId="0" applyFont="1" applyFill="1" applyBorder="1" applyAlignment="1">
      <alignment horizontal="center" vertical="center" textRotation="90"/>
    </xf>
    <xf numFmtId="0" fontId="11" fillId="7" borderId="41" xfId="0" applyFont="1" applyFill="1" applyBorder="1" applyAlignment="1">
      <alignment horizontal="center" vertical="center" textRotation="90"/>
    </xf>
    <xf numFmtId="0" fontId="11" fillId="2" borderId="34" xfId="0" applyFont="1" applyFill="1" applyBorder="1" applyAlignment="1">
      <alignment horizontal="center" vertical="center" textRotation="90"/>
    </xf>
    <xf numFmtId="0" fontId="11" fillId="2" borderId="41" xfId="0" applyFont="1" applyFill="1" applyBorder="1" applyAlignment="1">
      <alignment horizontal="center" vertical="center" textRotation="90"/>
    </xf>
    <xf numFmtId="0" fontId="11" fillId="2" borderId="61" xfId="0" applyFont="1" applyFill="1" applyBorder="1" applyAlignment="1">
      <alignment horizontal="center" vertical="center" textRotation="90"/>
    </xf>
    <xf numFmtId="0" fontId="11" fillId="2" borderId="62" xfId="0" applyFont="1" applyFill="1" applyBorder="1" applyAlignment="1">
      <alignment horizontal="center" vertical="center" textRotation="90"/>
    </xf>
    <xf numFmtId="0" fontId="11" fillId="2" borderId="63" xfId="0" applyFont="1" applyFill="1" applyBorder="1" applyAlignment="1">
      <alignment horizontal="center" vertical="center" textRotation="90"/>
    </xf>
    <xf numFmtId="0" fontId="11" fillId="7" borderId="33" xfId="0" applyFont="1" applyFill="1" applyBorder="1" applyAlignment="1">
      <alignment horizontal="center" vertical="center" textRotation="90"/>
    </xf>
    <xf numFmtId="0" fontId="11" fillId="8" borderId="34" xfId="0" applyFont="1" applyFill="1" applyBorder="1" applyAlignment="1">
      <alignment horizontal="center" vertical="center" textRotation="90"/>
    </xf>
    <xf numFmtId="0" fontId="11" fillId="8" borderId="40" xfId="0" applyFont="1" applyFill="1" applyBorder="1" applyAlignment="1">
      <alignment horizontal="center" vertical="center" textRotation="90"/>
    </xf>
    <xf numFmtId="0" fontId="11" fillId="8" borderId="41" xfId="0" applyFont="1" applyFill="1" applyBorder="1" applyAlignment="1">
      <alignment horizontal="center" vertical="center" textRotation="90"/>
    </xf>
    <xf numFmtId="0" fontId="18" fillId="7" borderId="28" xfId="0" applyFont="1" applyFill="1" applyBorder="1" applyAlignment="1">
      <alignment horizontal="center" vertical="center" textRotation="90"/>
    </xf>
    <xf numFmtId="0" fontId="18" fillId="7" borderId="22" xfId="0" applyFont="1" applyFill="1" applyBorder="1" applyAlignment="1">
      <alignment horizontal="center" vertical="center" textRotation="90"/>
    </xf>
    <xf numFmtId="0" fontId="18" fillId="7" borderId="33" xfId="0" applyFont="1" applyFill="1" applyBorder="1" applyAlignment="1">
      <alignment horizontal="center" vertical="center" textRotation="90"/>
    </xf>
    <xf numFmtId="0" fontId="18" fillId="8" borderId="34" xfId="0" applyFont="1" applyFill="1" applyBorder="1" applyAlignment="1">
      <alignment horizontal="center" vertical="center" textRotation="90"/>
    </xf>
    <xf numFmtId="0" fontId="18" fillId="8" borderId="40" xfId="0" applyFont="1" applyFill="1" applyBorder="1" applyAlignment="1">
      <alignment horizontal="center" vertical="center" textRotation="90"/>
    </xf>
    <xf numFmtId="0" fontId="18" fillId="8" borderId="41" xfId="0" applyFont="1" applyFill="1" applyBorder="1" applyAlignment="1">
      <alignment horizontal="center" vertical="center" textRotation="90"/>
    </xf>
    <xf numFmtId="0" fontId="18" fillId="8" borderId="28" xfId="0" applyFont="1" applyFill="1" applyBorder="1" applyAlignment="1">
      <alignment horizontal="center" vertical="center" textRotation="90"/>
    </xf>
    <xf numFmtId="0" fontId="18" fillId="8" borderId="22" xfId="0" applyFont="1" applyFill="1" applyBorder="1" applyAlignment="1">
      <alignment horizontal="center" vertical="center" textRotation="90"/>
    </xf>
    <xf numFmtId="0" fontId="18" fillId="7" borderId="34" xfId="0" applyFont="1" applyFill="1" applyBorder="1" applyAlignment="1">
      <alignment horizontal="center" vertical="center" textRotation="90"/>
    </xf>
    <xf numFmtId="0" fontId="18" fillId="7" borderId="41" xfId="0" applyFont="1" applyFill="1" applyBorder="1" applyAlignment="1">
      <alignment horizontal="center" vertical="center" textRotation="90"/>
    </xf>
    <xf numFmtId="0" fontId="18" fillId="2" borderId="34" xfId="0" applyFont="1" applyFill="1" applyBorder="1" applyAlignment="1">
      <alignment horizontal="center" vertical="center" textRotation="90"/>
    </xf>
    <xf numFmtId="0" fontId="18" fillId="2" borderId="41" xfId="0" applyFont="1" applyFill="1" applyBorder="1" applyAlignment="1">
      <alignment horizontal="center" vertical="center" textRotation="90"/>
    </xf>
    <xf numFmtId="0" fontId="18" fillId="7" borderId="61" xfId="0" applyFont="1" applyFill="1" applyBorder="1" applyAlignment="1">
      <alignment horizontal="center" vertical="center" textRotation="90"/>
    </xf>
    <xf numFmtId="0" fontId="18" fillId="7" borderId="62" xfId="0" applyFont="1" applyFill="1" applyBorder="1" applyAlignment="1">
      <alignment horizontal="center" vertical="center" textRotation="90"/>
    </xf>
    <xf numFmtId="0" fontId="18" fillId="7" borderId="63" xfId="0" applyFont="1" applyFill="1" applyBorder="1" applyAlignment="1">
      <alignment horizontal="center" vertical="center" textRotation="90"/>
    </xf>
    <xf numFmtId="0" fontId="11" fillId="7" borderId="36" xfId="0" applyFont="1" applyFill="1" applyBorder="1" applyAlignment="1">
      <alignment horizontal="center" vertical="center" textRotation="90"/>
    </xf>
    <xf numFmtId="0" fontId="11" fillId="7" borderId="21" xfId="0" applyFont="1" applyFill="1" applyBorder="1" applyAlignment="1">
      <alignment horizontal="center" vertical="center" textRotation="90"/>
    </xf>
    <xf numFmtId="0" fontId="11" fillId="7" borderId="43" xfId="0" applyFont="1" applyFill="1" applyBorder="1" applyAlignment="1">
      <alignment horizontal="center" vertical="center" textRotation="90"/>
    </xf>
    <xf numFmtId="0" fontId="18" fillId="2" borderId="28" xfId="0" applyFont="1" applyFill="1" applyBorder="1" applyAlignment="1">
      <alignment horizontal="center" vertical="center" textRotation="90"/>
    </xf>
    <xf numFmtId="0" fontId="18" fillId="2" borderId="22" xfId="0" applyFont="1" applyFill="1" applyBorder="1" applyAlignment="1">
      <alignment horizontal="center" vertical="center" textRotation="90"/>
    </xf>
    <xf numFmtId="0" fontId="18" fillId="2" borderId="33" xfId="0" applyFont="1" applyFill="1" applyBorder="1" applyAlignment="1">
      <alignment horizontal="center" vertical="center" textRotation="90"/>
    </xf>
    <xf numFmtId="0" fontId="18" fillId="2" borderId="40" xfId="0" applyFont="1" applyFill="1" applyBorder="1" applyAlignment="1">
      <alignment horizontal="center" vertical="center" textRotation="90"/>
    </xf>
    <xf numFmtId="0" fontId="11" fillId="2" borderId="40" xfId="0" applyFont="1" applyFill="1" applyBorder="1" applyAlignment="1">
      <alignment horizontal="center" vertical="center" textRotation="90"/>
    </xf>
    <xf numFmtId="0" fontId="11" fillId="8" borderId="33" xfId="0" applyFont="1" applyFill="1" applyBorder="1" applyAlignment="1">
      <alignment horizontal="center" vertical="center" textRotation="90"/>
    </xf>
    <xf numFmtId="0" fontId="11" fillId="7" borderId="18" xfId="0" applyFont="1" applyFill="1" applyBorder="1" applyAlignment="1">
      <alignment horizontal="center" vertical="center" textRotation="90"/>
    </xf>
    <xf numFmtId="0" fontId="11" fillId="7" borderId="67" xfId="0" applyFont="1" applyFill="1" applyBorder="1" applyAlignment="1">
      <alignment horizontal="center" vertical="center" textRotation="90"/>
    </xf>
    <xf numFmtId="0" fontId="11" fillId="7" borderId="70" xfId="0" applyFont="1" applyFill="1" applyBorder="1" applyAlignment="1">
      <alignment horizontal="center" vertical="center" textRotation="90"/>
    </xf>
    <xf numFmtId="0" fontId="11" fillId="7" borderId="72" xfId="0" applyFont="1" applyFill="1" applyBorder="1" applyAlignment="1">
      <alignment horizontal="center" vertical="center" textRotation="90"/>
    </xf>
  </cellXfs>
  <cellStyles count="4">
    <cellStyle name="Normal 2" xfId="2" xr:uid="{DD165124-00B3-4A14-921E-82AD1D52CDE4}"/>
    <cellStyle name="Percent 2" xfId="3" xr:uid="{0D9683E3-9DEF-46D4-8A9E-40FA35F28531}"/>
    <cellStyle name="常规" xfId="0" builtinId="0"/>
    <cellStyle name="百分比" xfId="1" builtinId="5"/>
  </cellStyles>
  <dxfs count="27">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externalLink" Target="externalLinks/externalLink2.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5</xdr:col>
      <xdr:colOff>17217</xdr:colOff>
      <xdr:row>18</xdr:row>
      <xdr:rowOff>291996</xdr:rowOff>
    </xdr:from>
    <xdr:to>
      <xdr:col>5</xdr:col>
      <xdr:colOff>494109</xdr:colOff>
      <xdr:row>18</xdr:row>
      <xdr:rowOff>291996</xdr:rowOff>
    </xdr:to>
    <xdr:cxnSp macro="">
      <xdr:nvCxnSpPr>
        <xdr:cNvPr id="6" name="Straight Connector 2">
          <a:extLst>
            <a:ext uri="{FF2B5EF4-FFF2-40B4-BE49-F238E27FC236}">
              <a16:creationId xmlns:a16="http://schemas.microsoft.com/office/drawing/2014/main" id="{00000000-0008-0000-0000-000006000000}"/>
            </a:ext>
          </a:extLst>
        </xdr:cNvPr>
        <xdr:cNvCxnSpPr/>
      </xdr:nvCxnSpPr>
      <xdr:spPr>
        <a:xfrm>
          <a:off x="4359910" y="9808845"/>
          <a:ext cx="4768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9</xdr:col>
      <xdr:colOff>3122</xdr:colOff>
      <xdr:row>1</xdr:row>
      <xdr:rowOff>15240</xdr:rowOff>
    </xdr:from>
    <xdr:to>
      <xdr:col>9</xdr:col>
      <xdr:colOff>3122</xdr:colOff>
      <xdr:row>32</xdr:row>
      <xdr:rowOff>5603</xdr:rowOff>
    </xdr:to>
    <xdr:cxnSp macro="">
      <xdr:nvCxnSpPr>
        <xdr:cNvPr id="8" name="Straight Connector 27">
          <a:extLst>
            <a:ext uri="{FF2B5EF4-FFF2-40B4-BE49-F238E27FC236}">
              <a16:creationId xmlns:a16="http://schemas.microsoft.com/office/drawing/2014/main" id="{00000000-0008-0000-0000-000008000000}"/>
            </a:ext>
          </a:extLst>
        </xdr:cNvPr>
        <xdr:cNvCxnSpPr/>
      </xdr:nvCxnSpPr>
      <xdr:spPr>
        <a:xfrm>
          <a:off x="7121525" y="83820"/>
          <a:ext cx="0" cy="1512887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482912</xdr:colOff>
      <xdr:row>41</xdr:row>
      <xdr:rowOff>55757</xdr:rowOff>
    </xdr:from>
    <xdr:to>
      <xdr:col>6</xdr:col>
      <xdr:colOff>482912</xdr:colOff>
      <xdr:row>42</xdr:row>
      <xdr:rowOff>0</xdr:rowOff>
    </xdr:to>
    <xdr:cxnSp macro="">
      <xdr:nvCxnSpPr>
        <xdr:cNvPr id="9" name="Straight Connector 8">
          <a:extLst>
            <a:ext uri="{FF2B5EF4-FFF2-40B4-BE49-F238E27FC236}">
              <a16:creationId xmlns:a16="http://schemas.microsoft.com/office/drawing/2014/main" id="{00000000-0008-0000-0000-000009000000}"/>
            </a:ext>
          </a:extLst>
        </xdr:cNvPr>
        <xdr:cNvCxnSpPr/>
      </xdr:nvCxnSpPr>
      <xdr:spPr>
        <a:xfrm>
          <a:off x="5519420" y="16863060"/>
          <a:ext cx="0" cy="122555"/>
        </a:xfrm>
        <a:prstGeom prst="line">
          <a:avLst/>
        </a:prstGeom>
        <a:ln w="9525">
          <a:solidFill>
            <a:schemeClr val="tx2"/>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10886</xdr:colOff>
      <xdr:row>19</xdr:row>
      <xdr:rowOff>218498</xdr:rowOff>
    </xdr:from>
    <xdr:to>
      <xdr:col>6</xdr:col>
      <xdr:colOff>484371</xdr:colOff>
      <xdr:row>19</xdr:row>
      <xdr:rowOff>218498</xdr:rowOff>
    </xdr:to>
    <xdr:cxnSp macro="">
      <xdr:nvCxnSpPr>
        <xdr:cNvPr id="27" name="Straight Connector 2">
          <a:extLst>
            <a:ext uri="{FF2B5EF4-FFF2-40B4-BE49-F238E27FC236}">
              <a16:creationId xmlns:a16="http://schemas.microsoft.com/office/drawing/2014/main" id="{00000000-0008-0000-0000-00001B000000}"/>
            </a:ext>
          </a:extLst>
        </xdr:cNvPr>
        <xdr:cNvCxnSpPr/>
      </xdr:nvCxnSpPr>
      <xdr:spPr>
        <a:xfrm>
          <a:off x="4353560" y="10288270"/>
          <a:ext cx="11671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487699</xdr:colOff>
      <xdr:row>19</xdr:row>
      <xdr:rowOff>221006</xdr:rowOff>
    </xdr:from>
    <xdr:to>
      <xdr:col>7</xdr:col>
      <xdr:colOff>287962</xdr:colOff>
      <xdr:row>19</xdr:row>
      <xdr:rowOff>221006</xdr:rowOff>
    </xdr:to>
    <xdr:cxnSp macro="">
      <xdr:nvCxnSpPr>
        <xdr:cNvPr id="28" name="Straight Connector 19">
          <a:extLst>
            <a:ext uri="{FF2B5EF4-FFF2-40B4-BE49-F238E27FC236}">
              <a16:creationId xmlns:a16="http://schemas.microsoft.com/office/drawing/2014/main" id="{00000000-0008-0000-0000-00001C000000}"/>
            </a:ext>
          </a:extLst>
        </xdr:cNvPr>
        <xdr:cNvCxnSpPr/>
      </xdr:nvCxnSpPr>
      <xdr:spPr>
        <a:xfrm>
          <a:off x="5524500" y="10290810"/>
          <a:ext cx="4940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532087</xdr:colOff>
      <xdr:row>2</xdr:row>
      <xdr:rowOff>282841</xdr:rowOff>
    </xdr:from>
    <xdr:to>
      <xdr:col>4</xdr:col>
      <xdr:colOff>505811</xdr:colOff>
      <xdr:row>2</xdr:row>
      <xdr:rowOff>282841</xdr:rowOff>
    </xdr:to>
    <xdr:cxnSp macro="">
      <xdr:nvCxnSpPr>
        <xdr:cNvPr id="29" name="Straight Connector 1">
          <a:extLst>
            <a:ext uri="{FF2B5EF4-FFF2-40B4-BE49-F238E27FC236}">
              <a16:creationId xmlns:a16="http://schemas.microsoft.com/office/drawing/2014/main" id="{00000000-0008-0000-0000-00001D000000}"/>
            </a:ext>
          </a:extLst>
        </xdr:cNvPr>
        <xdr:cNvCxnSpPr/>
      </xdr:nvCxnSpPr>
      <xdr:spPr>
        <a:xfrm>
          <a:off x="3486150" y="655955"/>
          <a:ext cx="6680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16124</xdr:colOff>
      <xdr:row>17</xdr:row>
      <xdr:rowOff>283719</xdr:rowOff>
    </xdr:from>
    <xdr:to>
      <xdr:col>5</xdr:col>
      <xdr:colOff>480876</xdr:colOff>
      <xdr:row>17</xdr:row>
      <xdr:rowOff>283719</xdr:rowOff>
    </xdr:to>
    <xdr:cxnSp macro="">
      <xdr:nvCxnSpPr>
        <xdr:cNvPr id="30" name="Straight Connector 2">
          <a:extLst>
            <a:ext uri="{FF2B5EF4-FFF2-40B4-BE49-F238E27FC236}">
              <a16:creationId xmlns:a16="http://schemas.microsoft.com/office/drawing/2014/main" id="{00000000-0008-0000-0000-00001E000000}"/>
            </a:ext>
          </a:extLst>
        </xdr:cNvPr>
        <xdr:cNvCxnSpPr/>
      </xdr:nvCxnSpPr>
      <xdr:spPr>
        <a:xfrm>
          <a:off x="4358640" y="9229090"/>
          <a:ext cx="4648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2129</xdr:colOff>
      <xdr:row>1</xdr:row>
      <xdr:rowOff>19050</xdr:rowOff>
    </xdr:from>
    <xdr:to>
      <xdr:col>3</xdr:col>
      <xdr:colOff>2129</xdr:colOff>
      <xdr:row>32</xdr:row>
      <xdr:rowOff>5603</xdr:rowOff>
    </xdr:to>
    <xdr:cxnSp macro="">
      <xdr:nvCxnSpPr>
        <xdr:cNvPr id="31" name="Straight Connector 5">
          <a:extLst>
            <a:ext uri="{FF2B5EF4-FFF2-40B4-BE49-F238E27FC236}">
              <a16:creationId xmlns:a16="http://schemas.microsoft.com/office/drawing/2014/main" id="{00000000-0008-0000-0000-00001F000000}"/>
            </a:ext>
          </a:extLst>
        </xdr:cNvPr>
        <xdr:cNvCxnSpPr/>
      </xdr:nvCxnSpPr>
      <xdr:spPr>
        <a:xfrm>
          <a:off x="2956560" y="87630"/>
          <a:ext cx="0" cy="1512506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0</xdr:colOff>
      <xdr:row>1</xdr:row>
      <xdr:rowOff>15421</xdr:rowOff>
    </xdr:from>
    <xdr:to>
      <xdr:col>4</xdr:col>
      <xdr:colOff>0</xdr:colOff>
      <xdr:row>32</xdr:row>
      <xdr:rowOff>5896</xdr:rowOff>
    </xdr:to>
    <xdr:cxnSp macro="">
      <xdr:nvCxnSpPr>
        <xdr:cNvPr id="32" name="Straight Connector 6">
          <a:extLst>
            <a:ext uri="{FF2B5EF4-FFF2-40B4-BE49-F238E27FC236}">
              <a16:creationId xmlns:a16="http://schemas.microsoft.com/office/drawing/2014/main" id="{00000000-0008-0000-0000-000020000000}"/>
            </a:ext>
          </a:extLst>
        </xdr:cNvPr>
        <xdr:cNvCxnSpPr/>
      </xdr:nvCxnSpPr>
      <xdr:spPr>
        <a:xfrm>
          <a:off x="3648710" y="83820"/>
          <a:ext cx="0" cy="1512951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624840</xdr:colOff>
      <xdr:row>1</xdr:row>
      <xdr:rowOff>15240</xdr:rowOff>
    </xdr:from>
    <xdr:to>
      <xdr:col>4</xdr:col>
      <xdr:colOff>624840</xdr:colOff>
      <xdr:row>31</xdr:row>
      <xdr:rowOff>453838</xdr:rowOff>
    </xdr:to>
    <xdr:cxnSp macro="">
      <xdr:nvCxnSpPr>
        <xdr:cNvPr id="33" name="Straight Connector 7">
          <a:extLst>
            <a:ext uri="{FF2B5EF4-FFF2-40B4-BE49-F238E27FC236}">
              <a16:creationId xmlns:a16="http://schemas.microsoft.com/office/drawing/2014/main" id="{00000000-0008-0000-0000-000021000000}"/>
            </a:ext>
          </a:extLst>
        </xdr:cNvPr>
        <xdr:cNvCxnSpPr/>
      </xdr:nvCxnSpPr>
      <xdr:spPr>
        <a:xfrm>
          <a:off x="4273550" y="83820"/>
          <a:ext cx="0" cy="1511998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3842</xdr:colOff>
      <xdr:row>1</xdr:row>
      <xdr:rowOff>19050</xdr:rowOff>
    </xdr:from>
    <xdr:to>
      <xdr:col>6</xdr:col>
      <xdr:colOff>3842</xdr:colOff>
      <xdr:row>31</xdr:row>
      <xdr:rowOff>448235</xdr:rowOff>
    </xdr:to>
    <xdr:cxnSp macro="">
      <xdr:nvCxnSpPr>
        <xdr:cNvPr id="34" name="Straight Connector 8">
          <a:extLst>
            <a:ext uri="{FF2B5EF4-FFF2-40B4-BE49-F238E27FC236}">
              <a16:creationId xmlns:a16="http://schemas.microsoft.com/office/drawing/2014/main" id="{00000000-0008-0000-0000-000022000000}"/>
            </a:ext>
          </a:extLst>
        </xdr:cNvPr>
        <xdr:cNvCxnSpPr/>
      </xdr:nvCxnSpPr>
      <xdr:spPr>
        <a:xfrm>
          <a:off x="5040630" y="87630"/>
          <a:ext cx="0" cy="151104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0</xdr:colOff>
      <xdr:row>1</xdr:row>
      <xdr:rowOff>19050</xdr:rowOff>
    </xdr:from>
    <xdr:to>
      <xdr:col>7</xdr:col>
      <xdr:colOff>0</xdr:colOff>
      <xdr:row>31</xdr:row>
      <xdr:rowOff>453838</xdr:rowOff>
    </xdr:to>
    <xdr:cxnSp macro="">
      <xdr:nvCxnSpPr>
        <xdr:cNvPr id="35" name="Straight Connector 9">
          <a:extLst>
            <a:ext uri="{FF2B5EF4-FFF2-40B4-BE49-F238E27FC236}">
              <a16:creationId xmlns:a16="http://schemas.microsoft.com/office/drawing/2014/main" id="{00000000-0008-0000-0000-000023000000}"/>
            </a:ext>
          </a:extLst>
        </xdr:cNvPr>
        <xdr:cNvCxnSpPr/>
      </xdr:nvCxnSpPr>
      <xdr:spPr>
        <a:xfrm>
          <a:off x="5730875" y="87630"/>
          <a:ext cx="0" cy="1511617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0</xdr:colOff>
      <xdr:row>1</xdr:row>
      <xdr:rowOff>19050</xdr:rowOff>
    </xdr:from>
    <xdr:to>
      <xdr:col>8</xdr:col>
      <xdr:colOff>0</xdr:colOff>
      <xdr:row>32</xdr:row>
      <xdr:rowOff>0</xdr:rowOff>
    </xdr:to>
    <xdr:cxnSp macro="">
      <xdr:nvCxnSpPr>
        <xdr:cNvPr id="36" name="Straight Connector 10">
          <a:extLst>
            <a:ext uri="{FF2B5EF4-FFF2-40B4-BE49-F238E27FC236}">
              <a16:creationId xmlns:a16="http://schemas.microsoft.com/office/drawing/2014/main" id="{00000000-0008-0000-0000-000024000000}"/>
            </a:ext>
          </a:extLst>
        </xdr:cNvPr>
        <xdr:cNvCxnSpPr/>
      </xdr:nvCxnSpPr>
      <xdr:spPr>
        <a:xfrm>
          <a:off x="6424930" y="87630"/>
          <a:ext cx="0" cy="1511998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479102</xdr:colOff>
      <xdr:row>1</xdr:row>
      <xdr:rowOff>0</xdr:rowOff>
    </xdr:from>
    <xdr:to>
      <xdr:col>6</xdr:col>
      <xdr:colOff>479102</xdr:colOff>
      <xdr:row>37</xdr:row>
      <xdr:rowOff>106455</xdr:rowOff>
    </xdr:to>
    <xdr:cxnSp macro="">
      <xdr:nvCxnSpPr>
        <xdr:cNvPr id="37" name="Straight Connector 10">
          <a:extLst>
            <a:ext uri="{FF2B5EF4-FFF2-40B4-BE49-F238E27FC236}">
              <a16:creationId xmlns:a16="http://schemas.microsoft.com/office/drawing/2014/main" id="{00000000-0008-0000-0000-000025000000}"/>
            </a:ext>
          </a:extLst>
        </xdr:cNvPr>
        <xdr:cNvCxnSpPr/>
      </xdr:nvCxnSpPr>
      <xdr:spPr>
        <a:xfrm>
          <a:off x="5515610" y="68580"/>
          <a:ext cx="0" cy="16134080"/>
        </a:xfrm>
        <a:prstGeom prst="line">
          <a:avLst/>
        </a:prstGeom>
        <a:ln w="9525">
          <a:solidFill>
            <a:schemeClr val="tx2"/>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282245</xdr:colOff>
      <xdr:row>20</xdr:row>
      <xdr:rowOff>398977</xdr:rowOff>
    </xdr:from>
    <xdr:to>
      <xdr:col>6</xdr:col>
      <xdr:colOff>477102</xdr:colOff>
      <xdr:row>37</xdr:row>
      <xdr:rowOff>170205</xdr:rowOff>
    </xdr:to>
    <xdr:sp macro="" textlink="">
      <xdr:nvSpPr>
        <xdr:cNvPr id="38" name="TextBox 13">
          <a:extLst>
            <a:ext uri="{FF2B5EF4-FFF2-40B4-BE49-F238E27FC236}">
              <a16:creationId xmlns:a16="http://schemas.microsoft.com/office/drawing/2014/main" id="{00000000-0008-0000-0000-000026000000}"/>
            </a:ext>
          </a:extLst>
        </xdr:cNvPr>
        <xdr:cNvSpPr txBox="1"/>
      </xdr:nvSpPr>
      <xdr:spPr>
        <a:xfrm rot="16200000">
          <a:off x="2745740" y="13498830"/>
          <a:ext cx="534098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6</xdr:col>
      <xdr:colOff>501148</xdr:colOff>
      <xdr:row>32</xdr:row>
      <xdr:rowOff>56589</xdr:rowOff>
    </xdr:from>
    <xdr:to>
      <xdr:col>8</xdr:col>
      <xdr:colOff>179615</xdr:colOff>
      <xdr:row>33</xdr:row>
      <xdr:rowOff>122707</xdr:rowOff>
    </xdr:to>
    <xdr:sp macro="" textlink="">
      <xdr:nvSpPr>
        <xdr:cNvPr id="39" name="Left Brace 15">
          <a:extLst>
            <a:ext uri="{FF2B5EF4-FFF2-40B4-BE49-F238E27FC236}">
              <a16:creationId xmlns:a16="http://schemas.microsoft.com/office/drawing/2014/main" id="{00000000-0008-0000-0000-000027000000}"/>
            </a:ext>
          </a:extLst>
        </xdr:cNvPr>
        <xdr:cNvSpPr/>
      </xdr:nvSpPr>
      <xdr:spPr>
        <a:xfrm rot="16200000">
          <a:off x="5948680" y="14852650"/>
          <a:ext cx="244475" cy="1066800"/>
        </a:xfrm>
        <a:prstGeom prst="leftBrace">
          <a:avLst/>
        </a:prstGeom>
        <a:ln>
          <a:solidFill>
            <a:srgbClr val="FF0000"/>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lang="en-US" sz="1100"/>
        </a:p>
      </xdr:txBody>
    </xdr:sp>
    <xdr:clientData/>
  </xdr:twoCellAnchor>
  <xdr:twoCellAnchor>
    <xdr:from>
      <xdr:col>7</xdr:col>
      <xdr:colOff>23820</xdr:colOff>
      <xdr:row>33</xdr:row>
      <xdr:rowOff>83196</xdr:rowOff>
    </xdr:from>
    <xdr:to>
      <xdr:col>8</xdr:col>
      <xdr:colOff>94441</xdr:colOff>
      <xdr:row>35</xdr:row>
      <xdr:rowOff>77391</xdr:rowOff>
    </xdr:to>
    <xdr:sp macro="" textlink="">
      <xdr:nvSpPr>
        <xdr:cNvPr id="40" name="TextBox 13">
          <a:extLst>
            <a:ext uri="{FF2B5EF4-FFF2-40B4-BE49-F238E27FC236}">
              <a16:creationId xmlns:a16="http://schemas.microsoft.com/office/drawing/2014/main" id="{00000000-0008-0000-0000-000028000000}"/>
            </a:ext>
          </a:extLst>
        </xdr:cNvPr>
        <xdr:cNvSpPr txBox="1"/>
      </xdr:nvSpPr>
      <xdr:spPr>
        <a:xfrm>
          <a:off x="5754370" y="15468600"/>
          <a:ext cx="764540" cy="349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800" b="1">
              <a:solidFill>
                <a:srgbClr val="FF0000"/>
              </a:solidFill>
            </a:rPr>
            <a:t>Variance:</a:t>
          </a:r>
          <a:endParaRPr lang="en-GB" sz="800" b="1" baseline="0">
            <a:solidFill>
              <a:srgbClr val="FF0000"/>
            </a:solidFill>
          </a:endParaRPr>
        </a:p>
        <a:p>
          <a:pPr algn="ctr"/>
          <a:r>
            <a:rPr lang="en-GB" sz="800" b="1" baseline="0">
              <a:solidFill>
                <a:srgbClr val="FF0000"/>
              </a:solidFill>
            </a:rPr>
            <a:t> - 6 Weeks</a:t>
          </a:r>
          <a:endParaRPr lang="en-US" sz="800" b="1">
            <a:solidFill>
              <a:srgbClr val="FF0000"/>
            </a:solidFill>
          </a:endParaRPr>
        </a:p>
      </xdr:txBody>
    </xdr:sp>
    <xdr:clientData/>
  </xdr:twoCellAnchor>
  <xdr:twoCellAnchor>
    <xdr:from>
      <xdr:col>3</xdr:col>
      <xdr:colOff>532087</xdr:colOff>
      <xdr:row>3</xdr:row>
      <xdr:rowOff>298557</xdr:rowOff>
    </xdr:from>
    <xdr:to>
      <xdr:col>4</xdr:col>
      <xdr:colOff>507716</xdr:colOff>
      <xdr:row>3</xdr:row>
      <xdr:rowOff>298557</xdr:rowOff>
    </xdr:to>
    <xdr:cxnSp macro="">
      <xdr:nvCxnSpPr>
        <xdr:cNvPr id="88" name="Straight Connector 87">
          <a:extLst>
            <a:ext uri="{FF2B5EF4-FFF2-40B4-BE49-F238E27FC236}">
              <a16:creationId xmlns:a16="http://schemas.microsoft.com/office/drawing/2014/main" id="{00000000-0008-0000-0000-000058000000}"/>
            </a:ext>
          </a:extLst>
        </xdr:cNvPr>
        <xdr:cNvCxnSpPr/>
      </xdr:nvCxnSpPr>
      <xdr:spPr>
        <a:xfrm>
          <a:off x="3486150" y="1243330"/>
          <a:ext cx="6699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370114</xdr:colOff>
      <xdr:row>4</xdr:row>
      <xdr:rowOff>294747</xdr:rowOff>
    </xdr:from>
    <xdr:to>
      <xdr:col>4</xdr:col>
      <xdr:colOff>515336</xdr:colOff>
      <xdr:row>4</xdr:row>
      <xdr:rowOff>294747</xdr:rowOff>
    </xdr:to>
    <xdr:cxnSp macro="">
      <xdr:nvCxnSpPr>
        <xdr:cNvPr id="89" name="Straight Connector 88">
          <a:extLst>
            <a:ext uri="{FF2B5EF4-FFF2-40B4-BE49-F238E27FC236}">
              <a16:creationId xmlns:a16="http://schemas.microsoft.com/office/drawing/2014/main" id="{00000000-0008-0000-0000-000059000000}"/>
            </a:ext>
          </a:extLst>
        </xdr:cNvPr>
        <xdr:cNvCxnSpPr/>
      </xdr:nvCxnSpPr>
      <xdr:spPr>
        <a:xfrm>
          <a:off x="4018280" y="181102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479835</xdr:colOff>
      <xdr:row>6</xdr:row>
      <xdr:rowOff>287399</xdr:rowOff>
    </xdr:from>
    <xdr:to>
      <xdr:col>5</xdr:col>
      <xdr:colOff>12791</xdr:colOff>
      <xdr:row>6</xdr:row>
      <xdr:rowOff>287399</xdr:rowOff>
    </xdr:to>
    <xdr:cxnSp macro="">
      <xdr:nvCxnSpPr>
        <xdr:cNvPr id="90" name="Straight Connector 89">
          <a:extLst>
            <a:ext uri="{FF2B5EF4-FFF2-40B4-BE49-F238E27FC236}">
              <a16:creationId xmlns:a16="http://schemas.microsoft.com/office/drawing/2014/main" id="{00000000-0008-0000-0000-00005A000000}"/>
            </a:ext>
          </a:extLst>
        </xdr:cNvPr>
        <xdr:cNvCxnSpPr/>
      </xdr:nvCxnSpPr>
      <xdr:spPr>
        <a:xfrm>
          <a:off x="4128135" y="2946400"/>
          <a:ext cx="2273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11749</xdr:colOff>
      <xdr:row>7</xdr:row>
      <xdr:rowOff>305360</xdr:rowOff>
    </xdr:from>
    <xdr:to>
      <xdr:col>5</xdr:col>
      <xdr:colOff>183696</xdr:colOff>
      <xdr:row>7</xdr:row>
      <xdr:rowOff>305360</xdr:rowOff>
    </xdr:to>
    <xdr:cxnSp macro="">
      <xdr:nvCxnSpPr>
        <xdr:cNvPr id="91" name="Straight Connector 90">
          <a:extLst>
            <a:ext uri="{FF2B5EF4-FFF2-40B4-BE49-F238E27FC236}">
              <a16:creationId xmlns:a16="http://schemas.microsoft.com/office/drawing/2014/main" id="{00000000-0008-0000-0000-00005B000000}"/>
            </a:ext>
          </a:extLst>
        </xdr:cNvPr>
        <xdr:cNvCxnSpPr/>
      </xdr:nvCxnSpPr>
      <xdr:spPr>
        <a:xfrm>
          <a:off x="4354195" y="3535680"/>
          <a:ext cx="1720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188097</xdr:colOff>
      <xdr:row>8</xdr:row>
      <xdr:rowOff>285221</xdr:rowOff>
    </xdr:from>
    <xdr:to>
      <xdr:col>5</xdr:col>
      <xdr:colOff>348614</xdr:colOff>
      <xdr:row>8</xdr:row>
      <xdr:rowOff>285221</xdr:rowOff>
    </xdr:to>
    <xdr:cxnSp macro="">
      <xdr:nvCxnSpPr>
        <xdr:cNvPr id="92" name="Straight Connector 91">
          <a:extLst>
            <a:ext uri="{FF2B5EF4-FFF2-40B4-BE49-F238E27FC236}">
              <a16:creationId xmlns:a16="http://schemas.microsoft.com/office/drawing/2014/main" id="{00000000-0008-0000-0000-00005C000000}"/>
            </a:ext>
          </a:extLst>
        </xdr:cNvPr>
        <xdr:cNvCxnSpPr/>
      </xdr:nvCxnSpPr>
      <xdr:spPr>
        <a:xfrm>
          <a:off x="4530725" y="4087495"/>
          <a:ext cx="1600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353017</xdr:colOff>
      <xdr:row>9</xdr:row>
      <xdr:rowOff>286854</xdr:rowOff>
    </xdr:from>
    <xdr:to>
      <xdr:col>5</xdr:col>
      <xdr:colOff>515439</xdr:colOff>
      <xdr:row>9</xdr:row>
      <xdr:rowOff>286854</xdr:rowOff>
    </xdr:to>
    <xdr:cxnSp macro="">
      <xdr:nvCxnSpPr>
        <xdr:cNvPr id="93" name="Straight Connector 92">
          <a:extLst>
            <a:ext uri="{FF2B5EF4-FFF2-40B4-BE49-F238E27FC236}">
              <a16:creationId xmlns:a16="http://schemas.microsoft.com/office/drawing/2014/main" id="{00000000-0008-0000-0000-00005D000000}"/>
            </a:ext>
          </a:extLst>
        </xdr:cNvPr>
        <xdr:cNvCxnSpPr/>
      </xdr:nvCxnSpPr>
      <xdr:spPr>
        <a:xfrm>
          <a:off x="4695190" y="4660265"/>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476569</xdr:colOff>
      <xdr:row>10</xdr:row>
      <xdr:rowOff>284677</xdr:rowOff>
    </xdr:from>
    <xdr:to>
      <xdr:col>6</xdr:col>
      <xdr:colOff>1905</xdr:colOff>
      <xdr:row>10</xdr:row>
      <xdr:rowOff>284677</xdr:rowOff>
    </xdr:to>
    <xdr:cxnSp macro="">
      <xdr:nvCxnSpPr>
        <xdr:cNvPr id="94" name="Straight Connector 93">
          <a:extLst>
            <a:ext uri="{FF2B5EF4-FFF2-40B4-BE49-F238E27FC236}">
              <a16:creationId xmlns:a16="http://schemas.microsoft.com/office/drawing/2014/main" id="{00000000-0008-0000-0000-00005E000000}"/>
            </a:ext>
          </a:extLst>
        </xdr:cNvPr>
        <xdr:cNvCxnSpPr/>
      </xdr:nvCxnSpPr>
      <xdr:spPr>
        <a:xfrm>
          <a:off x="4819015" y="5229860"/>
          <a:ext cx="2197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612640</xdr:colOff>
      <xdr:row>11</xdr:row>
      <xdr:rowOff>301005</xdr:rowOff>
    </xdr:from>
    <xdr:to>
      <xdr:col>6</xdr:col>
      <xdr:colOff>139881</xdr:colOff>
      <xdr:row>11</xdr:row>
      <xdr:rowOff>301005</xdr:rowOff>
    </xdr:to>
    <xdr:cxnSp macro="">
      <xdr:nvCxnSpPr>
        <xdr:cNvPr id="95" name="Straight Connector 94">
          <a:extLst>
            <a:ext uri="{FF2B5EF4-FFF2-40B4-BE49-F238E27FC236}">
              <a16:creationId xmlns:a16="http://schemas.microsoft.com/office/drawing/2014/main" id="{00000000-0008-0000-0000-00005F000000}"/>
            </a:ext>
          </a:extLst>
        </xdr:cNvPr>
        <xdr:cNvCxnSpPr/>
      </xdr:nvCxnSpPr>
      <xdr:spPr>
        <a:xfrm>
          <a:off x="4954905" y="5817870"/>
          <a:ext cx="2216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122783</xdr:colOff>
      <xdr:row>12</xdr:row>
      <xdr:rowOff>293658</xdr:rowOff>
    </xdr:from>
    <xdr:to>
      <xdr:col>6</xdr:col>
      <xdr:colOff>283300</xdr:colOff>
      <xdr:row>12</xdr:row>
      <xdr:rowOff>293658</xdr:rowOff>
    </xdr:to>
    <xdr:cxnSp macro="">
      <xdr:nvCxnSpPr>
        <xdr:cNvPr id="96" name="Straight Connector 95">
          <a:extLst>
            <a:ext uri="{FF2B5EF4-FFF2-40B4-BE49-F238E27FC236}">
              <a16:creationId xmlns:a16="http://schemas.microsoft.com/office/drawing/2014/main" id="{00000000-0008-0000-0000-000060000000}"/>
            </a:ext>
          </a:extLst>
        </xdr:cNvPr>
        <xdr:cNvCxnSpPr/>
      </xdr:nvCxnSpPr>
      <xdr:spPr>
        <a:xfrm>
          <a:off x="5159375" y="6381750"/>
          <a:ext cx="1606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304030</xdr:colOff>
      <xdr:row>13</xdr:row>
      <xdr:rowOff>288215</xdr:rowOff>
    </xdr:from>
    <xdr:to>
      <xdr:col>6</xdr:col>
      <xdr:colOff>470262</xdr:colOff>
      <xdr:row>13</xdr:row>
      <xdr:rowOff>288215</xdr:rowOff>
    </xdr:to>
    <xdr:cxnSp macro="">
      <xdr:nvCxnSpPr>
        <xdr:cNvPr id="97" name="Straight Connector 96">
          <a:extLst>
            <a:ext uri="{FF2B5EF4-FFF2-40B4-BE49-F238E27FC236}">
              <a16:creationId xmlns:a16="http://schemas.microsoft.com/office/drawing/2014/main" id="{00000000-0008-0000-0000-000061000000}"/>
            </a:ext>
          </a:extLst>
        </xdr:cNvPr>
        <xdr:cNvCxnSpPr/>
      </xdr:nvCxnSpPr>
      <xdr:spPr>
        <a:xfrm>
          <a:off x="5340350" y="6947535"/>
          <a:ext cx="1663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474392</xdr:colOff>
      <xdr:row>14</xdr:row>
      <xdr:rowOff>304544</xdr:rowOff>
    </xdr:from>
    <xdr:to>
      <xdr:col>7</xdr:col>
      <xdr:colOff>13062</xdr:colOff>
      <xdr:row>14</xdr:row>
      <xdr:rowOff>304544</xdr:rowOff>
    </xdr:to>
    <xdr:cxnSp macro="">
      <xdr:nvCxnSpPr>
        <xdr:cNvPr id="98" name="Straight Connector 97">
          <a:extLst>
            <a:ext uri="{FF2B5EF4-FFF2-40B4-BE49-F238E27FC236}">
              <a16:creationId xmlns:a16="http://schemas.microsoft.com/office/drawing/2014/main" id="{00000000-0008-0000-0000-000062000000}"/>
            </a:ext>
          </a:extLst>
        </xdr:cNvPr>
        <xdr:cNvCxnSpPr/>
      </xdr:nvCxnSpPr>
      <xdr:spPr>
        <a:xfrm>
          <a:off x="5511165" y="7535545"/>
          <a:ext cx="2324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627063</xdr:colOff>
      <xdr:row>15</xdr:row>
      <xdr:rowOff>304544</xdr:rowOff>
    </xdr:from>
    <xdr:to>
      <xdr:col>7</xdr:col>
      <xdr:colOff>163828</xdr:colOff>
      <xdr:row>15</xdr:row>
      <xdr:rowOff>304544</xdr:rowOff>
    </xdr:to>
    <xdr:cxnSp macro="">
      <xdr:nvCxnSpPr>
        <xdr:cNvPr id="99" name="Straight Connector 98">
          <a:extLst>
            <a:ext uri="{FF2B5EF4-FFF2-40B4-BE49-F238E27FC236}">
              <a16:creationId xmlns:a16="http://schemas.microsoft.com/office/drawing/2014/main" id="{00000000-0008-0000-0000-000063000000}"/>
            </a:ext>
          </a:extLst>
        </xdr:cNvPr>
        <xdr:cNvCxnSpPr/>
      </xdr:nvCxnSpPr>
      <xdr:spPr>
        <a:xfrm>
          <a:off x="5663565" y="8107045"/>
          <a:ext cx="23050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296926</xdr:colOff>
      <xdr:row>20</xdr:row>
      <xdr:rowOff>248492</xdr:rowOff>
    </xdr:from>
    <xdr:to>
      <xdr:col>8</xdr:col>
      <xdr:colOff>239486</xdr:colOff>
      <xdr:row>20</xdr:row>
      <xdr:rowOff>248492</xdr:rowOff>
    </xdr:to>
    <xdr:cxnSp macro="">
      <xdr:nvCxnSpPr>
        <xdr:cNvPr id="100" name="Straight Connector 19">
          <a:extLst>
            <a:ext uri="{FF2B5EF4-FFF2-40B4-BE49-F238E27FC236}">
              <a16:creationId xmlns:a16="http://schemas.microsoft.com/office/drawing/2014/main" id="{00000000-0008-0000-0000-000064000000}"/>
            </a:ext>
          </a:extLst>
        </xdr:cNvPr>
        <xdr:cNvCxnSpPr/>
      </xdr:nvCxnSpPr>
      <xdr:spPr>
        <a:xfrm>
          <a:off x="6027420" y="10775315"/>
          <a:ext cx="63690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386443</xdr:colOff>
      <xdr:row>30</xdr:row>
      <xdr:rowOff>237567</xdr:rowOff>
    </xdr:from>
    <xdr:to>
      <xdr:col>5</xdr:col>
      <xdr:colOff>174171</xdr:colOff>
      <xdr:row>30</xdr:row>
      <xdr:rowOff>237567</xdr:rowOff>
    </xdr:to>
    <xdr:cxnSp macro="">
      <xdr:nvCxnSpPr>
        <xdr:cNvPr id="101" name="Straight Connector 2">
          <a:extLst>
            <a:ext uri="{FF2B5EF4-FFF2-40B4-BE49-F238E27FC236}">
              <a16:creationId xmlns:a16="http://schemas.microsoft.com/office/drawing/2014/main" id="{00000000-0008-0000-0000-000065000000}"/>
            </a:ext>
          </a:extLst>
        </xdr:cNvPr>
        <xdr:cNvCxnSpPr/>
      </xdr:nvCxnSpPr>
      <xdr:spPr>
        <a:xfrm>
          <a:off x="4034790" y="14530705"/>
          <a:ext cx="4819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296926</xdr:colOff>
      <xdr:row>21</xdr:row>
      <xdr:rowOff>177734</xdr:rowOff>
    </xdr:from>
    <xdr:to>
      <xdr:col>7</xdr:col>
      <xdr:colOff>419100</xdr:colOff>
      <xdr:row>21</xdr:row>
      <xdr:rowOff>177734</xdr:rowOff>
    </xdr:to>
    <xdr:cxnSp macro="">
      <xdr:nvCxnSpPr>
        <xdr:cNvPr id="102" name="Straight Connector 19">
          <a:extLst>
            <a:ext uri="{FF2B5EF4-FFF2-40B4-BE49-F238E27FC236}">
              <a16:creationId xmlns:a16="http://schemas.microsoft.com/office/drawing/2014/main" id="{00000000-0008-0000-0000-000066000000}"/>
            </a:ext>
          </a:extLst>
        </xdr:cNvPr>
        <xdr:cNvCxnSpPr/>
      </xdr:nvCxnSpPr>
      <xdr:spPr>
        <a:xfrm>
          <a:off x="6027420" y="1116139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405785</xdr:colOff>
      <xdr:row>22</xdr:row>
      <xdr:rowOff>194063</xdr:rowOff>
    </xdr:from>
    <xdr:to>
      <xdr:col>7</xdr:col>
      <xdr:colOff>527959</xdr:colOff>
      <xdr:row>22</xdr:row>
      <xdr:rowOff>194063</xdr:rowOff>
    </xdr:to>
    <xdr:cxnSp macro="">
      <xdr:nvCxnSpPr>
        <xdr:cNvPr id="103" name="Straight Connector 19">
          <a:extLst>
            <a:ext uri="{FF2B5EF4-FFF2-40B4-BE49-F238E27FC236}">
              <a16:creationId xmlns:a16="http://schemas.microsoft.com/office/drawing/2014/main" id="{00000000-0008-0000-0000-000067000000}"/>
            </a:ext>
          </a:extLst>
        </xdr:cNvPr>
        <xdr:cNvCxnSpPr/>
      </xdr:nvCxnSpPr>
      <xdr:spPr>
        <a:xfrm>
          <a:off x="6136640" y="1154557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498316</xdr:colOff>
      <xdr:row>23</xdr:row>
      <xdr:rowOff>194062</xdr:rowOff>
    </xdr:from>
    <xdr:to>
      <xdr:col>7</xdr:col>
      <xdr:colOff>620490</xdr:colOff>
      <xdr:row>23</xdr:row>
      <xdr:rowOff>194062</xdr:rowOff>
    </xdr:to>
    <xdr:cxnSp macro="">
      <xdr:nvCxnSpPr>
        <xdr:cNvPr id="104" name="Straight Connector 19">
          <a:extLst>
            <a:ext uri="{FF2B5EF4-FFF2-40B4-BE49-F238E27FC236}">
              <a16:creationId xmlns:a16="http://schemas.microsoft.com/office/drawing/2014/main" id="{00000000-0008-0000-0000-000068000000}"/>
            </a:ext>
          </a:extLst>
        </xdr:cNvPr>
        <xdr:cNvCxnSpPr/>
      </xdr:nvCxnSpPr>
      <xdr:spPr>
        <a:xfrm>
          <a:off x="6228715" y="1191323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618061</xdr:colOff>
      <xdr:row>24</xdr:row>
      <xdr:rowOff>204948</xdr:rowOff>
    </xdr:from>
    <xdr:to>
      <xdr:col>8</xdr:col>
      <xdr:colOff>114307</xdr:colOff>
      <xdr:row>24</xdr:row>
      <xdr:rowOff>204948</xdr:rowOff>
    </xdr:to>
    <xdr:cxnSp macro="">
      <xdr:nvCxnSpPr>
        <xdr:cNvPr id="105" name="Straight Connector 19">
          <a:extLst>
            <a:ext uri="{FF2B5EF4-FFF2-40B4-BE49-F238E27FC236}">
              <a16:creationId xmlns:a16="http://schemas.microsoft.com/office/drawing/2014/main" id="{00000000-0008-0000-0000-000069000000}"/>
            </a:ext>
          </a:extLst>
        </xdr:cNvPr>
        <xdr:cNvCxnSpPr/>
      </xdr:nvCxnSpPr>
      <xdr:spPr>
        <a:xfrm>
          <a:off x="6348730" y="12291695"/>
          <a:ext cx="1905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57449</xdr:colOff>
      <xdr:row>25</xdr:row>
      <xdr:rowOff>199506</xdr:rowOff>
    </xdr:from>
    <xdr:to>
      <xdr:col>8</xdr:col>
      <xdr:colOff>179623</xdr:colOff>
      <xdr:row>25</xdr:row>
      <xdr:rowOff>199506</xdr:rowOff>
    </xdr:to>
    <xdr:cxnSp macro="">
      <xdr:nvCxnSpPr>
        <xdr:cNvPr id="106" name="Straight Connector 19">
          <a:extLst>
            <a:ext uri="{FF2B5EF4-FFF2-40B4-BE49-F238E27FC236}">
              <a16:creationId xmlns:a16="http://schemas.microsoft.com/office/drawing/2014/main" id="{00000000-0008-0000-0000-00006A000000}"/>
            </a:ext>
          </a:extLst>
        </xdr:cNvPr>
        <xdr:cNvCxnSpPr/>
      </xdr:nvCxnSpPr>
      <xdr:spPr>
        <a:xfrm>
          <a:off x="6482080" y="1265428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95550</xdr:colOff>
      <xdr:row>26</xdr:row>
      <xdr:rowOff>199506</xdr:rowOff>
    </xdr:from>
    <xdr:to>
      <xdr:col>8</xdr:col>
      <xdr:colOff>217724</xdr:colOff>
      <xdr:row>26</xdr:row>
      <xdr:rowOff>199506</xdr:rowOff>
    </xdr:to>
    <xdr:cxnSp macro="">
      <xdr:nvCxnSpPr>
        <xdr:cNvPr id="107" name="Straight Connector 19">
          <a:extLst>
            <a:ext uri="{FF2B5EF4-FFF2-40B4-BE49-F238E27FC236}">
              <a16:creationId xmlns:a16="http://schemas.microsoft.com/office/drawing/2014/main" id="{00000000-0008-0000-0000-00006B000000}"/>
            </a:ext>
          </a:extLst>
        </xdr:cNvPr>
        <xdr:cNvCxnSpPr/>
      </xdr:nvCxnSpPr>
      <xdr:spPr>
        <a:xfrm>
          <a:off x="6520180" y="1302194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111879</xdr:colOff>
      <xdr:row>27</xdr:row>
      <xdr:rowOff>199507</xdr:rowOff>
    </xdr:from>
    <xdr:to>
      <xdr:col>8</xdr:col>
      <xdr:colOff>234053</xdr:colOff>
      <xdr:row>27</xdr:row>
      <xdr:rowOff>199507</xdr:rowOff>
    </xdr:to>
    <xdr:cxnSp macro="">
      <xdr:nvCxnSpPr>
        <xdr:cNvPr id="108" name="Straight Connector 19">
          <a:extLst>
            <a:ext uri="{FF2B5EF4-FFF2-40B4-BE49-F238E27FC236}">
              <a16:creationId xmlns:a16="http://schemas.microsoft.com/office/drawing/2014/main" id="{00000000-0008-0000-0000-00006C000000}"/>
            </a:ext>
          </a:extLst>
        </xdr:cNvPr>
        <xdr:cNvCxnSpPr/>
      </xdr:nvCxnSpPr>
      <xdr:spPr>
        <a:xfrm>
          <a:off x="6536690" y="1338961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310242</xdr:colOff>
      <xdr:row>5</xdr:row>
      <xdr:rowOff>311075</xdr:rowOff>
    </xdr:from>
    <xdr:to>
      <xdr:col>5</xdr:col>
      <xdr:colOff>455464</xdr:colOff>
      <xdr:row>5</xdr:row>
      <xdr:rowOff>311075</xdr:rowOff>
    </xdr:to>
    <xdr:cxnSp macro="">
      <xdr:nvCxnSpPr>
        <xdr:cNvPr id="109" name="Straight Connector 108">
          <a:extLst>
            <a:ext uri="{FF2B5EF4-FFF2-40B4-BE49-F238E27FC236}">
              <a16:creationId xmlns:a16="http://schemas.microsoft.com/office/drawing/2014/main" id="{00000000-0008-0000-0000-00006D000000}"/>
            </a:ext>
          </a:extLst>
        </xdr:cNvPr>
        <xdr:cNvCxnSpPr/>
      </xdr:nvCxnSpPr>
      <xdr:spPr>
        <a:xfrm>
          <a:off x="4652645" y="239839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153534</xdr:colOff>
      <xdr:row>16</xdr:row>
      <xdr:rowOff>288215</xdr:rowOff>
    </xdr:from>
    <xdr:to>
      <xdr:col>7</xdr:col>
      <xdr:colOff>316228</xdr:colOff>
      <xdr:row>16</xdr:row>
      <xdr:rowOff>288215</xdr:rowOff>
    </xdr:to>
    <xdr:cxnSp macro="">
      <xdr:nvCxnSpPr>
        <xdr:cNvPr id="110" name="Straight Connector 109">
          <a:extLst>
            <a:ext uri="{FF2B5EF4-FFF2-40B4-BE49-F238E27FC236}">
              <a16:creationId xmlns:a16="http://schemas.microsoft.com/office/drawing/2014/main" id="{00000000-0008-0000-0000-00006E000000}"/>
            </a:ext>
          </a:extLst>
        </xdr:cNvPr>
        <xdr:cNvCxnSpPr/>
      </xdr:nvCxnSpPr>
      <xdr:spPr>
        <a:xfrm>
          <a:off x="5883910" y="8662035"/>
          <a:ext cx="16256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18</xdr:col>
      <xdr:colOff>438150</xdr:colOff>
      <xdr:row>31</xdr:row>
      <xdr:rowOff>266172</xdr:rowOff>
    </xdr:from>
    <xdr:to>
      <xdr:col>18</xdr:col>
      <xdr:colOff>474980</xdr:colOff>
      <xdr:row>31</xdr:row>
      <xdr:rowOff>266172</xdr:rowOff>
    </xdr:to>
    <xdr:cxnSp macro="">
      <xdr:nvCxnSpPr>
        <xdr:cNvPr id="93" name="Straight Connector 92">
          <a:extLst>
            <a:ext uri="{FF2B5EF4-FFF2-40B4-BE49-F238E27FC236}">
              <a16:creationId xmlns:a16="http://schemas.microsoft.com/office/drawing/2014/main" id="{00000000-0008-0000-0100-00005D000000}"/>
            </a:ext>
          </a:extLst>
        </xdr:cNvPr>
        <xdr:cNvCxnSpPr/>
      </xdr:nvCxnSpPr>
      <xdr:spPr>
        <a:xfrm>
          <a:off x="13212445" y="16927195"/>
          <a:ext cx="368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580529</xdr:colOff>
      <xdr:row>45</xdr:row>
      <xdr:rowOff>298346</xdr:rowOff>
    </xdr:from>
    <xdr:to>
      <xdr:col>18</xdr:col>
      <xdr:colOff>386013</xdr:colOff>
      <xdr:row>45</xdr:row>
      <xdr:rowOff>298346</xdr:rowOff>
    </xdr:to>
    <xdr:cxnSp macro="">
      <xdr:nvCxnSpPr>
        <xdr:cNvPr id="201" name="Straight Connector 2">
          <a:extLst>
            <a:ext uri="{FF2B5EF4-FFF2-40B4-BE49-F238E27FC236}">
              <a16:creationId xmlns:a16="http://schemas.microsoft.com/office/drawing/2014/main" id="{00000000-0008-0000-0100-0000C9000000}"/>
            </a:ext>
          </a:extLst>
        </xdr:cNvPr>
        <xdr:cNvCxnSpPr/>
      </xdr:nvCxnSpPr>
      <xdr:spPr>
        <a:xfrm>
          <a:off x="12660630" y="25131395"/>
          <a:ext cx="4991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3122</xdr:colOff>
      <xdr:row>1</xdr:row>
      <xdr:rowOff>15240</xdr:rowOff>
    </xdr:from>
    <xdr:to>
      <xdr:col>21</xdr:col>
      <xdr:colOff>3122</xdr:colOff>
      <xdr:row>72</xdr:row>
      <xdr:rowOff>381000</xdr:rowOff>
    </xdr:to>
    <xdr:cxnSp macro="">
      <xdr:nvCxnSpPr>
        <xdr:cNvPr id="3" name="Straight Connector 27">
          <a:extLst>
            <a:ext uri="{FF2B5EF4-FFF2-40B4-BE49-F238E27FC236}">
              <a16:creationId xmlns:a16="http://schemas.microsoft.com/office/drawing/2014/main" id="{00000000-0008-0000-0100-000003000000}"/>
            </a:ext>
          </a:extLst>
        </xdr:cNvPr>
        <xdr:cNvCxnSpPr/>
      </xdr:nvCxnSpPr>
      <xdr:spPr>
        <a:xfrm>
          <a:off x="14859000" y="83820"/>
          <a:ext cx="0" cy="4065587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591553</xdr:colOff>
      <xdr:row>46</xdr:row>
      <xdr:rowOff>221673</xdr:rowOff>
    </xdr:from>
    <xdr:to>
      <xdr:col>18</xdr:col>
      <xdr:colOff>487546</xdr:colOff>
      <xdr:row>46</xdr:row>
      <xdr:rowOff>221673</xdr:rowOff>
    </xdr:to>
    <xdr:cxnSp macro="">
      <xdr:nvCxnSpPr>
        <xdr:cNvPr id="207" name="Straight Connector 2">
          <a:extLst>
            <a:ext uri="{FF2B5EF4-FFF2-40B4-BE49-F238E27FC236}">
              <a16:creationId xmlns:a16="http://schemas.microsoft.com/office/drawing/2014/main" id="{00000000-0008-0000-0100-0000CF000000}"/>
            </a:ext>
          </a:extLst>
        </xdr:cNvPr>
        <xdr:cNvCxnSpPr/>
      </xdr:nvCxnSpPr>
      <xdr:spPr>
        <a:xfrm>
          <a:off x="12671425" y="25607645"/>
          <a:ext cx="5899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487699</xdr:colOff>
      <xdr:row>46</xdr:row>
      <xdr:rowOff>221225</xdr:rowOff>
    </xdr:from>
    <xdr:to>
      <xdr:col>20</xdr:col>
      <xdr:colOff>170448</xdr:colOff>
      <xdr:row>46</xdr:row>
      <xdr:rowOff>221225</xdr:rowOff>
    </xdr:to>
    <xdr:cxnSp macro="">
      <xdr:nvCxnSpPr>
        <xdr:cNvPr id="203" name="Straight Connector 19">
          <a:extLst>
            <a:ext uri="{FF2B5EF4-FFF2-40B4-BE49-F238E27FC236}">
              <a16:creationId xmlns:a16="http://schemas.microsoft.com/office/drawing/2014/main" id="{00000000-0008-0000-0100-0000CB000000}"/>
            </a:ext>
          </a:extLst>
        </xdr:cNvPr>
        <xdr:cNvCxnSpPr/>
      </xdr:nvCxnSpPr>
      <xdr:spPr>
        <a:xfrm>
          <a:off x="13261975" y="25607010"/>
          <a:ext cx="10706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592637</xdr:colOff>
      <xdr:row>44</xdr:row>
      <xdr:rowOff>283719</xdr:rowOff>
    </xdr:from>
    <xdr:to>
      <xdr:col>18</xdr:col>
      <xdr:colOff>401053</xdr:colOff>
      <xdr:row>44</xdr:row>
      <xdr:rowOff>283719</xdr:rowOff>
    </xdr:to>
    <xdr:cxnSp macro="">
      <xdr:nvCxnSpPr>
        <xdr:cNvPr id="199" name="Straight Connector 2">
          <a:extLst>
            <a:ext uri="{FF2B5EF4-FFF2-40B4-BE49-F238E27FC236}">
              <a16:creationId xmlns:a16="http://schemas.microsoft.com/office/drawing/2014/main" id="{00000000-0008-0000-0100-0000C7000000}"/>
            </a:ext>
          </a:extLst>
        </xdr:cNvPr>
        <xdr:cNvCxnSpPr/>
      </xdr:nvCxnSpPr>
      <xdr:spPr>
        <a:xfrm>
          <a:off x="12672695" y="24545290"/>
          <a:ext cx="5022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42951</xdr:colOff>
      <xdr:row>2</xdr:row>
      <xdr:rowOff>0</xdr:rowOff>
    </xdr:from>
    <xdr:to>
      <xdr:col>14</xdr:col>
      <xdr:colOff>42951</xdr:colOff>
      <xdr:row>62</xdr:row>
      <xdr:rowOff>0</xdr:rowOff>
    </xdr:to>
    <xdr:cxnSp macro="">
      <xdr:nvCxnSpPr>
        <xdr:cNvPr id="9" name="Straight Connector 5">
          <a:extLst>
            <a:ext uri="{FF2B5EF4-FFF2-40B4-BE49-F238E27FC236}">
              <a16:creationId xmlns:a16="http://schemas.microsoft.com/office/drawing/2014/main" id="{00000000-0008-0000-0100-000009000000}"/>
            </a:ext>
          </a:extLst>
        </xdr:cNvPr>
        <xdr:cNvCxnSpPr/>
      </xdr:nvCxnSpPr>
      <xdr:spPr>
        <a:xfrm>
          <a:off x="10667365" y="373380"/>
          <a:ext cx="0" cy="367652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0</xdr:colOff>
      <xdr:row>1</xdr:row>
      <xdr:rowOff>15421</xdr:rowOff>
    </xdr:from>
    <xdr:to>
      <xdr:col>16</xdr:col>
      <xdr:colOff>0</xdr:colOff>
      <xdr:row>72</xdr:row>
      <xdr:rowOff>361950</xdr:rowOff>
    </xdr:to>
    <xdr:cxnSp macro="">
      <xdr:nvCxnSpPr>
        <xdr:cNvPr id="10" name="Straight Connector 6">
          <a:extLst>
            <a:ext uri="{FF2B5EF4-FFF2-40B4-BE49-F238E27FC236}">
              <a16:creationId xmlns:a16="http://schemas.microsoft.com/office/drawing/2014/main" id="{00000000-0008-0000-0100-00000A000000}"/>
            </a:ext>
          </a:extLst>
        </xdr:cNvPr>
        <xdr:cNvCxnSpPr/>
      </xdr:nvCxnSpPr>
      <xdr:spPr>
        <a:xfrm>
          <a:off x="11386185" y="83820"/>
          <a:ext cx="0" cy="4063682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605790</xdr:colOff>
      <xdr:row>1</xdr:row>
      <xdr:rowOff>15240</xdr:rowOff>
    </xdr:from>
    <xdr:to>
      <xdr:col>16</xdr:col>
      <xdr:colOff>605790</xdr:colOff>
      <xdr:row>73</xdr:row>
      <xdr:rowOff>0</xdr:rowOff>
    </xdr:to>
    <xdr:cxnSp macro="">
      <xdr:nvCxnSpPr>
        <xdr:cNvPr id="11" name="Straight Connector 7">
          <a:extLst>
            <a:ext uri="{FF2B5EF4-FFF2-40B4-BE49-F238E27FC236}">
              <a16:creationId xmlns:a16="http://schemas.microsoft.com/office/drawing/2014/main" id="{00000000-0008-0000-0100-00000B000000}"/>
            </a:ext>
          </a:extLst>
        </xdr:cNvPr>
        <xdr:cNvCxnSpPr/>
      </xdr:nvCxnSpPr>
      <xdr:spPr>
        <a:xfrm>
          <a:off x="11991975" y="83820"/>
          <a:ext cx="0" cy="4066540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3842</xdr:colOff>
      <xdr:row>1</xdr:row>
      <xdr:rowOff>19050</xdr:rowOff>
    </xdr:from>
    <xdr:to>
      <xdr:col>18</xdr:col>
      <xdr:colOff>3842</xdr:colOff>
      <xdr:row>72</xdr:row>
      <xdr:rowOff>361950</xdr:rowOff>
    </xdr:to>
    <xdr:cxnSp macro="">
      <xdr:nvCxnSpPr>
        <xdr:cNvPr id="12" name="Straight Connector 8">
          <a:extLst>
            <a:ext uri="{FF2B5EF4-FFF2-40B4-BE49-F238E27FC236}">
              <a16:creationId xmlns:a16="http://schemas.microsoft.com/office/drawing/2014/main" id="{00000000-0008-0000-0100-00000C000000}"/>
            </a:ext>
          </a:extLst>
        </xdr:cNvPr>
        <xdr:cNvCxnSpPr/>
      </xdr:nvCxnSpPr>
      <xdr:spPr>
        <a:xfrm>
          <a:off x="12778105" y="87630"/>
          <a:ext cx="0" cy="406330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607695</xdr:colOff>
      <xdr:row>1</xdr:row>
      <xdr:rowOff>30480</xdr:rowOff>
    </xdr:from>
    <xdr:to>
      <xdr:col>18</xdr:col>
      <xdr:colOff>607695</xdr:colOff>
      <xdr:row>72</xdr:row>
      <xdr:rowOff>323850</xdr:rowOff>
    </xdr:to>
    <xdr:cxnSp macro="">
      <xdr:nvCxnSpPr>
        <xdr:cNvPr id="13" name="Straight Connector 9">
          <a:extLst>
            <a:ext uri="{FF2B5EF4-FFF2-40B4-BE49-F238E27FC236}">
              <a16:creationId xmlns:a16="http://schemas.microsoft.com/office/drawing/2014/main" id="{00000000-0008-0000-0100-00000D000000}"/>
            </a:ext>
          </a:extLst>
        </xdr:cNvPr>
        <xdr:cNvCxnSpPr/>
      </xdr:nvCxnSpPr>
      <xdr:spPr>
        <a:xfrm>
          <a:off x="13381990" y="99060"/>
          <a:ext cx="0" cy="4058348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0</xdr:colOff>
      <xdr:row>1</xdr:row>
      <xdr:rowOff>19050</xdr:rowOff>
    </xdr:from>
    <xdr:to>
      <xdr:col>20</xdr:col>
      <xdr:colOff>0</xdr:colOff>
      <xdr:row>72</xdr:row>
      <xdr:rowOff>381000</xdr:rowOff>
    </xdr:to>
    <xdr:cxnSp macro="">
      <xdr:nvCxnSpPr>
        <xdr:cNvPr id="14" name="Straight Connector 10">
          <a:extLst>
            <a:ext uri="{FF2B5EF4-FFF2-40B4-BE49-F238E27FC236}">
              <a16:creationId xmlns:a16="http://schemas.microsoft.com/office/drawing/2014/main" id="{00000000-0008-0000-0100-00000E000000}"/>
            </a:ext>
          </a:extLst>
        </xdr:cNvPr>
        <xdr:cNvCxnSpPr/>
      </xdr:nvCxnSpPr>
      <xdr:spPr>
        <a:xfrm>
          <a:off x="14162405" y="87630"/>
          <a:ext cx="0" cy="4065206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479102</xdr:colOff>
      <xdr:row>1</xdr:row>
      <xdr:rowOff>0</xdr:rowOff>
    </xdr:from>
    <xdr:to>
      <xdr:col>18</xdr:col>
      <xdr:colOff>479102</xdr:colOff>
      <xdr:row>72</xdr:row>
      <xdr:rowOff>371475</xdr:rowOff>
    </xdr:to>
    <xdr:cxnSp macro="">
      <xdr:nvCxnSpPr>
        <xdr:cNvPr id="15" name="Straight Connector 10">
          <a:extLst>
            <a:ext uri="{FF2B5EF4-FFF2-40B4-BE49-F238E27FC236}">
              <a16:creationId xmlns:a16="http://schemas.microsoft.com/office/drawing/2014/main" id="{00000000-0008-0000-0100-00000F000000}"/>
            </a:ext>
          </a:extLst>
        </xdr:cNvPr>
        <xdr:cNvCxnSpPr/>
      </xdr:nvCxnSpPr>
      <xdr:spPr>
        <a:xfrm>
          <a:off x="13253085" y="68580"/>
          <a:ext cx="0" cy="40661590"/>
        </a:xfrm>
        <a:prstGeom prst="line">
          <a:avLst/>
        </a:prstGeom>
        <a:ln w="1905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276229</xdr:colOff>
      <xdr:row>73</xdr:row>
      <xdr:rowOff>19050</xdr:rowOff>
    </xdr:from>
    <xdr:to>
      <xdr:col>18</xdr:col>
      <xdr:colOff>430723</xdr:colOff>
      <xdr:row>79</xdr:row>
      <xdr:rowOff>16980</xdr:rowOff>
    </xdr:to>
    <xdr:sp macro="" textlink="">
      <xdr:nvSpPr>
        <xdr:cNvPr id="4" name="TextBox 13">
          <a:extLst>
            <a:ext uri="{FF2B5EF4-FFF2-40B4-BE49-F238E27FC236}">
              <a16:creationId xmlns:a16="http://schemas.microsoft.com/office/drawing/2014/main" id="{00000000-0008-0000-0100-000004000000}"/>
            </a:ext>
          </a:extLst>
        </xdr:cNvPr>
        <xdr:cNvSpPr txBox="1"/>
      </xdr:nvSpPr>
      <xdr:spPr>
        <a:xfrm rot="16200000">
          <a:off x="12488545" y="41329610"/>
          <a:ext cx="1277620" cy="1543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700" b="1">
              <a:solidFill>
                <a:schemeClr val="dk1"/>
              </a:solidFill>
              <a:latin typeface="+mn-lt"/>
              <a:ea typeface="+mn-lt"/>
              <a:cs typeface="+mn-lt"/>
            </a:rPr>
            <a:t>Contract. TCC: 24-Jul-26</a:t>
          </a:r>
        </a:p>
      </xdr:txBody>
    </xdr:sp>
    <xdr:clientData/>
  </xdr:twoCellAnchor>
  <xdr:twoCellAnchor>
    <xdr:from>
      <xdr:col>16</xdr:col>
      <xdr:colOff>74543</xdr:colOff>
      <xdr:row>3</xdr:row>
      <xdr:rowOff>295382</xdr:rowOff>
    </xdr:from>
    <xdr:to>
      <xdr:col>17</xdr:col>
      <xdr:colOff>67235</xdr:colOff>
      <xdr:row>3</xdr:row>
      <xdr:rowOff>295382</xdr:rowOff>
    </xdr:to>
    <xdr:cxnSp macro="">
      <xdr:nvCxnSpPr>
        <xdr:cNvPr id="59" name="Straight Connector 18">
          <a:extLst>
            <a:ext uri="{FF2B5EF4-FFF2-40B4-BE49-F238E27FC236}">
              <a16:creationId xmlns:a16="http://schemas.microsoft.com/office/drawing/2014/main" id="{00000000-0008-0000-0100-00003B000000}"/>
            </a:ext>
          </a:extLst>
        </xdr:cNvPr>
        <xdr:cNvCxnSpPr/>
      </xdr:nvCxnSpPr>
      <xdr:spPr>
        <a:xfrm>
          <a:off x="11460480" y="668655"/>
          <a:ext cx="68643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596941</xdr:colOff>
      <xdr:row>4</xdr:row>
      <xdr:rowOff>297922</xdr:rowOff>
    </xdr:from>
    <xdr:to>
      <xdr:col>17</xdr:col>
      <xdr:colOff>515471</xdr:colOff>
      <xdr:row>4</xdr:row>
      <xdr:rowOff>297922</xdr:rowOff>
    </xdr:to>
    <xdr:cxnSp macro="">
      <xdr:nvCxnSpPr>
        <xdr:cNvPr id="57" name="Straight Connector 19">
          <a:extLst>
            <a:ext uri="{FF2B5EF4-FFF2-40B4-BE49-F238E27FC236}">
              <a16:creationId xmlns:a16="http://schemas.microsoft.com/office/drawing/2014/main" id="{00000000-0008-0000-0100-000039000000}"/>
            </a:ext>
          </a:extLst>
        </xdr:cNvPr>
        <xdr:cNvCxnSpPr/>
      </xdr:nvCxnSpPr>
      <xdr:spPr>
        <a:xfrm>
          <a:off x="11983085" y="1242695"/>
          <a:ext cx="61214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411443</xdr:colOff>
      <xdr:row>9</xdr:row>
      <xdr:rowOff>287399</xdr:rowOff>
    </xdr:from>
    <xdr:to>
      <xdr:col>17</xdr:col>
      <xdr:colOff>99391</xdr:colOff>
      <xdr:row>9</xdr:row>
      <xdr:rowOff>287399</xdr:rowOff>
    </xdr:to>
    <xdr:cxnSp macro="">
      <xdr:nvCxnSpPr>
        <xdr:cNvPr id="21" name="Straight Connector 20">
          <a:extLst>
            <a:ext uri="{FF2B5EF4-FFF2-40B4-BE49-F238E27FC236}">
              <a16:creationId xmlns:a16="http://schemas.microsoft.com/office/drawing/2014/main" id="{00000000-0008-0000-0100-000015000000}"/>
            </a:ext>
          </a:extLst>
        </xdr:cNvPr>
        <xdr:cNvCxnSpPr/>
      </xdr:nvCxnSpPr>
      <xdr:spPr>
        <a:xfrm>
          <a:off x="11797030" y="4146550"/>
          <a:ext cx="3822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111672</xdr:colOff>
      <xdr:row>14</xdr:row>
      <xdr:rowOff>274162</xdr:rowOff>
    </xdr:from>
    <xdr:to>
      <xdr:col>17</xdr:col>
      <xdr:colOff>381000</xdr:colOff>
      <xdr:row>14</xdr:row>
      <xdr:rowOff>274162</xdr:rowOff>
    </xdr:to>
    <xdr:cxnSp macro="">
      <xdr:nvCxnSpPr>
        <xdr:cNvPr id="72" name="Straight Connector 21">
          <a:extLst>
            <a:ext uri="{FF2B5EF4-FFF2-40B4-BE49-F238E27FC236}">
              <a16:creationId xmlns:a16="http://schemas.microsoft.com/office/drawing/2014/main" id="{00000000-0008-0000-0100-000048000000}"/>
            </a:ext>
          </a:extLst>
        </xdr:cNvPr>
        <xdr:cNvCxnSpPr/>
      </xdr:nvCxnSpPr>
      <xdr:spPr>
        <a:xfrm>
          <a:off x="12191365" y="7047865"/>
          <a:ext cx="26987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188097</xdr:colOff>
      <xdr:row>19</xdr:row>
      <xdr:rowOff>285221</xdr:rowOff>
    </xdr:from>
    <xdr:to>
      <xdr:col>17</xdr:col>
      <xdr:colOff>479534</xdr:colOff>
      <xdr:row>19</xdr:row>
      <xdr:rowOff>285221</xdr:rowOff>
    </xdr:to>
    <xdr:cxnSp macro="">
      <xdr:nvCxnSpPr>
        <xdr:cNvPr id="100" name="Straight Connector 22">
          <a:extLst>
            <a:ext uri="{FF2B5EF4-FFF2-40B4-BE49-F238E27FC236}">
              <a16:creationId xmlns:a16="http://schemas.microsoft.com/office/drawing/2014/main" id="{00000000-0008-0000-0100-000064000000}"/>
            </a:ext>
          </a:extLst>
        </xdr:cNvPr>
        <xdr:cNvCxnSpPr/>
      </xdr:nvCxnSpPr>
      <xdr:spPr>
        <a:xfrm>
          <a:off x="12268200" y="9973945"/>
          <a:ext cx="2914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566618</xdr:colOff>
      <xdr:row>24</xdr:row>
      <xdr:rowOff>296817</xdr:rowOff>
    </xdr:from>
    <xdr:to>
      <xdr:col>18</xdr:col>
      <xdr:colOff>101929</xdr:colOff>
      <xdr:row>24</xdr:row>
      <xdr:rowOff>296817</xdr:rowOff>
    </xdr:to>
    <xdr:cxnSp macro="">
      <xdr:nvCxnSpPr>
        <xdr:cNvPr id="123" name="Straight Connector 23">
          <a:extLst>
            <a:ext uri="{FF2B5EF4-FFF2-40B4-BE49-F238E27FC236}">
              <a16:creationId xmlns:a16="http://schemas.microsoft.com/office/drawing/2014/main" id="{00000000-0008-0000-0100-00007B000000}"/>
            </a:ext>
          </a:extLst>
        </xdr:cNvPr>
        <xdr:cNvCxnSpPr/>
      </xdr:nvCxnSpPr>
      <xdr:spPr>
        <a:xfrm>
          <a:off x="12646660" y="12900025"/>
          <a:ext cx="22923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105738</xdr:colOff>
      <xdr:row>29</xdr:row>
      <xdr:rowOff>302536</xdr:rowOff>
    </xdr:from>
    <xdr:to>
      <xdr:col>18</xdr:col>
      <xdr:colOff>268263</xdr:colOff>
      <xdr:row>29</xdr:row>
      <xdr:rowOff>302536</xdr:rowOff>
    </xdr:to>
    <xdr:cxnSp macro="">
      <xdr:nvCxnSpPr>
        <xdr:cNvPr id="135" name="Straight Connector 24">
          <a:extLst>
            <a:ext uri="{FF2B5EF4-FFF2-40B4-BE49-F238E27FC236}">
              <a16:creationId xmlns:a16="http://schemas.microsoft.com/office/drawing/2014/main" id="{00000000-0008-0000-0100-000087000000}"/>
            </a:ext>
          </a:extLst>
        </xdr:cNvPr>
        <xdr:cNvCxnSpPr/>
      </xdr:nvCxnSpPr>
      <xdr:spPr>
        <a:xfrm>
          <a:off x="12879705" y="15820390"/>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213739</xdr:colOff>
      <xdr:row>34</xdr:row>
      <xdr:rowOff>294655</xdr:rowOff>
    </xdr:from>
    <xdr:to>
      <xdr:col>18</xdr:col>
      <xdr:colOff>387490</xdr:colOff>
      <xdr:row>34</xdr:row>
      <xdr:rowOff>294655</xdr:rowOff>
    </xdr:to>
    <xdr:cxnSp macro="">
      <xdr:nvCxnSpPr>
        <xdr:cNvPr id="161" name="Straight Connector 25">
          <a:extLst>
            <a:ext uri="{FF2B5EF4-FFF2-40B4-BE49-F238E27FC236}">
              <a16:creationId xmlns:a16="http://schemas.microsoft.com/office/drawing/2014/main" id="{00000000-0008-0000-0100-0000A1000000}"/>
            </a:ext>
          </a:extLst>
        </xdr:cNvPr>
        <xdr:cNvCxnSpPr/>
      </xdr:nvCxnSpPr>
      <xdr:spPr>
        <a:xfrm>
          <a:off x="12987655" y="18727420"/>
          <a:ext cx="1739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314891</xdr:colOff>
      <xdr:row>39</xdr:row>
      <xdr:rowOff>302786</xdr:rowOff>
    </xdr:from>
    <xdr:to>
      <xdr:col>18</xdr:col>
      <xdr:colOff>465883</xdr:colOff>
      <xdr:row>39</xdr:row>
      <xdr:rowOff>302786</xdr:rowOff>
    </xdr:to>
    <xdr:cxnSp macro="">
      <xdr:nvCxnSpPr>
        <xdr:cNvPr id="184" name="Straight Connector 26">
          <a:extLst>
            <a:ext uri="{FF2B5EF4-FFF2-40B4-BE49-F238E27FC236}">
              <a16:creationId xmlns:a16="http://schemas.microsoft.com/office/drawing/2014/main" id="{00000000-0008-0000-0100-0000B8000000}"/>
            </a:ext>
          </a:extLst>
        </xdr:cNvPr>
        <xdr:cNvCxnSpPr/>
      </xdr:nvCxnSpPr>
      <xdr:spPr>
        <a:xfrm>
          <a:off x="13088620" y="21649690"/>
          <a:ext cx="1511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274552</xdr:colOff>
      <xdr:row>59</xdr:row>
      <xdr:rowOff>270412</xdr:rowOff>
    </xdr:from>
    <xdr:to>
      <xdr:col>18</xdr:col>
      <xdr:colOff>141343</xdr:colOff>
      <xdr:row>59</xdr:row>
      <xdr:rowOff>270412</xdr:rowOff>
    </xdr:to>
    <xdr:cxnSp macro="">
      <xdr:nvCxnSpPr>
        <xdr:cNvPr id="246" name="Straight Connector 2">
          <a:extLst>
            <a:ext uri="{FF2B5EF4-FFF2-40B4-BE49-F238E27FC236}">
              <a16:creationId xmlns:a16="http://schemas.microsoft.com/office/drawing/2014/main" id="{00000000-0008-0000-0100-0000F6000000}"/>
            </a:ext>
          </a:extLst>
        </xdr:cNvPr>
        <xdr:cNvCxnSpPr/>
      </xdr:nvCxnSpPr>
      <xdr:spPr>
        <a:xfrm>
          <a:off x="12354560" y="36436935"/>
          <a:ext cx="56070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438473</xdr:colOff>
      <xdr:row>50</xdr:row>
      <xdr:rowOff>192815</xdr:rowOff>
    </xdr:from>
    <xdr:to>
      <xdr:col>19</xdr:col>
      <xdr:colOff>583406</xdr:colOff>
      <xdr:row>50</xdr:row>
      <xdr:rowOff>192815</xdr:rowOff>
    </xdr:to>
    <xdr:cxnSp macro="">
      <xdr:nvCxnSpPr>
        <xdr:cNvPr id="33" name="Straight Connector 19">
          <a:extLst>
            <a:ext uri="{FF2B5EF4-FFF2-40B4-BE49-F238E27FC236}">
              <a16:creationId xmlns:a16="http://schemas.microsoft.com/office/drawing/2014/main" id="{00000000-0008-0000-0100-000021000000}"/>
            </a:ext>
          </a:extLst>
        </xdr:cNvPr>
        <xdr:cNvCxnSpPr/>
      </xdr:nvCxnSpPr>
      <xdr:spPr>
        <a:xfrm>
          <a:off x="13906500" y="33387665"/>
          <a:ext cx="1447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582421</xdr:colOff>
      <xdr:row>51</xdr:row>
      <xdr:rowOff>203191</xdr:rowOff>
    </xdr:from>
    <xdr:to>
      <xdr:col>20</xdr:col>
      <xdr:colOff>137949</xdr:colOff>
      <xdr:row>51</xdr:row>
      <xdr:rowOff>203191</xdr:rowOff>
    </xdr:to>
    <xdr:cxnSp macro="">
      <xdr:nvCxnSpPr>
        <xdr:cNvPr id="229" name="Straight Connector 19">
          <a:extLst>
            <a:ext uri="{FF2B5EF4-FFF2-40B4-BE49-F238E27FC236}">
              <a16:creationId xmlns:a16="http://schemas.microsoft.com/office/drawing/2014/main" id="{00000000-0008-0000-0100-0000E5000000}"/>
            </a:ext>
          </a:extLst>
        </xdr:cNvPr>
        <xdr:cNvCxnSpPr/>
      </xdr:nvCxnSpPr>
      <xdr:spPr>
        <a:xfrm>
          <a:off x="14050645" y="33765490"/>
          <a:ext cx="249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180206</xdr:colOff>
      <xdr:row>52</xdr:row>
      <xdr:rowOff>183371</xdr:rowOff>
    </xdr:from>
    <xdr:to>
      <xdr:col>20</xdr:col>
      <xdr:colOff>280317</xdr:colOff>
      <xdr:row>52</xdr:row>
      <xdr:rowOff>183371</xdr:rowOff>
    </xdr:to>
    <xdr:cxnSp macro="">
      <xdr:nvCxnSpPr>
        <xdr:cNvPr id="230" name="Straight Connector 19">
          <a:extLst>
            <a:ext uri="{FF2B5EF4-FFF2-40B4-BE49-F238E27FC236}">
              <a16:creationId xmlns:a16="http://schemas.microsoft.com/office/drawing/2014/main" id="{00000000-0008-0000-0100-0000E6000000}"/>
            </a:ext>
          </a:extLst>
        </xdr:cNvPr>
        <xdr:cNvCxnSpPr/>
      </xdr:nvCxnSpPr>
      <xdr:spPr>
        <a:xfrm>
          <a:off x="14342110" y="34113470"/>
          <a:ext cx="1003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292210</xdr:colOff>
      <xdr:row>53</xdr:row>
      <xdr:rowOff>208634</xdr:rowOff>
    </xdr:from>
    <xdr:to>
      <xdr:col>20</xdr:col>
      <xdr:colOff>341587</xdr:colOff>
      <xdr:row>53</xdr:row>
      <xdr:rowOff>208634</xdr:rowOff>
    </xdr:to>
    <xdr:cxnSp macro="">
      <xdr:nvCxnSpPr>
        <xdr:cNvPr id="235" name="Straight Connector 19">
          <a:extLst>
            <a:ext uri="{FF2B5EF4-FFF2-40B4-BE49-F238E27FC236}">
              <a16:creationId xmlns:a16="http://schemas.microsoft.com/office/drawing/2014/main" id="{00000000-0008-0000-0100-0000EB000000}"/>
            </a:ext>
          </a:extLst>
        </xdr:cNvPr>
        <xdr:cNvCxnSpPr/>
      </xdr:nvCxnSpPr>
      <xdr:spPr>
        <a:xfrm>
          <a:off x="14454505" y="34506535"/>
          <a:ext cx="488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315311</xdr:colOff>
      <xdr:row>54</xdr:row>
      <xdr:rowOff>190776</xdr:rowOff>
    </xdr:from>
    <xdr:to>
      <xdr:col>20</xdr:col>
      <xdr:colOff>371257</xdr:colOff>
      <xdr:row>54</xdr:row>
      <xdr:rowOff>190776</xdr:rowOff>
    </xdr:to>
    <xdr:cxnSp macro="">
      <xdr:nvCxnSpPr>
        <xdr:cNvPr id="234" name="Straight Connector 19">
          <a:extLst>
            <a:ext uri="{FF2B5EF4-FFF2-40B4-BE49-F238E27FC236}">
              <a16:creationId xmlns:a16="http://schemas.microsoft.com/office/drawing/2014/main" id="{00000000-0008-0000-0100-0000EA000000}"/>
            </a:ext>
          </a:extLst>
        </xdr:cNvPr>
        <xdr:cNvCxnSpPr/>
      </xdr:nvCxnSpPr>
      <xdr:spPr>
        <a:xfrm>
          <a:off x="14477365" y="34856420"/>
          <a:ext cx="558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280148</xdr:colOff>
      <xdr:row>6</xdr:row>
      <xdr:rowOff>314250</xdr:rowOff>
    </xdr:from>
    <xdr:to>
      <xdr:col>18</xdr:col>
      <xdr:colOff>383420</xdr:colOff>
      <xdr:row>6</xdr:row>
      <xdr:rowOff>314250</xdr:rowOff>
    </xdr:to>
    <xdr:cxnSp macro="">
      <xdr:nvCxnSpPr>
        <xdr:cNvPr id="20" name="Straight Connector 39">
          <a:extLst>
            <a:ext uri="{FF2B5EF4-FFF2-40B4-BE49-F238E27FC236}">
              <a16:creationId xmlns:a16="http://schemas.microsoft.com/office/drawing/2014/main" id="{00000000-0008-0000-0100-000014000000}"/>
            </a:ext>
          </a:extLst>
        </xdr:cNvPr>
        <xdr:cNvCxnSpPr/>
      </xdr:nvCxnSpPr>
      <xdr:spPr>
        <a:xfrm>
          <a:off x="13054330" y="2401570"/>
          <a:ext cx="1028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123265</xdr:colOff>
      <xdr:row>10</xdr:row>
      <xdr:rowOff>294747</xdr:rowOff>
    </xdr:from>
    <xdr:to>
      <xdr:col>17</xdr:col>
      <xdr:colOff>515471</xdr:colOff>
      <xdr:row>10</xdr:row>
      <xdr:rowOff>294747</xdr:rowOff>
    </xdr:to>
    <xdr:cxnSp macro="">
      <xdr:nvCxnSpPr>
        <xdr:cNvPr id="71" name="Straight Connector 41">
          <a:extLst>
            <a:ext uri="{FF2B5EF4-FFF2-40B4-BE49-F238E27FC236}">
              <a16:creationId xmlns:a16="http://schemas.microsoft.com/office/drawing/2014/main" id="{00000000-0008-0000-0100-000047000000}"/>
            </a:ext>
          </a:extLst>
        </xdr:cNvPr>
        <xdr:cNvCxnSpPr/>
      </xdr:nvCxnSpPr>
      <xdr:spPr>
        <a:xfrm>
          <a:off x="12203430" y="4725670"/>
          <a:ext cx="39179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515471</xdr:colOff>
      <xdr:row>15</xdr:row>
      <xdr:rowOff>276249</xdr:rowOff>
    </xdr:from>
    <xdr:to>
      <xdr:col>18</xdr:col>
      <xdr:colOff>67236</xdr:colOff>
      <xdr:row>15</xdr:row>
      <xdr:rowOff>276249</xdr:rowOff>
    </xdr:to>
    <xdr:cxnSp macro="">
      <xdr:nvCxnSpPr>
        <xdr:cNvPr id="82" name="Straight Connector 42">
          <a:extLst>
            <a:ext uri="{FF2B5EF4-FFF2-40B4-BE49-F238E27FC236}">
              <a16:creationId xmlns:a16="http://schemas.microsoft.com/office/drawing/2014/main" id="{00000000-0008-0000-0100-000052000000}"/>
            </a:ext>
          </a:extLst>
        </xdr:cNvPr>
        <xdr:cNvCxnSpPr/>
      </xdr:nvCxnSpPr>
      <xdr:spPr>
        <a:xfrm>
          <a:off x="12595225" y="7621905"/>
          <a:ext cx="24574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47730</xdr:colOff>
      <xdr:row>20</xdr:row>
      <xdr:rowOff>264791</xdr:rowOff>
    </xdr:from>
    <xdr:to>
      <xdr:col>18</xdr:col>
      <xdr:colOff>210207</xdr:colOff>
      <xdr:row>20</xdr:row>
      <xdr:rowOff>264791</xdr:rowOff>
    </xdr:to>
    <xdr:cxnSp macro="">
      <xdr:nvCxnSpPr>
        <xdr:cNvPr id="109" name="Straight Connector 43">
          <a:extLst>
            <a:ext uri="{FF2B5EF4-FFF2-40B4-BE49-F238E27FC236}">
              <a16:creationId xmlns:a16="http://schemas.microsoft.com/office/drawing/2014/main" id="{00000000-0008-0000-0100-00006D000000}"/>
            </a:ext>
          </a:extLst>
        </xdr:cNvPr>
        <xdr:cNvCxnSpPr/>
      </xdr:nvCxnSpPr>
      <xdr:spPr>
        <a:xfrm>
          <a:off x="12821920" y="10524490"/>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151086</xdr:colOff>
      <xdr:row>25</xdr:row>
      <xdr:rowOff>297922</xdr:rowOff>
    </xdr:from>
    <xdr:to>
      <xdr:col>18</xdr:col>
      <xdr:colOff>297657</xdr:colOff>
      <xdr:row>25</xdr:row>
      <xdr:rowOff>297922</xdr:rowOff>
    </xdr:to>
    <xdr:cxnSp macro="">
      <xdr:nvCxnSpPr>
        <xdr:cNvPr id="45" name="Straight Connector 44">
          <a:extLst>
            <a:ext uri="{FF2B5EF4-FFF2-40B4-BE49-F238E27FC236}">
              <a16:creationId xmlns:a16="http://schemas.microsoft.com/office/drawing/2014/main" id="{00000000-0008-0000-0100-00002D000000}"/>
            </a:ext>
          </a:extLst>
        </xdr:cNvPr>
        <xdr:cNvCxnSpPr/>
      </xdr:nvCxnSpPr>
      <xdr:spPr>
        <a:xfrm>
          <a:off x="12924790" y="13472795"/>
          <a:ext cx="1466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279290</xdr:colOff>
      <xdr:row>30</xdr:row>
      <xdr:rowOff>286016</xdr:rowOff>
    </xdr:from>
    <xdr:to>
      <xdr:col>18</xdr:col>
      <xdr:colOff>387569</xdr:colOff>
      <xdr:row>30</xdr:row>
      <xdr:rowOff>286016</xdr:rowOff>
    </xdr:to>
    <xdr:cxnSp macro="">
      <xdr:nvCxnSpPr>
        <xdr:cNvPr id="143" name="Straight Connector 45">
          <a:extLst>
            <a:ext uri="{FF2B5EF4-FFF2-40B4-BE49-F238E27FC236}">
              <a16:creationId xmlns:a16="http://schemas.microsoft.com/office/drawing/2014/main" id="{00000000-0008-0000-0100-00008F000000}"/>
            </a:ext>
          </a:extLst>
        </xdr:cNvPr>
        <xdr:cNvCxnSpPr/>
      </xdr:nvCxnSpPr>
      <xdr:spPr>
        <a:xfrm>
          <a:off x="13053060" y="16375380"/>
          <a:ext cx="1085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386013</xdr:colOff>
      <xdr:row>35</xdr:row>
      <xdr:rowOff>297922</xdr:rowOff>
    </xdr:from>
    <xdr:to>
      <xdr:col>18</xdr:col>
      <xdr:colOff>475623</xdr:colOff>
      <xdr:row>35</xdr:row>
      <xdr:rowOff>297922</xdr:rowOff>
    </xdr:to>
    <xdr:cxnSp macro="">
      <xdr:nvCxnSpPr>
        <xdr:cNvPr id="165" name="Straight Connector 46">
          <a:extLst>
            <a:ext uri="{FF2B5EF4-FFF2-40B4-BE49-F238E27FC236}">
              <a16:creationId xmlns:a16="http://schemas.microsoft.com/office/drawing/2014/main" id="{00000000-0008-0000-0100-0000A5000000}"/>
            </a:ext>
          </a:extLst>
        </xdr:cNvPr>
        <xdr:cNvCxnSpPr/>
      </xdr:nvCxnSpPr>
      <xdr:spPr>
        <a:xfrm>
          <a:off x="13159740" y="19302095"/>
          <a:ext cx="901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291353</xdr:colOff>
      <xdr:row>11</xdr:row>
      <xdr:rowOff>305967</xdr:rowOff>
    </xdr:from>
    <xdr:to>
      <xdr:col>18</xdr:col>
      <xdr:colOff>437030</xdr:colOff>
      <xdr:row>11</xdr:row>
      <xdr:rowOff>305967</xdr:rowOff>
    </xdr:to>
    <xdr:cxnSp macro="">
      <xdr:nvCxnSpPr>
        <xdr:cNvPr id="74" name="Straight Connector 48">
          <a:extLst>
            <a:ext uri="{FF2B5EF4-FFF2-40B4-BE49-F238E27FC236}">
              <a16:creationId xmlns:a16="http://schemas.microsoft.com/office/drawing/2014/main" id="{00000000-0008-0000-0100-00004A000000}"/>
            </a:ext>
          </a:extLst>
        </xdr:cNvPr>
        <xdr:cNvCxnSpPr/>
      </xdr:nvCxnSpPr>
      <xdr:spPr>
        <a:xfrm>
          <a:off x="13065125" y="5307965"/>
          <a:ext cx="14605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434578</xdr:colOff>
      <xdr:row>16</xdr:row>
      <xdr:rowOff>314250</xdr:rowOff>
    </xdr:from>
    <xdr:to>
      <xdr:col>18</xdr:col>
      <xdr:colOff>492673</xdr:colOff>
      <xdr:row>16</xdr:row>
      <xdr:rowOff>314250</xdr:rowOff>
    </xdr:to>
    <xdr:cxnSp macro="">
      <xdr:nvCxnSpPr>
        <xdr:cNvPr id="50" name="Straight Connector 49">
          <a:extLst>
            <a:ext uri="{FF2B5EF4-FFF2-40B4-BE49-F238E27FC236}">
              <a16:creationId xmlns:a16="http://schemas.microsoft.com/office/drawing/2014/main" id="{00000000-0008-0000-0100-000032000000}"/>
            </a:ext>
          </a:extLst>
        </xdr:cNvPr>
        <xdr:cNvCxnSpPr/>
      </xdr:nvCxnSpPr>
      <xdr:spPr>
        <a:xfrm>
          <a:off x="13208635" y="8230870"/>
          <a:ext cx="577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573786</xdr:colOff>
      <xdr:row>21</xdr:row>
      <xdr:rowOff>317425</xdr:rowOff>
    </xdr:from>
    <xdr:to>
      <xdr:col>19</xdr:col>
      <xdr:colOff>138554</xdr:colOff>
      <xdr:row>21</xdr:row>
      <xdr:rowOff>317425</xdr:rowOff>
    </xdr:to>
    <xdr:cxnSp macro="">
      <xdr:nvCxnSpPr>
        <xdr:cNvPr id="111" name="Straight Connector 50">
          <a:extLst>
            <a:ext uri="{FF2B5EF4-FFF2-40B4-BE49-F238E27FC236}">
              <a16:creationId xmlns:a16="http://schemas.microsoft.com/office/drawing/2014/main" id="{00000000-0008-0000-0100-00006F000000}"/>
            </a:ext>
          </a:extLst>
        </xdr:cNvPr>
        <xdr:cNvCxnSpPr/>
      </xdr:nvCxnSpPr>
      <xdr:spPr>
        <a:xfrm>
          <a:off x="13347700" y="11148695"/>
          <a:ext cx="2590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84859</xdr:colOff>
      <xdr:row>26</xdr:row>
      <xdr:rowOff>317425</xdr:rowOff>
    </xdr:from>
    <xdr:to>
      <xdr:col>19</xdr:col>
      <xdr:colOff>352998</xdr:colOff>
      <xdr:row>26</xdr:row>
      <xdr:rowOff>317425</xdr:rowOff>
    </xdr:to>
    <xdr:cxnSp macro="">
      <xdr:nvCxnSpPr>
        <xdr:cNvPr id="129" name="Straight Connector 51">
          <a:extLst>
            <a:ext uri="{FF2B5EF4-FFF2-40B4-BE49-F238E27FC236}">
              <a16:creationId xmlns:a16="http://schemas.microsoft.com/office/drawing/2014/main" id="{00000000-0008-0000-0100-000081000000}"/>
            </a:ext>
          </a:extLst>
        </xdr:cNvPr>
        <xdr:cNvCxnSpPr/>
      </xdr:nvCxnSpPr>
      <xdr:spPr>
        <a:xfrm>
          <a:off x="13552805" y="14063345"/>
          <a:ext cx="2679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267505</xdr:colOff>
      <xdr:row>31</xdr:row>
      <xdr:rowOff>266625</xdr:rowOff>
    </xdr:from>
    <xdr:to>
      <xdr:col>19</xdr:col>
      <xdr:colOff>419077</xdr:colOff>
      <xdr:row>31</xdr:row>
      <xdr:rowOff>266625</xdr:rowOff>
    </xdr:to>
    <xdr:cxnSp macro="">
      <xdr:nvCxnSpPr>
        <xdr:cNvPr id="147" name="Straight Connector 52">
          <a:extLst>
            <a:ext uri="{FF2B5EF4-FFF2-40B4-BE49-F238E27FC236}">
              <a16:creationId xmlns:a16="http://schemas.microsoft.com/office/drawing/2014/main" id="{00000000-0008-0000-0100-000093000000}"/>
            </a:ext>
          </a:extLst>
        </xdr:cNvPr>
        <xdr:cNvCxnSpPr/>
      </xdr:nvCxnSpPr>
      <xdr:spPr>
        <a:xfrm>
          <a:off x="13735685" y="16927195"/>
          <a:ext cx="1511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449712</xdr:colOff>
      <xdr:row>36</xdr:row>
      <xdr:rowOff>317425</xdr:rowOff>
    </xdr:from>
    <xdr:to>
      <xdr:col>19</xdr:col>
      <xdr:colOff>585096</xdr:colOff>
      <xdr:row>36</xdr:row>
      <xdr:rowOff>317425</xdr:rowOff>
    </xdr:to>
    <xdr:cxnSp macro="">
      <xdr:nvCxnSpPr>
        <xdr:cNvPr id="174" name="Straight Connector 53">
          <a:extLst>
            <a:ext uri="{FF2B5EF4-FFF2-40B4-BE49-F238E27FC236}">
              <a16:creationId xmlns:a16="http://schemas.microsoft.com/office/drawing/2014/main" id="{00000000-0008-0000-0100-0000AE000000}"/>
            </a:ext>
          </a:extLst>
        </xdr:cNvPr>
        <xdr:cNvCxnSpPr/>
      </xdr:nvCxnSpPr>
      <xdr:spPr>
        <a:xfrm>
          <a:off x="13917930" y="19892645"/>
          <a:ext cx="1352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581892</xdr:colOff>
      <xdr:row>41</xdr:row>
      <xdr:rowOff>293216</xdr:rowOff>
    </xdr:from>
    <xdr:to>
      <xdr:col>19</xdr:col>
      <xdr:colOff>93618</xdr:colOff>
      <xdr:row>41</xdr:row>
      <xdr:rowOff>293216</xdr:rowOff>
    </xdr:to>
    <xdr:cxnSp macro="">
      <xdr:nvCxnSpPr>
        <xdr:cNvPr id="194" name="Straight Connector 54">
          <a:extLst>
            <a:ext uri="{FF2B5EF4-FFF2-40B4-BE49-F238E27FC236}">
              <a16:creationId xmlns:a16="http://schemas.microsoft.com/office/drawing/2014/main" id="{00000000-0008-0000-0100-0000C2000000}"/>
            </a:ext>
          </a:extLst>
        </xdr:cNvPr>
        <xdr:cNvCxnSpPr/>
      </xdr:nvCxnSpPr>
      <xdr:spPr>
        <a:xfrm>
          <a:off x="13355955" y="22783165"/>
          <a:ext cx="2057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368819</xdr:colOff>
      <xdr:row>7</xdr:row>
      <xdr:rowOff>275273</xdr:rowOff>
    </xdr:from>
    <xdr:to>
      <xdr:col>18</xdr:col>
      <xdr:colOff>425824</xdr:colOff>
      <xdr:row>7</xdr:row>
      <xdr:rowOff>275273</xdr:rowOff>
    </xdr:to>
    <xdr:cxnSp macro="">
      <xdr:nvCxnSpPr>
        <xdr:cNvPr id="60" name="Straight Connector 30">
          <a:extLst>
            <a:ext uri="{FF2B5EF4-FFF2-40B4-BE49-F238E27FC236}">
              <a16:creationId xmlns:a16="http://schemas.microsoft.com/office/drawing/2014/main" id="{00000000-0008-0000-0100-00003C000000}"/>
            </a:ext>
          </a:extLst>
        </xdr:cNvPr>
        <xdr:cNvCxnSpPr/>
      </xdr:nvCxnSpPr>
      <xdr:spPr>
        <a:xfrm>
          <a:off x="13142595" y="2934335"/>
          <a:ext cx="5715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391764</xdr:colOff>
      <xdr:row>12</xdr:row>
      <xdr:rowOff>272684</xdr:rowOff>
    </xdr:from>
    <xdr:to>
      <xdr:col>18</xdr:col>
      <xdr:colOff>465144</xdr:colOff>
      <xdr:row>12</xdr:row>
      <xdr:rowOff>272684</xdr:rowOff>
    </xdr:to>
    <xdr:cxnSp macro="">
      <xdr:nvCxnSpPr>
        <xdr:cNvPr id="5" name="Straight Connector 60">
          <a:extLst>
            <a:ext uri="{FF2B5EF4-FFF2-40B4-BE49-F238E27FC236}">
              <a16:creationId xmlns:a16="http://schemas.microsoft.com/office/drawing/2014/main" id="{00000000-0008-0000-0100-000005000000}"/>
            </a:ext>
          </a:extLst>
        </xdr:cNvPr>
        <xdr:cNvCxnSpPr/>
      </xdr:nvCxnSpPr>
      <xdr:spPr>
        <a:xfrm>
          <a:off x="13165455" y="5846445"/>
          <a:ext cx="736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541058</xdr:colOff>
      <xdr:row>17</xdr:row>
      <xdr:rowOff>291353</xdr:rowOff>
    </xdr:from>
    <xdr:to>
      <xdr:col>19</xdr:col>
      <xdr:colOff>89647</xdr:colOff>
      <xdr:row>17</xdr:row>
      <xdr:rowOff>294509</xdr:rowOff>
    </xdr:to>
    <xdr:cxnSp macro="">
      <xdr:nvCxnSpPr>
        <xdr:cNvPr id="89" name="Straight Connector 67">
          <a:extLst>
            <a:ext uri="{FF2B5EF4-FFF2-40B4-BE49-F238E27FC236}">
              <a16:creationId xmlns:a16="http://schemas.microsoft.com/office/drawing/2014/main" id="{00000000-0008-0000-0100-000059000000}"/>
            </a:ext>
          </a:extLst>
        </xdr:cNvPr>
        <xdr:cNvCxnSpPr/>
      </xdr:nvCxnSpPr>
      <xdr:spPr>
        <a:xfrm flipV="1">
          <a:off x="13315315" y="8779510"/>
          <a:ext cx="24257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203638</xdr:colOff>
      <xdr:row>22</xdr:row>
      <xdr:rowOff>292577</xdr:rowOff>
    </xdr:from>
    <xdr:to>
      <xdr:col>19</xdr:col>
      <xdr:colOff>269327</xdr:colOff>
      <xdr:row>22</xdr:row>
      <xdr:rowOff>292577</xdr:rowOff>
    </xdr:to>
    <xdr:cxnSp macro="">
      <xdr:nvCxnSpPr>
        <xdr:cNvPr id="115" name="Straight Connector 77">
          <a:extLst>
            <a:ext uri="{FF2B5EF4-FFF2-40B4-BE49-F238E27FC236}">
              <a16:creationId xmlns:a16="http://schemas.microsoft.com/office/drawing/2014/main" id="{00000000-0008-0000-0100-000073000000}"/>
            </a:ext>
          </a:extLst>
        </xdr:cNvPr>
        <xdr:cNvCxnSpPr/>
      </xdr:nvCxnSpPr>
      <xdr:spPr>
        <a:xfrm>
          <a:off x="13671550" y="11695430"/>
          <a:ext cx="660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341586</xdr:colOff>
      <xdr:row>27</xdr:row>
      <xdr:rowOff>296778</xdr:rowOff>
    </xdr:from>
    <xdr:to>
      <xdr:col>19</xdr:col>
      <xdr:colOff>420414</xdr:colOff>
      <xdr:row>27</xdr:row>
      <xdr:rowOff>296778</xdr:rowOff>
    </xdr:to>
    <xdr:cxnSp macro="">
      <xdr:nvCxnSpPr>
        <xdr:cNvPr id="131" name="Straight Connector 86">
          <a:extLst>
            <a:ext uri="{FF2B5EF4-FFF2-40B4-BE49-F238E27FC236}">
              <a16:creationId xmlns:a16="http://schemas.microsoft.com/office/drawing/2014/main" id="{00000000-0008-0000-0100-000083000000}"/>
            </a:ext>
          </a:extLst>
        </xdr:cNvPr>
        <xdr:cNvCxnSpPr/>
      </xdr:nvCxnSpPr>
      <xdr:spPr>
        <a:xfrm>
          <a:off x="13809345" y="14614525"/>
          <a:ext cx="793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446171</xdr:colOff>
      <xdr:row>32</xdr:row>
      <xdr:rowOff>316155</xdr:rowOff>
    </xdr:from>
    <xdr:to>
      <xdr:col>19</xdr:col>
      <xdr:colOff>507582</xdr:colOff>
      <xdr:row>32</xdr:row>
      <xdr:rowOff>316155</xdr:rowOff>
    </xdr:to>
    <xdr:cxnSp macro="">
      <xdr:nvCxnSpPr>
        <xdr:cNvPr id="154" name="Straight Connector 94">
          <a:extLst>
            <a:ext uri="{FF2B5EF4-FFF2-40B4-BE49-F238E27FC236}">
              <a16:creationId xmlns:a16="http://schemas.microsoft.com/office/drawing/2014/main" id="{00000000-0008-0000-0100-00009A000000}"/>
            </a:ext>
          </a:extLst>
        </xdr:cNvPr>
        <xdr:cNvCxnSpPr/>
      </xdr:nvCxnSpPr>
      <xdr:spPr>
        <a:xfrm>
          <a:off x="13914120" y="17548225"/>
          <a:ext cx="615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597998</xdr:colOff>
      <xdr:row>37</xdr:row>
      <xdr:rowOff>302344</xdr:rowOff>
    </xdr:from>
    <xdr:to>
      <xdr:col>20</xdr:col>
      <xdr:colOff>50132</xdr:colOff>
      <xdr:row>37</xdr:row>
      <xdr:rowOff>302344</xdr:rowOff>
    </xdr:to>
    <xdr:cxnSp macro="">
      <xdr:nvCxnSpPr>
        <xdr:cNvPr id="176" name="Straight Connector 100">
          <a:extLst>
            <a:ext uri="{FF2B5EF4-FFF2-40B4-BE49-F238E27FC236}">
              <a16:creationId xmlns:a16="http://schemas.microsoft.com/office/drawing/2014/main" id="{00000000-0008-0000-0100-0000B0000000}"/>
            </a:ext>
          </a:extLst>
        </xdr:cNvPr>
        <xdr:cNvCxnSpPr/>
      </xdr:nvCxnSpPr>
      <xdr:spPr>
        <a:xfrm>
          <a:off x="14065885" y="20449540"/>
          <a:ext cx="1460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553486</xdr:colOff>
      <xdr:row>40</xdr:row>
      <xdr:rowOff>284484</xdr:rowOff>
    </xdr:from>
    <xdr:to>
      <xdr:col>19</xdr:col>
      <xdr:colOff>26044</xdr:colOff>
      <xdr:row>40</xdr:row>
      <xdr:rowOff>284484</xdr:rowOff>
    </xdr:to>
    <xdr:cxnSp macro="">
      <xdr:nvCxnSpPr>
        <xdr:cNvPr id="193" name="Straight Connector 103">
          <a:extLst>
            <a:ext uri="{FF2B5EF4-FFF2-40B4-BE49-F238E27FC236}">
              <a16:creationId xmlns:a16="http://schemas.microsoft.com/office/drawing/2014/main" id="{00000000-0008-0000-0100-0000C1000000}"/>
            </a:ext>
          </a:extLst>
        </xdr:cNvPr>
        <xdr:cNvCxnSpPr/>
      </xdr:nvCxnSpPr>
      <xdr:spPr>
        <a:xfrm>
          <a:off x="13327380" y="22203410"/>
          <a:ext cx="16700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64514</xdr:colOff>
      <xdr:row>42</xdr:row>
      <xdr:rowOff>278531</xdr:rowOff>
    </xdr:from>
    <xdr:to>
      <xdr:col>19</xdr:col>
      <xdr:colOff>135355</xdr:colOff>
      <xdr:row>42</xdr:row>
      <xdr:rowOff>278531</xdr:rowOff>
    </xdr:to>
    <xdr:cxnSp macro="">
      <xdr:nvCxnSpPr>
        <xdr:cNvPr id="196" name="Straight Connector 105">
          <a:extLst>
            <a:ext uri="{FF2B5EF4-FFF2-40B4-BE49-F238E27FC236}">
              <a16:creationId xmlns:a16="http://schemas.microsoft.com/office/drawing/2014/main" id="{00000000-0008-0000-0100-0000C4000000}"/>
            </a:ext>
          </a:extLst>
        </xdr:cNvPr>
        <xdr:cNvCxnSpPr/>
      </xdr:nvCxnSpPr>
      <xdr:spPr>
        <a:xfrm>
          <a:off x="13532485" y="23340060"/>
          <a:ext cx="711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635723</xdr:colOff>
      <xdr:row>56</xdr:row>
      <xdr:rowOff>230681</xdr:rowOff>
    </xdr:from>
    <xdr:to>
      <xdr:col>20</xdr:col>
      <xdr:colOff>128807</xdr:colOff>
      <xdr:row>56</xdr:row>
      <xdr:rowOff>230681</xdr:rowOff>
    </xdr:to>
    <xdr:cxnSp macro="">
      <xdr:nvCxnSpPr>
        <xdr:cNvPr id="241" name="Straight Connector 19">
          <a:extLst>
            <a:ext uri="{FF2B5EF4-FFF2-40B4-BE49-F238E27FC236}">
              <a16:creationId xmlns:a16="http://schemas.microsoft.com/office/drawing/2014/main" id="{00000000-0008-0000-0100-0000F1000000}"/>
            </a:ext>
          </a:extLst>
        </xdr:cNvPr>
        <xdr:cNvCxnSpPr/>
      </xdr:nvCxnSpPr>
      <xdr:spPr>
        <a:xfrm>
          <a:off x="13409930" y="35321240"/>
          <a:ext cx="8807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9744</xdr:colOff>
      <xdr:row>60</xdr:row>
      <xdr:rowOff>237785</xdr:rowOff>
    </xdr:from>
    <xdr:to>
      <xdr:col>18</xdr:col>
      <xdr:colOff>289034</xdr:colOff>
      <xdr:row>60</xdr:row>
      <xdr:rowOff>237785</xdr:rowOff>
    </xdr:to>
    <xdr:cxnSp macro="">
      <xdr:nvCxnSpPr>
        <xdr:cNvPr id="124" name="Straight Connector 2">
          <a:extLst>
            <a:ext uri="{FF2B5EF4-FFF2-40B4-BE49-F238E27FC236}">
              <a16:creationId xmlns:a16="http://schemas.microsoft.com/office/drawing/2014/main" id="{00000000-0008-0000-0100-00007C000000}"/>
            </a:ext>
          </a:extLst>
        </xdr:cNvPr>
        <xdr:cNvCxnSpPr/>
      </xdr:nvCxnSpPr>
      <xdr:spPr>
        <a:xfrm>
          <a:off x="12783820" y="36861750"/>
          <a:ext cx="279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239793</xdr:colOff>
      <xdr:row>5</xdr:row>
      <xdr:rowOff>239406</xdr:rowOff>
    </xdr:from>
    <xdr:to>
      <xdr:col>18</xdr:col>
      <xdr:colOff>365274</xdr:colOff>
      <xdr:row>5</xdr:row>
      <xdr:rowOff>353430</xdr:rowOff>
    </xdr:to>
    <xdr:sp macro="" textlink="">
      <xdr:nvSpPr>
        <xdr:cNvPr id="58" name="Diamond 62">
          <a:extLst>
            <a:ext uri="{FF2B5EF4-FFF2-40B4-BE49-F238E27FC236}">
              <a16:creationId xmlns:a16="http://schemas.microsoft.com/office/drawing/2014/main" id="{00000000-0008-0000-0100-00003A000000}"/>
            </a:ext>
          </a:extLst>
        </xdr:cNvPr>
        <xdr:cNvSpPr/>
      </xdr:nvSpPr>
      <xdr:spPr>
        <a:xfrm>
          <a:off x="13013690" y="1755775"/>
          <a:ext cx="125730" cy="113665"/>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18</xdr:col>
      <xdr:colOff>273963</xdr:colOff>
      <xdr:row>48</xdr:row>
      <xdr:rowOff>0</xdr:rowOff>
    </xdr:from>
    <xdr:to>
      <xdr:col>18</xdr:col>
      <xdr:colOff>468820</xdr:colOff>
      <xdr:row>51</xdr:row>
      <xdr:rowOff>140805</xdr:rowOff>
    </xdr:to>
    <xdr:sp macro="" textlink="">
      <xdr:nvSpPr>
        <xdr:cNvPr id="30" name="TextBox 13">
          <a:extLst>
            <a:ext uri="{FF2B5EF4-FFF2-40B4-BE49-F238E27FC236}">
              <a16:creationId xmlns:a16="http://schemas.microsoft.com/office/drawing/2014/main" id="{00000000-0008-0000-0100-00001E000000}"/>
            </a:ext>
          </a:extLst>
        </xdr:cNvPr>
        <xdr:cNvSpPr txBox="1"/>
      </xdr:nvSpPr>
      <xdr:spPr>
        <a:xfrm rot="16200000">
          <a:off x="9580880" y="30041215"/>
          <a:ext cx="712914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20</xdr:col>
      <xdr:colOff>292429</xdr:colOff>
      <xdr:row>48</xdr:row>
      <xdr:rowOff>572584</xdr:rowOff>
    </xdr:from>
    <xdr:to>
      <xdr:col>20</xdr:col>
      <xdr:colOff>400707</xdr:colOff>
      <xdr:row>48</xdr:row>
      <xdr:rowOff>572584</xdr:rowOff>
    </xdr:to>
    <xdr:cxnSp macro="">
      <xdr:nvCxnSpPr>
        <xdr:cNvPr id="226" name="Straight Connector 2">
          <a:extLst>
            <a:ext uri="{FF2B5EF4-FFF2-40B4-BE49-F238E27FC236}">
              <a16:creationId xmlns:a16="http://schemas.microsoft.com/office/drawing/2014/main" id="{00000000-0008-0000-0100-0000E2000000}"/>
            </a:ext>
          </a:extLst>
        </xdr:cNvPr>
        <xdr:cNvCxnSpPr/>
      </xdr:nvCxnSpPr>
      <xdr:spPr>
        <a:xfrm>
          <a:off x="14454505" y="32624395"/>
          <a:ext cx="1085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52</xdr:row>
      <xdr:rowOff>16565</xdr:rowOff>
    </xdr:from>
    <xdr:to>
      <xdr:col>18</xdr:col>
      <xdr:colOff>468820</xdr:colOff>
      <xdr:row>66</xdr:row>
      <xdr:rowOff>140805</xdr:rowOff>
    </xdr:to>
    <xdr:sp macro="" textlink="">
      <xdr:nvSpPr>
        <xdr:cNvPr id="56" name="TextBox 13">
          <a:extLst>
            <a:ext uri="{FF2B5EF4-FFF2-40B4-BE49-F238E27FC236}">
              <a16:creationId xmlns:a16="http://schemas.microsoft.com/office/drawing/2014/main" id="{00000000-0008-0000-0100-000038000000}"/>
            </a:ext>
          </a:extLst>
        </xdr:cNvPr>
        <xdr:cNvSpPr txBox="1"/>
      </xdr:nvSpPr>
      <xdr:spPr>
        <a:xfrm rot="16200000">
          <a:off x="10927715" y="36066730"/>
          <a:ext cx="443547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18</xdr:col>
      <xdr:colOff>487612</xdr:colOff>
      <xdr:row>12</xdr:row>
      <xdr:rowOff>272519</xdr:rowOff>
    </xdr:from>
    <xdr:to>
      <xdr:col>18</xdr:col>
      <xdr:colOff>555317</xdr:colOff>
      <xdr:row>12</xdr:row>
      <xdr:rowOff>272519</xdr:rowOff>
    </xdr:to>
    <xdr:cxnSp macro="">
      <xdr:nvCxnSpPr>
        <xdr:cNvPr id="86" name="Straight Connector 85">
          <a:extLst>
            <a:ext uri="{FF2B5EF4-FFF2-40B4-BE49-F238E27FC236}">
              <a16:creationId xmlns:a16="http://schemas.microsoft.com/office/drawing/2014/main" id="{00000000-0008-0000-0100-000056000000}"/>
            </a:ext>
          </a:extLst>
        </xdr:cNvPr>
        <xdr:cNvCxnSpPr/>
      </xdr:nvCxnSpPr>
      <xdr:spPr>
        <a:xfrm>
          <a:off x="13261340" y="5846445"/>
          <a:ext cx="679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483869</xdr:colOff>
      <xdr:row>16</xdr:row>
      <xdr:rowOff>317425</xdr:rowOff>
    </xdr:from>
    <xdr:to>
      <xdr:col>18</xdr:col>
      <xdr:colOff>571500</xdr:colOff>
      <xdr:row>16</xdr:row>
      <xdr:rowOff>317425</xdr:rowOff>
    </xdr:to>
    <xdr:cxnSp macro="">
      <xdr:nvCxnSpPr>
        <xdr:cNvPr id="88" name="Straight Connector 91">
          <a:extLst>
            <a:ext uri="{FF2B5EF4-FFF2-40B4-BE49-F238E27FC236}">
              <a16:creationId xmlns:a16="http://schemas.microsoft.com/office/drawing/2014/main" id="{00000000-0008-0000-0100-000058000000}"/>
            </a:ext>
          </a:extLst>
        </xdr:cNvPr>
        <xdr:cNvCxnSpPr/>
      </xdr:nvCxnSpPr>
      <xdr:spPr>
        <a:xfrm>
          <a:off x="13257530" y="8234045"/>
          <a:ext cx="8826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314628</xdr:colOff>
      <xdr:row>31</xdr:row>
      <xdr:rowOff>248578</xdr:rowOff>
    </xdr:from>
    <xdr:to>
      <xdr:col>18</xdr:col>
      <xdr:colOff>466200</xdr:colOff>
      <xdr:row>31</xdr:row>
      <xdr:rowOff>248578</xdr:rowOff>
    </xdr:to>
    <xdr:cxnSp macro="">
      <xdr:nvCxnSpPr>
        <xdr:cNvPr id="151" name="Straight Connector 106">
          <a:extLst>
            <a:ext uri="{FF2B5EF4-FFF2-40B4-BE49-F238E27FC236}">
              <a16:creationId xmlns:a16="http://schemas.microsoft.com/office/drawing/2014/main" id="{00000000-0008-0000-0100-000097000000}"/>
            </a:ext>
          </a:extLst>
        </xdr:cNvPr>
        <xdr:cNvCxnSpPr/>
      </xdr:nvCxnSpPr>
      <xdr:spPr>
        <a:xfrm>
          <a:off x="13088620" y="16909415"/>
          <a:ext cx="151765" cy="0"/>
        </a:xfrm>
        <a:prstGeom prst="line">
          <a:avLst/>
        </a:prstGeom>
        <a:ln w="57150">
          <a:solidFill>
            <a:schemeClr val="accent1">
              <a:lumMod val="20000"/>
              <a:lumOff val="8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311453</xdr:colOff>
      <xdr:row>31</xdr:row>
      <xdr:rowOff>278657</xdr:rowOff>
    </xdr:from>
    <xdr:to>
      <xdr:col>18</xdr:col>
      <xdr:colOff>469375</xdr:colOff>
      <xdr:row>31</xdr:row>
      <xdr:rowOff>278657</xdr:rowOff>
    </xdr:to>
    <xdr:cxnSp macro="">
      <xdr:nvCxnSpPr>
        <xdr:cNvPr id="152" name="Straight Connector 107">
          <a:extLst>
            <a:ext uri="{FF2B5EF4-FFF2-40B4-BE49-F238E27FC236}">
              <a16:creationId xmlns:a16="http://schemas.microsoft.com/office/drawing/2014/main" id="{00000000-0008-0000-0100-000098000000}"/>
            </a:ext>
          </a:extLst>
        </xdr:cNvPr>
        <xdr:cNvCxnSpPr/>
      </xdr:nvCxnSpPr>
      <xdr:spPr>
        <a:xfrm>
          <a:off x="13085445" y="16939260"/>
          <a:ext cx="158115" cy="0"/>
        </a:xfrm>
        <a:prstGeom prst="line">
          <a:avLst/>
        </a:prstGeom>
        <a:ln w="57150">
          <a:solidFill>
            <a:schemeClr val="accent1">
              <a:lumMod val="20000"/>
              <a:lumOff val="8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486276</xdr:colOff>
      <xdr:row>35</xdr:row>
      <xdr:rowOff>297922</xdr:rowOff>
    </xdr:from>
    <xdr:to>
      <xdr:col>18</xdr:col>
      <xdr:colOff>534444</xdr:colOff>
      <xdr:row>35</xdr:row>
      <xdr:rowOff>297922</xdr:rowOff>
    </xdr:to>
    <xdr:cxnSp macro="">
      <xdr:nvCxnSpPr>
        <xdr:cNvPr id="168" name="Straight Connector 110">
          <a:extLst>
            <a:ext uri="{FF2B5EF4-FFF2-40B4-BE49-F238E27FC236}">
              <a16:creationId xmlns:a16="http://schemas.microsoft.com/office/drawing/2014/main" id="{00000000-0008-0000-0100-0000A8000000}"/>
            </a:ext>
          </a:extLst>
        </xdr:cNvPr>
        <xdr:cNvCxnSpPr/>
      </xdr:nvCxnSpPr>
      <xdr:spPr>
        <a:xfrm>
          <a:off x="13260070" y="19302095"/>
          <a:ext cx="4826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484002</xdr:colOff>
      <xdr:row>39</xdr:row>
      <xdr:rowOff>302786</xdr:rowOff>
    </xdr:from>
    <xdr:to>
      <xdr:col>18</xdr:col>
      <xdr:colOff>531395</xdr:colOff>
      <xdr:row>39</xdr:row>
      <xdr:rowOff>302786</xdr:rowOff>
    </xdr:to>
    <xdr:cxnSp macro="">
      <xdr:nvCxnSpPr>
        <xdr:cNvPr id="187" name="Straight Connector 113">
          <a:extLst>
            <a:ext uri="{FF2B5EF4-FFF2-40B4-BE49-F238E27FC236}">
              <a16:creationId xmlns:a16="http://schemas.microsoft.com/office/drawing/2014/main" id="{00000000-0008-0000-0100-0000BB000000}"/>
            </a:ext>
          </a:extLst>
        </xdr:cNvPr>
        <xdr:cNvCxnSpPr/>
      </xdr:nvCxnSpPr>
      <xdr:spPr>
        <a:xfrm>
          <a:off x="13258165" y="21649690"/>
          <a:ext cx="469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31</xdr:col>
      <xdr:colOff>165779</xdr:colOff>
      <xdr:row>52</xdr:row>
      <xdr:rowOff>72653</xdr:rowOff>
    </xdr:from>
    <xdr:to>
      <xdr:col>32</xdr:col>
      <xdr:colOff>302621</xdr:colOff>
      <xdr:row>52</xdr:row>
      <xdr:rowOff>72653</xdr:rowOff>
    </xdr:to>
    <xdr:cxnSp macro="">
      <xdr:nvCxnSpPr>
        <xdr:cNvPr id="237" name="Straight Connector 19">
          <a:extLst>
            <a:ext uri="{FF2B5EF4-FFF2-40B4-BE49-F238E27FC236}">
              <a16:creationId xmlns:a16="http://schemas.microsoft.com/office/drawing/2014/main" id="{00000000-0008-0000-0100-0000ED000000}"/>
            </a:ext>
          </a:extLst>
        </xdr:cNvPr>
        <xdr:cNvCxnSpPr/>
      </xdr:nvCxnSpPr>
      <xdr:spPr>
        <a:xfrm>
          <a:off x="21033105" y="34002980"/>
          <a:ext cx="8223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635723</xdr:colOff>
      <xdr:row>56</xdr:row>
      <xdr:rowOff>230681</xdr:rowOff>
    </xdr:from>
    <xdr:to>
      <xdr:col>20</xdr:col>
      <xdr:colOff>122457</xdr:colOff>
      <xdr:row>56</xdr:row>
      <xdr:rowOff>230681</xdr:rowOff>
    </xdr:to>
    <xdr:cxnSp macro="">
      <xdr:nvCxnSpPr>
        <xdr:cNvPr id="243" name="Straight Connector 19">
          <a:extLst>
            <a:ext uri="{FF2B5EF4-FFF2-40B4-BE49-F238E27FC236}">
              <a16:creationId xmlns:a16="http://schemas.microsoft.com/office/drawing/2014/main" id="{00000000-0008-0000-0100-0000F3000000}"/>
            </a:ext>
          </a:extLst>
        </xdr:cNvPr>
        <xdr:cNvCxnSpPr/>
      </xdr:nvCxnSpPr>
      <xdr:spPr>
        <a:xfrm>
          <a:off x="13409930" y="35321240"/>
          <a:ext cx="8743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514088</xdr:colOff>
      <xdr:row>57</xdr:row>
      <xdr:rowOff>312902</xdr:rowOff>
    </xdr:from>
    <xdr:to>
      <xdr:col>22</xdr:col>
      <xdr:colOff>821</xdr:colOff>
      <xdr:row>57</xdr:row>
      <xdr:rowOff>312902</xdr:rowOff>
    </xdr:to>
    <xdr:cxnSp macro="">
      <xdr:nvCxnSpPr>
        <xdr:cNvPr id="248" name="Straight Connector 19">
          <a:extLst>
            <a:ext uri="{FF2B5EF4-FFF2-40B4-BE49-F238E27FC236}">
              <a16:creationId xmlns:a16="http://schemas.microsoft.com/office/drawing/2014/main" id="{00000000-0008-0000-0100-0000F8000000}"/>
            </a:ext>
          </a:extLst>
        </xdr:cNvPr>
        <xdr:cNvCxnSpPr/>
      </xdr:nvCxnSpPr>
      <xdr:spPr>
        <a:xfrm>
          <a:off x="14676120" y="35841305"/>
          <a:ext cx="8750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63</xdr:row>
      <xdr:rowOff>191267</xdr:rowOff>
    </xdr:from>
    <xdr:to>
      <xdr:col>22</xdr:col>
      <xdr:colOff>821</xdr:colOff>
      <xdr:row>63</xdr:row>
      <xdr:rowOff>191267</xdr:rowOff>
    </xdr:to>
    <xdr:cxnSp macro="">
      <xdr:nvCxnSpPr>
        <xdr:cNvPr id="252" name="Straight Connector 19">
          <a:extLst>
            <a:ext uri="{FF2B5EF4-FFF2-40B4-BE49-F238E27FC236}">
              <a16:creationId xmlns:a16="http://schemas.microsoft.com/office/drawing/2014/main" id="{00000000-0008-0000-0100-0000FC000000}"/>
            </a:ext>
          </a:extLst>
        </xdr:cNvPr>
        <xdr:cNvCxnSpPr/>
      </xdr:nvCxnSpPr>
      <xdr:spPr>
        <a:xfrm>
          <a:off x="14372590" y="37329745"/>
          <a:ext cx="117856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545225</xdr:colOff>
      <xdr:row>64</xdr:row>
      <xdr:rowOff>192580</xdr:rowOff>
    </xdr:from>
    <xdr:to>
      <xdr:col>22</xdr:col>
      <xdr:colOff>2134</xdr:colOff>
      <xdr:row>64</xdr:row>
      <xdr:rowOff>192580</xdr:rowOff>
    </xdr:to>
    <xdr:cxnSp macro="">
      <xdr:nvCxnSpPr>
        <xdr:cNvPr id="256" name="Straight Connector 19">
          <a:extLst>
            <a:ext uri="{FF2B5EF4-FFF2-40B4-BE49-F238E27FC236}">
              <a16:creationId xmlns:a16="http://schemas.microsoft.com/office/drawing/2014/main" id="{00000000-0008-0000-0100-000000010000}"/>
            </a:ext>
          </a:extLst>
        </xdr:cNvPr>
        <xdr:cNvCxnSpPr/>
      </xdr:nvCxnSpPr>
      <xdr:spPr>
        <a:xfrm>
          <a:off x="14707235" y="37698680"/>
          <a:ext cx="8451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6569</xdr:colOff>
      <xdr:row>65</xdr:row>
      <xdr:rowOff>198929</xdr:rowOff>
    </xdr:from>
    <xdr:to>
      <xdr:col>22</xdr:col>
      <xdr:colOff>1915</xdr:colOff>
      <xdr:row>65</xdr:row>
      <xdr:rowOff>198929</xdr:rowOff>
    </xdr:to>
    <xdr:cxnSp macro="">
      <xdr:nvCxnSpPr>
        <xdr:cNvPr id="259" name="Straight Connector 19">
          <a:extLst>
            <a:ext uri="{FF2B5EF4-FFF2-40B4-BE49-F238E27FC236}">
              <a16:creationId xmlns:a16="http://schemas.microsoft.com/office/drawing/2014/main" id="{00000000-0008-0000-0100-000003010000}"/>
            </a:ext>
          </a:extLst>
        </xdr:cNvPr>
        <xdr:cNvCxnSpPr/>
      </xdr:nvCxnSpPr>
      <xdr:spPr>
        <a:xfrm>
          <a:off x="14862810" y="38072695"/>
          <a:ext cx="6896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62</xdr:row>
      <xdr:rowOff>191267</xdr:rowOff>
    </xdr:from>
    <xdr:to>
      <xdr:col>22</xdr:col>
      <xdr:colOff>821</xdr:colOff>
      <xdr:row>62</xdr:row>
      <xdr:rowOff>191267</xdr:rowOff>
    </xdr:to>
    <xdr:cxnSp macro="">
      <xdr:nvCxnSpPr>
        <xdr:cNvPr id="2" name="Straight Connector 19">
          <a:extLst>
            <a:ext uri="{FF2B5EF4-FFF2-40B4-BE49-F238E27FC236}">
              <a16:creationId xmlns:a16="http://schemas.microsoft.com/office/drawing/2014/main" id="{447EC333-81A5-407D-8A9F-223C4DBB81E5}"/>
            </a:ext>
          </a:extLst>
        </xdr:cNvPr>
        <xdr:cNvCxnSpPr/>
      </xdr:nvCxnSpPr>
      <xdr:spPr>
        <a:xfrm>
          <a:off x="13449957" y="37329242"/>
          <a:ext cx="1181264"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17</xdr:col>
      <xdr:colOff>569010</xdr:colOff>
      <xdr:row>56</xdr:row>
      <xdr:rowOff>301739</xdr:rowOff>
    </xdr:from>
    <xdr:to>
      <xdr:col>18</xdr:col>
      <xdr:colOff>408713</xdr:colOff>
      <xdr:row>56</xdr:row>
      <xdr:rowOff>301739</xdr:rowOff>
    </xdr:to>
    <xdr:cxnSp macro="">
      <xdr:nvCxnSpPr>
        <xdr:cNvPr id="178" name="Straight Connector 2">
          <a:extLst>
            <a:ext uri="{FF2B5EF4-FFF2-40B4-BE49-F238E27FC236}">
              <a16:creationId xmlns:a16="http://schemas.microsoft.com/office/drawing/2014/main" id="{00000000-0008-0000-0200-0000B2000000}"/>
            </a:ext>
          </a:extLst>
        </xdr:cNvPr>
        <xdr:cNvCxnSpPr/>
      </xdr:nvCxnSpPr>
      <xdr:spPr>
        <a:xfrm>
          <a:off x="12513945" y="30964505"/>
          <a:ext cx="533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3122</xdr:colOff>
      <xdr:row>1</xdr:row>
      <xdr:rowOff>15240</xdr:rowOff>
    </xdr:from>
    <xdr:to>
      <xdr:col>21</xdr:col>
      <xdr:colOff>3122</xdr:colOff>
      <xdr:row>83</xdr:row>
      <xdr:rowOff>361950</xdr:rowOff>
    </xdr:to>
    <xdr:cxnSp macro="">
      <xdr:nvCxnSpPr>
        <xdr:cNvPr id="3" name="Straight Connector 27">
          <a:extLst>
            <a:ext uri="{FF2B5EF4-FFF2-40B4-BE49-F238E27FC236}">
              <a16:creationId xmlns:a16="http://schemas.microsoft.com/office/drawing/2014/main" id="{00000000-0008-0000-0200-000003000000}"/>
            </a:ext>
          </a:extLst>
        </xdr:cNvPr>
        <xdr:cNvCxnSpPr/>
      </xdr:nvCxnSpPr>
      <xdr:spPr>
        <a:xfrm>
          <a:off x="14723745" y="83820"/>
          <a:ext cx="0" cy="4633595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604345</xdr:colOff>
      <xdr:row>57</xdr:row>
      <xdr:rowOff>221673</xdr:rowOff>
    </xdr:from>
    <xdr:to>
      <xdr:col>18</xdr:col>
      <xdr:colOff>487546</xdr:colOff>
      <xdr:row>57</xdr:row>
      <xdr:rowOff>221673</xdr:rowOff>
    </xdr:to>
    <xdr:cxnSp macro="">
      <xdr:nvCxnSpPr>
        <xdr:cNvPr id="185" name="Straight Connector 2">
          <a:extLst>
            <a:ext uri="{FF2B5EF4-FFF2-40B4-BE49-F238E27FC236}">
              <a16:creationId xmlns:a16="http://schemas.microsoft.com/office/drawing/2014/main" id="{00000000-0008-0000-0200-0000B9000000}"/>
            </a:ext>
          </a:extLst>
        </xdr:cNvPr>
        <xdr:cNvCxnSpPr/>
      </xdr:nvCxnSpPr>
      <xdr:spPr>
        <a:xfrm>
          <a:off x="12548870" y="31436945"/>
          <a:ext cx="5772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484524</xdr:colOff>
      <xdr:row>57</xdr:row>
      <xdr:rowOff>217831</xdr:rowOff>
    </xdr:from>
    <xdr:to>
      <xdr:col>20</xdr:col>
      <xdr:colOff>59120</xdr:colOff>
      <xdr:row>57</xdr:row>
      <xdr:rowOff>217831</xdr:rowOff>
    </xdr:to>
    <xdr:cxnSp macro="">
      <xdr:nvCxnSpPr>
        <xdr:cNvPr id="181" name="Straight Connector 19">
          <a:extLst>
            <a:ext uri="{FF2B5EF4-FFF2-40B4-BE49-F238E27FC236}">
              <a16:creationId xmlns:a16="http://schemas.microsoft.com/office/drawing/2014/main" id="{00000000-0008-0000-0200-0000B5000000}"/>
            </a:ext>
          </a:extLst>
        </xdr:cNvPr>
        <xdr:cNvCxnSpPr/>
      </xdr:nvCxnSpPr>
      <xdr:spPr>
        <a:xfrm>
          <a:off x="13123545" y="31433135"/>
          <a:ext cx="96266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532087</xdr:colOff>
      <xdr:row>2</xdr:row>
      <xdr:rowOff>282841</xdr:rowOff>
    </xdr:from>
    <xdr:to>
      <xdr:col>16</xdr:col>
      <xdr:colOff>505811</xdr:colOff>
      <xdr:row>2</xdr:row>
      <xdr:rowOff>282841</xdr:rowOff>
    </xdr:to>
    <xdr:cxnSp macro="">
      <xdr:nvCxnSpPr>
        <xdr:cNvPr id="6" name="Straight Connector 1">
          <a:extLst>
            <a:ext uri="{FF2B5EF4-FFF2-40B4-BE49-F238E27FC236}">
              <a16:creationId xmlns:a16="http://schemas.microsoft.com/office/drawing/2014/main" id="{00000000-0008-0000-0200-000006000000}"/>
            </a:ext>
          </a:extLst>
        </xdr:cNvPr>
        <xdr:cNvCxnSpPr/>
      </xdr:nvCxnSpPr>
      <xdr:spPr>
        <a:xfrm>
          <a:off x="11088370" y="373380"/>
          <a:ext cx="6680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594193</xdr:colOff>
      <xdr:row>55</xdr:row>
      <xdr:rowOff>303425</xdr:rowOff>
    </xdr:from>
    <xdr:to>
      <xdr:col>18</xdr:col>
      <xdr:colOff>424931</xdr:colOff>
      <xdr:row>55</xdr:row>
      <xdr:rowOff>303425</xdr:rowOff>
    </xdr:to>
    <xdr:cxnSp macro="">
      <xdr:nvCxnSpPr>
        <xdr:cNvPr id="177" name="Straight Connector 2">
          <a:extLst>
            <a:ext uri="{FF2B5EF4-FFF2-40B4-BE49-F238E27FC236}">
              <a16:creationId xmlns:a16="http://schemas.microsoft.com/office/drawing/2014/main" id="{00000000-0008-0000-0200-0000B1000000}"/>
            </a:ext>
          </a:extLst>
        </xdr:cNvPr>
        <xdr:cNvCxnSpPr/>
      </xdr:nvCxnSpPr>
      <xdr:spPr>
        <a:xfrm>
          <a:off x="12538710" y="30394275"/>
          <a:ext cx="52514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42951</xdr:colOff>
      <xdr:row>2</xdr:row>
      <xdr:rowOff>434069</xdr:rowOff>
    </xdr:from>
    <xdr:to>
      <xdr:col>14</xdr:col>
      <xdr:colOff>42951</xdr:colOff>
      <xdr:row>73</xdr:row>
      <xdr:rowOff>0</xdr:rowOff>
    </xdr:to>
    <xdr:cxnSp macro="">
      <xdr:nvCxnSpPr>
        <xdr:cNvPr id="8" name="Straight Connector 5">
          <a:extLst>
            <a:ext uri="{FF2B5EF4-FFF2-40B4-BE49-F238E27FC236}">
              <a16:creationId xmlns:a16="http://schemas.microsoft.com/office/drawing/2014/main" id="{00000000-0008-0000-0200-000008000000}"/>
            </a:ext>
          </a:extLst>
        </xdr:cNvPr>
        <xdr:cNvCxnSpPr/>
      </xdr:nvCxnSpPr>
      <xdr:spPr>
        <a:xfrm>
          <a:off x="10489565" y="373380"/>
          <a:ext cx="0" cy="425945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0</xdr:colOff>
      <xdr:row>1</xdr:row>
      <xdr:rowOff>15421</xdr:rowOff>
    </xdr:from>
    <xdr:to>
      <xdr:col>16</xdr:col>
      <xdr:colOff>0</xdr:colOff>
      <xdr:row>83</xdr:row>
      <xdr:rowOff>323850</xdr:rowOff>
    </xdr:to>
    <xdr:cxnSp macro="">
      <xdr:nvCxnSpPr>
        <xdr:cNvPr id="149" name="Straight Connector 6">
          <a:extLst>
            <a:ext uri="{FF2B5EF4-FFF2-40B4-BE49-F238E27FC236}">
              <a16:creationId xmlns:a16="http://schemas.microsoft.com/office/drawing/2014/main" id="{00000000-0008-0000-0200-000095000000}"/>
            </a:ext>
          </a:extLst>
        </xdr:cNvPr>
        <xdr:cNvCxnSpPr/>
      </xdr:nvCxnSpPr>
      <xdr:spPr>
        <a:xfrm>
          <a:off x="11250930" y="83820"/>
          <a:ext cx="0" cy="4629785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3842</xdr:colOff>
      <xdr:row>1</xdr:row>
      <xdr:rowOff>19050</xdr:rowOff>
    </xdr:from>
    <xdr:to>
      <xdr:col>18</xdr:col>
      <xdr:colOff>3842</xdr:colOff>
      <xdr:row>83</xdr:row>
      <xdr:rowOff>361950</xdr:rowOff>
    </xdr:to>
    <xdr:cxnSp macro="">
      <xdr:nvCxnSpPr>
        <xdr:cNvPr id="92" name="Straight Connector 8">
          <a:extLst>
            <a:ext uri="{FF2B5EF4-FFF2-40B4-BE49-F238E27FC236}">
              <a16:creationId xmlns:a16="http://schemas.microsoft.com/office/drawing/2014/main" id="{00000000-0008-0000-0200-00005C000000}"/>
            </a:ext>
          </a:extLst>
        </xdr:cNvPr>
        <xdr:cNvCxnSpPr/>
      </xdr:nvCxnSpPr>
      <xdr:spPr>
        <a:xfrm>
          <a:off x="12642850" y="87630"/>
          <a:ext cx="0" cy="4633214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605790</xdr:colOff>
      <xdr:row>1</xdr:row>
      <xdr:rowOff>15240</xdr:rowOff>
    </xdr:from>
    <xdr:to>
      <xdr:col>16</xdr:col>
      <xdr:colOff>605790</xdr:colOff>
      <xdr:row>83</xdr:row>
      <xdr:rowOff>352425</xdr:rowOff>
    </xdr:to>
    <xdr:cxnSp macro="">
      <xdr:nvCxnSpPr>
        <xdr:cNvPr id="151" name="Straight Connector 7">
          <a:extLst>
            <a:ext uri="{FF2B5EF4-FFF2-40B4-BE49-F238E27FC236}">
              <a16:creationId xmlns:a16="http://schemas.microsoft.com/office/drawing/2014/main" id="{00000000-0008-0000-0200-000097000000}"/>
            </a:ext>
          </a:extLst>
        </xdr:cNvPr>
        <xdr:cNvCxnSpPr/>
      </xdr:nvCxnSpPr>
      <xdr:spPr>
        <a:xfrm>
          <a:off x="11856720" y="83820"/>
          <a:ext cx="0" cy="4632642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0</xdr:colOff>
      <xdr:row>1</xdr:row>
      <xdr:rowOff>19050</xdr:rowOff>
    </xdr:from>
    <xdr:to>
      <xdr:col>19</xdr:col>
      <xdr:colOff>0</xdr:colOff>
      <xdr:row>83</xdr:row>
      <xdr:rowOff>361950</xdr:rowOff>
    </xdr:to>
    <xdr:cxnSp macro="">
      <xdr:nvCxnSpPr>
        <xdr:cNvPr id="12" name="Straight Connector 9">
          <a:extLst>
            <a:ext uri="{FF2B5EF4-FFF2-40B4-BE49-F238E27FC236}">
              <a16:creationId xmlns:a16="http://schemas.microsoft.com/office/drawing/2014/main" id="{00000000-0008-0000-0200-00000C000000}"/>
            </a:ext>
          </a:extLst>
        </xdr:cNvPr>
        <xdr:cNvCxnSpPr/>
      </xdr:nvCxnSpPr>
      <xdr:spPr>
        <a:xfrm>
          <a:off x="13333095" y="87630"/>
          <a:ext cx="0" cy="4633214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0</xdr:colOff>
      <xdr:row>1</xdr:row>
      <xdr:rowOff>19050</xdr:rowOff>
    </xdr:from>
    <xdr:to>
      <xdr:col>20</xdr:col>
      <xdr:colOff>0</xdr:colOff>
      <xdr:row>83</xdr:row>
      <xdr:rowOff>361950</xdr:rowOff>
    </xdr:to>
    <xdr:cxnSp macro="">
      <xdr:nvCxnSpPr>
        <xdr:cNvPr id="13" name="Straight Connector 10">
          <a:extLst>
            <a:ext uri="{FF2B5EF4-FFF2-40B4-BE49-F238E27FC236}">
              <a16:creationId xmlns:a16="http://schemas.microsoft.com/office/drawing/2014/main" id="{00000000-0008-0000-0200-00000D000000}"/>
            </a:ext>
          </a:extLst>
        </xdr:cNvPr>
        <xdr:cNvCxnSpPr/>
      </xdr:nvCxnSpPr>
      <xdr:spPr>
        <a:xfrm>
          <a:off x="14027150" y="87630"/>
          <a:ext cx="0" cy="4633214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479102</xdr:colOff>
      <xdr:row>1</xdr:row>
      <xdr:rowOff>0</xdr:rowOff>
    </xdr:from>
    <xdr:to>
      <xdr:col>18</xdr:col>
      <xdr:colOff>479102</xdr:colOff>
      <xdr:row>84</xdr:row>
      <xdr:rowOff>19050</xdr:rowOff>
    </xdr:to>
    <xdr:cxnSp macro="">
      <xdr:nvCxnSpPr>
        <xdr:cNvPr id="57" name="Straight Connector 10">
          <a:extLst>
            <a:ext uri="{FF2B5EF4-FFF2-40B4-BE49-F238E27FC236}">
              <a16:creationId xmlns:a16="http://schemas.microsoft.com/office/drawing/2014/main" id="{00000000-0008-0000-0200-000039000000}"/>
            </a:ext>
          </a:extLst>
        </xdr:cNvPr>
        <xdr:cNvCxnSpPr/>
      </xdr:nvCxnSpPr>
      <xdr:spPr>
        <a:xfrm>
          <a:off x="13117830" y="68580"/>
          <a:ext cx="0" cy="46398815"/>
        </a:xfrm>
        <a:prstGeom prst="line">
          <a:avLst/>
        </a:prstGeom>
        <a:ln w="1270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64</xdr:row>
      <xdr:rowOff>16565</xdr:rowOff>
    </xdr:from>
    <xdr:to>
      <xdr:col>18</xdr:col>
      <xdr:colOff>468820</xdr:colOff>
      <xdr:row>77</xdr:row>
      <xdr:rowOff>140805</xdr:rowOff>
    </xdr:to>
    <xdr:sp macro="" textlink="">
      <xdr:nvSpPr>
        <xdr:cNvPr id="15" name="TextBox 13">
          <a:extLst>
            <a:ext uri="{FF2B5EF4-FFF2-40B4-BE49-F238E27FC236}">
              <a16:creationId xmlns:a16="http://schemas.microsoft.com/office/drawing/2014/main" id="{00000000-0008-0000-0200-00000F000000}"/>
            </a:ext>
          </a:extLst>
        </xdr:cNvPr>
        <xdr:cNvSpPr txBox="1"/>
      </xdr:nvSpPr>
      <xdr:spPr>
        <a:xfrm rot="16200000">
          <a:off x="10976610" y="42080180"/>
          <a:ext cx="406717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16</xdr:col>
      <xdr:colOff>259936</xdr:colOff>
      <xdr:row>4</xdr:row>
      <xdr:rowOff>295382</xdr:rowOff>
    </xdr:from>
    <xdr:to>
      <xdr:col>17</xdr:col>
      <xdr:colOff>57280</xdr:colOff>
      <xdr:row>4</xdr:row>
      <xdr:rowOff>295382</xdr:rowOff>
    </xdr:to>
    <xdr:cxnSp macro="">
      <xdr:nvCxnSpPr>
        <xdr:cNvPr id="31" name="Straight Connector 15">
          <a:extLst>
            <a:ext uri="{FF2B5EF4-FFF2-40B4-BE49-F238E27FC236}">
              <a16:creationId xmlns:a16="http://schemas.microsoft.com/office/drawing/2014/main" id="{00000000-0008-0000-0200-00001F000000}"/>
            </a:ext>
          </a:extLst>
        </xdr:cNvPr>
        <xdr:cNvCxnSpPr/>
      </xdr:nvCxnSpPr>
      <xdr:spPr>
        <a:xfrm>
          <a:off x="11510645" y="668655"/>
          <a:ext cx="4914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306456</xdr:colOff>
      <xdr:row>5</xdr:row>
      <xdr:rowOff>286465</xdr:rowOff>
    </xdr:from>
    <xdr:to>
      <xdr:col>17</xdr:col>
      <xdr:colOff>560042</xdr:colOff>
      <xdr:row>5</xdr:row>
      <xdr:rowOff>286465</xdr:rowOff>
    </xdr:to>
    <xdr:cxnSp macro="">
      <xdr:nvCxnSpPr>
        <xdr:cNvPr id="40" name="Straight Connector 16">
          <a:extLst>
            <a:ext uri="{FF2B5EF4-FFF2-40B4-BE49-F238E27FC236}">
              <a16:creationId xmlns:a16="http://schemas.microsoft.com/office/drawing/2014/main" id="{00000000-0008-0000-0200-000028000000}"/>
            </a:ext>
          </a:extLst>
        </xdr:cNvPr>
        <xdr:cNvCxnSpPr/>
      </xdr:nvCxnSpPr>
      <xdr:spPr>
        <a:xfrm>
          <a:off x="12251055" y="1231265"/>
          <a:ext cx="2533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410955</xdr:colOff>
      <xdr:row>10</xdr:row>
      <xdr:rowOff>295682</xdr:rowOff>
    </xdr:from>
    <xdr:to>
      <xdr:col>17</xdr:col>
      <xdr:colOff>157369</xdr:colOff>
      <xdr:row>10</xdr:row>
      <xdr:rowOff>295682</xdr:rowOff>
    </xdr:to>
    <xdr:cxnSp macro="">
      <xdr:nvCxnSpPr>
        <xdr:cNvPr id="16" name="Straight Connector 17">
          <a:extLst>
            <a:ext uri="{FF2B5EF4-FFF2-40B4-BE49-F238E27FC236}">
              <a16:creationId xmlns:a16="http://schemas.microsoft.com/office/drawing/2014/main" id="{00000000-0008-0000-0200-000010000000}"/>
            </a:ext>
          </a:extLst>
        </xdr:cNvPr>
        <xdr:cNvCxnSpPr/>
      </xdr:nvCxnSpPr>
      <xdr:spPr>
        <a:xfrm>
          <a:off x="11661775" y="4154805"/>
          <a:ext cx="4400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86519</xdr:colOff>
      <xdr:row>15</xdr:row>
      <xdr:rowOff>305360</xdr:rowOff>
    </xdr:from>
    <xdr:to>
      <xdr:col>17</xdr:col>
      <xdr:colOff>455543</xdr:colOff>
      <xdr:row>15</xdr:row>
      <xdr:rowOff>305360</xdr:rowOff>
    </xdr:to>
    <xdr:cxnSp macro="">
      <xdr:nvCxnSpPr>
        <xdr:cNvPr id="47" name="Straight Connector 18">
          <a:extLst>
            <a:ext uri="{FF2B5EF4-FFF2-40B4-BE49-F238E27FC236}">
              <a16:creationId xmlns:a16="http://schemas.microsoft.com/office/drawing/2014/main" id="{00000000-0008-0000-0200-00002F000000}"/>
            </a:ext>
          </a:extLst>
        </xdr:cNvPr>
        <xdr:cNvCxnSpPr/>
      </xdr:nvCxnSpPr>
      <xdr:spPr>
        <a:xfrm>
          <a:off x="12031345" y="7078980"/>
          <a:ext cx="36893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467002</xdr:colOff>
      <xdr:row>20</xdr:row>
      <xdr:rowOff>285221</xdr:rowOff>
    </xdr:from>
    <xdr:to>
      <xdr:col>18</xdr:col>
      <xdr:colOff>115957</xdr:colOff>
      <xdr:row>20</xdr:row>
      <xdr:rowOff>285221</xdr:rowOff>
    </xdr:to>
    <xdr:cxnSp macro="">
      <xdr:nvCxnSpPr>
        <xdr:cNvPr id="64" name="Straight Connector 19">
          <a:extLst>
            <a:ext uri="{FF2B5EF4-FFF2-40B4-BE49-F238E27FC236}">
              <a16:creationId xmlns:a16="http://schemas.microsoft.com/office/drawing/2014/main" id="{00000000-0008-0000-0200-000040000000}"/>
            </a:ext>
          </a:extLst>
        </xdr:cNvPr>
        <xdr:cNvCxnSpPr/>
      </xdr:nvCxnSpPr>
      <xdr:spPr>
        <a:xfrm>
          <a:off x="12411710" y="9973945"/>
          <a:ext cx="3429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74543</xdr:colOff>
      <xdr:row>25</xdr:row>
      <xdr:rowOff>286854</xdr:rowOff>
    </xdr:from>
    <xdr:to>
      <xdr:col>18</xdr:col>
      <xdr:colOff>265043</xdr:colOff>
      <xdr:row>25</xdr:row>
      <xdr:rowOff>286854</xdr:rowOff>
    </xdr:to>
    <xdr:cxnSp macro="">
      <xdr:nvCxnSpPr>
        <xdr:cNvPr id="78" name="Straight Connector 20">
          <a:extLst>
            <a:ext uri="{FF2B5EF4-FFF2-40B4-BE49-F238E27FC236}">
              <a16:creationId xmlns:a16="http://schemas.microsoft.com/office/drawing/2014/main" id="{00000000-0008-0000-0200-00004E000000}"/>
            </a:ext>
          </a:extLst>
        </xdr:cNvPr>
        <xdr:cNvCxnSpPr/>
      </xdr:nvCxnSpPr>
      <xdr:spPr>
        <a:xfrm>
          <a:off x="12713335" y="12889865"/>
          <a:ext cx="1905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173934</xdr:colOff>
      <xdr:row>30</xdr:row>
      <xdr:rowOff>284677</xdr:rowOff>
    </xdr:from>
    <xdr:to>
      <xdr:col>18</xdr:col>
      <xdr:colOff>323021</xdr:colOff>
      <xdr:row>30</xdr:row>
      <xdr:rowOff>284677</xdr:rowOff>
    </xdr:to>
    <xdr:cxnSp macro="">
      <xdr:nvCxnSpPr>
        <xdr:cNvPr id="90" name="Straight Connector 21">
          <a:extLst>
            <a:ext uri="{FF2B5EF4-FFF2-40B4-BE49-F238E27FC236}">
              <a16:creationId xmlns:a16="http://schemas.microsoft.com/office/drawing/2014/main" id="{00000000-0008-0000-0200-00005A000000}"/>
            </a:ext>
          </a:extLst>
        </xdr:cNvPr>
        <xdr:cNvCxnSpPr/>
      </xdr:nvCxnSpPr>
      <xdr:spPr>
        <a:xfrm>
          <a:off x="12812395" y="15802610"/>
          <a:ext cx="1492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272229</xdr:colOff>
      <xdr:row>35</xdr:row>
      <xdr:rowOff>306113</xdr:rowOff>
    </xdr:from>
    <xdr:to>
      <xdr:col>18</xdr:col>
      <xdr:colOff>471471</xdr:colOff>
      <xdr:row>35</xdr:row>
      <xdr:rowOff>306113</xdr:rowOff>
    </xdr:to>
    <xdr:cxnSp macro="">
      <xdr:nvCxnSpPr>
        <xdr:cNvPr id="112" name="Straight Connector 22">
          <a:extLst>
            <a:ext uri="{FF2B5EF4-FFF2-40B4-BE49-F238E27FC236}">
              <a16:creationId xmlns:a16="http://schemas.microsoft.com/office/drawing/2014/main" id="{00000000-0008-0000-0200-000070000000}"/>
            </a:ext>
          </a:extLst>
        </xdr:cNvPr>
        <xdr:cNvCxnSpPr/>
      </xdr:nvCxnSpPr>
      <xdr:spPr>
        <a:xfrm>
          <a:off x="12910820" y="18738850"/>
          <a:ext cx="1993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556477</xdr:colOff>
      <xdr:row>40</xdr:row>
      <xdr:rowOff>299250</xdr:rowOff>
    </xdr:from>
    <xdr:to>
      <xdr:col>19</xdr:col>
      <xdr:colOff>79804</xdr:colOff>
      <xdr:row>40</xdr:row>
      <xdr:rowOff>299250</xdr:rowOff>
    </xdr:to>
    <xdr:cxnSp macro="">
      <xdr:nvCxnSpPr>
        <xdr:cNvPr id="143" name="Straight Connector 23">
          <a:extLst>
            <a:ext uri="{FF2B5EF4-FFF2-40B4-BE49-F238E27FC236}">
              <a16:creationId xmlns:a16="http://schemas.microsoft.com/office/drawing/2014/main" id="{00000000-0008-0000-0200-00008F000000}"/>
            </a:ext>
          </a:extLst>
        </xdr:cNvPr>
        <xdr:cNvCxnSpPr/>
      </xdr:nvCxnSpPr>
      <xdr:spPr>
        <a:xfrm>
          <a:off x="13195300" y="21646515"/>
          <a:ext cx="2171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712</xdr:colOff>
      <xdr:row>67</xdr:row>
      <xdr:rowOff>211291</xdr:rowOff>
    </xdr:from>
    <xdr:to>
      <xdr:col>20</xdr:col>
      <xdr:colOff>137948</xdr:colOff>
      <xdr:row>67</xdr:row>
      <xdr:rowOff>211291</xdr:rowOff>
    </xdr:to>
    <xdr:cxnSp macro="">
      <xdr:nvCxnSpPr>
        <xdr:cNvPr id="225" name="Straight Connector 2">
          <a:extLst>
            <a:ext uri="{FF2B5EF4-FFF2-40B4-BE49-F238E27FC236}">
              <a16:creationId xmlns:a16="http://schemas.microsoft.com/office/drawing/2014/main" id="{00000000-0008-0000-0200-0000E1000000}"/>
            </a:ext>
          </a:extLst>
        </xdr:cNvPr>
        <xdr:cNvCxnSpPr/>
      </xdr:nvCxnSpPr>
      <xdr:spPr>
        <a:xfrm>
          <a:off x="13333730" y="41130855"/>
          <a:ext cx="8312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477887</xdr:colOff>
      <xdr:row>61</xdr:row>
      <xdr:rowOff>201943</xdr:rowOff>
    </xdr:from>
    <xdr:to>
      <xdr:col>19</xdr:col>
      <xdr:colOff>600061</xdr:colOff>
      <xdr:row>61</xdr:row>
      <xdr:rowOff>201943</xdr:rowOff>
    </xdr:to>
    <xdr:cxnSp macro="">
      <xdr:nvCxnSpPr>
        <xdr:cNvPr id="208" name="Straight Connector 19">
          <a:extLst>
            <a:ext uri="{FF2B5EF4-FFF2-40B4-BE49-F238E27FC236}">
              <a16:creationId xmlns:a16="http://schemas.microsoft.com/office/drawing/2014/main" id="{00000000-0008-0000-0200-0000D0000000}"/>
            </a:ext>
          </a:extLst>
        </xdr:cNvPr>
        <xdr:cNvCxnSpPr/>
      </xdr:nvCxnSpPr>
      <xdr:spPr>
        <a:xfrm>
          <a:off x="13810615" y="3922649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616814</xdr:colOff>
      <xdr:row>62</xdr:row>
      <xdr:rowOff>191285</xdr:rowOff>
    </xdr:from>
    <xdr:to>
      <xdr:col>20</xdr:col>
      <xdr:colOff>151086</xdr:colOff>
      <xdr:row>62</xdr:row>
      <xdr:rowOff>191285</xdr:rowOff>
    </xdr:to>
    <xdr:cxnSp macro="">
      <xdr:nvCxnSpPr>
        <xdr:cNvPr id="210" name="Straight Connector 19">
          <a:extLst>
            <a:ext uri="{FF2B5EF4-FFF2-40B4-BE49-F238E27FC236}">
              <a16:creationId xmlns:a16="http://schemas.microsoft.com/office/drawing/2014/main" id="{00000000-0008-0000-0200-0000D2000000}"/>
            </a:ext>
          </a:extLst>
        </xdr:cNvPr>
        <xdr:cNvCxnSpPr/>
      </xdr:nvCxnSpPr>
      <xdr:spPr>
        <a:xfrm>
          <a:off x="13949680" y="39583360"/>
          <a:ext cx="22796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64</xdr:row>
      <xdr:rowOff>202681</xdr:rowOff>
    </xdr:from>
    <xdr:to>
      <xdr:col>20</xdr:col>
      <xdr:colOff>249620</xdr:colOff>
      <xdr:row>64</xdr:row>
      <xdr:rowOff>202681</xdr:rowOff>
    </xdr:to>
    <xdr:cxnSp macro="">
      <xdr:nvCxnSpPr>
        <xdr:cNvPr id="217" name="Straight Connector 19">
          <a:extLst>
            <a:ext uri="{FF2B5EF4-FFF2-40B4-BE49-F238E27FC236}">
              <a16:creationId xmlns:a16="http://schemas.microsoft.com/office/drawing/2014/main" id="{00000000-0008-0000-0200-0000D9000000}"/>
            </a:ext>
          </a:extLst>
        </xdr:cNvPr>
        <xdr:cNvCxnSpPr/>
      </xdr:nvCxnSpPr>
      <xdr:spPr>
        <a:xfrm>
          <a:off x="14237335" y="40330120"/>
          <a:ext cx="393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253015</xdr:colOff>
      <xdr:row>65</xdr:row>
      <xdr:rowOff>202682</xdr:rowOff>
    </xdr:from>
    <xdr:to>
      <xdr:col>20</xdr:col>
      <xdr:colOff>289034</xdr:colOff>
      <xdr:row>65</xdr:row>
      <xdr:rowOff>202682</xdr:rowOff>
    </xdr:to>
    <xdr:cxnSp macro="">
      <xdr:nvCxnSpPr>
        <xdr:cNvPr id="244" name="Straight Connector 19">
          <a:extLst>
            <a:ext uri="{FF2B5EF4-FFF2-40B4-BE49-F238E27FC236}">
              <a16:creationId xmlns:a16="http://schemas.microsoft.com/office/drawing/2014/main" id="{00000000-0008-0000-0200-0000F4000000}"/>
            </a:ext>
          </a:extLst>
        </xdr:cNvPr>
        <xdr:cNvCxnSpPr/>
      </xdr:nvCxnSpPr>
      <xdr:spPr>
        <a:xfrm>
          <a:off x="14279880" y="40697785"/>
          <a:ext cx="361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248478</xdr:colOff>
      <xdr:row>7</xdr:row>
      <xdr:rowOff>317425</xdr:rowOff>
    </xdr:from>
    <xdr:to>
      <xdr:col>18</xdr:col>
      <xdr:colOff>323021</xdr:colOff>
      <xdr:row>7</xdr:row>
      <xdr:rowOff>317425</xdr:rowOff>
    </xdr:to>
    <xdr:cxnSp macro="">
      <xdr:nvCxnSpPr>
        <xdr:cNvPr id="50" name="Straight Connector 32">
          <a:extLst>
            <a:ext uri="{FF2B5EF4-FFF2-40B4-BE49-F238E27FC236}">
              <a16:creationId xmlns:a16="http://schemas.microsoft.com/office/drawing/2014/main" id="{00000000-0008-0000-0200-000032000000}"/>
            </a:ext>
          </a:extLst>
        </xdr:cNvPr>
        <xdr:cNvCxnSpPr/>
      </xdr:nvCxnSpPr>
      <xdr:spPr>
        <a:xfrm>
          <a:off x="12887325" y="2404745"/>
          <a:ext cx="7429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554934</xdr:colOff>
      <xdr:row>11</xdr:row>
      <xdr:rowOff>294747</xdr:rowOff>
    </xdr:from>
    <xdr:to>
      <xdr:col>18</xdr:col>
      <xdr:colOff>143979</xdr:colOff>
      <xdr:row>11</xdr:row>
      <xdr:rowOff>294747</xdr:rowOff>
    </xdr:to>
    <xdr:cxnSp macro="">
      <xdr:nvCxnSpPr>
        <xdr:cNvPr id="28" name="Straight Connector 33">
          <a:extLst>
            <a:ext uri="{FF2B5EF4-FFF2-40B4-BE49-F238E27FC236}">
              <a16:creationId xmlns:a16="http://schemas.microsoft.com/office/drawing/2014/main" id="{00000000-0008-0000-0200-00001C000000}"/>
            </a:ext>
          </a:extLst>
        </xdr:cNvPr>
        <xdr:cNvCxnSpPr/>
      </xdr:nvCxnSpPr>
      <xdr:spPr>
        <a:xfrm>
          <a:off x="12499340" y="4725670"/>
          <a:ext cx="2832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129919</xdr:colOff>
      <xdr:row>16</xdr:row>
      <xdr:rowOff>311312</xdr:rowOff>
    </xdr:from>
    <xdr:to>
      <xdr:col>18</xdr:col>
      <xdr:colOff>252172</xdr:colOff>
      <xdr:row>16</xdr:row>
      <xdr:rowOff>311312</xdr:rowOff>
    </xdr:to>
    <xdr:cxnSp macro="">
      <xdr:nvCxnSpPr>
        <xdr:cNvPr id="48" name="Straight Connector 34">
          <a:extLst>
            <a:ext uri="{FF2B5EF4-FFF2-40B4-BE49-F238E27FC236}">
              <a16:creationId xmlns:a16="http://schemas.microsoft.com/office/drawing/2014/main" id="{00000000-0008-0000-0200-000030000000}"/>
            </a:ext>
          </a:extLst>
        </xdr:cNvPr>
        <xdr:cNvCxnSpPr/>
      </xdr:nvCxnSpPr>
      <xdr:spPr>
        <a:xfrm>
          <a:off x="12768580" y="7656830"/>
          <a:ext cx="1225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182217</xdr:colOff>
      <xdr:row>21</xdr:row>
      <xdr:rowOff>297922</xdr:rowOff>
    </xdr:from>
    <xdr:to>
      <xdr:col>18</xdr:col>
      <xdr:colOff>341519</xdr:colOff>
      <xdr:row>21</xdr:row>
      <xdr:rowOff>297922</xdr:rowOff>
    </xdr:to>
    <xdr:cxnSp macro="">
      <xdr:nvCxnSpPr>
        <xdr:cNvPr id="67" name="Straight Connector 35">
          <a:extLst>
            <a:ext uri="{FF2B5EF4-FFF2-40B4-BE49-F238E27FC236}">
              <a16:creationId xmlns:a16="http://schemas.microsoft.com/office/drawing/2014/main" id="{00000000-0008-0000-0200-000043000000}"/>
            </a:ext>
          </a:extLst>
        </xdr:cNvPr>
        <xdr:cNvCxnSpPr/>
      </xdr:nvCxnSpPr>
      <xdr:spPr>
        <a:xfrm>
          <a:off x="12820650" y="10558145"/>
          <a:ext cx="1593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226135</xdr:colOff>
      <xdr:row>26</xdr:row>
      <xdr:rowOff>297922</xdr:rowOff>
    </xdr:from>
    <xdr:to>
      <xdr:col>18</xdr:col>
      <xdr:colOff>399380</xdr:colOff>
      <xdr:row>26</xdr:row>
      <xdr:rowOff>297922</xdr:rowOff>
    </xdr:to>
    <xdr:cxnSp macro="">
      <xdr:nvCxnSpPr>
        <xdr:cNvPr id="79" name="Straight Connector 36">
          <a:extLst>
            <a:ext uri="{FF2B5EF4-FFF2-40B4-BE49-F238E27FC236}">
              <a16:creationId xmlns:a16="http://schemas.microsoft.com/office/drawing/2014/main" id="{00000000-0008-0000-0200-00004F000000}"/>
            </a:ext>
          </a:extLst>
        </xdr:cNvPr>
        <xdr:cNvCxnSpPr/>
      </xdr:nvCxnSpPr>
      <xdr:spPr>
        <a:xfrm>
          <a:off x="12865100" y="13472795"/>
          <a:ext cx="1727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332227</xdr:colOff>
      <xdr:row>31</xdr:row>
      <xdr:rowOff>250786</xdr:rowOff>
    </xdr:from>
    <xdr:to>
      <xdr:col>18</xdr:col>
      <xdr:colOff>483799</xdr:colOff>
      <xdr:row>31</xdr:row>
      <xdr:rowOff>250786</xdr:rowOff>
    </xdr:to>
    <xdr:cxnSp macro="">
      <xdr:nvCxnSpPr>
        <xdr:cNvPr id="96" name="Straight Connector 37">
          <a:extLst>
            <a:ext uri="{FF2B5EF4-FFF2-40B4-BE49-F238E27FC236}">
              <a16:creationId xmlns:a16="http://schemas.microsoft.com/office/drawing/2014/main" id="{00000000-0008-0000-0200-000060000000}"/>
            </a:ext>
          </a:extLst>
        </xdr:cNvPr>
        <xdr:cNvCxnSpPr/>
      </xdr:nvCxnSpPr>
      <xdr:spPr>
        <a:xfrm>
          <a:off x="12971145" y="16339820"/>
          <a:ext cx="1511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570577</xdr:colOff>
      <xdr:row>36</xdr:row>
      <xdr:rowOff>294747</xdr:rowOff>
    </xdr:from>
    <xdr:to>
      <xdr:col>19</xdr:col>
      <xdr:colOff>78828</xdr:colOff>
      <xdr:row>36</xdr:row>
      <xdr:rowOff>294747</xdr:rowOff>
    </xdr:to>
    <xdr:cxnSp macro="">
      <xdr:nvCxnSpPr>
        <xdr:cNvPr id="133" name="Straight Connector 38">
          <a:extLst>
            <a:ext uri="{FF2B5EF4-FFF2-40B4-BE49-F238E27FC236}">
              <a16:creationId xmlns:a16="http://schemas.microsoft.com/office/drawing/2014/main" id="{00000000-0008-0000-0200-000085000000}"/>
            </a:ext>
          </a:extLst>
        </xdr:cNvPr>
        <xdr:cNvCxnSpPr/>
      </xdr:nvCxnSpPr>
      <xdr:spPr>
        <a:xfrm>
          <a:off x="13209270" y="19298920"/>
          <a:ext cx="20256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248478</xdr:colOff>
      <xdr:row>12</xdr:row>
      <xdr:rowOff>317425</xdr:rowOff>
    </xdr:from>
    <xdr:to>
      <xdr:col>18</xdr:col>
      <xdr:colOff>374431</xdr:colOff>
      <xdr:row>12</xdr:row>
      <xdr:rowOff>317425</xdr:rowOff>
    </xdr:to>
    <xdr:cxnSp macro="">
      <xdr:nvCxnSpPr>
        <xdr:cNvPr id="242" name="Straight Connector 40">
          <a:extLst>
            <a:ext uri="{FF2B5EF4-FFF2-40B4-BE49-F238E27FC236}">
              <a16:creationId xmlns:a16="http://schemas.microsoft.com/office/drawing/2014/main" id="{00000000-0008-0000-0200-0000F2000000}"/>
            </a:ext>
          </a:extLst>
        </xdr:cNvPr>
        <xdr:cNvCxnSpPr/>
      </xdr:nvCxnSpPr>
      <xdr:spPr>
        <a:xfrm>
          <a:off x="12887325" y="5319395"/>
          <a:ext cx="1257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265043</xdr:colOff>
      <xdr:row>17</xdr:row>
      <xdr:rowOff>313007</xdr:rowOff>
    </xdr:from>
    <xdr:to>
      <xdr:col>18</xdr:col>
      <xdr:colOff>427520</xdr:colOff>
      <xdr:row>17</xdr:row>
      <xdr:rowOff>313007</xdr:rowOff>
    </xdr:to>
    <xdr:cxnSp macro="">
      <xdr:nvCxnSpPr>
        <xdr:cNvPr id="52" name="Straight Connector 41">
          <a:extLst>
            <a:ext uri="{FF2B5EF4-FFF2-40B4-BE49-F238E27FC236}">
              <a16:creationId xmlns:a16="http://schemas.microsoft.com/office/drawing/2014/main" id="{00000000-0008-0000-0200-000034000000}"/>
            </a:ext>
          </a:extLst>
        </xdr:cNvPr>
        <xdr:cNvCxnSpPr/>
      </xdr:nvCxnSpPr>
      <xdr:spPr>
        <a:xfrm>
          <a:off x="12903835" y="8229600"/>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530086</xdr:colOff>
      <xdr:row>22</xdr:row>
      <xdr:rowOff>302793</xdr:rowOff>
    </xdr:from>
    <xdr:to>
      <xdr:col>18</xdr:col>
      <xdr:colOff>609659</xdr:colOff>
      <xdr:row>22</xdr:row>
      <xdr:rowOff>302793</xdr:rowOff>
    </xdr:to>
    <xdr:cxnSp macro="">
      <xdr:nvCxnSpPr>
        <xdr:cNvPr id="71" name="Straight Connector 42">
          <a:extLst>
            <a:ext uri="{FF2B5EF4-FFF2-40B4-BE49-F238E27FC236}">
              <a16:creationId xmlns:a16="http://schemas.microsoft.com/office/drawing/2014/main" id="{00000000-0008-0000-0200-000047000000}"/>
            </a:ext>
          </a:extLst>
        </xdr:cNvPr>
        <xdr:cNvCxnSpPr/>
      </xdr:nvCxnSpPr>
      <xdr:spPr>
        <a:xfrm>
          <a:off x="13168630" y="11134090"/>
          <a:ext cx="800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586743</xdr:colOff>
      <xdr:row>27</xdr:row>
      <xdr:rowOff>302792</xdr:rowOff>
    </xdr:from>
    <xdr:to>
      <xdr:col>19</xdr:col>
      <xdr:colOff>91030</xdr:colOff>
      <xdr:row>27</xdr:row>
      <xdr:rowOff>302792</xdr:rowOff>
    </xdr:to>
    <xdr:cxnSp macro="">
      <xdr:nvCxnSpPr>
        <xdr:cNvPr id="82" name="Straight Connector 43">
          <a:extLst>
            <a:ext uri="{FF2B5EF4-FFF2-40B4-BE49-F238E27FC236}">
              <a16:creationId xmlns:a16="http://schemas.microsoft.com/office/drawing/2014/main" id="{00000000-0008-0000-0200-000052000000}"/>
            </a:ext>
          </a:extLst>
        </xdr:cNvPr>
        <xdr:cNvCxnSpPr/>
      </xdr:nvCxnSpPr>
      <xdr:spPr>
        <a:xfrm>
          <a:off x="13225780" y="14048740"/>
          <a:ext cx="1981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132522</xdr:colOff>
      <xdr:row>32</xdr:row>
      <xdr:rowOff>274441</xdr:rowOff>
    </xdr:from>
    <xdr:to>
      <xdr:col>19</xdr:col>
      <xdr:colOff>265044</xdr:colOff>
      <xdr:row>32</xdr:row>
      <xdr:rowOff>274441</xdr:rowOff>
    </xdr:to>
    <xdr:cxnSp macro="">
      <xdr:nvCxnSpPr>
        <xdr:cNvPr id="102" name="Straight Connector 44">
          <a:extLst>
            <a:ext uri="{FF2B5EF4-FFF2-40B4-BE49-F238E27FC236}">
              <a16:creationId xmlns:a16="http://schemas.microsoft.com/office/drawing/2014/main" id="{00000000-0008-0000-0200-000066000000}"/>
            </a:ext>
          </a:extLst>
        </xdr:cNvPr>
        <xdr:cNvCxnSpPr/>
      </xdr:nvCxnSpPr>
      <xdr:spPr>
        <a:xfrm>
          <a:off x="13465175" y="16935450"/>
          <a:ext cx="1327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181248</xdr:colOff>
      <xdr:row>37</xdr:row>
      <xdr:rowOff>311691</xdr:rowOff>
    </xdr:from>
    <xdr:to>
      <xdr:col>19</xdr:col>
      <xdr:colOff>262759</xdr:colOff>
      <xdr:row>37</xdr:row>
      <xdr:rowOff>311691</xdr:rowOff>
    </xdr:to>
    <xdr:cxnSp macro="">
      <xdr:nvCxnSpPr>
        <xdr:cNvPr id="135" name="Straight Connector 45">
          <a:extLst>
            <a:ext uri="{FF2B5EF4-FFF2-40B4-BE49-F238E27FC236}">
              <a16:creationId xmlns:a16="http://schemas.microsoft.com/office/drawing/2014/main" id="{00000000-0008-0000-0200-000087000000}"/>
            </a:ext>
          </a:extLst>
        </xdr:cNvPr>
        <xdr:cNvCxnSpPr/>
      </xdr:nvCxnSpPr>
      <xdr:spPr>
        <a:xfrm>
          <a:off x="13514070" y="19886930"/>
          <a:ext cx="812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354724</xdr:colOff>
      <xdr:row>43</xdr:row>
      <xdr:rowOff>314250</xdr:rowOff>
    </xdr:from>
    <xdr:to>
      <xdr:col>19</xdr:col>
      <xdr:colOff>430377</xdr:colOff>
      <xdr:row>43</xdr:row>
      <xdr:rowOff>314250</xdr:rowOff>
    </xdr:to>
    <xdr:cxnSp macro="">
      <xdr:nvCxnSpPr>
        <xdr:cNvPr id="156" name="Straight Connector 46">
          <a:extLst>
            <a:ext uri="{FF2B5EF4-FFF2-40B4-BE49-F238E27FC236}">
              <a16:creationId xmlns:a16="http://schemas.microsoft.com/office/drawing/2014/main" id="{00000000-0008-0000-0200-00009C000000}"/>
            </a:ext>
          </a:extLst>
        </xdr:cNvPr>
        <xdr:cNvCxnSpPr/>
      </xdr:nvCxnSpPr>
      <xdr:spPr>
        <a:xfrm>
          <a:off x="13687425" y="23375620"/>
          <a:ext cx="7556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269328</xdr:colOff>
      <xdr:row>46</xdr:row>
      <xdr:rowOff>294966</xdr:rowOff>
    </xdr:from>
    <xdr:to>
      <xdr:col>19</xdr:col>
      <xdr:colOff>393193</xdr:colOff>
      <xdr:row>46</xdr:row>
      <xdr:rowOff>294966</xdr:rowOff>
    </xdr:to>
    <xdr:cxnSp macro="">
      <xdr:nvCxnSpPr>
        <xdr:cNvPr id="163" name="Straight Connector 49">
          <a:extLst>
            <a:ext uri="{FF2B5EF4-FFF2-40B4-BE49-F238E27FC236}">
              <a16:creationId xmlns:a16="http://schemas.microsoft.com/office/drawing/2014/main" id="{00000000-0008-0000-0200-0000A3000000}"/>
            </a:ext>
          </a:extLst>
        </xdr:cNvPr>
        <xdr:cNvCxnSpPr/>
      </xdr:nvCxnSpPr>
      <xdr:spPr>
        <a:xfrm>
          <a:off x="13602335" y="25128220"/>
          <a:ext cx="1238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387569</xdr:colOff>
      <xdr:row>47</xdr:row>
      <xdr:rowOff>324213</xdr:rowOff>
    </xdr:from>
    <xdr:to>
      <xdr:col>19</xdr:col>
      <xdr:colOff>512379</xdr:colOff>
      <xdr:row>47</xdr:row>
      <xdr:rowOff>324213</xdr:rowOff>
    </xdr:to>
    <xdr:cxnSp macro="">
      <xdr:nvCxnSpPr>
        <xdr:cNvPr id="165" name="Straight Connector 50">
          <a:extLst>
            <a:ext uri="{FF2B5EF4-FFF2-40B4-BE49-F238E27FC236}">
              <a16:creationId xmlns:a16="http://schemas.microsoft.com/office/drawing/2014/main" id="{00000000-0008-0000-0200-0000A5000000}"/>
            </a:ext>
          </a:extLst>
        </xdr:cNvPr>
        <xdr:cNvCxnSpPr/>
      </xdr:nvCxnSpPr>
      <xdr:spPr>
        <a:xfrm>
          <a:off x="13720445" y="25728930"/>
          <a:ext cx="12446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236483</xdr:colOff>
      <xdr:row>50</xdr:row>
      <xdr:rowOff>297052</xdr:rowOff>
    </xdr:from>
    <xdr:to>
      <xdr:col>19</xdr:col>
      <xdr:colOff>410670</xdr:colOff>
      <xdr:row>50</xdr:row>
      <xdr:rowOff>297052</xdr:rowOff>
    </xdr:to>
    <xdr:cxnSp macro="">
      <xdr:nvCxnSpPr>
        <xdr:cNvPr id="171" name="Straight Connector 51">
          <a:extLst>
            <a:ext uri="{FF2B5EF4-FFF2-40B4-BE49-F238E27FC236}">
              <a16:creationId xmlns:a16="http://schemas.microsoft.com/office/drawing/2014/main" id="{00000000-0008-0000-0200-0000AB000000}"/>
            </a:ext>
          </a:extLst>
        </xdr:cNvPr>
        <xdr:cNvCxnSpPr/>
      </xdr:nvCxnSpPr>
      <xdr:spPr>
        <a:xfrm>
          <a:off x="13569315" y="27473275"/>
          <a:ext cx="1739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370114</xdr:colOff>
      <xdr:row>51</xdr:row>
      <xdr:rowOff>288178</xdr:rowOff>
    </xdr:from>
    <xdr:to>
      <xdr:col>19</xdr:col>
      <xdr:colOff>512161</xdr:colOff>
      <xdr:row>51</xdr:row>
      <xdr:rowOff>288178</xdr:rowOff>
    </xdr:to>
    <xdr:cxnSp macro="">
      <xdr:nvCxnSpPr>
        <xdr:cNvPr id="172" name="Straight Connector 52">
          <a:extLst>
            <a:ext uri="{FF2B5EF4-FFF2-40B4-BE49-F238E27FC236}">
              <a16:creationId xmlns:a16="http://schemas.microsoft.com/office/drawing/2014/main" id="{00000000-0008-0000-0200-0000AC000000}"/>
            </a:ext>
          </a:extLst>
        </xdr:cNvPr>
        <xdr:cNvCxnSpPr/>
      </xdr:nvCxnSpPr>
      <xdr:spPr>
        <a:xfrm>
          <a:off x="13702665" y="28035885"/>
          <a:ext cx="1422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540156</xdr:colOff>
      <xdr:row>52</xdr:row>
      <xdr:rowOff>291369</xdr:rowOff>
    </xdr:from>
    <xdr:to>
      <xdr:col>20</xdr:col>
      <xdr:colOff>45013</xdr:colOff>
      <xdr:row>52</xdr:row>
      <xdr:rowOff>291369</xdr:rowOff>
    </xdr:to>
    <xdr:cxnSp macro="">
      <xdr:nvCxnSpPr>
        <xdr:cNvPr id="173" name="Straight Connector 53">
          <a:extLst>
            <a:ext uri="{FF2B5EF4-FFF2-40B4-BE49-F238E27FC236}">
              <a16:creationId xmlns:a16="http://schemas.microsoft.com/office/drawing/2014/main" id="{00000000-0008-0000-0200-0000AD000000}"/>
            </a:ext>
          </a:extLst>
        </xdr:cNvPr>
        <xdr:cNvCxnSpPr/>
      </xdr:nvCxnSpPr>
      <xdr:spPr>
        <a:xfrm>
          <a:off x="13872845" y="28610560"/>
          <a:ext cx="1987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335090</xdr:colOff>
      <xdr:row>8</xdr:row>
      <xdr:rowOff>269662</xdr:rowOff>
    </xdr:from>
    <xdr:to>
      <xdr:col>18</xdr:col>
      <xdr:colOff>427400</xdr:colOff>
      <xdr:row>8</xdr:row>
      <xdr:rowOff>269662</xdr:rowOff>
    </xdr:to>
    <xdr:cxnSp macro="">
      <xdr:nvCxnSpPr>
        <xdr:cNvPr id="49" name="Straight Connector 57">
          <a:extLst>
            <a:ext uri="{FF2B5EF4-FFF2-40B4-BE49-F238E27FC236}">
              <a16:creationId xmlns:a16="http://schemas.microsoft.com/office/drawing/2014/main" id="{00000000-0008-0000-0200-000031000000}"/>
            </a:ext>
          </a:extLst>
        </xdr:cNvPr>
        <xdr:cNvCxnSpPr/>
      </xdr:nvCxnSpPr>
      <xdr:spPr>
        <a:xfrm>
          <a:off x="12973685" y="2928620"/>
          <a:ext cx="927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314739</xdr:colOff>
      <xdr:row>13</xdr:row>
      <xdr:rowOff>294509</xdr:rowOff>
    </xdr:from>
    <xdr:to>
      <xdr:col>18</xdr:col>
      <xdr:colOff>397565</xdr:colOff>
      <xdr:row>13</xdr:row>
      <xdr:rowOff>294509</xdr:rowOff>
    </xdr:to>
    <xdr:cxnSp macro="">
      <xdr:nvCxnSpPr>
        <xdr:cNvPr id="39" name="Straight Connector 59">
          <a:extLst>
            <a:ext uri="{FF2B5EF4-FFF2-40B4-BE49-F238E27FC236}">
              <a16:creationId xmlns:a16="http://schemas.microsoft.com/office/drawing/2014/main" id="{00000000-0008-0000-0200-000027000000}"/>
            </a:ext>
          </a:extLst>
        </xdr:cNvPr>
        <xdr:cNvCxnSpPr/>
      </xdr:nvCxnSpPr>
      <xdr:spPr>
        <a:xfrm>
          <a:off x="12953365" y="5868035"/>
          <a:ext cx="831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523658</xdr:colOff>
      <xdr:row>18</xdr:row>
      <xdr:rowOff>286227</xdr:rowOff>
    </xdr:from>
    <xdr:to>
      <xdr:col>18</xdr:col>
      <xdr:colOff>612913</xdr:colOff>
      <xdr:row>18</xdr:row>
      <xdr:rowOff>286227</xdr:rowOff>
    </xdr:to>
    <xdr:cxnSp macro="">
      <xdr:nvCxnSpPr>
        <xdr:cNvPr id="58" name="Straight Connector 61">
          <a:extLst>
            <a:ext uri="{FF2B5EF4-FFF2-40B4-BE49-F238E27FC236}">
              <a16:creationId xmlns:a16="http://schemas.microsoft.com/office/drawing/2014/main" id="{00000000-0008-0000-0200-00003A000000}"/>
            </a:ext>
          </a:extLst>
        </xdr:cNvPr>
        <xdr:cNvCxnSpPr/>
      </xdr:nvCxnSpPr>
      <xdr:spPr>
        <a:xfrm>
          <a:off x="13162280" y="8774430"/>
          <a:ext cx="895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571500</xdr:colOff>
      <xdr:row>23</xdr:row>
      <xdr:rowOff>294510</xdr:rowOff>
    </xdr:from>
    <xdr:to>
      <xdr:col>19</xdr:col>
      <xdr:colOff>86001</xdr:colOff>
      <xdr:row>23</xdr:row>
      <xdr:rowOff>294510</xdr:rowOff>
    </xdr:to>
    <xdr:cxnSp macro="">
      <xdr:nvCxnSpPr>
        <xdr:cNvPr id="75" name="Straight Connector 63">
          <a:extLst>
            <a:ext uri="{FF2B5EF4-FFF2-40B4-BE49-F238E27FC236}">
              <a16:creationId xmlns:a16="http://schemas.microsoft.com/office/drawing/2014/main" id="{00000000-0008-0000-0200-00004B000000}"/>
            </a:ext>
          </a:extLst>
        </xdr:cNvPr>
        <xdr:cNvCxnSpPr/>
      </xdr:nvCxnSpPr>
      <xdr:spPr>
        <a:xfrm>
          <a:off x="13210540" y="11697335"/>
          <a:ext cx="2082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111466</xdr:colOff>
      <xdr:row>28</xdr:row>
      <xdr:rowOff>294134</xdr:rowOff>
    </xdr:from>
    <xdr:to>
      <xdr:col>19</xdr:col>
      <xdr:colOff>190500</xdr:colOff>
      <xdr:row>28</xdr:row>
      <xdr:rowOff>294134</xdr:rowOff>
    </xdr:to>
    <xdr:cxnSp macro="">
      <xdr:nvCxnSpPr>
        <xdr:cNvPr id="84" name="Straight Connector 69">
          <a:extLst>
            <a:ext uri="{FF2B5EF4-FFF2-40B4-BE49-F238E27FC236}">
              <a16:creationId xmlns:a16="http://schemas.microsoft.com/office/drawing/2014/main" id="{00000000-0008-0000-0200-000054000000}"/>
            </a:ext>
          </a:extLst>
        </xdr:cNvPr>
        <xdr:cNvCxnSpPr/>
      </xdr:nvCxnSpPr>
      <xdr:spPr>
        <a:xfrm>
          <a:off x="13444220" y="14611985"/>
          <a:ext cx="793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183884</xdr:colOff>
      <xdr:row>33</xdr:row>
      <xdr:rowOff>282976</xdr:rowOff>
    </xdr:from>
    <xdr:to>
      <xdr:col>19</xdr:col>
      <xdr:colOff>281609</xdr:colOff>
      <xdr:row>33</xdr:row>
      <xdr:rowOff>282976</xdr:rowOff>
    </xdr:to>
    <xdr:cxnSp macro="">
      <xdr:nvCxnSpPr>
        <xdr:cNvPr id="108" name="Straight Connector 71">
          <a:extLst>
            <a:ext uri="{FF2B5EF4-FFF2-40B4-BE49-F238E27FC236}">
              <a16:creationId xmlns:a16="http://schemas.microsoft.com/office/drawing/2014/main" id="{00000000-0008-0000-0200-00006C000000}"/>
            </a:ext>
          </a:extLst>
        </xdr:cNvPr>
        <xdr:cNvCxnSpPr/>
      </xdr:nvCxnSpPr>
      <xdr:spPr>
        <a:xfrm>
          <a:off x="13516610" y="17515205"/>
          <a:ext cx="977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237696</xdr:colOff>
      <xdr:row>38</xdr:row>
      <xdr:rowOff>324213</xdr:rowOff>
    </xdr:from>
    <xdr:to>
      <xdr:col>19</xdr:col>
      <xdr:colOff>328448</xdr:colOff>
      <xdr:row>38</xdr:row>
      <xdr:rowOff>324213</xdr:rowOff>
    </xdr:to>
    <xdr:cxnSp macro="">
      <xdr:nvCxnSpPr>
        <xdr:cNvPr id="138" name="Straight Connector 81">
          <a:extLst>
            <a:ext uri="{FF2B5EF4-FFF2-40B4-BE49-F238E27FC236}">
              <a16:creationId xmlns:a16="http://schemas.microsoft.com/office/drawing/2014/main" id="{00000000-0008-0000-0200-00008A000000}"/>
            </a:ext>
          </a:extLst>
        </xdr:cNvPr>
        <xdr:cNvCxnSpPr/>
      </xdr:nvCxnSpPr>
      <xdr:spPr>
        <a:xfrm>
          <a:off x="13570585" y="20471130"/>
          <a:ext cx="9080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105104</xdr:colOff>
      <xdr:row>41</xdr:row>
      <xdr:rowOff>294762</xdr:rowOff>
    </xdr:from>
    <xdr:to>
      <xdr:col>19</xdr:col>
      <xdr:colOff>183712</xdr:colOff>
      <xdr:row>41</xdr:row>
      <xdr:rowOff>294762</xdr:rowOff>
    </xdr:to>
    <xdr:cxnSp macro="">
      <xdr:nvCxnSpPr>
        <xdr:cNvPr id="148" name="Straight Connector 90">
          <a:extLst>
            <a:ext uri="{FF2B5EF4-FFF2-40B4-BE49-F238E27FC236}">
              <a16:creationId xmlns:a16="http://schemas.microsoft.com/office/drawing/2014/main" id="{00000000-0008-0000-0200-000094000000}"/>
            </a:ext>
          </a:extLst>
        </xdr:cNvPr>
        <xdr:cNvCxnSpPr/>
      </xdr:nvCxnSpPr>
      <xdr:spPr>
        <a:xfrm>
          <a:off x="13437870" y="22213570"/>
          <a:ext cx="787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241158</xdr:colOff>
      <xdr:row>42</xdr:row>
      <xdr:rowOff>275055</xdr:rowOff>
    </xdr:from>
    <xdr:to>
      <xdr:col>19</xdr:col>
      <xdr:colOff>383205</xdr:colOff>
      <xdr:row>42</xdr:row>
      <xdr:rowOff>275055</xdr:rowOff>
    </xdr:to>
    <xdr:cxnSp macro="">
      <xdr:nvCxnSpPr>
        <xdr:cNvPr id="152" name="Straight Connector 101">
          <a:extLst>
            <a:ext uri="{FF2B5EF4-FFF2-40B4-BE49-F238E27FC236}">
              <a16:creationId xmlns:a16="http://schemas.microsoft.com/office/drawing/2014/main" id="{00000000-0008-0000-0200-000098000000}"/>
            </a:ext>
          </a:extLst>
        </xdr:cNvPr>
        <xdr:cNvCxnSpPr/>
      </xdr:nvCxnSpPr>
      <xdr:spPr>
        <a:xfrm>
          <a:off x="13573760" y="22765385"/>
          <a:ext cx="1422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479535</xdr:colOff>
      <xdr:row>48</xdr:row>
      <xdr:rowOff>333957</xdr:rowOff>
    </xdr:from>
    <xdr:to>
      <xdr:col>19</xdr:col>
      <xdr:colOff>597831</xdr:colOff>
      <xdr:row>48</xdr:row>
      <xdr:rowOff>333957</xdr:rowOff>
    </xdr:to>
    <xdr:cxnSp macro="">
      <xdr:nvCxnSpPr>
        <xdr:cNvPr id="167" name="Straight Connector 102">
          <a:extLst>
            <a:ext uri="{FF2B5EF4-FFF2-40B4-BE49-F238E27FC236}">
              <a16:creationId xmlns:a16="http://schemas.microsoft.com/office/drawing/2014/main" id="{00000000-0008-0000-0200-0000A7000000}"/>
            </a:ext>
          </a:extLst>
        </xdr:cNvPr>
        <xdr:cNvCxnSpPr/>
      </xdr:nvCxnSpPr>
      <xdr:spPr>
        <a:xfrm>
          <a:off x="13812520" y="26309955"/>
          <a:ext cx="1181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47483</xdr:colOff>
      <xdr:row>53</xdr:row>
      <xdr:rowOff>317426</xdr:rowOff>
    </xdr:from>
    <xdr:to>
      <xdr:col>20</xdr:col>
      <xdr:colOff>111672</xdr:colOff>
      <xdr:row>53</xdr:row>
      <xdr:rowOff>317426</xdr:rowOff>
    </xdr:to>
    <xdr:cxnSp macro="">
      <xdr:nvCxnSpPr>
        <xdr:cNvPr id="175" name="Straight Connector 106">
          <a:extLst>
            <a:ext uri="{FF2B5EF4-FFF2-40B4-BE49-F238E27FC236}">
              <a16:creationId xmlns:a16="http://schemas.microsoft.com/office/drawing/2014/main" id="{00000000-0008-0000-0200-0000AF000000}"/>
            </a:ext>
          </a:extLst>
        </xdr:cNvPr>
        <xdr:cNvCxnSpPr/>
      </xdr:nvCxnSpPr>
      <xdr:spPr>
        <a:xfrm>
          <a:off x="14074140" y="29208095"/>
          <a:ext cx="641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413845</xdr:colOff>
      <xdr:row>68</xdr:row>
      <xdr:rowOff>240961</xdr:rowOff>
    </xdr:from>
    <xdr:to>
      <xdr:col>21</xdr:col>
      <xdr:colOff>627748</xdr:colOff>
      <xdr:row>68</xdr:row>
      <xdr:rowOff>240961</xdr:rowOff>
    </xdr:to>
    <xdr:cxnSp macro="">
      <xdr:nvCxnSpPr>
        <xdr:cNvPr id="230" name="Straight Connector 2">
          <a:extLst>
            <a:ext uri="{FF2B5EF4-FFF2-40B4-BE49-F238E27FC236}">
              <a16:creationId xmlns:a16="http://schemas.microsoft.com/office/drawing/2014/main" id="{00000000-0008-0000-0200-0000E6000000}"/>
            </a:ext>
          </a:extLst>
        </xdr:cNvPr>
        <xdr:cNvCxnSpPr/>
      </xdr:nvCxnSpPr>
      <xdr:spPr>
        <a:xfrm>
          <a:off x="14440535" y="41598850"/>
          <a:ext cx="9080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274551</xdr:colOff>
      <xdr:row>70</xdr:row>
      <xdr:rowOff>244136</xdr:rowOff>
    </xdr:from>
    <xdr:to>
      <xdr:col>18</xdr:col>
      <xdr:colOff>128411</xdr:colOff>
      <xdr:row>70</xdr:row>
      <xdr:rowOff>244136</xdr:rowOff>
    </xdr:to>
    <xdr:cxnSp macro="">
      <xdr:nvCxnSpPr>
        <xdr:cNvPr id="228" name="Straight Connector 2">
          <a:extLst>
            <a:ext uri="{FF2B5EF4-FFF2-40B4-BE49-F238E27FC236}">
              <a16:creationId xmlns:a16="http://schemas.microsoft.com/office/drawing/2014/main" id="{00000000-0008-0000-0200-0000E4000000}"/>
            </a:ext>
          </a:extLst>
        </xdr:cNvPr>
        <xdr:cNvCxnSpPr/>
      </xdr:nvCxnSpPr>
      <xdr:spPr>
        <a:xfrm>
          <a:off x="12219305" y="42240200"/>
          <a:ext cx="54800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115271</xdr:colOff>
      <xdr:row>45</xdr:row>
      <xdr:rowOff>294238</xdr:rowOff>
    </xdr:from>
    <xdr:to>
      <xdr:col>19</xdr:col>
      <xdr:colOff>300024</xdr:colOff>
      <xdr:row>45</xdr:row>
      <xdr:rowOff>294238</xdr:rowOff>
    </xdr:to>
    <xdr:cxnSp macro="">
      <xdr:nvCxnSpPr>
        <xdr:cNvPr id="161" name="Straight Connector 202">
          <a:extLst>
            <a:ext uri="{FF2B5EF4-FFF2-40B4-BE49-F238E27FC236}">
              <a16:creationId xmlns:a16="http://schemas.microsoft.com/office/drawing/2014/main" id="{00000000-0008-0000-0200-0000A1000000}"/>
            </a:ext>
          </a:extLst>
        </xdr:cNvPr>
        <xdr:cNvCxnSpPr/>
      </xdr:nvCxnSpPr>
      <xdr:spPr>
        <a:xfrm>
          <a:off x="13448030" y="24556085"/>
          <a:ext cx="1847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165205</xdr:colOff>
      <xdr:row>6</xdr:row>
      <xdr:rowOff>258711</xdr:rowOff>
    </xdr:from>
    <xdr:to>
      <xdr:col>18</xdr:col>
      <xdr:colOff>281161</xdr:colOff>
      <xdr:row>6</xdr:row>
      <xdr:rowOff>360035</xdr:rowOff>
    </xdr:to>
    <xdr:sp macro="" textlink="">
      <xdr:nvSpPr>
        <xdr:cNvPr id="46" name="Diamond 62">
          <a:extLst>
            <a:ext uri="{FF2B5EF4-FFF2-40B4-BE49-F238E27FC236}">
              <a16:creationId xmlns:a16="http://schemas.microsoft.com/office/drawing/2014/main" id="{00000000-0008-0000-0200-00002E000000}"/>
            </a:ext>
          </a:extLst>
        </xdr:cNvPr>
        <xdr:cNvSpPr/>
      </xdr:nvSpPr>
      <xdr:spPr>
        <a:xfrm>
          <a:off x="12804140" y="1774825"/>
          <a:ext cx="115570" cy="100965"/>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18</xdr:col>
      <xdr:colOff>273963</xdr:colOff>
      <xdr:row>59</xdr:row>
      <xdr:rowOff>0</xdr:rowOff>
    </xdr:from>
    <xdr:to>
      <xdr:col>18</xdr:col>
      <xdr:colOff>468820</xdr:colOff>
      <xdr:row>65</xdr:row>
      <xdr:rowOff>140805</xdr:rowOff>
    </xdr:to>
    <xdr:sp macro="" textlink="">
      <xdr:nvSpPr>
        <xdr:cNvPr id="23" name="TextBox 13">
          <a:extLst>
            <a:ext uri="{FF2B5EF4-FFF2-40B4-BE49-F238E27FC236}">
              <a16:creationId xmlns:a16="http://schemas.microsoft.com/office/drawing/2014/main" id="{00000000-0008-0000-0200-000017000000}"/>
            </a:ext>
          </a:extLst>
        </xdr:cNvPr>
        <xdr:cNvSpPr txBox="1"/>
      </xdr:nvSpPr>
      <xdr:spPr>
        <a:xfrm rot="16200000">
          <a:off x="8894445" y="36422330"/>
          <a:ext cx="823150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20</xdr:col>
      <xdr:colOff>220170</xdr:colOff>
      <xdr:row>59</xdr:row>
      <xdr:rowOff>526602</xdr:rowOff>
    </xdr:from>
    <xdr:to>
      <xdr:col>20</xdr:col>
      <xdr:colOff>315310</xdr:colOff>
      <xdr:row>59</xdr:row>
      <xdr:rowOff>526602</xdr:rowOff>
    </xdr:to>
    <xdr:cxnSp macro="">
      <xdr:nvCxnSpPr>
        <xdr:cNvPr id="202" name="Straight Connector 2">
          <a:extLst>
            <a:ext uri="{FF2B5EF4-FFF2-40B4-BE49-F238E27FC236}">
              <a16:creationId xmlns:a16="http://schemas.microsoft.com/office/drawing/2014/main" id="{00000000-0008-0000-0200-0000CA000000}"/>
            </a:ext>
          </a:extLst>
        </xdr:cNvPr>
        <xdr:cNvCxnSpPr/>
      </xdr:nvCxnSpPr>
      <xdr:spPr>
        <a:xfrm>
          <a:off x="14246860" y="38407975"/>
          <a:ext cx="952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131379</xdr:colOff>
      <xdr:row>63</xdr:row>
      <xdr:rowOff>199903</xdr:rowOff>
    </xdr:from>
    <xdr:to>
      <xdr:col>20</xdr:col>
      <xdr:colOff>200463</xdr:colOff>
      <xdr:row>63</xdr:row>
      <xdr:rowOff>199903</xdr:rowOff>
    </xdr:to>
    <xdr:cxnSp macro="">
      <xdr:nvCxnSpPr>
        <xdr:cNvPr id="212" name="Straight Connector 19">
          <a:extLst>
            <a:ext uri="{FF2B5EF4-FFF2-40B4-BE49-F238E27FC236}">
              <a16:creationId xmlns:a16="http://schemas.microsoft.com/office/drawing/2014/main" id="{00000000-0008-0000-0200-0000D4000000}"/>
            </a:ext>
          </a:extLst>
        </xdr:cNvPr>
        <xdr:cNvCxnSpPr/>
      </xdr:nvCxnSpPr>
      <xdr:spPr>
        <a:xfrm>
          <a:off x="14157960" y="39959280"/>
          <a:ext cx="692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464749</xdr:colOff>
      <xdr:row>31</xdr:row>
      <xdr:rowOff>250786</xdr:rowOff>
    </xdr:from>
    <xdr:to>
      <xdr:col>18</xdr:col>
      <xdr:colOff>563217</xdr:colOff>
      <xdr:row>31</xdr:row>
      <xdr:rowOff>250786</xdr:rowOff>
    </xdr:to>
    <xdr:cxnSp macro="">
      <xdr:nvCxnSpPr>
        <xdr:cNvPr id="100" name="Straight Connector 37">
          <a:extLst>
            <a:ext uri="{FF2B5EF4-FFF2-40B4-BE49-F238E27FC236}">
              <a16:creationId xmlns:a16="http://schemas.microsoft.com/office/drawing/2014/main" id="{00000000-0008-0000-0200-000064000000}"/>
            </a:ext>
          </a:extLst>
        </xdr:cNvPr>
        <xdr:cNvCxnSpPr/>
      </xdr:nvCxnSpPr>
      <xdr:spPr>
        <a:xfrm>
          <a:off x="13103225" y="16339820"/>
          <a:ext cx="984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474187</xdr:colOff>
      <xdr:row>35</xdr:row>
      <xdr:rowOff>314396</xdr:rowOff>
    </xdr:from>
    <xdr:to>
      <xdr:col>18</xdr:col>
      <xdr:colOff>588065</xdr:colOff>
      <xdr:row>35</xdr:row>
      <xdr:rowOff>314396</xdr:rowOff>
    </xdr:to>
    <xdr:cxnSp macro="">
      <xdr:nvCxnSpPr>
        <xdr:cNvPr id="117" name="Straight Connector 22">
          <a:extLst>
            <a:ext uri="{FF2B5EF4-FFF2-40B4-BE49-F238E27FC236}">
              <a16:creationId xmlns:a16="http://schemas.microsoft.com/office/drawing/2014/main" id="{00000000-0008-0000-0200-000075000000}"/>
            </a:ext>
          </a:extLst>
        </xdr:cNvPr>
        <xdr:cNvCxnSpPr/>
      </xdr:nvCxnSpPr>
      <xdr:spPr>
        <a:xfrm>
          <a:off x="13112750" y="18747105"/>
          <a:ext cx="114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124810</xdr:colOff>
      <xdr:row>74</xdr:row>
      <xdr:rowOff>211511</xdr:rowOff>
    </xdr:from>
    <xdr:to>
      <xdr:col>22</xdr:col>
      <xdr:colOff>302</xdr:colOff>
      <xdr:row>74</xdr:row>
      <xdr:rowOff>211511</xdr:rowOff>
    </xdr:to>
    <xdr:cxnSp macro="">
      <xdr:nvCxnSpPr>
        <xdr:cNvPr id="234" name="Straight Connector 2">
          <a:extLst>
            <a:ext uri="{FF2B5EF4-FFF2-40B4-BE49-F238E27FC236}">
              <a16:creationId xmlns:a16="http://schemas.microsoft.com/office/drawing/2014/main" id="{00000000-0008-0000-0200-0000EA000000}"/>
            </a:ext>
          </a:extLst>
        </xdr:cNvPr>
        <xdr:cNvCxnSpPr/>
      </xdr:nvCxnSpPr>
      <xdr:spPr>
        <a:xfrm>
          <a:off x="14151610" y="43179365"/>
          <a:ext cx="12636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387569</xdr:colOff>
      <xdr:row>75</xdr:row>
      <xdr:rowOff>201548</xdr:rowOff>
    </xdr:from>
    <xdr:to>
      <xdr:col>21</xdr:col>
      <xdr:colOff>630705</xdr:colOff>
      <xdr:row>75</xdr:row>
      <xdr:rowOff>201548</xdr:rowOff>
    </xdr:to>
    <xdr:cxnSp macro="">
      <xdr:nvCxnSpPr>
        <xdr:cNvPr id="239" name="Straight Connector 2">
          <a:extLst>
            <a:ext uri="{FF2B5EF4-FFF2-40B4-BE49-F238E27FC236}">
              <a16:creationId xmlns:a16="http://schemas.microsoft.com/office/drawing/2014/main" id="{00000000-0008-0000-0200-0000EF000000}"/>
            </a:ext>
          </a:extLst>
        </xdr:cNvPr>
        <xdr:cNvCxnSpPr/>
      </xdr:nvCxnSpPr>
      <xdr:spPr>
        <a:xfrm>
          <a:off x="14414500" y="43536870"/>
          <a:ext cx="93726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545224</xdr:colOff>
      <xdr:row>76</xdr:row>
      <xdr:rowOff>211511</xdr:rowOff>
    </xdr:from>
    <xdr:to>
      <xdr:col>22</xdr:col>
      <xdr:colOff>6653</xdr:colOff>
      <xdr:row>76</xdr:row>
      <xdr:rowOff>211511</xdr:rowOff>
    </xdr:to>
    <xdr:cxnSp macro="">
      <xdr:nvCxnSpPr>
        <xdr:cNvPr id="241" name="Straight Connector 2">
          <a:extLst>
            <a:ext uri="{FF2B5EF4-FFF2-40B4-BE49-F238E27FC236}">
              <a16:creationId xmlns:a16="http://schemas.microsoft.com/office/drawing/2014/main" id="{00000000-0008-0000-0200-0000F1000000}"/>
            </a:ext>
          </a:extLst>
        </xdr:cNvPr>
        <xdr:cNvCxnSpPr/>
      </xdr:nvCxnSpPr>
      <xdr:spPr>
        <a:xfrm>
          <a:off x="14571980" y="43914695"/>
          <a:ext cx="8496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73</xdr:row>
      <xdr:rowOff>191267</xdr:rowOff>
    </xdr:from>
    <xdr:to>
      <xdr:col>22</xdr:col>
      <xdr:colOff>821</xdr:colOff>
      <xdr:row>73</xdr:row>
      <xdr:rowOff>191267</xdr:rowOff>
    </xdr:to>
    <xdr:cxnSp macro="">
      <xdr:nvCxnSpPr>
        <xdr:cNvPr id="2" name="Straight Connector 19">
          <a:extLst>
            <a:ext uri="{FF2B5EF4-FFF2-40B4-BE49-F238E27FC236}">
              <a16:creationId xmlns:a16="http://schemas.microsoft.com/office/drawing/2014/main" id="{C0BA1656-F70E-4C06-9AB5-884E2F777E8F}"/>
            </a:ext>
            <a:ext uri="{147F2762-F138-4A5C-976F-8EAC2B608ADB}">
              <a16:predDERef xmlns:a16="http://schemas.microsoft.com/office/drawing/2014/main" pred="{00000000-0008-0000-0200-0000F1000000}"/>
            </a:ext>
          </a:extLst>
        </xdr:cNvPr>
        <xdr:cNvCxnSpPr/>
      </xdr:nvCxnSpPr>
      <xdr:spPr>
        <a:xfrm>
          <a:off x="13449957" y="33042992"/>
          <a:ext cx="1181264"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292429</xdr:colOff>
      <xdr:row>59</xdr:row>
      <xdr:rowOff>0</xdr:rowOff>
    </xdr:from>
    <xdr:to>
      <xdr:col>20</xdr:col>
      <xdr:colOff>400707</xdr:colOff>
      <xdr:row>59</xdr:row>
      <xdr:rowOff>0</xdr:rowOff>
    </xdr:to>
    <xdr:cxnSp macro="">
      <xdr:nvCxnSpPr>
        <xdr:cNvPr id="5" name="Straight Connector 2">
          <a:extLst>
            <a:ext uri="{FF2B5EF4-FFF2-40B4-BE49-F238E27FC236}">
              <a16:creationId xmlns:a16="http://schemas.microsoft.com/office/drawing/2014/main" id="{3A3498C9-2B30-4E57-95FC-48FAAD4AF448}"/>
            </a:ext>
            <a:ext uri="{147F2762-F138-4A5C-976F-8EAC2B608ADB}">
              <a16:predDERef xmlns:a16="http://schemas.microsoft.com/office/drawing/2014/main" pred="{C41FF4E4-C0F2-49DD-9B4C-57D32FCC7A79}"/>
            </a:ext>
          </a:extLst>
        </xdr:cNvPr>
        <xdr:cNvCxnSpPr/>
      </xdr:nvCxnSpPr>
      <xdr:spPr>
        <a:xfrm>
          <a:off x="12132004" y="23089684"/>
          <a:ext cx="108278"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6569</xdr:colOff>
      <xdr:row>76</xdr:row>
      <xdr:rowOff>198929</xdr:rowOff>
    </xdr:from>
    <xdr:to>
      <xdr:col>22</xdr:col>
      <xdr:colOff>1915</xdr:colOff>
      <xdr:row>76</xdr:row>
      <xdr:rowOff>198929</xdr:rowOff>
    </xdr:to>
    <xdr:cxnSp macro="">
      <xdr:nvCxnSpPr>
        <xdr:cNvPr id="4" name="Straight Connector 19">
          <a:extLst>
            <a:ext uri="{FF2B5EF4-FFF2-40B4-BE49-F238E27FC236}">
              <a16:creationId xmlns:a16="http://schemas.microsoft.com/office/drawing/2014/main" id="{FFA6CAE8-507C-4A95-91BE-C90F2720923A}"/>
            </a:ext>
          </a:extLst>
        </xdr:cNvPr>
        <xdr:cNvCxnSpPr/>
      </xdr:nvCxnSpPr>
      <xdr:spPr>
        <a:xfrm>
          <a:off x="12541469" y="28850129"/>
          <a:ext cx="690671"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xdr:from>
      <xdr:col>21</xdr:col>
      <xdr:colOff>3122</xdr:colOff>
      <xdr:row>1</xdr:row>
      <xdr:rowOff>15240</xdr:rowOff>
    </xdr:from>
    <xdr:to>
      <xdr:col>21</xdr:col>
      <xdr:colOff>3122</xdr:colOff>
      <xdr:row>74</xdr:row>
      <xdr:rowOff>336176</xdr:rowOff>
    </xdr:to>
    <xdr:cxnSp macro="">
      <xdr:nvCxnSpPr>
        <xdr:cNvPr id="3" name="Straight Connector 27">
          <a:extLst>
            <a:ext uri="{FF2B5EF4-FFF2-40B4-BE49-F238E27FC236}">
              <a16:creationId xmlns:a16="http://schemas.microsoft.com/office/drawing/2014/main" id="{00000000-0008-0000-0300-000003000000}"/>
            </a:ext>
          </a:extLst>
        </xdr:cNvPr>
        <xdr:cNvCxnSpPr/>
      </xdr:nvCxnSpPr>
      <xdr:spPr>
        <a:xfrm>
          <a:off x="13531850" y="83820"/>
          <a:ext cx="0" cy="4087114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597647</xdr:colOff>
      <xdr:row>47</xdr:row>
      <xdr:rowOff>216647</xdr:rowOff>
    </xdr:from>
    <xdr:to>
      <xdr:col>18</xdr:col>
      <xdr:colOff>484371</xdr:colOff>
      <xdr:row>47</xdr:row>
      <xdr:rowOff>218498</xdr:rowOff>
    </xdr:to>
    <xdr:cxnSp macro="">
      <xdr:nvCxnSpPr>
        <xdr:cNvPr id="4" name="Straight Connector 2">
          <a:extLst>
            <a:ext uri="{FF2B5EF4-FFF2-40B4-BE49-F238E27FC236}">
              <a16:creationId xmlns:a16="http://schemas.microsoft.com/office/drawing/2014/main" id="{00000000-0008-0000-0300-000004000000}"/>
            </a:ext>
          </a:extLst>
        </xdr:cNvPr>
        <xdr:cNvCxnSpPr/>
      </xdr:nvCxnSpPr>
      <xdr:spPr>
        <a:xfrm>
          <a:off x="11350625" y="25602565"/>
          <a:ext cx="580390"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487699</xdr:colOff>
      <xdr:row>47</xdr:row>
      <xdr:rowOff>221006</xdr:rowOff>
    </xdr:from>
    <xdr:to>
      <xdr:col>20</xdr:col>
      <xdr:colOff>239059</xdr:colOff>
      <xdr:row>47</xdr:row>
      <xdr:rowOff>224118</xdr:rowOff>
    </xdr:to>
    <xdr:cxnSp macro="">
      <xdr:nvCxnSpPr>
        <xdr:cNvPr id="5" name="Straight Connector 19">
          <a:extLst>
            <a:ext uri="{FF2B5EF4-FFF2-40B4-BE49-F238E27FC236}">
              <a16:creationId xmlns:a16="http://schemas.microsoft.com/office/drawing/2014/main" id="{00000000-0008-0000-0300-000005000000}"/>
            </a:ext>
          </a:extLst>
        </xdr:cNvPr>
        <xdr:cNvCxnSpPr/>
      </xdr:nvCxnSpPr>
      <xdr:spPr>
        <a:xfrm>
          <a:off x="11934825" y="25607010"/>
          <a:ext cx="113919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532087</xdr:colOff>
      <xdr:row>2</xdr:row>
      <xdr:rowOff>282841</xdr:rowOff>
    </xdr:from>
    <xdr:to>
      <xdr:col>16</xdr:col>
      <xdr:colOff>505811</xdr:colOff>
      <xdr:row>2</xdr:row>
      <xdr:rowOff>282841</xdr:rowOff>
    </xdr:to>
    <xdr:cxnSp macro="">
      <xdr:nvCxnSpPr>
        <xdr:cNvPr id="6" name="Straight Connector 1">
          <a:extLst>
            <a:ext uri="{FF2B5EF4-FFF2-40B4-BE49-F238E27FC236}">
              <a16:creationId xmlns:a16="http://schemas.microsoft.com/office/drawing/2014/main" id="{00000000-0008-0000-0300-000006000000}"/>
            </a:ext>
          </a:extLst>
        </xdr:cNvPr>
        <xdr:cNvCxnSpPr/>
      </xdr:nvCxnSpPr>
      <xdr:spPr>
        <a:xfrm>
          <a:off x="9896475" y="373380"/>
          <a:ext cx="6680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567715</xdr:colOff>
      <xdr:row>45</xdr:row>
      <xdr:rowOff>306951</xdr:rowOff>
    </xdr:from>
    <xdr:to>
      <xdr:col>18</xdr:col>
      <xdr:colOff>372461</xdr:colOff>
      <xdr:row>45</xdr:row>
      <xdr:rowOff>306986</xdr:rowOff>
    </xdr:to>
    <xdr:cxnSp macro="">
      <xdr:nvCxnSpPr>
        <xdr:cNvPr id="7" name="Straight Connector 2">
          <a:extLst>
            <a:ext uri="{FF2B5EF4-FFF2-40B4-BE49-F238E27FC236}">
              <a16:creationId xmlns:a16="http://schemas.microsoft.com/office/drawing/2014/main" id="{00000000-0008-0000-0300-000007000000}"/>
            </a:ext>
          </a:extLst>
        </xdr:cNvPr>
        <xdr:cNvCxnSpPr/>
      </xdr:nvCxnSpPr>
      <xdr:spPr>
        <a:xfrm flipV="1">
          <a:off x="11320780" y="24568785"/>
          <a:ext cx="49847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42951</xdr:colOff>
      <xdr:row>2</xdr:row>
      <xdr:rowOff>434069</xdr:rowOff>
    </xdr:from>
    <xdr:to>
      <xdr:col>14</xdr:col>
      <xdr:colOff>42951</xdr:colOff>
      <xdr:row>62</xdr:row>
      <xdr:rowOff>0</xdr:rowOff>
    </xdr:to>
    <xdr:cxnSp macro="">
      <xdr:nvCxnSpPr>
        <xdr:cNvPr id="8" name="Straight Connector 5">
          <a:extLst>
            <a:ext uri="{FF2B5EF4-FFF2-40B4-BE49-F238E27FC236}">
              <a16:creationId xmlns:a16="http://schemas.microsoft.com/office/drawing/2014/main" id="{00000000-0008-0000-0300-000008000000}"/>
            </a:ext>
          </a:extLst>
        </xdr:cNvPr>
        <xdr:cNvCxnSpPr/>
      </xdr:nvCxnSpPr>
      <xdr:spPr>
        <a:xfrm>
          <a:off x="9340215" y="373380"/>
          <a:ext cx="0" cy="3670808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0</xdr:colOff>
      <xdr:row>1</xdr:row>
      <xdr:rowOff>15421</xdr:rowOff>
    </xdr:from>
    <xdr:to>
      <xdr:col>16</xdr:col>
      <xdr:colOff>0</xdr:colOff>
      <xdr:row>74</xdr:row>
      <xdr:rowOff>302559</xdr:rowOff>
    </xdr:to>
    <xdr:cxnSp macro="">
      <xdr:nvCxnSpPr>
        <xdr:cNvPr id="9" name="Straight Connector 6">
          <a:extLst>
            <a:ext uri="{FF2B5EF4-FFF2-40B4-BE49-F238E27FC236}">
              <a16:creationId xmlns:a16="http://schemas.microsoft.com/office/drawing/2014/main" id="{00000000-0008-0000-0300-000009000000}"/>
            </a:ext>
          </a:extLst>
        </xdr:cNvPr>
        <xdr:cNvCxnSpPr/>
      </xdr:nvCxnSpPr>
      <xdr:spPr>
        <a:xfrm>
          <a:off x="10059035" y="83820"/>
          <a:ext cx="0" cy="4083748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672</xdr:colOff>
      <xdr:row>1</xdr:row>
      <xdr:rowOff>15240</xdr:rowOff>
    </xdr:from>
    <xdr:to>
      <xdr:col>17</xdr:col>
      <xdr:colOff>672</xdr:colOff>
      <xdr:row>74</xdr:row>
      <xdr:rowOff>336176</xdr:rowOff>
    </xdr:to>
    <xdr:cxnSp macro="">
      <xdr:nvCxnSpPr>
        <xdr:cNvPr id="10" name="Straight Connector 7">
          <a:extLst>
            <a:ext uri="{FF2B5EF4-FFF2-40B4-BE49-F238E27FC236}">
              <a16:creationId xmlns:a16="http://schemas.microsoft.com/office/drawing/2014/main" id="{00000000-0008-0000-0300-00000A000000}"/>
            </a:ext>
          </a:extLst>
        </xdr:cNvPr>
        <xdr:cNvCxnSpPr/>
      </xdr:nvCxnSpPr>
      <xdr:spPr>
        <a:xfrm>
          <a:off x="10753725" y="83820"/>
          <a:ext cx="0" cy="4087114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3842</xdr:colOff>
      <xdr:row>1</xdr:row>
      <xdr:rowOff>19050</xdr:rowOff>
    </xdr:from>
    <xdr:to>
      <xdr:col>18</xdr:col>
      <xdr:colOff>3842</xdr:colOff>
      <xdr:row>75</xdr:row>
      <xdr:rowOff>0</xdr:rowOff>
    </xdr:to>
    <xdr:cxnSp macro="">
      <xdr:nvCxnSpPr>
        <xdr:cNvPr id="11" name="Straight Connector 8">
          <a:extLst>
            <a:ext uri="{FF2B5EF4-FFF2-40B4-BE49-F238E27FC236}">
              <a16:creationId xmlns:a16="http://schemas.microsoft.com/office/drawing/2014/main" id="{00000000-0008-0000-0300-00000B000000}"/>
            </a:ext>
          </a:extLst>
        </xdr:cNvPr>
        <xdr:cNvCxnSpPr/>
      </xdr:nvCxnSpPr>
      <xdr:spPr>
        <a:xfrm>
          <a:off x="11450955" y="87630"/>
          <a:ext cx="0" cy="4092194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0</xdr:colOff>
      <xdr:row>1</xdr:row>
      <xdr:rowOff>19050</xdr:rowOff>
    </xdr:from>
    <xdr:to>
      <xdr:col>19</xdr:col>
      <xdr:colOff>0</xdr:colOff>
      <xdr:row>75</xdr:row>
      <xdr:rowOff>0</xdr:rowOff>
    </xdr:to>
    <xdr:cxnSp macro="">
      <xdr:nvCxnSpPr>
        <xdr:cNvPr id="12" name="Straight Connector 9">
          <a:extLst>
            <a:ext uri="{FF2B5EF4-FFF2-40B4-BE49-F238E27FC236}">
              <a16:creationId xmlns:a16="http://schemas.microsoft.com/office/drawing/2014/main" id="{00000000-0008-0000-0300-00000C000000}"/>
            </a:ext>
          </a:extLst>
        </xdr:cNvPr>
        <xdr:cNvCxnSpPr/>
      </xdr:nvCxnSpPr>
      <xdr:spPr>
        <a:xfrm>
          <a:off x="12141200" y="87630"/>
          <a:ext cx="0" cy="4092194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0</xdr:colOff>
      <xdr:row>1</xdr:row>
      <xdr:rowOff>19050</xdr:rowOff>
    </xdr:from>
    <xdr:to>
      <xdr:col>20</xdr:col>
      <xdr:colOff>0</xdr:colOff>
      <xdr:row>74</xdr:row>
      <xdr:rowOff>347382</xdr:rowOff>
    </xdr:to>
    <xdr:cxnSp macro="">
      <xdr:nvCxnSpPr>
        <xdr:cNvPr id="13" name="Straight Connector 10">
          <a:extLst>
            <a:ext uri="{FF2B5EF4-FFF2-40B4-BE49-F238E27FC236}">
              <a16:creationId xmlns:a16="http://schemas.microsoft.com/office/drawing/2014/main" id="{00000000-0008-0000-0300-00000D000000}"/>
            </a:ext>
          </a:extLst>
        </xdr:cNvPr>
        <xdr:cNvCxnSpPr/>
      </xdr:nvCxnSpPr>
      <xdr:spPr>
        <a:xfrm>
          <a:off x="12835255" y="87630"/>
          <a:ext cx="0" cy="408787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479102</xdr:colOff>
      <xdr:row>1</xdr:row>
      <xdr:rowOff>0</xdr:rowOff>
    </xdr:from>
    <xdr:to>
      <xdr:col>18</xdr:col>
      <xdr:colOff>479102</xdr:colOff>
      <xdr:row>75</xdr:row>
      <xdr:rowOff>0</xdr:rowOff>
    </xdr:to>
    <xdr:cxnSp macro="">
      <xdr:nvCxnSpPr>
        <xdr:cNvPr id="14" name="Straight Connector 10">
          <a:extLst>
            <a:ext uri="{FF2B5EF4-FFF2-40B4-BE49-F238E27FC236}">
              <a16:creationId xmlns:a16="http://schemas.microsoft.com/office/drawing/2014/main" id="{00000000-0008-0000-0300-00000E000000}"/>
            </a:ext>
          </a:extLst>
        </xdr:cNvPr>
        <xdr:cNvCxnSpPr/>
      </xdr:nvCxnSpPr>
      <xdr:spPr>
        <a:xfrm>
          <a:off x="11925935" y="68580"/>
          <a:ext cx="0" cy="40940990"/>
        </a:xfrm>
        <a:prstGeom prst="line">
          <a:avLst/>
        </a:prstGeom>
        <a:ln w="1905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54</xdr:row>
      <xdr:rowOff>16565</xdr:rowOff>
    </xdr:from>
    <xdr:to>
      <xdr:col>18</xdr:col>
      <xdr:colOff>468820</xdr:colOff>
      <xdr:row>67</xdr:row>
      <xdr:rowOff>140805</xdr:rowOff>
    </xdr:to>
    <xdr:sp macro="" textlink="">
      <xdr:nvSpPr>
        <xdr:cNvPr id="15" name="TextBox 13">
          <a:extLst>
            <a:ext uri="{FF2B5EF4-FFF2-40B4-BE49-F238E27FC236}">
              <a16:creationId xmlns:a16="http://schemas.microsoft.com/office/drawing/2014/main" id="{00000000-0008-0000-0300-00000F000000}"/>
            </a:ext>
          </a:extLst>
        </xdr:cNvPr>
        <xdr:cNvSpPr txBox="1"/>
      </xdr:nvSpPr>
      <xdr:spPr>
        <a:xfrm rot="16200000">
          <a:off x="9784715" y="36250880"/>
          <a:ext cx="406717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16</xdr:col>
      <xdr:colOff>84701</xdr:colOff>
      <xdr:row>4</xdr:row>
      <xdr:rowOff>312989</xdr:rowOff>
    </xdr:from>
    <xdr:to>
      <xdr:col>16</xdr:col>
      <xdr:colOff>512329</xdr:colOff>
      <xdr:row>4</xdr:row>
      <xdr:rowOff>317500</xdr:rowOff>
    </xdr:to>
    <xdr:cxnSp macro="">
      <xdr:nvCxnSpPr>
        <xdr:cNvPr id="56" name="Straight Connector 15">
          <a:extLst>
            <a:ext uri="{FF2B5EF4-FFF2-40B4-BE49-F238E27FC236}">
              <a16:creationId xmlns:a16="http://schemas.microsoft.com/office/drawing/2014/main" id="{00000000-0008-0000-0300-000038000000}"/>
            </a:ext>
          </a:extLst>
        </xdr:cNvPr>
        <xdr:cNvCxnSpPr/>
      </xdr:nvCxnSpPr>
      <xdr:spPr>
        <a:xfrm>
          <a:off x="10143490" y="685800"/>
          <a:ext cx="427355"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2103</xdr:colOff>
      <xdr:row>5</xdr:row>
      <xdr:rowOff>273100</xdr:rowOff>
    </xdr:from>
    <xdr:to>
      <xdr:col>17</xdr:col>
      <xdr:colOff>512329</xdr:colOff>
      <xdr:row>5</xdr:row>
      <xdr:rowOff>274205</xdr:rowOff>
    </xdr:to>
    <xdr:cxnSp macro="">
      <xdr:nvCxnSpPr>
        <xdr:cNvPr id="59" name="Straight Connector 16">
          <a:extLst>
            <a:ext uri="{FF2B5EF4-FFF2-40B4-BE49-F238E27FC236}">
              <a16:creationId xmlns:a16="http://schemas.microsoft.com/office/drawing/2014/main" id="{00000000-0008-0000-0300-00003B000000}"/>
            </a:ext>
          </a:extLst>
        </xdr:cNvPr>
        <xdr:cNvCxnSpPr/>
      </xdr:nvCxnSpPr>
      <xdr:spPr>
        <a:xfrm>
          <a:off x="10754995" y="1217930"/>
          <a:ext cx="509905"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479835</xdr:colOff>
      <xdr:row>10</xdr:row>
      <xdr:rowOff>287399</xdr:rowOff>
    </xdr:from>
    <xdr:to>
      <xdr:col>17</xdr:col>
      <xdr:colOff>0</xdr:colOff>
      <xdr:row>10</xdr:row>
      <xdr:rowOff>287399</xdr:rowOff>
    </xdr:to>
    <xdr:cxnSp macro="">
      <xdr:nvCxnSpPr>
        <xdr:cNvPr id="76" name="Straight Connector 17">
          <a:extLst>
            <a:ext uri="{FF2B5EF4-FFF2-40B4-BE49-F238E27FC236}">
              <a16:creationId xmlns:a16="http://schemas.microsoft.com/office/drawing/2014/main" id="{00000000-0008-0000-0300-00004C000000}"/>
            </a:ext>
          </a:extLst>
        </xdr:cNvPr>
        <xdr:cNvCxnSpPr/>
      </xdr:nvCxnSpPr>
      <xdr:spPr>
        <a:xfrm>
          <a:off x="10538460" y="4146550"/>
          <a:ext cx="2146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578886</xdr:colOff>
      <xdr:row>15</xdr:row>
      <xdr:rowOff>305360</xdr:rowOff>
    </xdr:from>
    <xdr:to>
      <xdr:col>17</xdr:col>
      <xdr:colOff>484733</xdr:colOff>
      <xdr:row>15</xdr:row>
      <xdr:rowOff>305382</xdr:rowOff>
    </xdr:to>
    <xdr:cxnSp macro="">
      <xdr:nvCxnSpPr>
        <xdr:cNvPr id="99" name="Straight Connector 18">
          <a:extLst>
            <a:ext uri="{FF2B5EF4-FFF2-40B4-BE49-F238E27FC236}">
              <a16:creationId xmlns:a16="http://schemas.microsoft.com/office/drawing/2014/main" id="{00000000-0008-0000-0300-000063000000}"/>
            </a:ext>
          </a:extLst>
        </xdr:cNvPr>
        <xdr:cNvCxnSpPr/>
      </xdr:nvCxnSpPr>
      <xdr:spPr>
        <a:xfrm>
          <a:off x="10637520" y="7078980"/>
          <a:ext cx="60007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555078</xdr:colOff>
      <xdr:row>20</xdr:row>
      <xdr:rowOff>297591</xdr:rowOff>
    </xdr:from>
    <xdr:to>
      <xdr:col>18</xdr:col>
      <xdr:colOff>80595</xdr:colOff>
      <xdr:row>20</xdr:row>
      <xdr:rowOff>297591</xdr:rowOff>
    </xdr:to>
    <xdr:cxnSp macro="">
      <xdr:nvCxnSpPr>
        <xdr:cNvPr id="110" name="Straight Connector 19">
          <a:extLst>
            <a:ext uri="{FF2B5EF4-FFF2-40B4-BE49-F238E27FC236}">
              <a16:creationId xmlns:a16="http://schemas.microsoft.com/office/drawing/2014/main" id="{00000000-0008-0000-0300-00006E000000}"/>
            </a:ext>
          </a:extLst>
        </xdr:cNvPr>
        <xdr:cNvCxnSpPr/>
      </xdr:nvCxnSpPr>
      <xdr:spPr>
        <a:xfrm>
          <a:off x="11308080" y="9986010"/>
          <a:ext cx="21907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127880</xdr:colOff>
      <xdr:row>25</xdr:row>
      <xdr:rowOff>286854</xdr:rowOff>
    </xdr:from>
    <xdr:to>
      <xdr:col>18</xdr:col>
      <xdr:colOff>290302</xdr:colOff>
      <xdr:row>25</xdr:row>
      <xdr:rowOff>286854</xdr:rowOff>
    </xdr:to>
    <xdr:cxnSp macro="">
      <xdr:nvCxnSpPr>
        <xdr:cNvPr id="125" name="Straight Connector 20">
          <a:extLst>
            <a:ext uri="{FF2B5EF4-FFF2-40B4-BE49-F238E27FC236}">
              <a16:creationId xmlns:a16="http://schemas.microsoft.com/office/drawing/2014/main" id="{00000000-0008-0000-0300-00007D000000}"/>
            </a:ext>
          </a:extLst>
        </xdr:cNvPr>
        <xdr:cNvCxnSpPr/>
      </xdr:nvCxnSpPr>
      <xdr:spPr>
        <a:xfrm>
          <a:off x="11574780" y="12889865"/>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250100</xdr:colOff>
      <xdr:row>30</xdr:row>
      <xdr:rowOff>306880</xdr:rowOff>
    </xdr:from>
    <xdr:to>
      <xdr:col>18</xdr:col>
      <xdr:colOff>410436</xdr:colOff>
      <xdr:row>30</xdr:row>
      <xdr:rowOff>306880</xdr:rowOff>
    </xdr:to>
    <xdr:cxnSp macro="">
      <xdr:nvCxnSpPr>
        <xdr:cNvPr id="139" name="Straight Connector 21">
          <a:extLst>
            <a:ext uri="{FF2B5EF4-FFF2-40B4-BE49-F238E27FC236}">
              <a16:creationId xmlns:a16="http://schemas.microsoft.com/office/drawing/2014/main" id="{00000000-0008-0000-0300-00008B000000}"/>
            </a:ext>
          </a:extLst>
        </xdr:cNvPr>
        <xdr:cNvCxnSpPr/>
      </xdr:nvCxnSpPr>
      <xdr:spPr>
        <a:xfrm>
          <a:off x="11696700" y="15824835"/>
          <a:ext cx="1606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351734</xdr:colOff>
      <xdr:row>35</xdr:row>
      <xdr:rowOff>301225</xdr:rowOff>
    </xdr:from>
    <xdr:to>
      <xdr:col>18</xdr:col>
      <xdr:colOff>470683</xdr:colOff>
      <xdr:row>35</xdr:row>
      <xdr:rowOff>302754</xdr:rowOff>
    </xdr:to>
    <xdr:cxnSp macro="">
      <xdr:nvCxnSpPr>
        <xdr:cNvPr id="163" name="Straight Connector 22">
          <a:extLst>
            <a:ext uri="{FF2B5EF4-FFF2-40B4-BE49-F238E27FC236}">
              <a16:creationId xmlns:a16="http://schemas.microsoft.com/office/drawing/2014/main" id="{00000000-0008-0000-0300-0000A3000000}"/>
            </a:ext>
          </a:extLst>
        </xdr:cNvPr>
        <xdr:cNvCxnSpPr/>
      </xdr:nvCxnSpPr>
      <xdr:spPr>
        <a:xfrm>
          <a:off x="11798300" y="18733770"/>
          <a:ext cx="119380" cy="127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3427</xdr:colOff>
      <xdr:row>60</xdr:row>
      <xdr:rowOff>237567</xdr:rowOff>
    </xdr:from>
    <xdr:to>
      <xdr:col>17</xdr:col>
      <xdr:colOff>491133</xdr:colOff>
      <xdr:row>60</xdr:row>
      <xdr:rowOff>238125</xdr:rowOff>
    </xdr:to>
    <xdr:cxnSp macro="">
      <xdr:nvCxnSpPr>
        <xdr:cNvPr id="25" name="Straight Connector 2">
          <a:extLst>
            <a:ext uri="{FF2B5EF4-FFF2-40B4-BE49-F238E27FC236}">
              <a16:creationId xmlns:a16="http://schemas.microsoft.com/office/drawing/2014/main" id="{00000000-0008-0000-0300-000019000000}"/>
            </a:ext>
          </a:extLst>
        </xdr:cNvPr>
        <xdr:cNvCxnSpPr/>
      </xdr:nvCxnSpPr>
      <xdr:spPr>
        <a:xfrm>
          <a:off x="10756265" y="36404550"/>
          <a:ext cx="487680"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296926</xdr:colOff>
      <xdr:row>51</xdr:row>
      <xdr:rowOff>177734</xdr:rowOff>
    </xdr:from>
    <xdr:to>
      <xdr:col>19</xdr:col>
      <xdr:colOff>419100</xdr:colOff>
      <xdr:row>51</xdr:row>
      <xdr:rowOff>177734</xdr:rowOff>
    </xdr:to>
    <xdr:cxnSp macro="">
      <xdr:nvCxnSpPr>
        <xdr:cNvPr id="26" name="Straight Connector 19">
          <a:extLst>
            <a:ext uri="{FF2B5EF4-FFF2-40B4-BE49-F238E27FC236}">
              <a16:creationId xmlns:a16="http://schemas.microsoft.com/office/drawing/2014/main" id="{00000000-0008-0000-0300-00001A000000}"/>
            </a:ext>
          </a:extLst>
        </xdr:cNvPr>
        <xdr:cNvCxnSpPr/>
      </xdr:nvCxnSpPr>
      <xdr:spPr>
        <a:xfrm>
          <a:off x="12437745" y="3337242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405785</xdr:colOff>
      <xdr:row>52</xdr:row>
      <xdr:rowOff>193261</xdr:rowOff>
    </xdr:from>
    <xdr:to>
      <xdr:col>20</xdr:col>
      <xdr:colOff>45177</xdr:colOff>
      <xdr:row>52</xdr:row>
      <xdr:rowOff>194063</xdr:rowOff>
    </xdr:to>
    <xdr:cxnSp macro="">
      <xdr:nvCxnSpPr>
        <xdr:cNvPr id="27" name="Straight Connector 19">
          <a:extLst>
            <a:ext uri="{FF2B5EF4-FFF2-40B4-BE49-F238E27FC236}">
              <a16:creationId xmlns:a16="http://schemas.microsoft.com/office/drawing/2014/main" id="{00000000-0008-0000-0300-00001B000000}"/>
            </a:ext>
          </a:extLst>
        </xdr:cNvPr>
        <xdr:cNvCxnSpPr/>
      </xdr:nvCxnSpPr>
      <xdr:spPr>
        <a:xfrm flipV="1">
          <a:off x="12546965" y="33755965"/>
          <a:ext cx="33337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57449</xdr:colOff>
      <xdr:row>53</xdr:row>
      <xdr:rowOff>199506</xdr:rowOff>
    </xdr:from>
    <xdr:to>
      <xdr:col>20</xdr:col>
      <xdr:colOff>179623</xdr:colOff>
      <xdr:row>53</xdr:row>
      <xdr:rowOff>199506</xdr:rowOff>
    </xdr:to>
    <xdr:cxnSp macro="">
      <xdr:nvCxnSpPr>
        <xdr:cNvPr id="30" name="Straight Connector 19">
          <a:extLst>
            <a:ext uri="{FF2B5EF4-FFF2-40B4-BE49-F238E27FC236}">
              <a16:creationId xmlns:a16="http://schemas.microsoft.com/office/drawing/2014/main" id="{00000000-0008-0000-0300-00001E000000}"/>
            </a:ext>
          </a:extLst>
        </xdr:cNvPr>
        <xdr:cNvCxnSpPr/>
      </xdr:nvCxnSpPr>
      <xdr:spPr>
        <a:xfrm>
          <a:off x="12892405" y="3412998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191884</xdr:colOff>
      <xdr:row>54</xdr:row>
      <xdr:rowOff>197819</xdr:rowOff>
    </xdr:from>
    <xdr:to>
      <xdr:col>20</xdr:col>
      <xdr:colOff>239250</xdr:colOff>
      <xdr:row>54</xdr:row>
      <xdr:rowOff>199506</xdr:rowOff>
    </xdr:to>
    <xdr:cxnSp macro="">
      <xdr:nvCxnSpPr>
        <xdr:cNvPr id="31" name="Straight Connector 19">
          <a:extLst>
            <a:ext uri="{FF2B5EF4-FFF2-40B4-BE49-F238E27FC236}">
              <a16:creationId xmlns:a16="http://schemas.microsoft.com/office/drawing/2014/main" id="{00000000-0008-0000-0300-00001F000000}"/>
            </a:ext>
          </a:extLst>
        </xdr:cNvPr>
        <xdr:cNvCxnSpPr/>
      </xdr:nvCxnSpPr>
      <xdr:spPr>
        <a:xfrm>
          <a:off x="13027025" y="34495740"/>
          <a:ext cx="46990"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361078</xdr:colOff>
      <xdr:row>7</xdr:row>
      <xdr:rowOff>289427</xdr:rowOff>
    </xdr:from>
    <xdr:to>
      <xdr:col>18</xdr:col>
      <xdr:colOff>455087</xdr:colOff>
      <xdr:row>7</xdr:row>
      <xdr:rowOff>290523</xdr:rowOff>
    </xdr:to>
    <xdr:cxnSp macro="">
      <xdr:nvCxnSpPr>
        <xdr:cNvPr id="50" name="Straight Connector 32">
          <a:extLst>
            <a:ext uri="{FF2B5EF4-FFF2-40B4-BE49-F238E27FC236}">
              <a16:creationId xmlns:a16="http://schemas.microsoft.com/office/drawing/2014/main" id="{00000000-0008-0000-0300-000032000000}"/>
            </a:ext>
          </a:extLst>
        </xdr:cNvPr>
        <xdr:cNvCxnSpPr/>
      </xdr:nvCxnSpPr>
      <xdr:spPr>
        <a:xfrm flipV="1">
          <a:off x="11807825" y="2376805"/>
          <a:ext cx="93980" cy="127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370114</xdr:colOff>
      <xdr:row>11</xdr:row>
      <xdr:rowOff>294747</xdr:rowOff>
    </xdr:from>
    <xdr:to>
      <xdr:col>16</xdr:col>
      <xdr:colOff>515336</xdr:colOff>
      <xdr:row>11</xdr:row>
      <xdr:rowOff>294747</xdr:rowOff>
    </xdr:to>
    <xdr:cxnSp macro="">
      <xdr:nvCxnSpPr>
        <xdr:cNvPr id="84" name="Straight Connector 33">
          <a:extLst>
            <a:ext uri="{FF2B5EF4-FFF2-40B4-BE49-F238E27FC236}">
              <a16:creationId xmlns:a16="http://schemas.microsoft.com/office/drawing/2014/main" id="{00000000-0008-0000-0300-000054000000}"/>
            </a:ext>
          </a:extLst>
        </xdr:cNvPr>
        <xdr:cNvCxnSpPr/>
      </xdr:nvCxnSpPr>
      <xdr:spPr>
        <a:xfrm>
          <a:off x="10428605" y="472567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45343</xdr:colOff>
      <xdr:row>16</xdr:row>
      <xdr:rowOff>265663</xdr:rowOff>
    </xdr:from>
    <xdr:to>
      <xdr:col>18</xdr:col>
      <xdr:colOff>190565</xdr:colOff>
      <xdr:row>16</xdr:row>
      <xdr:rowOff>265663</xdr:rowOff>
    </xdr:to>
    <xdr:cxnSp macro="">
      <xdr:nvCxnSpPr>
        <xdr:cNvPr id="100" name="Straight Connector 34">
          <a:extLst>
            <a:ext uri="{FF2B5EF4-FFF2-40B4-BE49-F238E27FC236}">
              <a16:creationId xmlns:a16="http://schemas.microsoft.com/office/drawing/2014/main" id="{00000000-0008-0000-0300-000064000000}"/>
            </a:ext>
          </a:extLst>
        </xdr:cNvPr>
        <xdr:cNvCxnSpPr/>
      </xdr:nvCxnSpPr>
      <xdr:spPr>
        <a:xfrm>
          <a:off x="11492230" y="761111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180439</xdr:colOff>
      <xdr:row>21</xdr:row>
      <xdr:rowOff>290623</xdr:rowOff>
    </xdr:from>
    <xdr:to>
      <xdr:col>17</xdr:col>
      <xdr:colOff>325661</xdr:colOff>
      <xdr:row>21</xdr:row>
      <xdr:rowOff>290623</xdr:rowOff>
    </xdr:to>
    <xdr:cxnSp macro="">
      <xdr:nvCxnSpPr>
        <xdr:cNvPr id="111" name="Straight Connector 35">
          <a:extLst>
            <a:ext uri="{FF2B5EF4-FFF2-40B4-BE49-F238E27FC236}">
              <a16:creationId xmlns:a16="http://schemas.microsoft.com/office/drawing/2014/main" id="{00000000-0008-0000-0300-00006F000000}"/>
            </a:ext>
          </a:extLst>
        </xdr:cNvPr>
        <xdr:cNvCxnSpPr/>
      </xdr:nvCxnSpPr>
      <xdr:spPr>
        <a:xfrm>
          <a:off x="10933430" y="10550525"/>
          <a:ext cx="1447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283523</xdr:colOff>
      <xdr:row>26</xdr:row>
      <xdr:rowOff>260110</xdr:rowOff>
    </xdr:from>
    <xdr:to>
      <xdr:col>18</xdr:col>
      <xdr:colOff>428745</xdr:colOff>
      <xdr:row>26</xdr:row>
      <xdr:rowOff>260110</xdr:rowOff>
    </xdr:to>
    <xdr:cxnSp macro="">
      <xdr:nvCxnSpPr>
        <xdr:cNvPr id="126" name="Straight Connector 36">
          <a:extLst>
            <a:ext uri="{FF2B5EF4-FFF2-40B4-BE49-F238E27FC236}">
              <a16:creationId xmlns:a16="http://schemas.microsoft.com/office/drawing/2014/main" id="{00000000-0008-0000-0300-00007E000000}"/>
            </a:ext>
          </a:extLst>
        </xdr:cNvPr>
        <xdr:cNvCxnSpPr/>
      </xdr:nvCxnSpPr>
      <xdr:spPr>
        <a:xfrm>
          <a:off x="11730355" y="1343469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409575</xdr:colOff>
      <xdr:row>31</xdr:row>
      <xdr:rowOff>245901</xdr:rowOff>
    </xdr:from>
    <xdr:to>
      <xdr:col>18</xdr:col>
      <xdr:colOff>472840</xdr:colOff>
      <xdr:row>31</xdr:row>
      <xdr:rowOff>246063</xdr:rowOff>
    </xdr:to>
    <xdr:cxnSp macro="">
      <xdr:nvCxnSpPr>
        <xdr:cNvPr id="143" name="Straight Connector 37">
          <a:extLst>
            <a:ext uri="{FF2B5EF4-FFF2-40B4-BE49-F238E27FC236}">
              <a16:creationId xmlns:a16="http://schemas.microsoft.com/office/drawing/2014/main" id="{00000000-0008-0000-0300-00008F000000}"/>
            </a:ext>
          </a:extLst>
        </xdr:cNvPr>
        <xdr:cNvCxnSpPr/>
      </xdr:nvCxnSpPr>
      <xdr:spPr>
        <a:xfrm flipV="1">
          <a:off x="11856720" y="16335375"/>
          <a:ext cx="628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370114</xdr:colOff>
      <xdr:row>41</xdr:row>
      <xdr:rowOff>294747</xdr:rowOff>
    </xdr:from>
    <xdr:to>
      <xdr:col>16</xdr:col>
      <xdr:colOff>515336</xdr:colOff>
      <xdr:row>41</xdr:row>
      <xdr:rowOff>294747</xdr:rowOff>
    </xdr:to>
    <xdr:cxnSp macro="">
      <xdr:nvCxnSpPr>
        <xdr:cNvPr id="40" name="Straight Connector 39">
          <a:extLst>
            <a:ext uri="{FF2B5EF4-FFF2-40B4-BE49-F238E27FC236}">
              <a16:creationId xmlns:a16="http://schemas.microsoft.com/office/drawing/2014/main" id="{00000000-0008-0000-0300-000028000000}"/>
            </a:ext>
          </a:extLst>
        </xdr:cNvPr>
        <xdr:cNvCxnSpPr/>
      </xdr:nvCxnSpPr>
      <xdr:spPr>
        <a:xfrm>
          <a:off x="10428605" y="2221357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429559</xdr:colOff>
      <xdr:row>12</xdr:row>
      <xdr:rowOff>300692</xdr:rowOff>
    </xdr:from>
    <xdr:to>
      <xdr:col>18</xdr:col>
      <xdr:colOff>469788</xdr:colOff>
      <xdr:row>12</xdr:row>
      <xdr:rowOff>301526</xdr:rowOff>
    </xdr:to>
    <xdr:cxnSp macro="">
      <xdr:nvCxnSpPr>
        <xdr:cNvPr id="89" name="Straight Connector 40">
          <a:extLst>
            <a:ext uri="{FF2B5EF4-FFF2-40B4-BE49-F238E27FC236}">
              <a16:creationId xmlns:a16="http://schemas.microsoft.com/office/drawing/2014/main" id="{00000000-0008-0000-0300-000059000000}"/>
            </a:ext>
          </a:extLst>
        </xdr:cNvPr>
        <xdr:cNvCxnSpPr/>
      </xdr:nvCxnSpPr>
      <xdr:spPr>
        <a:xfrm>
          <a:off x="11876405" y="5302885"/>
          <a:ext cx="40005"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310242</xdr:colOff>
      <xdr:row>42</xdr:row>
      <xdr:rowOff>311075</xdr:rowOff>
    </xdr:from>
    <xdr:to>
      <xdr:col>17</xdr:col>
      <xdr:colOff>455464</xdr:colOff>
      <xdr:row>42</xdr:row>
      <xdr:rowOff>311075</xdr:rowOff>
    </xdr:to>
    <xdr:cxnSp macro="">
      <xdr:nvCxnSpPr>
        <xdr:cNvPr id="47" name="Straight Connector 46">
          <a:extLst>
            <a:ext uri="{FF2B5EF4-FFF2-40B4-BE49-F238E27FC236}">
              <a16:creationId xmlns:a16="http://schemas.microsoft.com/office/drawing/2014/main" id="{00000000-0008-0000-0300-00002F000000}"/>
            </a:ext>
          </a:extLst>
        </xdr:cNvPr>
        <xdr:cNvCxnSpPr/>
      </xdr:nvCxnSpPr>
      <xdr:spPr>
        <a:xfrm>
          <a:off x="11062970" y="2280094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307271</xdr:colOff>
      <xdr:row>6</xdr:row>
      <xdr:rowOff>223630</xdr:rowOff>
    </xdr:from>
    <xdr:to>
      <xdr:col>18</xdr:col>
      <xdr:colOff>429577</xdr:colOff>
      <xdr:row>6</xdr:row>
      <xdr:rowOff>337654</xdr:rowOff>
    </xdr:to>
    <xdr:sp macro="" textlink="">
      <xdr:nvSpPr>
        <xdr:cNvPr id="60" name="Diamond 62">
          <a:extLst>
            <a:ext uri="{FF2B5EF4-FFF2-40B4-BE49-F238E27FC236}">
              <a16:creationId xmlns:a16="http://schemas.microsoft.com/office/drawing/2014/main" id="{00000000-0008-0000-0300-00003C000000}"/>
            </a:ext>
          </a:extLst>
        </xdr:cNvPr>
        <xdr:cNvSpPr/>
      </xdr:nvSpPr>
      <xdr:spPr>
        <a:xfrm>
          <a:off x="11753850" y="1739900"/>
          <a:ext cx="122555" cy="113665"/>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18</xdr:col>
      <xdr:colOff>273963</xdr:colOff>
      <xdr:row>49</xdr:row>
      <xdr:rowOff>0</xdr:rowOff>
    </xdr:from>
    <xdr:to>
      <xdr:col>18</xdr:col>
      <xdr:colOff>468820</xdr:colOff>
      <xdr:row>52</xdr:row>
      <xdr:rowOff>140805</xdr:rowOff>
    </xdr:to>
    <xdr:sp macro="" textlink="">
      <xdr:nvSpPr>
        <xdr:cNvPr id="51" name="TextBox 13">
          <a:extLst>
            <a:ext uri="{FF2B5EF4-FFF2-40B4-BE49-F238E27FC236}">
              <a16:creationId xmlns:a16="http://schemas.microsoft.com/office/drawing/2014/main" id="{00000000-0008-0000-0300-000033000000}"/>
            </a:ext>
          </a:extLst>
        </xdr:cNvPr>
        <xdr:cNvSpPr txBox="1"/>
      </xdr:nvSpPr>
      <xdr:spPr>
        <a:xfrm rot="16200000">
          <a:off x="8253730" y="30041215"/>
          <a:ext cx="712914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23813</xdr:colOff>
      <xdr:row>49</xdr:row>
      <xdr:rowOff>211291</xdr:rowOff>
    </xdr:from>
    <xdr:to>
      <xdr:col>18</xdr:col>
      <xdr:colOff>259365</xdr:colOff>
      <xdr:row>49</xdr:row>
      <xdr:rowOff>211291</xdr:rowOff>
    </xdr:to>
    <xdr:cxnSp macro="">
      <xdr:nvCxnSpPr>
        <xdr:cNvPr id="52" name="Straight Connector 2">
          <a:extLst>
            <a:ext uri="{FF2B5EF4-FFF2-40B4-BE49-F238E27FC236}">
              <a16:creationId xmlns:a16="http://schemas.microsoft.com/office/drawing/2014/main" id="{00000000-0008-0000-0300-000034000000}"/>
            </a:ext>
          </a:extLst>
        </xdr:cNvPr>
        <xdr:cNvCxnSpPr/>
      </xdr:nvCxnSpPr>
      <xdr:spPr>
        <a:xfrm>
          <a:off x="10776585" y="32263080"/>
          <a:ext cx="92964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53</xdr:row>
      <xdr:rowOff>16565</xdr:rowOff>
    </xdr:from>
    <xdr:to>
      <xdr:col>18</xdr:col>
      <xdr:colOff>468820</xdr:colOff>
      <xdr:row>67</xdr:row>
      <xdr:rowOff>140805</xdr:rowOff>
    </xdr:to>
    <xdr:sp macro="" textlink="">
      <xdr:nvSpPr>
        <xdr:cNvPr id="53" name="TextBox 13">
          <a:extLst>
            <a:ext uri="{FF2B5EF4-FFF2-40B4-BE49-F238E27FC236}">
              <a16:creationId xmlns:a16="http://schemas.microsoft.com/office/drawing/2014/main" id="{00000000-0008-0000-0300-000035000000}"/>
            </a:ext>
          </a:extLst>
        </xdr:cNvPr>
        <xdr:cNvSpPr txBox="1"/>
      </xdr:nvSpPr>
      <xdr:spPr>
        <a:xfrm rot="16200000">
          <a:off x="9600565" y="36066730"/>
          <a:ext cx="443547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18</xdr:col>
      <xdr:colOff>273963</xdr:colOff>
      <xdr:row>53</xdr:row>
      <xdr:rowOff>0</xdr:rowOff>
    </xdr:from>
    <xdr:to>
      <xdr:col>18</xdr:col>
      <xdr:colOff>468820</xdr:colOff>
      <xdr:row>67</xdr:row>
      <xdr:rowOff>140805</xdr:rowOff>
    </xdr:to>
    <xdr:sp macro="" textlink="">
      <xdr:nvSpPr>
        <xdr:cNvPr id="54" name="TextBox 13">
          <a:extLst>
            <a:ext uri="{FF2B5EF4-FFF2-40B4-BE49-F238E27FC236}">
              <a16:creationId xmlns:a16="http://schemas.microsoft.com/office/drawing/2014/main" id="{00000000-0008-0000-0300-000036000000}"/>
            </a:ext>
          </a:extLst>
        </xdr:cNvPr>
        <xdr:cNvSpPr txBox="1"/>
      </xdr:nvSpPr>
      <xdr:spPr>
        <a:xfrm rot="16200000">
          <a:off x="9592310" y="36058475"/>
          <a:ext cx="445198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18</xdr:col>
      <xdr:colOff>439738</xdr:colOff>
      <xdr:row>8</xdr:row>
      <xdr:rowOff>291921</xdr:rowOff>
    </xdr:from>
    <xdr:to>
      <xdr:col>18</xdr:col>
      <xdr:colOff>473621</xdr:colOff>
      <xdr:row>8</xdr:row>
      <xdr:rowOff>293687</xdr:rowOff>
    </xdr:to>
    <xdr:cxnSp macro="">
      <xdr:nvCxnSpPr>
        <xdr:cNvPr id="68" name="Straight Connector 58">
          <a:extLst>
            <a:ext uri="{FF2B5EF4-FFF2-40B4-BE49-F238E27FC236}">
              <a16:creationId xmlns:a16="http://schemas.microsoft.com/office/drawing/2014/main" id="{00000000-0008-0000-0300-000044000000}"/>
            </a:ext>
          </a:extLst>
        </xdr:cNvPr>
        <xdr:cNvCxnSpPr/>
      </xdr:nvCxnSpPr>
      <xdr:spPr>
        <a:xfrm flipV="1">
          <a:off x="11886565" y="2950845"/>
          <a:ext cx="33655"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473216</xdr:colOff>
      <xdr:row>8</xdr:row>
      <xdr:rowOff>290513</xdr:rowOff>
    </xdr:from>
    <xdr:to>
      <xdr:col>18</xdr:col>
      <xdr:colOff>546100</xdr:colOff>
      <xdr:row>8</xdr:row>
      <xdr:rowOff>291211</xdr:rowOff>
    </xdr:to>
    <xdr:cxnSp macro="">
      <xdr:nvCxnSpPr>
        <xdr:cNvPr id="70" name="Straight Connector 19">
          <a:extLst>
            <a:ext uri="{FF2B5EF4-FFF2-40B4-BE49-F238E27FC236}">
              <a16:creationId xmlns:a16="http://schemas.microsoft.com/office/drawing/2014/main" id="{00000000-0008-0000-0300-000046000000}"/>
            </a:ext>
          </a:extLst>
        </xdr:cNvPr>
        <xdr:cNvCxnSpPr/>
      </xdr:nvCxnSpPr>
      <xdr:spPr>
        <a:xfrm flipV="1">
          <a:off x="11920220" y="2949575"/>
          <a:ext cx="7302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627461</xdr:colOff>
      <xdr:row>10</xdr:row>
      <xdr:rowOff>287017</xdr:rowOff>
    </xdr:from>
    <xdr:to>
      <xdr:col>17</xdr:col>
      <xdr:colOff>147626</xdr:colOff>
      <xdr:row>10</xdr:row>
      <xdr:rowOff>287017</xdr:rowOff>
    </xdr:to>
    <xdr:cxnSp macro="">
      <xdr:nvCxnSpPr>
        <xdr:cNvPr id="77" name="Straight Connector 68">
          <a:extLst>
            <a:ext uri="{FF2B5EF4-FFF2-40B4-BE49-F238E27FC236}">
              <a16:creationId xmlns:a16="http://schemas.microsoft.com/office/drawing/2014/main" id="{00000000-0008-0000-0300-00004D000000}"/>
            </a:ext>
          </a:extLst>
        </xdr:cNvPr>
        <xdr:cNvCxnSpPr/>
      </xdr:nvCxnSpPr>
      <xdr:spPr>
        <a:xfrm>
          <a:off x="10686415" y="4145915"/>
          <a:ext cx="21399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178698</xdr:colOff>
      <xdr:row>11</xdr:row>
      <xdr:rowOff>286466</xdr:rowOff>
    </xdr:from>
    <xdr:to>
      <xdr:col>18</xdr:col>
      <xdr:colOff>62068</xdr:colOff>
      <xdr:row>11</xdr:row>
      <xdr:rowOff>290854</xdr:rowOff>
    </xdr:to>
    <xdr:cxnSp macro="">
      <xdr:nvCxnSpPr>
        <xdr:cNvPr id="85" name="Straight Connector 69">
          <a:extLst>
            <a:ext uri="{FF2B5EF4-FFF2-40B4-BE49-F238E27FC236}">
              <a16:creationId xmlns:a16="http://schemas.microsoft.com/office/drawing/2014/main" id="{00000000-0008-0000-0300-000055000000}"/>
            </a:ext>
          </a:extLst>
        </xdr:cNvPr>
        <xdr:cNvCxnSpPr/>
      </xdr:nvCxnSpPr>
      <xdr:spPr>
        <a:xfrm flipV="1">
          <a:off x="10931525" y="4717415"/>
          <a:ext cx="577215" cy="444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485588</xdr:colOff>
      <xdr:row>12</xdr:row>
      <xdr:rowOff>302559</xdr:rowOff>
    </xdr:from>
    <xdr:to>
      <xdr:col>18</xdr:col>
      <xdr:colOff>558472</xdr:colOff>
      <xdr:row>12</xdr:row>
      <xdr:rowOff>303257</xdr:rowOff>
    </xdr:to>
    <xdr:cxnSp macro="">
      <xdr:nvCxnSpPr>
        <xdr:cNvPr id="93" name="Straight Connector 19">
          <a:extLst>
            <a:ext uri="{FF2B5EF4-FFF2-40B4-BE49-F238E27FC236}">
              <a16:creationId xmlns:a16="http://schemas.microsoft.com/office/drawing/2014/main" id="{00000000-0008-0000-0300-00005D000000}"/>
            </a:ext>
          </a:extLst>
        </xdr:cNvPr>
        <xdr:cNvCxnSpPr/>
      </xdr:nvCxnSpPr>
      <xdr:spPr>
        <a:xfrm flipV="1">
          <a:off x="11932285" y="5304790"/>
          <a:ext cx="7302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528360</xdr:colOff>
      <xdr:row>13</xdr:row>
      <xdr:rowOff>327234</xdr:rowOff>
    </xdr:from>
    <xdr:to>
      <xdr:col>18</xdr:col>
      <xdr:colOff>601244</xdr:colOff>
      <xdr:row>13</xdr:row>
      <xdr:rowOff>327932</xdr:rowOff>
    </xdr:to>
    <xdr:cxnSp macro="">
      <xdr:nvCxnSpPr>
        <xdr:cNvPr id="94" name="Straight Connector 19">
          <a:extLst>
            <a:ext uri="{FF2B5EF4-FFF2-40B4-BE49-F238E27FC236}">
              <a16:creationId xmlns:a16="http://schemas.microsoft.com/office/drawing/2014/main" id="{00000000-0008-0000-0300-00005E000000}"/>
            </a:ext>
          </a:extLst>
        </xdr:cNvPr>
        <xdr:cNvCxnSpPr/>
      </xdr:nvCxnSpPr>
      <xdr:spPr>
        <a:xfrm flipV="1">
          <a:off x="11975465" y="5901055"/>
          <a:ext cx="7239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562240</xdr:colOff>
      <xdr:row>17</xdr:row>
      <xdr:rowOff>304271</xdr:rowOff>
    </xdr:from>
    <xdr:to>
      <xdr:col>19</xdr:col>
      <xdr:colOff>89297</xdr:colOff>
      <xdr:row>17</xdr:row>
      <xdr:rowOff>308276</xdr:rowOff>
    </xdr:to>
    <xdr:cxnSp macro="">
      <xdr:nvCxnSpPr>
        <xdr:cNvPr id="103" name="Straight Connector 19">
          <a:extLst>
            <a:ext uri="{FF2B5EF4-FFF2-40B4-BE49-F238E27FC236}">
              <a16:creationId xmlns:a16="http://schemas.microsoft.com/office/drawing/2014/main" id="{00000000-0008-0000-0300-000067000000}"/>
            </a:ext>
          </a:extLst>
        </xdr:cNvPr>
        <xdr:cNvCxnSpPr/>
      </xdr:nvCxnSpPr>
      <xdr:spPr>
        <a:xfrm flipV="1">
          <a:off x="12009120" y="8221345"/>
          <a:ext cx="22098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83937</xdr:colOff>
      <xdr:row>18</xdr:row>
      <xdr:rowOff>266408</xdr:rowOff>
    </xdr:from>
    <xdr:to>
      <xdr:col>19</xdr:col>
      <xdr:colOff>156821</xdr:colOff>
      <xdr:row>18</xdr:row>
      <xdr:rowOff>267106</xdr:rowOff>
    </xdr:to>
    <xdr:cxnSp macro="">
      <xdr:nvCxnSpPr>
        <xdr:cNvPr id="107" name="Straight Connector 19">
          <a:extLst>
            <a:ext uri="{FF2B5EF4-FFF2-40B4-BE49-F238E27FC236}">
              <a16:creationId xmlns:a16="http://schemas.microsoft.com/office/drawing/2014/main" id="{00000000-0008-0000-0300-00006B000000}"/>
            </a:ext>
          </a:extLst>
        </xdr:cNvPr>
        <xdr:cNvCxnSpPr/>
      </xdr:nvCxnSpPr>
      <xdr:spPr>
        <a:xfrm flipV="1">
          <a:off x="12225020" y="8754745"/>
          <a:ext cx="7239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69387</xdr:colOff>
      <xdr:row>22</xdr:row>
      <xdr:rowOff>296473</xdr:rowOff>
    </xdr:from>
    <xdr:to>
      <xdr:col>19</xdr:col>
      <xdr:colOff>180828</xdr:colOff>
      <xdr:row>22</xdr:row>
      <xdr:rowOff>296586</xdr:rowOff>
    </xdr:to>
    <xdr:cxnSp macro="">
      <xdr:nvCxnSpPr>
        <xdr:cNvPr id="118" name="Straight Connector 19">
          <a:extLst>
            <a:ext uri="{FF2B5EF4-FFF2-40B4-BE49-F238E27FC236}">
              <a16:creationId xmlns:a16="http://schemas.microsoft.com/office/drawing/2014/main" id="{00000000-0008-0000-0300-000076000000}"/>
            </a:ext>
          </a:extLst>
        </xdr:cNvPr>
        <xdr:cNvCxnSpPr/>
      </xdr:nvCxnSpPr>
      <xdr:spPr>
        <a:xfrm flipV="1">
          <a:off x="12210415" y="11127740"/>
          <a:ext cx="11112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170597</xdr:colOff>
      <xdr:row>23</xdr:row>
      <xdr:rowOff>250592</xdr:rowOff>
    </xdr:from>
    <xdr:to>
      <xdr:col>19</xdr:col>
      <xdr:colOff>223351</xdr:colOff>
      <xdr:row>23</xdr:row>
      <xdr:rowOff>251156</xdr:rowOff>
    </xdr:to>
    <xdr:cxnSp macro="">
      <xdr:nvCxnSpPr>
        <xdr:cNvPr id="120" name="Straight Connector 19">
          <a:extLst>
            <a:ext uri="{FF2B5EF4-FFF2-40B4-BE49-F238E27FC236}">
              <a16:creationId xmlns:a16="http://schemas.microsoft.com/office/drawing/2014/main" id="{00000000-0008-0000-0300-000078000000}"/>
            </a:ext>
          </a:extLst>
        </xdr:cNvPr>
        <xdr:cNvCxnSpPr/>
      </xdr:nvCxnSpPr>
      <xdr:spPr>
        <a:xfrm flipV="1">
          <a:off x="12311380" y="11653520"/>
          <a:ext cx="5270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166013</xdr:colOff>
      <xdr:row>27</xdr:row>
      <xdr:rowOff>294673</xdr:rowOff>
    </xdr:from>
    <xdr:to>
      <xdr:col>19</xdr:col>
      <xdr:colOff>277454</xdr:colOff>
      <xdr:row>27</xdr:row>
      <xdr:rowOff>294786</xdr:rowOff>
    </xdr:to>
    <xdr:cxnSp macro="">
      <xdr:nvCxnSpPr>
        <xdr:cNvPr id="133" name="Straight Connector 19">
          <a:extLst>
            <a:ext uri="{FF2B5EF4-FFF2-40B4-BE49-F238E27FC236}">
              <a16:creationId xmlns:a16="http://schemas.microsoft.com/office/drawing/2014/main" id="{00000000-0008-0000-0300-000085000000}"/>
            </a:ext>
          </a:extLst>
        </xdr:cNvPr>
        <xdr:cNvCxnSpPr/>
      </xdr:nvCxnSpPr>
      <xdr:spPr>
        <a:xfrm flipV="1">
          <a:off x="12306935" y="14041120"/>
          <a:ext cx="1111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202204</xdr:colOff>
      <xdr:row>28</xdr:row>
      <xdr:rowOff>272759</xdr:rowOff>
    </xdr:from>
    <xdr:to>
      <xdr:col>19</xdr:col>
      <xdr:colOff>313645</xdr:colOff>
      <xdr:row>28</xdr:row>
      <xdr:rowOff>272872</xdr:rowOff>
    </xdr:to>
    <xdr:cxnSp macro="">
      <xdr:nvCxnSpPr>
        <xdr:cNvPr id="136" name="Straight Connector 19">
          <a:extLst>
            <a:ext uri="{FF2B5EF4-FFF2-40B4-BE49-F238E27FC236}">
              <a16:creationId xmlns:a16="http://schemas.microsoft.com/office/drawing/2014/main" id="{00000000-0008-0000-0300-000088000000}"/>
            </a:ext>
          </a:extLst>
        </xdr:cNvPr>
        <xdr:cNvCxnSpPr/>
      </xdr:nvCxnSpPr>
      <xdr:spPr>
        <a:xfrm flipV="1">
          <a:off x="12343130" y="14590395"/>
          <a:ext cx="1111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475590</xdr:colOff>
      <xdr:row>31</xdr:row>
      <xdr:rowOff>245174</xdr:rowOff>
    </xdr:from>
    <xdr:to>
      <xdr:col>18</xdr:col>
      <xdr:colOff>563899</xdr:colOff>
      <xdr:row>31</xdr:row>
      <xdr:rowOff>246681</xdr:rowOff>
    </xdr:to>
    <xdr:cxnSp macro="">
      <xdr:nvCxnSpPr>
        <xdr:cNvPr id="147" name="Straight Connector 19">
          <a:extLst>
            <a:ext uri="{FF2B5EF4-FFF2-40B4-BE49-F238E27FC236}">
              <a16:creationId xmlns:a16="http://schemas.microsoft.com/office/drawing/2014/main" id="{00000000-0008-0000-0300-000093000000}"/>
            </a:ext>
          </a:extLst>
        </xdr:cNvPr>
        <xdr:cNvCxnSpPr/>
      </xdr:nvCxnSpPr>
      <xdr:spPr>
        <a:xfrm flipV="1">
          <a:off x="11922125" y="16334740"/>
          <a:ext cx="8890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192171</xdr:colOff>
      <xdr:row>32</xdr:row>
      <xdr:rowOff>261205</xdr:rowOff>
    </xdr:from>
    <xdr:to>
      <xdr:col>19</xdr:col>
      <xdr:colOff>359136</xdr:colOff>
      <xdr:row>32</xdr:row>
      <xdr:rowOff>261799</xdr:rowOff>
    </xdr:to>
    <xdr:cxnSp macro="">
      <xdr:nvCxnSpPr>
        <xdr:cNvPr id="150" name="Straight Connector 19">
          <a:extLst>
            <a:ext uri="{FF2B5EF4-FFF2-40B4-BE49-F238E27FC236}">
              <a16:creationId xmlns:a16="http://schemas.microsoft.com/office/drawing/2014/main" id="{00000000-0008-0000-0300-000096000000}"/>
            </a:ext>
          </a:extLst>
        </xdr:cNvPr>
        <xdr:cNvCxnSpPr/>
      </xdr:nvCxnSpPr>
      <xdr:spPr>
        <a:xfrm flipV="1">
          <a:off x="12332970" y="16922115"/>
          <a:ext cx="16700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329557</xdr:colOff>
      <xdr:row>33</xdr:row>
      <xdr:rowOff>265709</xdr:rowOff>
    </xdr:from>
    <xdr:to>
      <xdr:col>19</xdr:col>
      <xdr:colOff>396646</xdr:colOff>
      <xdr:row>33</xdr:row>
      <xdr:rowOff>267263</xdr:rowOff>
    </xdr:to>
    <xdr:cxnSp macro="">
      <xdr:nvCxnSpPr>
        <xdr:cNvPr id="155" name="Straight Connector 19">
          <a:extLst>
            <a:ext uri="{FF2B5EF4-FFF2-40B4-BE49-F238E27FC236}">
              <a16:creationId xmlns:a16="http://schemas.microsoft.com/office/drawing/2014/main" id="{00000000-0008-0000-0300-00009B000000}"/>
            </a:ext>
          </a:extLst>
        </xdr:cNvPr>
        <xdr:cNvCxnSpPr/>
      </xdr:nvCxnSpPr>
      <xdr:spPr>
        <a:xfrm flipV="1">
          <a:off x="12470130" y="17498060"/>
          <a:ext cx="6731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486309</xdr:colOff>
      <xdr:row>35</xdr:row>
      <xdr:rowOff>302632</xdr:rowOff>
    </xdr:from>
    <xdr:to>
      <xdr:col>18</xdr:col>
      <xdr:colOff>582520</xdr:colOff>
      <xdr:row>35</xdr:row>
      <xdr:rowOff>304380</xdr:rowOff>
    </xdr:to>
    <xdr:cxnSp macro="">
      <xdr:nvCxnSpPr>
        <xdr:cNvPr id="166" name="Straight Connector 19">
          <a:extLst>
            <a:ext uri="{FF2B5EF4-FFF2-40B4-BE49-F238E27FC236}">
              <a16:creationId xmlns:a16="http://schemas.microsoft.com/office/drawing/2014/main" id="{00000000-0008-0000-0300-0000A6000000}"/>
            </a:ext>
          </a:extLst>
        </xdr:cNvPr>
        <xdr:cNvCxnSpPr/>
      </xdr:nvCxnSpPr>
      <xdr:spPr>
        <a:xfrm>
          <a:off x="11932920" y="18735040"/>
          <a:ext cx="96520"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591472</xdr:colOff>
      <xdr:row>36</xdr:row>
      <xdr:rowOff>258609</xdr:rowOff>
    </xdr:from>
    <xdr:to>
      <xdr:col>19</xdr:col>
      <xdr:colOff>128024</xdr:colOff>
      <xdr:row>36</xdr:row>
      <xdr:rowOff>263730</xdr:rowOff>
    </xdr:to>
    <xdr:cxnSp macro="">
      <xdr:nvCxnSpPr>
        <xdr:cNvPr id="169" name="Straight Connector 19">
          <a:extLst>
            <a:ext uri="{FF2B5EF4-FFF2-40B4-BE49-F238E27FC236}">
              <a16:creationId xmlns:a16="http://schemas.microsoft.com/office/drawing/2014/main" id="{00000000-0008-0000-0300-0000A9000000}"/>
            </a:ext>
          </a:extLst>
        </xdr:cNvPr>
        <xdr:cNvCxnSpPr/>
      </xdr:nvCxnSpPr>
      <xdr:spPr>
        <a:xfrm>
          <a:off x="12038330" y="19262725"/>
          <a:ext cx="230505" cy="508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231826</xdr:colOff>
      <xdr:row>37</xdr:row>
      <xdr:rowOff>297341</xdr:rowOff>
    </xdr:from>
    <xdr:to>
      <xdr:col>19</xdr:col>
      <xdr:colOff>403378</xdr:colOff>
      <xdr:row>37</xdr:row>
      <xdr:rowOff>302462</xdr:rowOff>
    </xdr:to>
    <xdr:cxnSp macro="">
      <xdr:nvCxnSpPr>
        <xdr:cNvPr id="171" name="Straight Connector 19">
          <a:extLst>
            <a:ext uri="{FF2B5EF4-FFF2-40B4-BE49-F238E27FC236}">
              <a16:creationId xmlns:a16="http://schemas.microsoft.com/office/drawing/2014/main" id="{00000000-0008-0000-0300-0000AB000000}"/>
            </a:ext>
          </a:extLst>
        </xdr:cNvPr>
        <xdr:cNvCxnSpPr/>
      </xdr:nvCxnSpPr>
      <xdr:spPr>
        <a:xfrm>
          <a:off x="12372975" y="19872960"/>
          <a:ext cx="171450" cy="508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348884</xdr:colOff>
      <xdr:row>38</xdr:row>
      <xdr:rowOff>255445</xdr:rowOff>
    </xdr:from>
    <xdr:to>
      <xdr:col>19</xdr:col>
      <xdr:colOff>416437</xdr:colOff>
      <xdr:row>38</xdr:row>
      <xdr:rowOff>255445</xdr:rowOff>
    </xdr:to>
    <xdr:cxnSp macro="">
      <xdr:nvCxnSpPr>
        <xdr:cNvPr id="180" name="Straight Connector 19">
          <a:extLst>
            <a:ext uri="{FF2B5EF4-FFF2-40B4-BE49-F238E27FC236}">
              <a16:creationId xmlns:a16="http://schemas.microsoft.com/office/drawing/2014/main" id="{00000000-0008-0000-0300-0000B4000000}"/>
            </a:ext>
          </a:extLst>
        </xdr:cNvPr>
        <xdr:cNvCxnSpPr/>
      </xdr:nvCxnSpPr>
      <xdr:spPr>
        <a:xfrm>
          <a:off x="12489815" y="20402550"/>
          <a:ext cx="673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578303</xdr:colOff>
      <xdr:row>40</xdr:row>
      <xdr:rowOff>299215</xdr:rowOff>
    </xdr:from>
    <xdr:to>
      <xdr:col>19</xdr:col>
      <xdr:colOff>172879</xdr:colOff>
      <xdr:row>40</xdr:row>
      <xdr:rowOff>300491</xdr:rowOff>
    </xdr:to>
    <xdr:cxnSp macro="">
      <xdr:nvCxnSpPr>
        <xdr:cNvPr id="184" name="Straight Connector 19">
          <a:extLst>
            <a:ext uri="{FF2B5EF4-FFF2-40B4-BE49-F238E27FC236}">
              <a16:creationId xmlns:a16="http://schemas.microsoft.com/office/drawing/2014/main" id="{00000000-0008-0000-0300-0000B8000000}"/>
            </a:ext>
          </a:extLst>
        </xdr:cNvPr>
        <xdr:cNvCxnSpPr/>
      </xdr:nvCxnSpPr>
      <xdr:spPr>
        <a:xfrm flipV="1">
          <a:off x="12024995" y="21646515"/>
          <a:ext cx="28892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145791</xdr:colOff>
      <xdr:row>41</xdr:row>
      <xdr:rowOff>311019</xdr:rowOff>
    </xdr:from>
    <xdr:to>
      <xdr:col>19</xdr:col>
      <xdr:colOff>287702</xdr:colOff>
      <xdr:row>41</xdr:row>
      <xdr:rowOff>314271</xdr:rowOff>
    </xdr:to>
    <xdr:cxnSp macro="">
      <xdr:nvCxnSpPr>
        <xdr:cNvPr id="16" name="Straight Connector 19">
          <a:extLst>
            <a:ext uri="{FF2B5EF4-FFF2-40B4-BE49-F238E27FC236}">
              <a16:creationId xmlns:a16="http://schemas.microsoft.com/office/drawing/2014/main" id="{00000000-0008-0000-0300-000010000000}"/>
            </a:ext>
          </a:extLst>
        </xdr:cNvPr>
        <xdr:cNvCxnSpPr/>
      </xdr:nvCxnSpPr>
      <xdr:spPr>
        <a:xfrm>
          <a:off x="12286615" y="22229445"/>
          <a:ext cx="14224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481500</xdr:colOff>
      <xdr:row>42</xdr:row>
      <xdr:rowOff>277717</xdr:rowOff>
    </xdr:from>
    <xdr:to>
      <xdr:col>20</xdr:col>
      <xdr:colOff>44302</xdr:colOff>
      <xdr:row>42</xdr:row>
      <xdr:rowOff>280582</xdr:rowOff>
    </xdr:to>
    <xdr:cxnSp macro="">
      <xdr:nvCxnSpPr>
        <xdr:cNvPr id="18" name="Straight Connector 19">
          <a:extLst>
            <a:ext uri="{FF2B5EF4-FFF2-40B4-BE49-F238E27FC236}">
              <a16:creationId xmlns:a16="http://schemas.microsoft.com/office/drawing/2014/main" id="{00000000-0008-0000-0300-000012000000}"/>
            </a:ext>
          </a:extLst>
        </xdr:cNvPr>
        <xdr:cNvCxnSpPr/>
      </xdr:nvCxnSpPr>
      <xdr:spPr>
        <a:xfrm>
          <a:off x="12622530" y="22767925"/>
          <a:ext cx="25654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57727</xdr:colOff>
      <xdr:row>43</xdr:row>
      <xdr:rowOff>270596</xdr:rowOff>
    </xdr:from>
    <xdr:to>
      <xdr:col>20</xdr:col>
      <xdr:colOff>125280</xdr:colOff>
      <xdr:row>43</xdr:row>
      <xdr:rowOff>270596</xdr:rowOff>
    </xdr:to>
    <xdr:cxnSp macro="">
      <xdr:nvCxnSpPr>
        <xdr:cNvPr id="20" name="Straight Connector 19">
          <a:extLst>
            <a:ext uri="{FF2B5EF4-FFF2-40B4-BE49-F238E27FC236}">
              <a16:creationId xmlns:a16="http://schemas.microsoft.com/office/drawing/2014/main" id="{00000000-0008-0000-0300-000014000000}"/>
            </a:ext>
          </a:extLst>
        </xdr:cNvPr>
        <xdr:cNvCxnSpPr/>
      </xdr:nvCxnSpPr>
      <xdr:spPr>
        <a:xfrm>
          <a:off x="12892405" y="23332440"/>
          <a:ext cx="679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555099</xdr:colOff>
      <xdr:row>46</xdr:row>
      <xdr:rowOff>290166</xdr:rowOff>
    </xdr:from>
    <xdr:to>
      <xdr:col>18</xdr:col>
      <xdr:colOff>359845</xdr:colOff>
      <xdr:row>46</xdr:row>
      <xdr:rowOff>290201</xdr:rowOff>
    </xdr:to>
    <xdr:cxnSp macro="">
      <xdr:nvCxnSpPr>
        <xdr:cNvPr id="23" name="Straight Connector 2">
          <a:extLst>
            <a:ext uri="{FF2B5EF4-FFF2-40B4-BE49-F238E27FC236}">
              <a16:creationId xmlns:a16="http://schemas.microsoft.com/office/drawing/2014/main" id="{00000000-0008-0000-0300-000017000000}"/>
            </a:ext>
          </a:extLst>
        </xdr:cNvPr>
        <xdr:cNvCxnSpPr/>
      </xdr:nvCxnSpPr>
      <xdr:spPr>
        <a:xfrm flipV="1">
          <a:off x="11308080" y="25123140"/>
          <a:ext cx="498475"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206169</xdr:colOff>
      <xdr:row>49</xdr:row>
      <xdr:rowOff>597889</xdr:rowOff>
    </xdr:from>
    <xdr:to>
      <xdr:col>20</xdr:col>
      <xdr:colOff>328343</xdr:colOff>
      <xdr:row>49</xdr:row>
      <xdr:rowOff>597889</xdr:rowOff>
    </xdr:to>
    <xdr:cxnSp macro="">
      <xdr:nvCxnSpPr>
        <xdr:cNvPr id="44" name="Straight Connector 19">
          <a:extLst>
            <a:ext uri="{FF2B5EF4-FFF2-40B4-BE49-F238E27FC236}">
              <a16:creationId xmlns:a16="http://schemas.microsoft.com/office/drawing/2014/main" id="{00000000-0008-0000-0300-00002C000000}"/>
            </a:ext>
          </a:extLst>
        </xdr:cNvPr>
        <xdr:cNvCxnSpPr/>
      </xdr:nvCxnSpPr>
      <xdr:spPr>
        <a:xfrm>
          <a:off x="13040995" y="3264979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215022</xdr:colOff>
      <xdr:row>55</xdr:row>
      <xdr:rowOff>213079</xdr:rowOff>
    </xdr:from>
    <xdr:to>
      <xdr:col>20</xdr:col>
      <xdr:colOff>262388</xdr:colOff>
      <xdr:row>55</xdr:row>
      <xdr:rowOff>214766</xdr:rowOff>
    </xdr:to>
    <xdr:cxnSp macro="">
      <xdr:nvCxnSpPr>
        <xdr:cNvPr id="58" name="Straight Connector 19">
          <a:extLst>
            <a:ext uri="{FF2B5EF4-FFF2-40B4-BE49-F238E27FC236}">
              <a16:creationId xmlns:a16="http://schemas.microsoft.com/office/drawing/2014/main" id="{00000000-0008-0000-0300-00003A000000}"/>
            </a:ext>
          </a:extLst>
        </xdr:cNvPr>
        <xdr:cNvCxnSpPr/>
      </xdr:nvCxnSpPr>
      <xdr:spPr>
        <a:xfrm>
          <a:off x="13049885" y="34878645"/>
          <a:ext cx="4762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624504</xdr:colOff>
      <xdr:row>57</xdr:row>
      <xdr:rowOff>215968</xdr:rowOff>
    </xdr:from>
    <xdr:to>
      <xdr:col>20</xdr:col>
      <xdr:colOff>220579</xdr:colOff>
      <xdr:row>57</xdr:row>
      <xdr:rowOff>220579</xdr:rowOff>
    </xdr:to>
    <xdr:cxnSp macro="">
      <xdr:nvCxnSpPr>
        <xdr:cNvPr id="61" name="Straight Connector 19">
          <a:extLst>
            <a:ext uri="{FF2B5EF4-FFF2-40B4-BE49-F238E27FC236}">
              <a16:creationId xmlns:a16="http://schemas.microsoft.com/office/drawing/2014/main" id="{00000000-0008-0000-0300-00003D000000}"/>
            </a:ext>
          </a:extLst>
        </xdr:cNvPr>
        <xdr:cNvCxnSpPr/>
      </xdr:nvCxnSpPr>
      <xdr:spPr>
        <a:xfrm>
          <a:off x="12071350" y="35306635"/>
          <a:ext cx="984250"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521368</xdr:colOff>
      <xdr:row>58</xdr:row>
      <xdr:rowOff>300790</xdr:rowOff>
    </xdr:from>
    <xdr:to>
      <xdr:col>22</xdr:col>
      <xdr:colOff>13368</xdr:colOff>
      <xdr:row>58</xdr:row>
      <xdr:rowOff>307474</xdr:rowOff>
    </xdr:to>
    <xdr:cxnSp macro="">
      <xdr:nvCxnSpPr>
        <xdr:cNvPr id="65" name="Straight Connector 19">
          <a:extLst>
            <a:ext uri="{FF2B5EF4-FFF2-40B4-BE49-F238E27FC236}">
              <a16:creationId xmlns:a16="http://schemas.microsoft.com/office/drawing/2014/main" id="{00000000-0008-0000-0300-000041000000}"/>
            </a:ext>
          </a:extLst>
        </xdr:cNvPr>
        <xdr:cNvCxnSpPr/>
      </xdr:nvCxnSpPr>
      <xdr:spPr>
        <a:xfrm>
          <a:off x="13356590" y="35829240"/>
          <a:ext cx="880110" cy="698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0</xdr:colOff>
      <xdr:row>61</xdr:row>
      <xdr:rowOff>213321</xdr:rowOff>
    </xdr:from>
    <xdr:to>
      <xdr:col>18</xdr:col>
      <xdr:colOff>357187</xdr:colOff>
      <xdr:row>61</xdr:row>
      <xdr:rowOff>218282</xdr:rowOff>
    </xdr:to>
    <xdr:cxnSp macro="">
      <xdr:nvCxnSpPr>
        <xdr:cNvPr id="73" name="Straight Connector 2">
          <a:extLst>
            <a:ext uri="{FF2B5EF4-FFF2-40B4-BE49-F238E27FC236}">
              <a16:creationId xmlns:a16="http://schemas.microsoft.com/office/drawing/2014/main" id="{00000000-0008-0000-0300-000049000000}"/>
            </a:ext>
          </a:extLst>
        </xdr:cNvPr>
        <xdr:cNvCxnSpPr/>
      </xdr:nvCxnSpPr>
      <xdr:spPr>
        <a:xfrm>
          <a:off x="11447145" y="36836985"/>
          <a:ext cx="356870"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122410</xdr:colOff>
      <xdr:row>65</xdr:row>
      <xdr:rowOff>191265</xdr:rowOff>
    </xdr:from>
    <xdr:to>
      <xdr:col>22</xdr:col>
      <xdr:colOff>0</xdr:colOff>
      <xdr:row>65</xdr:row>
      <xdr:rowOff>191265</xdr:rowOff>
    </xdr:to>
    <xdr:cxnSp macro="">
      <xdr:nvCxnSpPr>
        <xdr:cNvPr id="75" name="Straight Connector 19">
          <a:extLst>
            <a:ext uri="{FF2B5EF4-FFF2-40B4-BE49-F238E27FC236}">
              <a16:creationId xmlns:a16="http://schemas.microsoft.com/office/drawing/2014/main" id="{00000000-0008-0000-0300-00004B000000}"/>
            </a:ext>
          </a:extLst>
        </xdr:cNvPr>
        <xdr:cNvCxnSpPr/>
      </xdr:nvCxnSpPr>
      <xdr:spPr>
        <a:xfrm>
          <a:off x="12263120" y="37697410"/>
          <a:ext cx="19602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63</xdr:row>
      <xdr:rowOff>191267</xdr:rowOff>
    </xdr:from>
    <xdr:to>
      <xdr:col>22</xdr:col>
      <xdr:colOff>821</xdr:colOff>
      <xdr:row>63</xdr:row>
      <xdr:rowOff>191267</xdr:rowOff>
    </xdr:to>
    <xdr:cxnSp macro="">
      <xdr:nvCxnSpPr>
        <xdr:cNvPr id="2" name="Straight Connector 19">
          <a:extLst>
            <a:ext uri="{FF2B5EF4-FFF2-40B4-BE49-F238E27FC236}">
              <a16:creationId xmlns:a16="http://schemas.microsoft.com/office/drawing/2014/main" id="{A812511B-AEA6-435D-A7FF-F076D770195A}"/>
            </a:ext>
            <a:ext uri="{147F2762-F138-4A5C-976F-8EAC2B608ADB}">
              <a16:predDERef xmlns:a16="http://schemas.microsoft.com/office/drawing/2014/main" pred="{00000000-0008-0000-0300-00004B000000}"/>
            </a:ext>
          </a:extLst>
        </xdr:cNvPr>
        <xdr:cNvCxnSpPr/>
      </xdr:nvCxnSpPr>
      <xdr:spPr>
        <a:xfrm>
          <a:off x="14240532" y="43253792"/>
          <a:ext cx="1181264"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xdr:from>
      <xdr:col>22</xdr:col>
      <xdr:colOff>3122</xdr:colOff>
      <xdr:row>1</xdr:row>
      <xdr:rowOff>15240</xdr:rowOff>
    </xdr:from>
    <xdr:to>
      <xdr:col>22</xdr:col>
      <xdr:colOff>3122</xdr:colOff>
      <xdr:row>86</xdr:row>
      <xdr:rowOff>356152</xdr:rowOff>
    </xdr:to>
    <xdr:cxnSp macro="">
      <xdr:nvCxnSpPr>
        <xdr:cNvPr id="3" name="Straight Connector 27">
          <a:extLst>
            <a:ext uri="{FF2B5EF4-FFF2-40B4-BE49-F238E27FC236}">
              <a16:creationId xmlns:a16="http://schemas.microsoft.com/office/drawing/2014/main" id="{00000000-0008-0000-0400-000003000000}"/>
            </a:ext>
          </a:extLst>
        </xdr:cNvPr>
        <xdr:cNvCxnSpPr/>
      </xdr:nvCxnSpPr>
      <xdr:spPr>
        <a:xfrm>
          <a:off x="14368145" y="83820"/>
          <a:ext cx="0" cy="4793932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230000</xdr:colOff>
      <xdr:row>59</xdr:row>
      <xdr:rowOff>215000</xdr:rowOff>
    </xdr:from>
    <xdr:to>
      <xdr:col>19</xdr:col>
      <xdr:colOff>484371</xdr:colOff>
      <xdr:row>59</xdr:row>
      <xdr:rowOff>218498</xdr:rowOff>
    </xdr:to>
    <xdr:cxnSp macro="">
      <xdr:nvCxnSpPr>
        <xdr:cNvPr id="213" name="Straight Connector 2">
          <a:extLst>
            <a:ext uri="{FF2B5EF4-FFF2-40B4-BE49-F238E27FC236}">
              <a16:creationId xmlns:a16="http://schemas.microsoft.com/office/drawing/2014/main" id="{00000000-0008-0000-0400-0000D5000000}"/>
            </a:ext>
          </a:extLst>
        </xdr:cNvPr>
        <xdr:cNvCxnSpPr/>
      </xdr:nvCxnSpPr>
      <xdr:spPr>
        <a:xfrm>
          <a:off x="12513310" y="32572960"/>
          <a:ext cx="25400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487699</xdr:colOff>
      <xdr:row>59</xdr:row>
      <xdr:rowOff>220000</xdr:rowOff>
    </xdr:from>
    <xdr:to>
      <xdr:col>21</xdr:col>
      <xdr:colOff>595000</xdr:colOff>
      <xdr:row>59</xdr:row>
      <xdr:rowOff>221006</xdr:rowOff>
    </xdr:to>
    <xdr:cxnSp macro="">
      <xdr:nvCxnSpPr>
        <xdr:cNvPr id="214" name="Straight Connector 19">
          <a:extLst>
            <a:ext uri="{FF2B5EF4-FFF2-40B4-BE49-F238E27FC236}">
              <a16:creationId xmlns:a16="http://schemas.microsoft.com/office/drawing/2014/main" id="{00000000-0008-0000-0400-0000D6000000}"/>
            </a:ext>
          </a:extLst>
        </xdr:cNvPr>
        <xdr:cNvCxnSpPr/>
      </xdr:nvCxnSpPr>
      <xdr:spPr>
        <a:xfrm flipV="1">
          <a:off x="12771120" y="32578040"/>
          <a:ext cx="149542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336826</xdr:colOff>
      <xdr:row>2</xdr:row>
      <xdr:rowOff>287131</xdr:rowOff>
    </xdr:from>
    <xdr:to>
      <xdr:col>17</xdr:col>
      <xdr:colOff>585304</xdr:colOff>
      <xdr:row>2</xdr:row>
      <xdr:rowOff>292652</xdr:rowOff>
    </xdr:to>
    <xdr:cxnSp macro="">
      <xdr:nvCxnSpPr>
        <xdr:cNvPr id="58" name="Straight Connector 1">
          <a:extLst>
            <a:ext uri="{FF2B5EF4-FFF2-40B4-BE49-F238E27FC236}">
              <a16:creationId xmlns:a16="http://schemas.microsoft.com/office/drawing/2014/main" id="{00000000-0008-0000-0400-00003A000000}"/>
            </a:ext>
          </a:extLst>
        </xdr:cNvPr>
        <xdr:cNvCxnSpPr/>
      </xdr:nvCxnSpPr>
      <xdr:spPr>
        <a:xfrm>
          <a:off x="11231880" y="373380"/>
          <a:ext cx="2482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273618</xdr:colOff>
      <xdr:row>57</xdr:row>
      <xdr:rowOff>294269</xdr:rowOff>
    </xdr:from>
    <xdr:to>
      <xdr:col>19</xdr:col>
      <xdr:colOff>495610</xdr:colOff>
      <xdr:row>57</xdr:row>
      <xdr:rowOff>297760</xdr:rowOff>
    </xdr:to>
    <xdr:cxnSp macro="">
      <xdr:nvCxnSpPr>
        <xdr:cNvPr id="210" name="Straight Connector 2">
          <a:extLst>
            <a:ext uri="{FF2B5EF4-FFF2-40B4-BE49-F238E27FC236}">
              <a16:creationId xmlns:a16="http://schemas.microsoft.com/office/drawing/2014/main" id="{00000000-0008-0000-0400-0000D2000000}"/>
            </a:ext>
          </a:extLst>
        </xdr:cNvPr>
        <xdr:cNvCxnSpPr/>
      </xdr:nvCxnSpPr>
      <xdr:spPr>
        <a:xfrm>
          <a:off x="12556490" y="31528385"/>
          <a:ext cx="22225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42951</xdr:colOff>
      <xdr:row>0</xdr:row>
      <xdr:rowOff>41413</xdr:rowOff>
    </xdr:from>
    <xdr:to>
      <xdr:col>13</xdr:col>
      <xdr:colOff>42951</xdr:colOff>
      <xdr:row>74</xdr:row>
      <xdr:rowOff>0</xdr:rowOff>
    </xdr:to>
    <xdr:cxnSp macro="">
      <xdr:nvCxnSpPr>
        <xdr:cNvPr id="8" name="Straight Connector 5">
          <a:extLst>
            <a:ext uri="{FF2B5EF4-FFF2-40B4-BE49-F238E27FC236}">
              <a16:creationId xmlns:a16="http://schemas.microsoft.com/office/drawing/2014/main" id="{00000000-0008-0000-0400-000008000000}"/>
            </a:ext>
          </a:extLst>
        </xdr:cNvPr>
        <xdr:cNvCxnSpPr/>
      </xdr:nvCxnSpPr>
      <xdr:spPr>
        <a:xfrm>
          <a:off x="10176510" y="41275"/>
          <a:ext cx="0" cy="4408868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0</xdr:colOff>
      <xdr:row>1</xdr:row>
      <xdr:rowOff>15421</xdr:rowOff>
    </xdr:from>
    <xdr:to>
      <xdr:col>17</xdr:col>
      <xdr:colOff>0</xdr:colOff>
      <xdr:row>86</xdr:row>
      <xdr:rowOff>356152</xdr:rowOff>
    </xdr:to>
    <xdr:cxnSp macro="">
      <xdr:nvCxnSpPr>
        <xdr:cNvPr id="9" name="Straight Connector 6">
          <a:extLst>
            <a:ext uri="{FF2B5EF4-FFF2-40B4-BE49-F238E27FC236}">
              <a16:creationId xmlns:a16="http://schemas.microsoft.com/office/drawing/2014/main" id="{00000000-0008-0000-0400-000009000000}"/>
            </a:ext>
          </a:extLst>
        </xdr:cNvPr>
        <xdr:cNvCxnSpPr/>
      </xdr:nvCxnSpPr>
      <xdr:spPr>
        <a:xfrm>
          <a:off x="10895330" y="83820"/>
          <a:ext cx="0" cy="4793932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554935</xdr:colOff>
      <xdr:row>1</xdr:row>
      <xdr:rowOff>15240</xdr:rowOff>
    </xdr:from>
    <xdr:to>
      <xdr:col>17</xdr:col>
      <xdr:colOff>605790</xdr:colOff>
      <xdr:row>86</xdr:row>
      <xdr:rowOff>364434</xdr:rowOff>
    </xdr:to>
    <xdr:cxnSp macro="">
      <xdr:nvCxnSpPr>
        <xdr:cNvPr id="10" name="Straight Connector 7">
          <a:extLst>
            <a:ext uri="{FF2B5EF4-FFF2-40B4-BE49-F238E27FC236}">
              <a16:creationId xmlns:a16="http://schemas.microsoft.com/office/drawing/2014/main" id="{00000000-0008-0000-0400-00000A000000}"/>
            </a:ext>
          </a:extLst>
        </xdr:cNvPr>
        <xdr:cNvCxnSpPr/>
      </xdr:nvCxnSpPr>
      <xdr:spPr>
        <a:xfrm flipH="1">
          <a:off x="11449685" y="83820"/>
          <a:ext cx="51435" cy="4794758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3842</xdr:colOff>
      <xdr:row>1</xdr:row>
      <xdr:rowOff>19050</xdr:rowOff>
    </xdr:from>
    <xdr:to>
      <xdr:col>19</xdr:col>
      <xdr:colOff>3842</xdr:colOff>
      <xdr:row>86</xdr:row>
      <xdr:rowOff>347869</xdr:rowOff>
    </xdr:to>
    <xdr:cxnSp macro="">
      <xdr:nvCxnSpPr>
        <xdr:cNvPr id="11" name="Straight Connector 8">
          <a:extLst>
            <a:ext uri="{FF2B5EF4-FFF2-40B4-BE49-F238E27FC236}">
              <a16:creationId xmlns:a16="http://schemas.microsoft.com/office/drawing/2014/main" id="{00000000-0008-0000-0400-00000B000000}"/>
            </a:ext>
          </a:extLst>
        </xdr:cNvPr>
        <xdr:cNvCxnSpPr/>
      </xdr:nvCxnSpPr>
      <xdr:spPr>
        <a:xfrm>
          <a:off x="12287250" y="87630"/>
          <a:ext cx="0" cy="479272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0</xdr:colOff>
      <xdr:row>1</xdr:row>
      <xdr:rowOff>19050</xdr:rowOff>
    </xdr:from>
    <xdr:to>
      <xdr:col>21</xdr:col>
      <xdr:colOff>0</xdr:colOff>
      <xdr:row>86</xdr:row>
      <xdr:rowOff>339587</xdr:rowOff>
    </xdr:to>
    <xdr:cxnSp macro="">
      <xdr:nvCxnSpPr>
        <xdr:cNvPr id="18" name="Straight Connector 10">
          <a:extLst>
            <a:ext uri="{FF2B5EF4-FFF2-40B4-BE49-F238E27FC236}">
              <a16:creationId xmlns:a16="http://schemas.microsoft.com/office/drawing/2014/main" id="{00000000-0008-0000-0400-000012000000}"/>
            </a:ext>
          </a:extLst>
        </xdr:cNvPr>
        <xdr:cNvCxnSpPr/>
      </xdr:nvCxnSpPr>
      <xdr:spPr>
        <a:xfrm>
          <a:off x="13671550" y="87630"/>
          <a:ext cx="0" cy="4791900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479102</xdr:colOff>
      <xdr:row>1</xdr:row>
      <xdr:rowOff>0</xdr:rowOff>
    </xdr:from>
    <xdr:to>
      <xdr:col>19</xdr:col>
      <xdr:colOff>479102</xdr:colOff>
      <xdr:row>85</xdr:row>
      <xdr:rowOff>339586</xdr:rowOff>
    </xdr:to>
    <xdr:cxnSp macro="">
      <xdr:nvCxnSpPr>
        <xdr:cNvPr id="14" name="Straight Connector 10">
          <a:extLst>
            <a:ext uri="{FF2B5EF4-FFF2-40B4-BE49-F238E27FC236}">
              <a16:creationId xmlns:a16="http://schemas.microsoft.com/office/drawing/2014/main" id="{00000000-0008-0000-0400-00000E000000}"/>
            </a:ext>
          </a:extLst>
        </xdr:cNvPr>
        <xdr:cNvCxnSpPr/>
      </xdr:nvCxnSpPr>
      <xdr:spPr>
        <a:xfrm>
          <a:off x="12762230" y="68580"/>
          <a:ext cx="0" cy="47547530"/>
        </a:xfrm>
        <a:prstGeom prst="line">
          <a:avLst/>
        </a:prstGeom>
        <a:ln w="1905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259582</xdr:colOff>
      <xdr:row>65</xdr:row>
      <xdr:rowOff>314529</xdr:rowOff>
    </xdr:from>
    <xdr:to>
      <xdr:col>19</xdr:col>
      <xdr:colOff>454439</xdr:colOff>
      <xdr:row>79</xdr:row>
      <xdr:rowOff>78460</xdr:rowOff>
    </xdr:to>
    <xdr:sp macro="" textlink="">
      <xdr:nvSpPr>
        <xdr:cNvPr id="15" name="TextBox 13">
          <a:extLst>
            <a:ext uri="{FF2B5EF4-FFF2-40B4-BE49-F238E27FC236}">
              <a16:creationId xmlns:a16="http://schemas.microsoft.com/office/drawing/2014/main" id="{00000000-0008-0000-0400-00000F000000}"/>
            </a:ext>
          </a:extLst>
        </xdr:cNvPr>
        <xdr:cNvSpPr txBox="1"/>
      </xdr:nvSpPr>
      <xdr:spPr>
        <a:xfrm rot="16200000">
          <a:off x="10602595" y="43233340"/>
          <a:ext cx="407479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19</xdr:col>
      <xdr:colOff>77564</xdr:colOff>
      <xdr:row>12</xdr:row>
      <xdr:rowOff>280183</xdr:rowOff>
    </xdr:from>
    <xdr:to>
      <xdr:col>19</xdr:col>
      <xdr:colOff>188148</xdr:colOff>
      <xdr:row>12</xdr:row>
      <xdr:rowOff>282222</xdr:rowOff>
    </xdr:to>
    <xdr:cxnSp macro="">
      <xdr:nvCxnSpPr>
        <xdr:cNvPr id="59" name="Straight Connector 17">
          <a:extLst>
            <a:ext uri="{FF2B5EF4-FFF2-40B4-BE49-F238E27FC236}">
              <a16:creationId xmlns:a16="http://schemas.microsoft.com/office/drawing/2014/main" id="{00000000-0008-0000-0400-00003B000000}"/>
            </a:ext>
          </a:extLst>
        </xdr:cNvPr>
        <xdr:cNvCxnSpPr/>
      </xdr:nvCxnSpPr>
      <xdr:spPr>
        <a:xfrm>
          <a:off x="12360910" y="5282565"/>
          <a:ext cx="110490"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96983</xdr:colOff>
      <xdr:row>17</xdr:row>
      <xdr:rowOff>289403</xdr:rowOff>
    </xdr:from>
    <xdr:to>
      <xdr:col>19</xdr:col>
      <xdr:colOff>236017</xdr:colOff>
      <xdr:row>17</xdr:row>
      <xdr:rowOff>291786</xdr:rowOff>
    </xdr:to>
    <xdr:cxnSp macro="">
      <xdr:nvCxnSpPr>
        <xdr:cNvPr id="79" name="Straight Connector 18">
          <a:extLst>
            <a:ext uri="{FF2B5EF4-FFF2-40B4-BE49-F238E27FC236}">
              <a16:creationId xmlns:a16="http://schemas.microsoft.com/office/drawing/2014/main" id="{00000000-0008-0000-0400-00004F000000}"/>
            </a:ext>
          </a:extLst>
        </xdr:cNvPr>
        <xdr:cNvCxnSpPr/>
      </xdr:nvCxnSpPr>
      <xdr:spPr>
        <a:xfrm flipV="1">
          <a:off x="12379960" y="8206105"/>
          <a:ext cx="139065" cy="254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205406</xdr:colOff>
      <xdr:row>22</xdr:row>
      <xdr:rowOff>297877</xdr:rowOff>
    </xdr:from>
    <xdr:to>
      <xdr:col>19</xdr:col>
      <xdr:colOff>365923</xdr:colOff>
      <xdr:row>22</xdr:row>
      <xdr:rowOff>297877</xdr:rowOff>
    </xdr:to>
    <xdr:cxnSp macro="">
      <xdr:nvCxnSpPr>
        <xdr:cNvPr id="91" name="Straight Connector 19">
          <a:extLst>
            <a:ext uri="{FF2B5EF4-FFF2-40B4-BE49-F238E27FC236}">
              <a16:creationId xmlns:a16="http://schemas.microsoft.com/office/drawing/2014/main" id="{00000000-0008-0000-0400-00005B000000}"/>
            </a:ext>
          </a:extLst>
        </xdr:cNvPr>
        <xdr:cNvCxnSpPr/>
      </xdr:nvCxnSpPr>
      <xdr:spPr>
        <a:xfrm>
          <a:off x="12488545" y="11129645"/>
          <a:ext cx="1606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338089</xdr:colOff>
      <xdr:row>27</xdr:row>
      <xdr:rowOff>305294</xdr:rowOff>
    </xdr:from>
    <xdr:to>
      <xdr:col>19</xdr:col>
      <xdr:colOff>473126</xdr:colOff>
      <xdr:row>27</xdr:row>
      <xdr:rowOff>305580</xdr:rowOff>
    </xdr:to>
    <xdr:cxnSp macro="">
      <xdr:nvCxnSpPr>
        <xdr:cNvPr id="108" name="Straight Connector 20">
          <a:extLst>
            <a:ext uri="{FF2B5EF4-FFF2-40B4-BE49-F238E27FC236}">
              <a16:creationId xmlns:a16="http://schemas.microsoft.com/office/drawing/2014/main" id="{00000000-0008-0000-0400-00006C000000}"/>
            </a:ext>
          </a:extLst>
        </xdr:cNvPr>
        <xdr:cNvCxnSpPr/>
      </xdr:nvCxnSpPr>
      <xdr:spPr>
        <a:xfrm flipV="1">
          <a:off x="12621260" y="14051280"/>
          <a:ext cx="135255"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5669</xdr:colOff>
      <xdr:row>32</xdr:row>
      <xdr:rowOff>298947</xdr:rowOff>
    </xdr:from>
    <xdr:to>
      <xdr:col>19</xdr:col>
      <xdr:colOff>173140</xdr:colOff>
      <xdr:row>32</xdr:row>
      <xdr:rowOff>298947</xdr:rowOff>
    </xdr:to>
    <xdr:cxnSp macro="">
      <xdr:nvCxnSpPr>
        <xdr:cNvPr id="125" name="Straight Connector 21">
          <a:extLst>
            <a:ext uri="{FF2B5EF4-FFF2-40B4-BE49-F238E27FC236}">
              <a16:creationId xmlns:a16="http://schemas.microsoft.com/office/drawing/2014/main" id="{00000000-0008-0000-0400-00007D000000}"/>
            </a:ext>
          </a:extLst>
        </xdr:cNvPr>
        <xdr:cNvCxnSpPr/>
      </xdr:nvCxnSpPr>
      <xdr:spPr>
        <a:xfrm>
          <a:off x="12288520" y="16959580"/>
          <a:ext cx="16764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22</xdr:col>
      <xdr:colOff>102416</xdr:colOff>
      <xdr:row>63</xdr:row>
      <xdr:rowOff>184321</xdr:rowOff>
    </xdr:from>
    <xdr:to>
      <xdr:col>22</xdr:col>
      <xdr:colOff>224590</xdr:colOff>
      <xdr:row>63</xdr:row>
      <xdr:rowOff>184321</xdr:rowOff>
    </xdr:to>
    <xdr:cxnSp macro="">
      <xdr:nvCxnSpPr>
        <xdr:cNvPr id="215" name="Straight Connector 19">
          <a:extLst>
            <a:ext uri="{FF2B5EF4-FFF2-40B4-BE49-F238E27FC236}">
              <a16:creationId xmlns:a16="http://schemas.microsoft.com/office/drawing/2014/main" id="{00000000-0008-0000-0400-0000D7000000}"/>
            </a:ext>
          </a:extLst>
        </xdr:cNvPr>
        <xdr:cNvCxnSpPr/>
      </xdr:nvCxnSpPr>
      <xdr:spPr>
        <a:xfrm>
          <a:off x="14467840" y="4042791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22</xdr:col>
      <xdr:colOff>165743</xdr:colOff>
      <xdr:row>64</xdr:row>
      <xdr:rowOff>186245</xdr:rowOff>
    </xdr:from>
    <xdr:to>
      <xdr:col>22</xdr:col>
      <xdr:colOff>287917</xdr:colOff>
      <xdr:row>64</xdr:row>
      <xdr:rowOff>186245</xdr:rowOff>
    </xdr:to>
    <xdr:cxnSp macro="">
      <xdr:nvCxnSpPr>
        <xdr:cNvPr id="216" name="Straight Connector 19">
          <a:extLst>
            <a:ext uri="{FF2B5EF4-FFF2-40B4-BE49-F238E27FC236}">
              <a16:creationId xmlns:a16="http://schemas.microsoft.com/office/drawing/2014/main" id="{00000000-0008-0000-0400-0000D8000000}"/>
            </a:ext>
          </a:extLst>
        </xdr:cNvPr>
        <xdr:cNvCxnSpPr/>
      </xdr:nvCxnSpPr>
      <xdr:spPr>
        <a:xfrm>
          <a:off x="14531340" y="4079748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269040</xdr:colOff>
      <xdr:row>9</xdr:row>
      <xdr:rowOff>288818</xdr:rowOff>
    </xdr:from>
    <xdr:to>
      <xdr:col>19</xdr:col>
      <xdr:colOff>407245</xdr:colOff>
      <xdr:row>9</xdr:row>
      <xdr:rowOff>288818</xdr:rowOff>
    </xdr:to>
    <xdr:cxnSp macro="">
      <xdr:nvCxnSpPr>
        <xdr:cNvPr id="6" name="Straight Connector 32">
          <a:extLst>
            <a:ext uri="{FF2B5EF4-FFF2-40B4-BE49-F238E27FC236}">
              <a16:creationId xmlns:a16="http://schemas.microsoft.com/office/drawing/2014/main" id="{00000000-0008-0000-0400-000006000000}"/>
            </a:ext>
          </a:extLst>
        </xdr:cNvPr>
        <xdr:cNvCxnSpPr/>
      </xdr:nvCxnSpPr>
      <xdr:spPr>
        <a:xfrm>
          <a:off x="12552045" y="3519170"/>
          <a:ext cx="1384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368115</xdr:colOff>
      <xdr:row>18</xdr:row>
      <xdr:rowOff>253079</xdr:rowOff>
    </xdr:from>
    <xdr:to>
      <xdr:col>19</xdr:col>
      <xdr:colOff>470673</xdr:colOff>
      <xdr:row>18</xdr:row>
      <xdr:rowOff>253129</xdr:rowOff>
    </xdr:to>
    <xdr:cxnSp macro="">
      <xdr:nvCxnSpPr>
        <xdr:cNvPr id="80" name="Straight Connector 34">
          <a:extLst>
            <a:ext uri="{FF2B5EF4-FFF2-40B4-BE49-F238E27FC236}">
              <a16:creationId xmlns:a16="http://schemas.microsoft.com/office/drawing/2014/main" id="{00000000-0008-0000-0400-000050000000}"/>
            </a:ext>
          </a:extLst>
        </xdr:cNvPr>
        <xdr:cNvCxnSpPr/>
      </xdr:nvCxnSpPr>
      <xdr:spPr>
        <a:xfrm>
          <a:off x="12651105" y="8741410"/>
          <a:ext cx="1028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123963</xdr:colOff>
      <xdr:row>33</xdr:row>
      <xdr:rowOff>298314</xdr:rowOff>
    </xdr:from>
    <xdr:to>
      <xdr:col>19</xdr:col>
      <xdr:colOff>269185</xdr:colOff>
      <xdr:row>33</xdr:row>
      <xdr:rowOff>298314</xdr:rowOff>
    </xdr:to>
    <xdr:cxnSp macro="">
      <xdr:nvCxnSpPr>
        <xdr:cNvPr id="126" name="Straight Connector 37">
          <a:extLst>
            <a:ext uri="{FF2B5EF4-FFF2-40B4-BE49-F238E27FC236}">
              <a16:creationId xmlns:a16="http://schemas.microsoft.com/office/drawing/2014/main" id="{00000000-0008-0000-0400-00007E000000}"/>
            </a:ext>
          </a:extLst>
        </xdr:cNvPr>
        <xdr:cNvCxnSpPr/>
      </xdr:nvCxnSpPr>
      <xdr:spPr>
        <a:xfrm>
          <a:off x="12407265" y="17530445"/>
          <a:ext cx="1447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404487</xdr:colOff>
      <xdr:row>14</xdr:row>
      <xdr:rowOff>284880</xdr:rowOff>
    </xdr:from>
    <xdr:to>
      <xdr:col>19</xdr:col>
      <xdr:colOff>471773</xdr:colOff>
      <xdr:row>14</xdr:row>
      <xdr:rowOff>285762</xdr:rowOff>
    </xdr:to>
    <xdr:cxnSp macro="">
      <xdr:nvCxnSpPr>
        <xdr:cNvPr id="69" name="Straight Connector 40">
          <a:extLst>
            <a:ext uri="{FF2B5EF4-FFF2-40B4-BE49-F238E27FC236}">
              <a16:creationId xmlns:a16="http://schemas.microsoft.com/office/drawing/2014/main" id="{00000000-0008-0000-0400-000045000000}"/>
            </a:ext>
          </a:extLst>
        </xdr:cNvPr>
        <xdr:cNvCxnSpPr/>
      </xdr:nvCxnSpPr>
      <xdr:spPr>
        <a:xfrm>
          <a:off x="12687300" y="6430010"/>
          <a:ext cx="67310" cy="127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340139</xdr:colOff>
      <xdr:row>4</xdr:row>
      <xdr:rowOff>284922</xdr:rowOff>
    </xdr:from>
    <xdr:to>
      <xdr:col>19</xdr:col>
      <xdr:colOff>106680</xdr:colOff>
      <xdr:row>4</xdr:row>
      <xdr:rowOff>289560</xdr:rowOff>
    </xdr:to>
    <xdr:cxnSp macro="">
      <xdr:nvCxnSpPr>
        <xdr:cNvPr id="61" name="Straight Connector 1">
          <a:extLst>
            <a:ext uri="{FF2B5EF4-FFF2-40B4-BE49-F238E27FC236}">
              <a16:creationId xmlns:a16="http://schemas.microsoft.com/office/drawing/2014/main" id="{00000000-0008-0000-0400-00003D000000}"/>
            </a:ext>
          </a:extLst>
        </xdr:cNvPr>
        <xdr:cNvCxnSpPr/>
      </xdr:nvCxnSpPr>
      <xdr:spPr>
        <a:xfrm>
          <a:off x="11235055" y="657860"/>
          <a:ext cx="1155065"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207479</xdr:colOff>
      <xdr:row>5</xdr:row>
      <xdr:rowOff>267668</xdr:rowOff>
    </xdr:from>
    <xdr:to>
      <xdr:col>19</xdr:col>
      <xdr:colOff>50800</xdr:colOff>
      <xdr:row>5</xdr:row>
      <xdr:rowOff>279400</xdr:rowOff>
    </xdr:to>
    <xdr:cxnSp macro="">
      <xdr:nvCxnSpPr>
        <xdr:cNvPr id="63" name="Straight Connector 1">
          <a:extLst>
            <a:ext uri="{FF2B5EF4-FFF2-40B4-BE49-F238E27FC236}">
              <a16:creationId xmlns:a16="http://schemas.microsoft.com/office/drawing/2014/main" id="{00000000-0008-0000-0400-00003F000000}"/>
            </a:ext>
          </a:extLst>
        </xdr:cNvPr>
        <xdr:cNvCxnSpPr/>
      </xdr:nvCxnSpPr>
      <xdr:spPr>
        <a:xfrm>
          <a:off x="11796395" y="1212215"/>
          <a:ext cx="537845" cy="1206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419361</xdr:colOff>
      <xdr:row>10</xdr:row>
      <xdr:rowOff>275394</xdr:rowOff>
    </xdr:from>
    <xdr:to>
      <xdr:col>19</xdr:col>
      <xdr:colOff>490524</xdr:colOff>
      <xdr:row>10</xdr:row>
      <xdr:rowOff>279377</xdr:rowOff>
    </xdr:to>
    <xdr:cxnSp macro="">
      <xdr:nvCxnSpPr>
        <xdr:cNvPr id="57" name="Straight Connector 64">
          <a:extLst>
            <a:ext uri="{FF2B5EF4-FFF2-40B4-BE49-F238E27FC236}">
              <a16:creationId xmlns:a16="http://schemas.microsoft.com/office/drawing/2014/main" id="{00000000-0008-0000-0400-000039000000}"/>
            </a:ext>
          </a:extLst>
        </xdr:cNvPr>
        <xdr:cNvCxnSpPr/>
      </xdr:nvCxnSpPr>
      <xdr:spPr>
        <a:xfrm>
          <a:off x="12702540" y="4077335"/>
          <a:ext cx="7112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170430</xdr:colOff>
      <xdr:row>24</xdr:row>
      <xdr:rowOff>309217</xdr:rowOff>
    </xdr:from>
    <xdr:to>
      <xdr:col>20</xdr:col>
      <xdr:colOff>425174</xdr:colOff>
      <xdr:row>24</xdr:row>
      <xdr:rowOff>310365</xdr:rowOff>
    </xdr:to>
    <xdr:cxnSp macro="">
      <xdr:nvCxnSpPr>
        <xdr:cNvPr id="99" name="Straight Connector 19">
          <a:extLst>
            <a:ext uri="{FF2B5EF4-FFF2-40B4-BE49-F238E27FC236}">
              <a16:creationId xmlns:a16="http://schemas.microsoft.com/office/drawing/2014/main" id="{00000000-0008-0000-0400-000063000000}"/>
            </a:ext>
          </a:extLst>
        </xdr:cNvPr>
        <xdr:cNvCxnSpPr/>
      </xdr:nvCxnSpPr>
      <xdr:spPr>
        <a:xfrm flipV="1">
          <a:off x="13147675" y="12283440"/>
          <a:ext cx="25463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345730</xdr:colOff>
      <xdr:row>25</xdr:row>
      <xdr:rowOff>260353</xdr:rowOff>
    </xdr:from>
    <xdr:to>
      <xdr:col>20</xdr:col>
      <xdr:colOff>421831</xdr:colOff>
      <xdr:row>25</xdr:row>
      <xdr:rowOff>261316</xdr:rowOff>
    </xdr:to>
    <xdr:cxnSp macro="">
      <xdr:nvCxnSpPr>
        <xdr:cNvPr id="103" name="Straight Connector 19">
          <a:extLst>
            <a:ext uri="{FF2B5EF4-FFF2-40B4-BE49-F238E27FC236}">
              <a16:creationId xmlns:a16="http://schemas.microsoft.com/office/drawing/2014/main" id="{00000000-0008-0000-0400-000067000000}"/>
            </a:ext>
          </a:extLst>
        </xdr:cNvPr>
        <xdr:cNvCxnSpPr/>
      </xdr:nvCxnSpPr>
      <xdr:spPr>
        <a:xfrm flipV="1">
          <a:off x="13322935" y="12806680"/>
          <a:ext cx="7620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308080</xdr:colOff>
      <xdr:row>29</xdr:row>
      <xdr:rowOff>315602</xdr:rowOff>
    </xdr:from>
    <xdr:to>
      <xdr:col>20</xdr:col>
      <xdr:colOff>536118</xdr:colOff>
      <xdr:row>29</xdr:row>
      <xdr:rowOff>320193</xdr:rowOff>
    </xdr:to>
    <xdr:cxnSp macro="">
      <xdr:nvCxnSpPr>
        <xdr:cNvPr id="115" name="Straight Connector 19">
          <a:extLst>
            <a:ext uri="{FF2B5EF4-FFF2-40B4-BE49-F238E27FC236}">
              <a16:creationId xmlns:a16="http://schemas.microsoft.com/office/drawing/2014/main" id="{00000000-0008-0000-0400-000073000000}"/>
            </a:ext>
          </a:extLst>
        </xdr:cNvPr>
        <xdr:cNvCxnSpPr/>
      </xdr:nvCxnSpPr>
      <xdr:spPr>
        <a:xfrm>
          <a:off x="13285470" y="15205075"/>
          <a:ext cx="227965"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531911</xdr:colOff>
      <xdr:row>30</xdr:row>
      <xdr:rowOff>289210</xdr:rowOff>
    </xdr:from>
    <xdr:to>
      <xdr:col>21</xdr:col>
      <xdr:colOff>7522</xdr:colOff>
      <xdr:row>30</xdr:row>
      <xdr:rowOff>289235</xdr:rowOff>
    </xdr:to>
    <xdr:cxnSp macro="">
      <xdr:nvCxnSpPr>
        <xdr:cNvPr id="121" name="Straight Connector 19">
          <a:extLst>
            <a:ext uri="{FF2B5EF4-FFF2-40B4-BE49-F238E27FC236}">
              <a16:creationId xmlns:a16="http://schemas.microsoft.com/office/drawing/2014/main" id="{00000000-0008-0000-0400-000079000000}"/>
            </a:ext>
          </a:extLst>
        </xdr:cNvPr>
        <xdr:cNvCxnSpPr/>
      </xdr:nvCxnSpPr>
      <xdr:spPr>
        <a:xfrm flipV="1">
          <a:off x="13508990" y="15749905"/>
          <a:ext cx="1695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579035</xdr:colOff>
      <xdr:row>34</xdr:row>
      <xdr:rowOff>270987</xdr:rowOff>
    </xdr:from>
    <xdr:to>
      <xdr:col>21</xdr:col>
      <xdr:colOff>190096</xdr:colOff>
      <xdr:row>34</xdr:row>
      <xdr:rowOff>276852</xdr:rowOff>
    </xdr:to>
    <xdr:cxnSp macro="">
      <xdr:nvCxnSpPr>
        <xdr:cNvPr id="130" name="Straight Connector 19">
          <a:extLst>
            <a:ext uri="{FF2B5EF4-FFF2-40B4-BE49-F238E27FC236}">
              <a16:creationId xmlns:a16="http://schemas.microsoft.com/office/drawing/2014/main" id="{00000000-0008-0000-0400-000082000000}"/>
            </a:ext>
          </a:extLst>
        </xdr:cNvPr>
        <xdr:cNvCxnSpPr/>
      </xdr:nvCxnSpPr>
      <xdr:spPr>
        <a:xfrm flipV="1">
          <a:off x="13555980" y="18074640"/>
          <a:ext cx="305435" cy="571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148309</xdr:colOff>
      <xdr:row>35</xdr:row>
      <xdr:rowOff>278690</xdr:rowOff>
    </xdr:from>
    <xdr:to>
      <xdr:col>21</xdr:col>
      <xdr:colOff>258920</xdr:colOff>
      <xdr:row>35</xdr:row>
      <xdr:rowOff>278715</xdr:rowOff>
    </xdr:to>
    <xdr:cxnSp macro="">
      <xdr:nvCxnSpPr>
        <xdr:cNvPr id="133" name="Straight Connector 19">
          <a:extLst>
            <a:ext uri="{FF2B5EF4-FFF2-40B4-BE49-F238E27FC236}">
              <a16:creationId xmlns:a16="http://schemas.microsoft.com/office/drawing/2014/main" id="{00000000-0008-0000-0400-000085000000}"/>
            </a:ext>
          </a:extLst>
        </xdr:cNvPr>
        <xdr:cNvCxnSpPr/>
      </xdr:nvCxnSpPr>
      <xdr:spPr>
        <a:xfrm flipV="1">
          <a:off x="13819505" y="18653760"/>
          <a:ext cx="1104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160715</xdr:colOff>
      <xdr:row>39</xdr:row>
      <xdr:rowOff>303707</xdr:rowOff>
    </xdr:from>
    <xdr:to>
      <xdr:col>21</xdr:col>
      <xdr:colOff>306979</xdr:colOff>
      <xdr:row>39</xdr:row>
      <xdr:rowOff>303732</xdr:rowOff>
    </xdr:to>
    <xdr:cxnSp macro="">
      <xdr:nvCxnSpPr>
        <xdr:cNvPr id="145" name="Straight Connector 19">
          <a:extLst>
            <a:ext uri="{FF2B5EF4-FFF2-40B4-BE49-F238E27FC236}">
              <a16:creationId xmlns:a16="http://schemas.microsoft.com/office/drawing/2014/main" id="{00000000-0008-0000-0400-000091000000}"/>
            </a:ext>
          </a:extLst>
        </xdr:cNvPr>
        <xdr:cNvCxnSpPr/>
      </xdr:nvCxnSpPr>
      <xdr:spPr>
        <a:xfrm flipV="1">
          <a:off x="13832205" y="21022310"/>
          <a:ext cx="1460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300515</xdr:colOff>
      <xdr:row>40</xdr:row>
      <xdr:rowOff>252647</xdr:rowOff>
    </xdr:from>
    <xdr:to>
      <xdr:col>21</xdr:col>
      <xdr:colOff>392268</xdr:colOff>
      <xdr:row>40</xdr:row>
      <xdr:rowOff>253646</xdr:rowOff>
    </xdr:to>
    <xdr:cxnSp macro="">
      <xdr:nvCxnSpPr>
        <xdr:cNvPr id="149" name="Straight Connector 19">
          <a:extLst>
            <a:ext uri="{FF2B5EF4-FFF2-40B4-BE49-F238E27FC236}">
              <a16:creationId xmlns:a16="http://schemas.microsoft.com/office/drawing/2014/main" id="{00000000-0008-0000-0400-000095000000}"/>
            </a:ext>
          </a:extLst>
        </xdr:cNvPr>
        <xdr:cNvCxnSpPr/>
      </xdr:nvCxnSpPr>
      <xdr:spPr>
        <a:xfrm flipV="1">
          <a:off x="13971905" y="21542375"/>
          <a:ext cx="9144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256284</xdr:colOff>
      <xdr:row>42</xdr:row>
      <xdr:rowOff>320873</xdr:rowOff>
    </xdr:from>
    <xdr:to>
      <xdr:col>20</xdr:col>
      <xdr:colOff>531091</xdr:colOff>
      <xdr:row>42</xdr:row>
      <xdr:rowOff>323273</xdr:rowOff>
    </xdr:to>
    <xdr:cxnSp macro="">
      <xdr:nvCxnSpPr>
        <xdr:cNvPr id="166" name="Straight Connector 19">
          <a:extLst>
            <a:ext uri="{FF2B5EF4-FFF2-40B4-BE49-F238E27FC236}">
              <a16:creationId xmlns:a16="http://schemas.microsoft.com/office/drawing/2014/main" id="{00000000-0008-0000-0400-0000A6000000}"/>
            </a:ext>
          </a:extLst>
        </xdr:cNvPr>
        <xdr:cNvCxnSpPr/>
      </xdr:nvCxnSpPr>
      <xdr:spPr>
        <a:xfrm>
          <a:off x="13233400" y="22811105"/>
          <a:ext cx="27495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283944</xdr:colOff>
      <xdr:row>44</xdr:row>
      <xdr:rowOff>294269</xdr:rowOff>
    </xdr:from>
    <xdr:to>
      <xdr:col>21</xdr:col>
      <xdr:colOff>575730</xdr:colOff>
      <xdr:row>44</xdr:row>
      <xdr:rowOff>300182</xdr:rowOff>
    </xdr:to>
    <xdr:cxnSp macro="">
      <xdr:nvCxnSpPr>
        <xdr:cNvPr id="169" name="Straight Connector 19">
          <a:extLst>
            <a:ext uri="{FF2B5EF4-FFF2-40B4-BE49-F238E27FC236}">
              <a16:creationId xmlns:a16="http://schemas.microsoft.com/office/drawing/2014/main" id="{00000000-0008-0000-0400-0000A9000000}"/>
            </a:ext>
          </a:extLst>
        </xdr:cNvPr>
        <xdr:cNvCxnSpPr/>
      </xdr:nvCxnSpPr>
      <xdr:spPr>
        <a:xfrm>
          <a:off x="13955395" y="23927435"/>
          <a:ext cx="291465" cy="571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498120</xdr:colOff>
      <xdr:row>45</xdr:row>
      <xdr:rowOff>244203</xdr:rowOff>
    </xdr:from>
    <xdr:to>
      <xdr:col>21</xdr:col>
      <xdr:colOff>587496</xdr:colOff>
      <xdr:row>45</xdr:row>
      <xdr:rowOff>247336</xdr:rowOff>
    </xdr:to>
    <xdr:cxnSp macro="">
      <xdr:nvCxnSpPr>
        <xdr:cNvPr id="176" name="Straight Connector 19">
          <a:extLst>
            <a:ext uri="{FF2B5EF4-FFF2-40B4-BE49-F238E27FC236}">
              <a16:creationId xmlns:a16="http://schemas.microsoft.com/office/drawing/2014/main" id="{00000000-0008-0000-0400-0000B0000000}"/>
            </a:ext>
          </a:extLst>
        </xdr:cNvPr>
        <xdr:cNvCxnSpPr/>
      </xdr:nvCxnSpPr>
      <xdr:spPr>
        <a:xfrm flipV="1">
          <a:off x="14169390" y="24448770"/>
          <a:ext cx="8953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424927</xdr:colOff>
      <xdr:row>47</xdr:row>
      <xdr:rowOff>267696</xdr:rowOff>
    </xdr:from>
    <xdr:to>
      <xdr:col>20</xdr:col>
      <xdr:colOff>602353</xdr:colOff>
      <xdr:row>47</xdr:row>
      <xdr:rowOff>270809</xdr:rowOff>
    </xdr:to>
    <xdr:cxnSp macro="">
      <xdr:nvCxnSpPr>
        <xdr:cNvPr id="181" name="Straight Connector 19">
          <a:extLst>
            <a:ext uri="{FF2B5EF4-FFF2-40B4-BE49-F238E27FC236}">
              <a16:creationId xmlns:a16="http://schemas.microsoft.com/office/drawing/2014/main" id="{00000000-0008-0000-0400-0000B5000000}"/>
            </a:ext>
          </a:extLst>
        </xdr:cNvPr>
        <xdr:cNvCxnSpPr/>
      </xdr:nvCxnSpPr>
      <xdr:spPr>
        <a:xfrm flipV="1">
          <a:off x="13402310" y="25672415"/>
          <a:ext cx="17716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1773</xdr:colOff>
      <xdr:row>48</xdr:row>
      <xdr:rowOff>271824</xdr:rowOff>
    </xdr:from>
    <xdr:to>
      <xdr:col>21</xdr:col>
      <xdr:colOff>198000</xdr:colOff>
      <xdr:row>48</xdr:row>
      <xdr:rowOff>275061</xdr:rowOff>
    </xdr:to>
    <xdr:cxnSp macro="">
      <xdr:nvCxnSpPr>
        <xdr:cNvPr id="183" name="Straight Connector 19">
          <a:extLst>
            <a:ext uri="{FF2B5EF4-FFF2-40B4-BE49-F238E27FC236}">
              <a16:creationId xmlns:a16="http://schemas.microsoft.com/office/drawing/2014/main" id="{00000000-0008-0000-0400-0000B7000000}"/>
            </a:ext>
          </a:extLst>
        </xdr:cNvPr>
        <xdr:cNvCxnSpPr/>
      </xdr:nvCxnSpPr>
      <xdr:spPr>
        <a:xfrm>
          <a:off x="13672820" y="26248360"/>
          <a:ext cx="19621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558623</xdr:colOff>
      <xdr:row>49</xdr:row>
      <xdr:rowOff>289486</xdr:rowOff>
    </xdr:from>
    <xdr:to>
      <xdr:col>22</xdr:col>
      <xdr:colOff>126076</xdr:colOff>
      <xdr:row>49</xdr:row>
      <xdr:rowOff>292723</xdr:rowOff>
    </xdr:to>
    <xdr:cxnSp macro="">
      <xdr:nvCxnSpPr>
        <xdr:cNvPr id="185" name="Straight Connector 19">
          <a:extLst>
            <a:ext uri="{FF2B5EF4-FFF2-40B4-BE49-F238E27FC236}">
              <a16:creationId xmlns:a16="http://schemas.microsoft.com/office/drawing/2014/main" id="{00000000-0008-0000-0400-0000B9000000}"/>
            </a:ext>
          </a:extLst>
        </xdr:cNvPr>
        <xdr:cNvCxnSpPr/>
      </xdr:nvCxnSpPr>
      <xdr:spPr>
        <a:xfrm>
          <a:off x="14229715" y="26837005"/>
          <a:ext cx="26162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22</xdr:col>
      <xdr:colOff>106213</xdr:colOff>
      <xdr:row>50</xdr:row>
      <xdr:rowOff>280147</xdr:rowOff>
    </xdr:from>
    <xdr:to>
      <xdr:col>22</xdr:col>
      <xdr:colOff>195589</xdr:colOff>
      <xdr:row>50</xdr:row>
      <xdr:rowOff>283280</xdr:rowOff>
    </xdr:to>
    <xdr:cxnSp macro="">
      <xdr:nvCxnSpPr>
        <xdr:cNvPr id="187" name="Straight Connector 19">
          <a:extLst>
            <a:ext uri="{FF2B5EF4-FFF2-40B4-BE49-F238E27FC236}">
              <a16:creationId xmlns:a16="http://schemas.microsoft.com/office/drawing/2014/main" id="{00000000-0008-0000-0400-0000BB000000}"/>
            </a:ext>
          </a:extLst>
        </xdr:cNvPr>
        <xdr:cNvCxnSpPr/>
      </xdr:nvCxnSpPr>
      <xdr:spPr>
        <a:xfrm flipV="1">
          <a:off x="14471650" y="27399615"/>
          <a:ext cx="8953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602506</xdr:colOff>
      <xdr:row>52</xdr:row>
      <xdr:rowOff>329820</xdr:rowOff>
    </xdr:from>
    <xdr:to>
      <xdr:col>21</xdr:col>
      <xdr:colOff>175529</xdr:colOff>
      <xdr:row>52</xdr:row>
      <xdr:rowOff>330406</xdr:rowOff>
    </xdr:to>
    <xdr:cxnSp macro="">
      <xdr:nvCxnSpPr>
        <xdr:cNvPr id="194" name="Straight Connector 19">
          <a:extLst>
            <a:ext uri="{FF2B5EF4-FFF2-40B4-BE49-F238E27FC236}">
              <a16:creationId xmlns:a16="http://schemas.microsoft.com/office/drawing/2014/main" id="{00000000-0008-0000-0400-0000C2000000}"/>
            </a:ext>
          </a:extLst>
        </xdr:cNvPr>
        <xdr:cNvCxnSpPr/>
      </xdr:nvCxnSpPr>
      <xdr:spPr>
        <a:xfrm>
          <a:off x="13579475" y="28649295"/>
          <a:ext cx="26733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174189</xdr:colOff>
      <xdr:row>53</xdr:row>
      <xdr:rowOff>266661</xdr:rowOff>
    </xdr:from>
    <xdr:to>
      <xdr:col>21</xdr:col>
      <xdr:colOff>314262</xdr:colOff>
      <xdr:row>53</xdr:row>
      <xdr:rowOff>269794</xdr:rowOff>
    </xdr:to>
    <xdr:cxnSp macro="">
      <xdr:nvCxnSpPr>
        <xdr:cNvPr id="201" name="Straight Connector 19">
          <a:extLst>
            <a:ext uri="{FF2B5EF4-FFF2-40B4-BE49-F238E27FC236}">
              <a16:creationId xmlns:a16="http://schemas.microsoft.com/office/drawing/2014/main" id="{00000000-0008-0000-0400-0000C9000000}"/>
            </a:ext>
          </a:extLst>
        </xdr:cNvPr>
        <xdr:cNvCxnSpPr/>
      </xdr:nvCxnSpPr>
      <xdr:spPr>
        <a:xfrm flipV="1">
          <a:off x="13845540" y="29157295"/>
          <a:ext cx="13970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22</xdr:col>
      <xdr:colOff>167004</xdr:colOff>
      <xdr:row>54</xdr:row>
      <xdr:rowOff>290396</xdr:rowOff>
    </xdr:from>
    <xdr:to>
      <xdr:col>22</xdr:col>
      <xdr:colOff>371708</xdr:colOff>
      <xdr:row>54</xdr:row>
      <xdr:rowOff>294268</xdr:rowOff>
    </xdr:to>
    <xdr:cxnSp macro="">
      <xdr:nvCxnSpPr>
        <xdr:cNvPr id="204" name="Straight Connector 19">
          <a:extLst>
            <a:ext uri="{FF2B5EF4-FFF2-40B4-BE49-F238E27FC236}">
              <a16:creationId xmlns:a16="http://schemas.microsoft.com/office/drawing/2014/main" id="{00000000-0008-0000-0400-0000CC000000}"/>
            </a:ext>
          </a:extLst>
        </xdr:cNvPr>
        <xdr:cNvCxnSpPr/>
      </xdr:nvCxnSpPr>
      <xdr:spPr>
        <a:xfrm>
          <a:off x="14531975" y="29752925"/>
          <a:ext cx="205105"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22</xdr:col>
      <xdr:colOff>385450</xdr:colOff>
      <xdr:row>55</xdr:row>
      <xdr:rowOff>246797</xdr:rowOff>
    </xdr:from>
    <xdr:to>
      <xdr:col>22</xdr:col>
      <xdr:colOff>484808</xdr:colOff>
      <xdr:row>55</xdr:row>
      <xdr:rowOff>247046</xdr:rowOff>
    </xdr:to>
    <xdr:cxnSp macro="">
      <xdr:nvCxnSpPr>
        <xdr:cNvPr id="203" name="Straight Connector 19">
          <a:extLst>
            <a:ext uri="{FF2B5EF4-FFF2-40B4-BE49-F238E27FC236}">
              <a16:creationId xmlns:a16="http://schemas.microsoft.com/office/drawing/2014/main" id="{00000000-0008-0000-0400-0000CB000000}"/>
            </a:ext>
          </a:extLst>
        </xdr:cNvPr>
        <xdr:cNvCxnSpPr/>
      </xdr:nvCxnSpPr>
      <xdr:spPr>
        <a:xfrm flipV="1">
          <a:off x="14751050" y="30280610"/>
          <a:ext cx="9906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22</xdr:col>
      <xdr:colOff>230054</xdr:colOff>
      <xdr:row>65</xdr:row>
      <xdr:rowOff>163331</xdr:rowOff>
    </xdr:from>
    <xdr:to>
      <xdr:col>22</xdr:col>
      <xdr:colOff>304636</xdr:colOff>
      <xdr:row>65</xdr:row>
      <xdr:rowOff>169681</xdr:rowOff>
    </xdr:to>
    <xdr:cxnSp macro="">
      <xdr:nvCxnSpPr>
        <xdr:cNvPr id="230" name="Straight Connector 19">
          <a:extLst>
            <a:ext uri="{FF2B5EF4-FFF2-40B4-BE49-F238E27FC236}">
              <a16:creationId xmlns:a16="http://schemas.microsoft.com/office/drawing/2014/main" id="{00000000-0008-0000-0400-0000E6000000}"/>
            </a:ext>
          </a:extLst>
        </xdr:cNvPr>
        <xdr:cNvCxnSpPr/>
      </xdr:nvCxnSpPr>
      <xdr:spPr>
        <a:xfrm flipV="1">
          <a:off x="14595475" y="41142285"/>
          <a:ext cx="74295" cy="635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22</xdr:col>
      <xdr:colOff>285100</xdr:colOff>
      <xdr:row>66</xdr:row>
      <xdr:rowOff>211815</xdr:rowOff>
    </xdr:from>
    <xdr:to>
      <xdr:col>22</xdr:col>
      <xdr:colOff>325317</xdr:colOff>
      <xdr:row>66</xdr:row>
      <xdr:rowOff>212064</xdr:rowOff>
    </xdr:to>
    <xdr:cxnSp macro="">
      <xdr:nvCxnSpPr>
        <xdr:cNvPr id="232" name="Straight Connector 19">
          <a:extLst>
            <a:ext uri="{FF2B5EF4-FFF2-40B4-BE49-F238E27FC236}">
              <a16:creationId xmlns:a16="http://schemas.microsoft.com/office/drawing/2014/main" id="{00000000-0008-0000-0400-0000E8000000}"/>
            </a:ext>
          </a:extLst>
        </xdr:cNvPr>
        <xdr:cNvCxnSpPr/>
      </xdr:nvCxnSpPr>
      <xdr:spPr>
        <a:xfrm flipV="1">
          <a:off x="14650085" y="41558210"/>
          <a:ext cx="406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22</xdr:col>
      <xdr:colOff>310867</xdr:colOff>
      <xdr:row>67</xdr:row>
      <xdr:rowOff>188322</xdr:rowOff>
    </xdr:from>
    <xdr:to>
      <xdr:col>22</xdr:col>
      <xdr:colOff>340349</xdr:colOff>
      <xdr:row>67</xdr:row>
      <xdr:rowOff>190590</xdr:rowOff>
    </xdr:to>
    <xdr:cxnSp macro="">
      <xdr:nvCxnSpPr>
        <xdr:cNvPr id="235" name="Straight Connector 19">
          <a:extLst>
            <a:ext uri="{FF2B5EF4-FFF2-40B4-BE49-F238E27FC236}">
              <a16:creationId xmlns:a16="http://schemas.microsoft.com/office/drawing/2014/main" id="{00000000-0008-0000-0400-0000EB000000}"/>
            </a:ext>
          </a:extLst>
        </xdr:cNvPr>
        <xdr:cNvCxnSpPr/>
      </xdr:nvCxnSpPr>
      <xdr:spPr>
        <a:xfrm>
          <a:off x="14676120" y="41902380"/>
          <a:ext cx="2921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273963</xdr:colOff>
      <xdr:row>61</xdr:row>
      <xdr:rowOff>0</xdr:rowOff>
    </xdr:from>
    <xdr:to>
      <xdr:col>19</xdr:col>
      <xdr:colOff>468820</xdr:colOff>
      <xdr:row>64</xdr:row>
      <xdr:rowOff>140805</xdr:rowOff>
    </xdr:to>
    <xdr:sp macro="" textlink="">
      <xdr:nvSpPr>
        <xdr:cNvPr id="5" name="TextBox 13">
          <a:extLst>
            <a:ext uri="{FF2B5EF4-FFF2-40B4-BE49-F238E27FC236}">
              <a16:creationId xmlns:a16="http://schemas.microsoft.com/office/drawing/2014/main" id="{00000000-0008-0000-0400-000005000000}"/>
            </a:ext>
          </a:extLst>
        </xdr:cNvPr>
        <xdr:cNvSpPr txBox="1"/>
      </xdr:nvSpPr>
      <xdr:spPr>
        <a:xfrm rot="16200000">
          <a:off x="9051925" y="37051615"/>
          <a:ext cx="720534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19</xdr:col>
      <xdr:colOff>252946</xdr:colOff>
      <xdr:row>67</xdr:row>
      <xdr:rowOff>127889</xdr:rowOff>
    </xdr:from>
    <xdr:to>
      <xdr:col>19</xdr:col>
      <xdr:colOff>447803</xdr:colOff>
      <xdr:row>82</xdr:row>
      <xdr:rowOff>252129</xdr:rowOff>
    </xdr:to>
    <xdr:sp macro="" textlink="">
      <xdr:nvSpPr>
        <xdr:cNvPr id="16" name="TextBox 13">
          <a:extLst>
            <a:ext uri="{FF2B5EF4-FFF2-40B4-BE49-F238E27FC236}">
              <a16:creationId xmlns:a16="http://schemas.microsoft.com/office/drawing/2014/main" id="{00000000-0008-0000-0400-000010000000}"/>
            </a:ext>
          </a:extLst>
        </xdr:cNvPr>
        <xdr:cNvSpPr txBox="1"/>
      </xdr:nvSpPr>
      <xdr:spPr>
        <a:xfrm rot="16200000">
          <a:off x="10375900" y="44002325"/>
          <a:ext cx="451548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19</xdr:col>
      <xdr:colOff>0</xdr:colOff>
      <xdr:row>6</xdr:row>
      <xdr:rowOff>274320</xdr:rowOff>
    </xdr:from>
    <xdr:to>
      <xdr:col>19</xdr:col>
      <xdr:colOff>375920</xdr:colOff>
      <xdr:row>6</xdr:row>
      <xdr:rowOff>279400</xdr:rowOff>
    </xdr:to>
    <xdr:cxnSp macro="">
      <xdr:nvCxnSpPr>
        <xdr:cNvPr id="21" name="Straight Connector 1">
          <a:extLst>
            <a:ext uri="{FF2B5EF4-FFF2-40B4-BE49-F238E27FC236}">
              <a16:creationId xmlns:a16="http://schemas.microsoft.com/office/drawing/2014/main" id="{00000000-0008-0000-0400-000015000000}"/>
            </a:ext>
          </a:extLst>
        </xdr:cNvPr>
        <xdr:cNvCxnSpPr/>
      </xdr:nvCxnSpPr>
      <xdr:spPr>
        <a:xfrm>
          <a:off x="12283440" y="1790700"/>
          <a:ext cx="375920"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86360</xdr:colOff>
      <xdr:row>7</xdr:row>
      <xdr:rowOff>279400</xdr:rowOff>
    </xdr:from>
    <xdr:to>
      <xdr:col>19</xdr:col>
      <xdr:colOff>304800</xdr:colOff>
      <xdr:row>7</xdr:row>
      <xdr:rowOff>284480</xdr:rowOff>
    </xdr:to>
    <xdr:cxnSp macro="">
      <xdr:nvCxnSpPr>
        <xdr:cNvPr id="23" name="Straight Connector 1">
          <a:extLst>
            <a:ext uri="{FF2B5EF4-FFF2-40B4-BE49-F238E27FC236}">
              <a16:creationId xmlns:a16="http://schemas.microsoft.com/office/drawing/2014/main" id="{00000000-0008-0000-0400-000017000000}"/>
            </a:ext>
          </a:extLst>
        </xdr:cNvPr>
        <xdr:cNvCxnSpPr/>
      </xdr:nvCxnSpPr>
      <xdr:spPr>
        <a:xfrm flipV="1">
          <a:off x="12369800" y="2367280"/>
          <a:ext cx="218440"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604520</xdr:colOff>
      <xdr:row>8</xdr:row>
      <xdr:rowOff>304800</xdr:rowOff>
    </xdr:from>
    <xdr:to>
      <xdr:col>19</xdr:col>
      <xdr:colOff>187960</xdr:colOff>
      <xdr:row>8</xdr:row>
      <xdr:rowOff>314960</xdr:rowOff>
    </xdr:to>
    <xdr:cxnSp macro="">
      <xdr:nvCxnSpPr>
        <xdr:cNvPr id="25" name="Straight Connector 1">
          <a:extLst>
            <a:ext uri="{FF2B5EF4-FFF2-40B4-BE49-F238E27FC236}">
              <a16:creationId xmlns:a16="http://schemas.microsoft.com/office/drawing/2014/main" id="{00000000-0008-0000-0400-000019000000}"/>
            </a:ext>
          </a:extLst>
        </xdr:cNvPr>
        <xdr:cNvCxnSpPr/>
      </xdr:nvCxnSpPr>
      <xdr:spPr>
        <a:xfrm>
          <a:off x="11499850" y="2964180"/>
          <a:ext cx="971550" cy="1016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472440</xdr:colOff>
      <xdr:row>10</xdr:row>
      <xdr:rowOff>274320</xdr:rowOff>
    </xdr:from>
    <xdr:to>
      <xdr:col>19</xdr:col>
      <xdr:colOff>594614</xdr:colOff>
      <xdr:row>10</xdr:row>
      <xdr:rowOff>274320</xdr:rowOff>
    </xdr:to>
    <xdr:cxnSp macro="">
      <xdr:nvCxnSpPr>
        <xdr:cNvPr id="28" name="Straight Connector 19">
          <a:extLst>
            <a:ext uri="{FF2B5EF4-FFF2-40B4-BE49-F238E27FC236}">
              <a16:creationId xmlns:a16="http://schemas.microsoft.com/office/drawing/2014/main" id="{00000000-0008-0000-0400-00001C000000}"/>
            </a:ext>
          </a:extLst>
        </xdr:cNvPr>
        <xdr:cNvCxnSpPr/>
      </xdr:nvCxnSpPr>
      <xdr:spPr>
        <a:xfrm>
          <a:off x="12755880" y="407670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259291</xdr:colOff>
      <xdr:row>13</xdr:row>
      <xdr:rowOff>317500</xdr:rowOff>
    </xdr:from>
    <xdr:to>
      <xdr:col>19</xdr:col>
      <xdr:colOff>369875</xdr:colOff>
      <xdr:row>13</xdr:row>
      <xdr:rowOff>319539</xdr:rowOff>
    </xdr:to>
    <xdr:cxnSp macro="">
      <xdr:nvCxnSpPr>
        <xdr:cNvPr id="33" name="Straight Connector 17">
          <a:extLst>
            <a:ext uri="{FF2B5EF4-FFF2-40B4-BE49-F238E27FC236}">
              <a16:creationId xmlns:a16="http://schemas.microsoft.com/office/drawing/2014/main" id="{00000000-0008-0000-0400-000021000000}"/>
            </a:ext>
          </a:extLst>
        </xdr:cNvPr>
        <xdr:cNvCxnSpPr/>
      </xdr:nvCxnSpPr>
      <xdr:spPr>
        <a:xfrm>
          <a:off x="12542520" y="5891530"/>
          <a:ext cx="110490"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492532</xdr:colOff>
      <xdr:row>14</xdr:row>
      <xdr:rowOff>284935</xdr:rowOff>
    </xdr:from>
    <xdr:to>
      <xdr:col>19</xdr:col>
      <xdr:colOff>556504</xdr:colOff>
      <xdr:row>14</xdr:row>
      <xdr:rowOff>285378</xdr:rowOff>
    </xdr:to>
    <xdr:cxnSp macro="">
      <xdr:nvCxnSpPr>
        <xdr:cNvPr id="36" name="Straight Connector 19">
          <a:extLst>
            <a:ext uri="{FF2B5EF4-FFF2-40B4-BE49-F238E27FC236}">
              <a16:creationId xmlns:a16="http://schemas.microsoft.com/office/drawing/2014/main" id="{00000000-0008-0000-0400-000024000000}"/>
            </a:ext>
          </a:extLst>
        </xdr:cNvPr>
        <xdr:cNvCxnSpPr/>
      </xdr:nvCxnSpPr>
      <xdr:spPr>
        <a:xfrm flipV="1">
          <a:off x="12775565" y="6430010"/>
          <a:ext cx="6413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588911</xdr:colOff>
      <xdr:row>15</xdr:row>
      <xdr:rowOff>246250</xdr:rowOff>
    </xdr:from>
    <xdr:to>
      <xdr:col>20</xdr:col>
      <xdr:colOff>103822</xdr:colOff>
      <xdr:row>15</xdr:row>
      <xdr:rowOff>246274</xdr:rowOff>
    </xdr:to>
    <xdr:cxnSp macro="">
      <xdr:nvCxnSpPr>
        <xdr:cNvPr id="37" name="Straight Connector 19">
          <a:extLst>
            <a:ext uri="{FF2B5EF4-FFF2-40B4-BE49-F238E27FC236}">
              <a16:creationId xmlns:a16="http://schemas.microsoft.com/office/drawing/2014/main" id="{00000000-0008-0000-0400-000025000000}"/>
            </a:ext>
          </a:extLst>
        </xdr:cNvPr>
        <xdr:cNvCxnSpPr/>
      </xdr:nvCxnSpPr>
      <xdr:spPr>
        <a:xfrm>
          <a:off x="12872085" y="6962775"/>
          <a:ext cx="2089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474820</xdr:colOff>
      <xdr:row>18</xdr:row>
      <xdr:rowOff>251711</xdr:rowOff>
    </xdr:from>
    <xdr:to>
      <xdr:col>19</xdr:col>
      <xdr:colOff>577793</xdr:colOff>
      <xdr:row>18</xdr:row>
      <xdr:rowOff>251712</xdr:rowOff>
    </xdr:to>
    <xdr:cxnSp macro="">
      <xdr:nvCxnSpPr>
        <xdr:cNvPr id="46" name="Straight Connector 19">
          <a:extLst>
            <a:ext uri="{FF2B5EF4-FFF2-40B4-BE49-F238E27FC236}">
              <a16:creationId xmlns:a16="http://schemas.microsoft.com/office/drawing/2014/main" id="{00000000-0008-0000-0400-00002E000000}"/>
            </a:ext>
          </a:extLst>
        </xdr:cNvPr>
        <xdr:cNvCxnSpPr/>
      </xdr:nvCxnSpPr>
      <xdr:spPr>
        <a:xfrm>
          <a:off x="12757785" y="8740140"/>
          <a:ext cx="1028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600676</xdr:colOff>
      <xdr:row>19</xdr:row>
      <xdr:rowOff>302054</xdr:rowOff>
    </xdr:from>
    <xdr:to>
      <xdr:col>20</xdr:col>
      <xdr:colOff>195648</xdr:colOff>
      <xdr:row>19</xdr:row>
      <xdr:rowOff>305486</xdr:rowOff>
    </xdr:to>
    <xdr:cxnSp macro="">
      <xdr:nvCxnSpPr>
        <xdr:cNvPr id="49" name="Straight Connector 19">
          <a:extLst>
            <a:ext uri="{FF2B5EF4-FFF2-40B4-BE49-F238E27FC236}">
              <a16:creationId xmlns:a16="http://schemas.microsoft.com/office/drawing/2014/main" id="{00000000-0008-0000-0400-000031000000}"/>
            </a:ext>
          </a:extLst>
        </xdr:cNvPr>
        <xdr:cNvCxnSpPr/>
      </xdr:nvCxnSpPr>
      <xdr:spPr>
        <a:xfrm flipV="1">
          <a:off x="12883515" y="9361805"/>
          <a:ext cx="28956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188784</xdr:colOff>
      <xdr:row>20</xdr:row>
      <xdr:rowOff>260865</xdr:rowOff>
    </xdr:from>
    <xdr:to>
      <xdr:col>20</xdr:col>
      <xdr:colOff>281459</xdr:colOff>
      <xdr:row>20</xdr:row>
      <xdr:rowOff>264299</xdr:rowOff>
    </xdr:to>
    <xdr:cxnSp macro="">
      <xdr:nvCxnSpPr>
        <xdr:cNvPr id="51" name="Straight Connector 19">
          <a:extLst>
            <a:ext uri="{FF2B5EF4-FFF2-40B4-BE49-F238E27FC236}">
              <a16:creationId xmlns:a16="http://schemas.microsoft.com/office/drawing/2014/main" id="{00000000-0008-0000-0400-000033000000}"/>
            </a:ext>
          </a:extLst>
        </xdr:cNvPr>
        <xdr:cNvCxnSpPr/>
      </xdr:nvCxnSpPr>
      <xdr:spPr>
        <a:xfrm>
          <a:off x="13166090" y="9892030"/>
          <a:ext cx="9271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568739</xdr:colOff>
      <xdr:row>23</xdr:row>
      <xdr:rowOff>309217</xdr:rowOff>
    </xdr:from>
    <xdr:to>
      <xdr:col>20</xdr:col>
      <xdr:colOff>55913</xdr:colOff>
      <xdr:row>23</xdr:row>
      <xdr:rowOff>309217</xdr:rowOff>
    </xdr:to>
    <xdr:cxnSp macro="">
      <xdr:nvCxnSpPr>
        <xdr:cNvPr id="55" name="Straight Connector 19">
          <a:extLst>
            <a:ext uri="{FF2B5EF4-FFF2-40B4-BE49-F238E27FC236}">
              <a16:creationId xmlns:a16="http://schemas.microsoft.com/office/drawing/2014/main" id="{00000000-0008-0000-0400-000037000000}"/>
            </a:ext>
          </a:extLst>
        </xdr:cNvPr>
        <xdr:cNvCxnSpPr/>
      </xdr:nvCxnSpPr>
      <xdr:spPr>
        <a:xfrm>
          <a:off x="12851765" y="11711940"/>
          <a:ext cx="1816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489479</xdr:colOff>
      <xdr:row>27</xdr:row>
      <xdr:rowOff>300963</xdr:rowOff>
    </xdr:from>
    <xdr:to>
      <xdr:col>19</xdr:col>
      <xdr:colOff>581025</xdr:colOff>
      <xdr:row>27</xdr:row>
      <xdr:rowOff>301625</xdr:rowOff>
    </xdr:to>
    <xdr:cxnSp macro="">
      <xdr:nvCxnSpPr>
        <xdr:cNvPr id="66" name="Straight Connector 19">
          <a:extLst>
            <a:ext uri="{FF2B5EF4-FFF2-40B4-BE49-F238E27FC236}">
              <a16:creationId xmlns:a16="http://schemas.microsoft.com/office/drawing/2014/main" id="{00000000-0008-0000-0400-000042000000}"/>
            </a:ext>
          </a:extLst>
        </xdr:cNvPr>
        <xdr:cNvCxnSpPr/>
      </xdr:nvCxnSpPr>
      <xdr:spPr>
        <a:xfrm>
          <a:off x="12772390" y="14046835"/>
          <a:ext cx="9207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57489</xdr:colOff>
      <xdr:row>28</xdr:row>
      <xdr:rowOff>282222</xdr:rowOff>
    </xdr:from>
    <xdr:to>
      <xdr:col>20</xdr:col>
      <xdr:colOff>216893</xdr:colOff>
      <xdr:row>28</xdr:row>
      <xdr:rowOff>282222</xdr:rowOff>
    </xdr:to>
    <xdr:cxnSp macro="">
      <xdr:nvCxnSpPr>
        <xdr:cNvPr id="70" name="Straight Connector 19">
          <a:extLst>
            <a:ext uri="{FF2B5EF4-FFF2-40B4-BE49-F238E27FC236}">
              <a16:creationId xmlns:a16="http://schemas.microsoft.com/office/drawing/2014/main" id="{00000000-0008-0000-0400-000046000000}"/>
            </a:ext>
          </a:extLst>
        </xdr:cNvPr>
        <xdr:cNvCxnSpPr/>
      </xdr:nvCxnSpPr>
      <xdr:spPr>
        <a:xfrm>
          <a:off x="13034645" y="14599920"/>
          <a:ext cx="1593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578376</xdr:colOff>
      <xdr:row>32</xdr:row>
      <xdr:rowOff>270988</xdr:rowOff>
    </xdr:from>
    <xdr:to>
      <xdr:col>20</xdr:col>
      <xdr:colOff>157739</xdr:colOff>
      <xdr:row>32</xdr:row>
      <xdr:rowOff>275057</xdr:rowOff>
    </xdr:to>
    <xdr:cxnSp macro="">
      <xdr:nvCxnSpPr>
        <xdr:cNvPr id="72" name="Straight Connector 19">
          <a:extLst>
            <a:ext uri="{FF2B5EF4-FFF2-40B4-BE49-F238E27FC236}">
              <a16:creationId xmlns:a16="http://schemas.microsoft.com/office/drawing/2014/main" id="{00000000-0008-0000-0400-000048000000}"/>
            </a:ext>
          </a:extLst>
        </xdr:cNvPr>
        <xdr:cNvCxnSpPr/>
      </xdr:nvCxnSpPr>
      <xdr:spPr>
        <a:xfrm flipV="1">
          <a:off x="12861290" y="16931640"/>
          <a:ext cx="273685"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93025</xdr:colOff>
      <xdr:row>33</xdr:row>
      <xdr:rowOff>275032</xdr:rowOff>
    </xdr:from>
    <xdr:to>
      <xdr:col>20</xdr:col>
      <xdr:colOff>307388</xdr:colOff>
      <xdr:row>33</xdr:row>
      <xdr:rowOff>279101</xdr:rowOff>
    </xdr:to>
    <xdr:cxnSp macro="">
      <xdr:nvCxnSpPr>
        <xdr:cNvPr id="74" name="Straight Connector 19">
          <a:extLst>
            <a:ext uri="{FF2B5EF4-FFF2-40B4-BE49-F238E27FC236}">
              <a16:creationId xmlns:a16="http://schemas.microsoft.com/office/drawing/2014/main" id="{00000000-0008-0000-0400-00004A000000}"/>
            </a:ext>
          </a:extLst>
        </xdr:cNvPr>
        <xdr:cNvCxnSpPr/>
      </xdr:nvCxnSpPr>
      <xdr:spPr>
        <a:xfrm flipV="1">
          <a:off x="13070205" y="17507585"/>
          <a:ext cx="21463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153694</xdr:colOff>
      <xdr:row>37</xdr:row>
      <xdr:rowOff>339745</xdr:rowOff>
    </xdr:from>
    <xdr:to>
      <xdr:col>20</xdr:col>
      <xdr:colOff>299958</xdr:colOff>
      <xdr:row>37</xdr:row>
      <xdr:rowOff>339770</xdr:rowOff>
    </xdr:to>
    <xdr:cxnSp macro="">
      <xdr:nvCxnSpPr>
        <xdr:cNvPr id="77" name="Straight Connector 19">
          <a:extLst>
            <a:ext uri="{FF2B5EF4-FFF2-40B4-BE49-F238E27FC236}">
              <a16:creationId xmlns:a16="http://schemas.microsoft.com/office/drawing/2014/main" id="{00000000-0008-0000-0400-00004D000000}"/>
            </a:ext>
          </a:extLst>
        </xdr:cNvPr>
        <xdr:cNvCxnSpPr/>
      </xdr:nvCxnSpPr>
      <xdr:spPr>
        <a:xfrm flipV="1">
          <a:off x="13131165" y="19915505"/>
          <a:ext cx="1460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262899</xdr:colOff>
      <xdr:row>38</xdr:row>
      <xdr:rowOff>279077</xdr:rowOff>
    </xdr:from>
    <xdr:to>
      <xdr:col>20</xdr:col>
      <xdr:colOff>409163</xdr:colOff>
      <xdr:row>38</xdr:row>
      <xdr:rowOff>279102</xdr:rowOff>
    </xdr:to>
    <xdr:cxnSp macro="">
      <xdr:nvCxnSpPr>
        <xdr:cNvPr id="81" name="Straight Connector 19">
          <a:extLst>
            <a:ext uri="{FF2B5EF4-FFF2-40B4-BE49-F238E27FC236}">
              <a16:creationId xmlns:a16="http://schemas.microsoft.com/office/drawing/2014/main" id="{00000000-0008-0000-0400-000051000000}"/>
            </a:ext>
          </a:extLst>
        </xdr:cNvPr>
        <xdr:cNvCxnSpPr/>
      </xdr:nvCxnSpPr>
      <xdr:spPr>
        <a:xfrm flipV="1">
          <a:off x="13240385" y="20426045"/>
          <a:ext cx="1460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288636</xdr:colOff>
      <xdr:row>43</xdr:row>
      <xdr:rowOff>282863</xdr:rowOff>
    </xdr:from>
    <xdr:to>
      <xdr:col>20</xdr:col>
      <xdr:colOff>563443</xdr:colOff>
      <xdr:row>43</xdr:row>
      <xdr:rowOff>285263</xdr:rowOff>
    </xdr:to>
    <xdr:cxnSp macro="">
      <xdr:nvCxnSpPr>
        <xdr:cNvPr id="85" name="Straight Connector 19">
          <a:extLst>
            <a:ext uri="{FF2B5EF4-FFF2-40B4-BE49-F238E27FC236}">
              <a16:creationId xmlns:a16="http://schemas.microsoft.com/office/drawing/2014/main" id="{00000000-0008-0000-0400-000055000000}"/>
            </a:ext>
          </a:extLst>
        </xdr:cNvPr>
        <xdr:cNvCxnSpPr/>
      </xdr:nvCxnSpPr>
      <xdr:spPr>
        <a:xfrm>
          <a:off x="13265785" y="23344505"/>
          <a:ext cx="27495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480122</xdr:colOff>
      <xdr:row>57</xdr:row>
      <xdr:rowOff>304594</xdr:rowOff>
    </xdr:from>
    <xdr:to>
      <xdr:col>20</xdr:col>
      <xdr:colOff>129066</xdr:colOff>
      <xdr:row>57</xdr:row>
      <xdr:rowOff>304594</xdr:rowOff>
    </xdr:to>
    <xdr:cxnSp macro="">
      <xdr:nvCxnSpPr>
        <xdr:cNvPr id="97" name="Straight Connector 19">
          <a:extLst>
            <a:ext uri="{FF2B5EF4-FFF2-40B4-BE49-F238E27FC236}">
              <a16:creationId xmlns:a16="http://schemas.microsoft.com/office/drawing/2014/main" id="{00000000-0008-0000-0400-000061000000}"/>
            </a:ext>
          </a:extLst>
        </xdr:cNvPr>
        <xdr:cNvCxnSpPr/>
      </xdr:nvCxnSpPr>
      <xdr:spPr>
        <a:xfrm>
          <a:off x="12763500" y="31538545"/>
          <a:ext cx="3429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240164</xdr:colOff>
      <xdr:row>58</xdr:row>
      <xdr:rowOff>240165</xdr:rowOff>
    </xdr:from>
    <xdr:to>
      <xdr:col>19</xdr:col>
      <xdr:colOff>462156</xdr:colOff>
      <xdr:row>58</xdr:row>
      <xdr:rowOff>243656</xdr:rowOff>
    </xdr:to>
    <xdr:cxnSp macro="">
      <xdr:nvCxnSpPr>
        <xdr:cNvPr id="100" name="Straight Connector 2">
          <a:extLst>
            <a:ext uri="{FF2B5EF4-FFF2-40B4-BE49-F238E27FC236}">
              <a16:creationId xmlns:a16="http://schemas.microsoft.com/office/drawing/2014/main" id="{00000000-0008-0000-0400-000064000000}"/>
            </a:ext>
          </a:extLst>
        </xdr:cNvPr>
        <xdr:cNvCxnSpPr/>
      </xdr:nvCxnSpPr>
      <xdr:spPr>
        <a:xfrm>
          <a:off x="12523470" y="32045910"/>
          <a:ext cx="221615"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485284</xdr:colOff>
      <xdr:row>58</xdr:row>
      <xdr:rowOff>247805</xdr:rowOff>
    </xdr:from>
    <xdr:to>
      <xdr:col>20</xdr:col>
      <xdr:colOff>134228</xdr:colOff>
      <xdr:row>58</xdr:row>
      <xdr:rowOff>247805</xdr:rowOff>
    </xdr:to>
    <xdr:cxnSp macro="">
      <xdr:nvCxnSpPr>
        <xdr:cNvPr id="101" name="Straight Connector 19">
          <a:extLst>
            <a:ext uri="{FF2B5EF4-FFF2-40B4-BE49-F238E27FC236}">
              <a16:creationId xmlns:a16="http://schemas.microsoft.com/office/drawing/2014/main" id="{00000000-0008-0000-0400-000065000000}"/>
            </a:ext>
          </a:extLst>
        </xdr:cNvPr>
        <xdr:cNvCxnSpPr/>
      </xdr:nvCxnSpPr>
      <xdr:spPr>
        <a:xfrm>
          <a:off x="12768580" y="32053530"/>
          <a:ext cx="3429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22</xdr:col>
      <xdr:colOff>337207</xdr:colOff>
      <xdr:row>61</xdr:row>
      <xdr:rowOff>538655</xdr:rowOff>
    </xdr:from>
    <xdr:to>
      <xdr:col>22</xdr:col>
      <xdr:colOff>511933</xdr:colOff>
      <xdr:row>61</xdr:row>
      <xdr:rowOff>543034</xdr:rowOff>
    </xdr:to>
    <xdr:cxnSp macro="">
      <xdr:nvCxnSpPr>
        <xdr:cNvPr id="120" name="Straight Connector 19">
          <a:extLst>
            <a:ext uri="{FF2B5EF4-FFF2-40B4-BE49-F238E27FC236}">
              <a16:creationId xmlns:a16="http://schemas.microsoft.com/office/drawing/2014/main" id="{00000000-0008-0000-0400-000078000000}"/>
            </a:ext>
          </a:extLst>
        </xdr:cNvPr>
        <xdr:cNvCxnSpPr/>
      </xdr:nvCxnSpPr>
      <xdr:spPr>
        <a:xfrm flipV="1">
          <a:off x="14702790" y="39563040"/>
          <a:ext cx="174625"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6685</xdr:colOff>
      <xdr:row>69</xdr:row>
      <xdr:rowOff>264583</xdr:rowOff>
    </xdr:from>
    <xdr:to>
      <xdr:col>21</xdr:col>
      <xdr:colOff>211667</xdr:colOff>
      <xdr:row>69</xdr:row>
      <xdr:rowOff>267369</xdr:rowOff>
    </xdr:to>
    <xdr:cxnSp macro="">
      <xdr:nvCxnSpPr>
        <xdr:cNvPr id="123" name="Straight Connector 19">
          <a:extLst>
            <a:ext uri="{FF2B5EF4-FFF2-40B4-BE49-F238E27FC236}">
              <a16:creationId xmlns:a16="http://schemas.microsoft.com/office/drawing/2014/main" id="{00000000-0008-0000-0400-00007B000000}"/>
            </a:ext>
          </a:extLst>
        </xdr:cNvPr>
        <xdr:cNvCxnSpPr/>
      </xdr:nvCxnSpPr>
      <xdr:spPr>
        <a:xfrm flipV="1">
          <a:off x="12983845" y="42403395"/>
          <a:ext cx="89916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111970</xdr:colOff>
      <xdr:row>72</xdr:row>
      <xdr:rowOff>274271</xdr:rowOff>
    </xdr:from>
    <xdr:to>
      <xdr:col>21</xdr:col>
      <xdr:colOff>535302</xdr:colOff>
      <xdr:row>72</xdr:row>
      <xdr:rowOff>276087</xdr:rowOff>
    </xdr:to>
    <xdr:cxnSp macro="">
      <xdr:nvCxnSpPr>
        <xdr:cNvPr id="129" name="Straight Connector 19">
          <a:extLst>
            <a:ext uri="{FF2B5EF4-FFF2-40B4-BE49-F238E27FC236}">
              <a16:creationId xmlns:a16="http://schemas.microsoft.com/office/drawing/2014/main" id="{00000000-0008-0000-0400-000081000000}"/>
            </a:ext>
          </a:extLst>
        </xdr:cNvPr>
        <xdr:cNvCxnSpPr/>
      </xdr:nvCxnSpPr>
      <xdr:spPr>
        <a:xfrm>
          <a:off x="13783310" y="43489245"/>
          <a:ext cx="422910"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22</xdr:col>
      <xdr:colOff>413254</xdr:colOff>
      <xdr:row>76</xdr:row>
      <xdr:rowOff>206627</xdr:rowOff>
    </xdr:from>
    <xdr:to>
      <xdr:col>23</xdr:col>
      <xdr:colOff>5040</xdr:colOff>
      <xdr:row>76</xdr:row>
      <xdr:rowOff>206627</xdr:rowOff>
    </xdr:to>
    <xdr:cxnSp macro="">
      <xdr:nvCxnSpPr>
        <xdr:cNvPr id="2" name="Straight Connector 19">
          <a:extLst>
            <a:ext uri="{FF2B5EF4-FFF2-40B4-BE49-F238E27FC236}">
              <a16:creationId xmlns:a16="http://schemas.microsoft.com/office/drawing/2014/main" id="{00000000-0008-0000-0400-000002000000}"/>
            </a:ext>
          </a:extLst>
        </xdr:cNvPr>
        <xdr:cNvCxnSpPr/>
      </xdr:nvCxnSpPr>
      <xdr:spPr>
        <a:xfrm>
          <a:off x="14778355" y="44393485"/>
          <a:ext cx="2857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358</xdr:colOff>
      <xdr:row>1</xdr:row>
      <xdr:rowOff>225112</xdr:rowOff>
    </xdr:from>
    <xdr:to>
      <xdr:col>20</xdr:col>
      <xdr:colOff>358</xdr:colOff>
      <xdr:row>87</xdr:row>
      <xdr:rowOff>161072</xdr:rowOff>
    </xdr:to>
    <xdr:cxnSp macro="">
      <xdr:nvCxnSpPr>
        <xdr:cNvPr id="19" name="Straight Connector 10">
          <a:extLst>
            <a:ext uri="{FF2B5EF4-FFF2-40B4-BE49-F238E27FC236}">
              <a16:creationId xmlns:a16="http://schemas.microsoft.com/office/drawing/2014/main" id="{00000000-0008-0000-0400-000013000000}"/>
            </a:ext>
          </a:extLst>
        </xdr:cNvPr>
        <xdr:cNvCxnSpPr/>
      </xdr:nvCxnSpPr>
      <xdr:spPr>
        <a:xfrm>
          <a:off x="12977495" y="293370"/>
          <a:ext cx="0" cy="4792535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210207</xdr:colOff>
      <xdr:row>75</xdr:row>
      <xdr:rowOff>191267</xdr:rowOff>
    </xdr:from>
    <xdr:to>
      <xdr:col>23</xdr:col>
      <xdr:colOff>821</xdr:colOff>
      <xdr:row>75</xdr:row>
      <xdr:rowOff>191267</xdr:rowOff>
    </xdr:to>
    <xdr:cxnSp macro="">
      <xdr:nvCxnSpPr>
        <xdr:cNvPr id="7" name="Straight Connector 19">
          <a:extLst>
            <a:ext uri="{FF2B5EF4-FFF2-40B4-BE49-F238E27FC236}">
              <a16:creationId xmlns:a16="http://schemas.microsoft.com/office/drawing/2014/main" id="{4751C1F2-6412-493F-AF7B-100B4BE92C08}"/>
            </a:ext>
            <a:ext uri="{147F2762-F138-4A5C-976F-8EAC2B608ADB}">
              <a16:predDERef xmlns:a16="http://schemas.microsoft.com/office/drawing/2014/main" pred="{00000000-0008-0000-0400-000013000000}"/>
            </a:ext>
          </a:extLst>
        </xdr:cNvPr>
        <xdr:cNvCxnSpPr/>
      </xdr:nvCxnSpPr>
      <xdr:spPr>
        <a:xfrm>
          <a:off x="13059432" y="37424492"/>
          <a:ext cx="1181264"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xdr:from>
      <xdr:col>21</xdr:col>
      <xdr:colOff>3122</xdr:colOff>
      <xdr:row>1</xdr:row>
      <xdr:rowOff>15240</xdr:rowOff>
    </xdr:from>
    <xdr:to>
      <xdr:col>21</xdr:col>
      <xdr:colOff>3122</xdr:colOff>
      <xdr:row>85</xdr:row>
      <xdr:rowOff>364435</xdr:rowOff>
    </xdr:to>
    <xdr:cxnSp macro="">
      <xdr:nvCxnSpPr>
        <xdr:cNvPr id="3" name="Straight Connector 27">
          <a:extLst>
            <a:ext uri="{FF2B5EF4-FFF2-40B4-BE49-F238E27FC236}">
              <a16:creationId xmlns:a16="http://schemas.microsoft.com/office/drawing/2014/main" id="{00000000-0008-0000-0500-000003000000}"/>
            </a:ext>
          </a:extLst>
        </xdr:cNvPr>
        <xdr:cNvCxnSpPr/>
      </xdr:nvCxnSpPr>
      <xdr:spPr>
        <a:xfrm>
          <a:off x="15020290" y="83820"/>
          <a:ext cx="0" cy="4753800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487699</xdr:colOff>
      <xdr:row>59</xdr:row>
      <xdr:rowOff>216647</xdr:rowOff>
    </xdr:from>
    <xdr:to>
      <xdr:col>21</xdr:col>
      <xdr:colOff>93382</xdr:colOff>
      <xdr:row>59</xdr:row>
      <xdr:rowOff>221006</xdr:rowOff>
    </xdr:to>
    <xdr:cxnSp macro="">
      <xdr:nvCxnSpPr>
        <xdr:cNvPr id="252" name="Straight Connector 19">
          <a:extLst>
            <a:ext uri="{FF2B5EF4-FFF2-40B4-BE49-F238E27FC236}">
              <a16:creationId xmlns:a16="http://schemas.microsoft.com/office/drawing/2014/main" id="{00000000-0008-0000-0500-0000FC000000}"/>
            </a:ext>
          </a:extLst>
        </xdr:cNvPr>
        <xdr:cNvCxnSpPr/>
      </xdr:nvCxnSpPr>
      <xdr:spPr>
        <a:xfrm flipV="1">
          <a:off x="13423265" y="32632015"/>
          <a:ext cx="1687830"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74369</xdr:colOff>
      <xdr:row>2</xdr:row>
      <xdr:rowOff>280316</xdr:rowOff>
    </xdr:from>
    <xdr:to>
      <xdr:col>16</xdr:col>
      <xdr:colOff>505811</xdr:colOff>
      <xdr:row>2</xdr:row>
      <xdr:rowOff>282841</xdr:rowOff>
    </xdr:to>
    <xdr:cxnSp macro="">
      <xdr:nvCxnSpPr>
        <xdr:cNvPr id="56" name="Straight Connector 1">
          <a:extLst>
            <a:ext uri="{FF2B5EF4-FFF2-40B4-BE49-F238E27FC236}">
              <a16:creationId xmlns:a16="http://schemas.microsoft.com/office/drawing/2014/main" id="{00000000-0008-0000-0500-000038000000}"/>
            </a:ext>
          </a:extLst>
        </xdr:cNvPr>
        <xdr:cNvCxnSpPr/>
      </xdr:nvCxnSpPr>
      <xdr:spPr>
        <a:xfrm>
          <a:off x="11621770" y="373380"/>
          <a:ext cx="4311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369794</xdr:colOff>
      <xdr:row>57</xdr:row>
      <xdr:rowOff>295088</xdr:rowOff>
    </xdr:from>
    <xdr:to>
      <xdr:col>18</xdr:col>
      <xdr:colOff>495255</xdr:colOff>
      <xdr:row>57</xdr:row>
      <xdr:rowOff>298316</xdr:rowOff>
    </xdr:to>
    <xdr:cxnSp macro="">
      <xdr:nvCxnSpPr>
        <xdr:cNvPr id="247" name="Straight Connector 2">
          <a:extLst>
            <a:ext uri="{FF2B5EF4-FFF2-40B4-BE49-F238E27FC236}">
              <a16:creationId xmlns:a16="http://schemas.microsoft.com/office/drawing/2014/main" id="{00000000-0008-0000-0500-0000F7000000}"/>
            </a:ext>
          </a:extLst>
        </xdr:cNvPr>
        <xdr:cNvCxnSpPr/>
      </xdr:nvCxnSpPr>
      <xdr:spPr>
        <a:xfrm>
          <a:off x="13305155" y="31586170"/>
          <a:ext cx="125095"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624417</xdr:colOff>
      <xdr:row>1</xdr:row>
      <xdr:rowOff>47171</xdr:rowOff>
    </xdr:from>
    <xdr:to>
      <xdr:col>15</xdr:col>
      <xdr:colOff>624417</xdr:colOff>
      <xdr:row>85</xdr:row>
      <xdr:rowOff>379620</xdr:rowOff>
    </xdr:to>
    <xdr:cxnSp macro="">
      <xdr:nvCxnSpPr>
        <xdr:cNvPr id="11" name="Straight Connector 6">
          <a:extLst>
            <a:ext uri="{FF2B5EF4-FFF2-40B4-BE49-F238E27FC236}">
              <a16:creationId xmlns:a16="http://schemas.microsoft.com/office/drawing/2014/main" id="{00000000-0008-0000-0500-00000B000000}"/>
            </a:ext>
          </a:extLst>
        </xdr:cNvPr>
        <xdr:cNvCxnSpPr/>
      </xdr:nvCxnSpPr>
      <xdr:spPr>
        <a:xfrm>
          <a:off x="11477625" y="115570"/>
          <a:ext cx="0" cy="475214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605790</xdr:colOff>
      <xdr:row>1</xdr:row>
      <xdr:rowOff>15240</xdr:rowOff>
    </xdr:from>
    <xdr:to>
      <xdr:col>16</xdr:col>
      <xdr:colOff>605790</xdr:colOff>
      <xdr:row>85</xdr:row>
      <xdr:rowOff>372718</xdr:rowOff>
    </xdr:to>
    <xdr:cxnSp macro="">
      <xdr:nvCxnSpPr>
        <xdr:cNvPr id="10" name="Straight Connector 7">
          <a:extLst>
            <a:ext uri="{FF2B5EF4-FFF2-40B4-BE49-F238E27FC236}">
              <a16:creationId xmlns:a16="http://schemas.microsoft.com/office/drawing/2014/main" id="{00000000-0008-0000-0500-00000A000000}"/>
            </a:ext>
          </a:extLst>
        </xdr:cNvPr>
        <xdr:cNvCxnSpPr/>
      </xdr:nvCxnSpPr>
      <xdr:spPr>
        <a:xfrm>
          <a:off x="12153265" y="83820"/>
          <a:ext cx="0" cy="475462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627636</xdr:colOff>
      <xdr:row>0</xdr:row>
      <xdr:rowOff>52668</xdr:rowOff>
    </xdr:from>
    <xdr:to>
      <xdr:col>17</xdr:col>
      <xdr:colOff>627636</xdr:colOff>
      <xdr:row>85</xdr:row>
      <xdr:rowOff>359400</xdr:rowOff>
    </xdr:to>
    <xdr:cxnSp macro="">
      <xdr:nvCxnSpPr>
        <xdr:cNvPr id="146" name="Straight Connector 8">
          <a:extLst>
            <a:ext uri="{FF2B5EF4-FFF2-40B4-BE49-F238E27FC236}">
              <a16:creationId xmlns:a16="http://schemas.microsoft.com/office/drawing/2014/main" id="{00000000-0008-0000-0500-000092000000}"/>
            </a:ext>
          </a:extLst>
        </xdr:cNvPr>
        <xdr:cNvCxnSpPr/>
      </xdr:nvCxnSpPr>
      <xdr:spPr>
        <a:xfrm>
          <a:off x="12868910" y="52070"/>
          <a:ext cx="0" cy="4756467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635000</xdr:colOff>
      <xdr:row>1</xdr:row>
      <xdr:rowOff>19050</xdr:rowOff>
    </xdr:from>
    <xdr:to>
      <xdr:col>18</xdr:col>
      <xdr:colOff>635000</xdr:colOff>
      <xdr:row>85</xdr:row>
      <xdr:rowOff>347870</xdr:rowOff>
    </xdr:to>
    <xdr:cxnSp macro="">
      <xdr:nvCxnSpPr>
        <xdr:cNvPr id="12" name="Straight Connector 9">
          <a:extLst>
            <a:ext uri="{FF2B5EF4-FFF2-40B4-BE49-F238E27FC236}">
              <a16:creationId xmlns:a16="http://schemas.microsoft.com/office/drawing/2014/main" id="{00000000-0008-0000-0500-00000C000000}"/>
            </a:ext>
          </a:extLst>
        </xdr:cNvPr>
        <xdr:cNvCxnSpPr/>
      </xdr:nvCxnSpPr>
      <xdr:spPr>
        <a:xfrm>
          <a:off x="13570585" y="87630"/>
          <a:ext cx="0" cy="4751768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0</xdr:colOff>
      <xdr:row>1</xdr:row>
      <xdr:rowOff>19050</xdr:rowOff>
    </xdr:from>
    <xdr:to>
      <xdr:col>20</xdr:col>
      <xdr:colOff>0</xdr:colOff>
      <xdr:row>85</xdr:row>
      <xdr:rowOff>323022</xdr:rowOff>
    </xdr:to>
    <xdr:cxnSp macro="">
      <xdr:nvCxnSpPr>
        <xdr:cNvPr id="13" name="Straight Connector 10">
          <a:extLst>
            <a:ext uri="{FF2B5EF4-FFF2-40B4-BE49-F238E27FC236}">
              <a16:creationId xmlns:a16="http://schemas.microsoft.com/office/drawing/2014/main" id="{00000000-0008-0000-0500-00000D000000}"/>
            </a:ext>
          </a:extLst>
        </xdr:cNvPr>
        <xdr:cNvCxnSpPr/>
      </xdr:nvCxnSpPr>
      <xdr:spPr>
        <a:xfrm>
          <a:off x="14323695" y="87630"/>
          <a:ext cx="0" cy="4749292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487741</xdr:colOff>
      <xdr:row>1</xdr:row>
      <xdr:rowOff>57978</xdr:rowOff>
    </xdr:from>
    <xdr:to>
      <xdr:col>18</xdr:col>
      <xdr:colOff>487741</xdr:colOff>
      <xdr:row>87</xdr:row>
      <xdr:rowOff>8283</xdr:rowOff>
    </xdr:to>
    <xdr:cxnSp macro="">
      <xdr:nvCxnSpPr>
        <xdr:cNvPr id="143" name="Straight Connector 10">
          <a:extLst>
            <a:ext uri="{FF2B5EF4-FFF2-40B4-BE49-F238E27FC236}">
              <a16:creationId xmlns:a16="http://schemas.microsoft.com/office/drawing/2014/main" id="{00000000-0008-0000-0500-00008F000000}"/>
            </a:ext>
          </a:extLst>
        </xdr:cNvPr>
        <xdr:cNvCxnSpPr/>
      </xdr:nvCxnSpPr>
      <xdr:spPr>
        <a:xfrm>
          <a:off x="13423265" y="126365"/>
          <a:ext cx="0" cy="47920910"/>
        </a:xfrm>
        <a:prstGeom prst="line">
          <a:avLst/>
        </a:prstGeom>
        <a:ln w="1270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66</xdr:row>
      <xdr:rowOff>16565</xdr:rowOff>
    </xdr:from>
    <xdr:to>
      <xdr:col>18</xdr:col>
      <xdr:colOff>468820</xdr:colOff>
      <xdr:row>79</xdr:row>
      <xdr:rowOff>140805</xdr:rowOff>
    </xdr:to>
    <xdr:sp macro="" textlink="">
      <xdr:nvSpPr>
        <xdr:cNvPr id="15" name="TextBox 13">
          <a:extLst>
            <a:ext uri="{FF2B5EF4-FFF2-40B4-BE49-F238E27FC236}">
              <a16:creationId xmlns:a16="http://schemas.microsoft.com/office/drawing/2014/main" id="{00000000-0008-0000-0500-00000F000000}"/>
            </a:ext>
          </a:extLst>
        </xdr:cNvPr>
        <xdr:cNvSpPr txBox="1"/>
      </xdr:nvSpPr>
      <xdr:spPr>
        <a:xfrm rot="16200000">
          <a:off x="11273155" y="43280330"/>
          <a:ext cx="406717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16</xdr:col>
      <xdr:colOff>57207</xdr:colOff>
      <xdr:row>4</xdr:row>
      <xdr:rowOff>303199</xdr:rowOff>
    </xdr:from>
    <xdr:to>
      <xdr:col>18</xdr:col>
      <xdr:colOff>171823</xdr:colOff>
      <xdr:row>4</xdr:row>
      <xdr:rowOff>313765</xdr:rowOff>
    </xdr:to>
    <xdr:cxnSp macro="">
      <xdr:nvCxnSpPr>
        <xdr:cNvPr id="68" name="Straight Connector 15">
          <a:extLst>
            <a:ext uri="{FF2B5EF4-FFF2-40B4-BE49-F238E27FC236}">
              <a16:creationId xmlns:a16="http://schemas.microsoft.com/office/drawing/2014/main" id="{00000000-0008-0000-0500-000044000000}"/>
            </a:ext>
          </a:extLst>
        </xdr:cNvPr>
        <xdr:cNvCxnSpPr/>
      </xdr:nvCxnSpPr>
      <xdr:spPr>
        <a:xfrm>
          <a:off x="11604625" y="733425"/>
          <a:ext cx="1502410" cy="1079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479835</xdr:colOff>
      <xdr:row>12</xdr:row>
      <xdr:rowOff>282737</xdr:rowOff>
    </xdr:from>
    <xdr:to>
      <xdr:col>18</xdr:col>
      <xdr:colOff>203941</xdr:colOff>
      <xdr:row>12</xdr:row>
      <xdr:rowOff>287399</xdr:rowOff>
    </xdr:to>
    <xdr:cxnSp macro="">
      <xdr:nvCxnSpPr>
        <xdr:cNvPr id="87" name="Straight Connector 17">
          <a:extLst>
            <a:ext uri="{FF2B5EF4-FFF2-40B4-BE49-F238E27FC236}">
              <a16:creationId xmlns:a16="http://schemas.microsoft.com/office/drawing/2014/main" id="{00000000-0008-0000-0500-000057000000}"/>
            </a:ext>
          </a:extLst>
        </xdr:cNvPr>
        <xdr:cNvCxnSpPr/>
      </xdr:nvCxnSpPr>
      <xdr:spPr>
        <a:xfrm flipV="1">
          <a:off x="12026900" y="5342255"/>
          <a:ext cx="1112520" cy="444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173584</xdr:colOff>
      <xdr:row>17</xdr:row>
      <xdr:rowOff>308907</xdr:rowOff>
    </xdr:from>
    <xdr:to>
      <xdr:col>18</xdr:col>
      <xdr:colOff>345531</xdr:colOff>
      <xdr:row>17</xdr:row>
      <xdr:rowOff>308907</xdr:rowOff>
    </xdr:to>
    <xdr:cxnSp macro="">
      <xdr:nvCxnSpPr>
        <xdr:cNvPr id="99" name="Straight Connector 18">
          <a:extLst>
            <a:ext uri="{FF2B5EF4-FFF2-40B4-BE49-F238E27FC236}">
              <a16:creationId xmlns:a16="http://schemas.microsoft.com/office/drawing/2014/main" id="{00000000-0008-0000-0500-000063000000}"/>
            </a:ext>
          </a:extLst>
        </xdr:cNvPr>
        <xdr:cNvCxnSpPr/>
      </xdr:nvCxnSpPr>
      <xdr:spPr>
        <a:xfrm>
          <a:off x="13108940" y="8282940"/>
          <a:ext cx="1720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273162</xdr:colOff>
      <xdr:row>22</xdr:row>
      <xdr:rowOff>312178</xdr:rowOff>
    </xdr:from>
    <xdr:to>
      <xdr:col>18</xdr:col>
      <xdr:colOff>433679</xdr:colOff>
      <xdr:row>22</xdr:row>
      <xdr:rowOff>312178</xdr:rowOff>
    </xdr:to>
    <xdr:cxnSp macro="">
      <xdr:nvCxnSpPr>
        <xdr:cNvPr id="112" name="Straight Connector 19">
          <a:extLst>
            <a:ext uri="{FF2B5EF4-FFF2-40B4-BE49-F238E27FC236}">
              <a16:creationId xmlns:a16="http://schemas.microsoft.com/office/drawing/2014/main" id="{00000000-0008-0000-0500-000070000000}"/>
            </a:ext>
          </a:extLst>
        </xdr:cNvPr>
        <xdr:cNvCxnSpPr/>
      </xdr:nvCxnSpPr>
      <xdr:spPr>
        <a:xfrm>
          <a:off x="13208635" y="11200765"/>
          <a:ext cx="1600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383359</xdr:colOff>
      <xdr:row>72</xdr:row>
      <xdr:rowOff>222152</xdr:rowOff>
    </xdr:from>
    <xdr:to>
      <xdr:col>18</xdr:col>
      <xdr:colOff>487268</xdr:colOff>
      <xdr:row>72</xdr:row>
      <xdr:rowOff>226270</xdr:rowOff>
    </xdr:to>
    <xdr:cxnSp macro="">
      <xdr:nvCxnSpPr>
        <xdr:cNvPr id="277" name="Straight Connector 2">
          <a:extLst>
            <a:ext uri="{FF2B5EF4-FFF2-40B4-BE49-F238E27FC236}">
              <a16:creationId xmlns:a16="http://schemas.microsoft.com/office/drawing/2014/main" id="{00000000-0008-0000-0500-000015010000}"/>
            </a:ext>
          </a:extLst>
        </xdr:cNvPr>
        <xdr:cNvCxnSpPr/>
      </xdr:nvCxnSpPr>
      <xdr:spPr>
        <a:xfrm>
          <a:off x="13318490" y="43418125"/>
          <a:ext cx="104140" cy="444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312046</xdr:colOff>
      <xdr:row>63</xdr:row>
      <xdr:rowOff>200413</xdr:rowOff>
    </xdr:from>
    <xdr:to>
      <xdr:col>20</xdr:col>
      <xdr:colOff>434220</xdr:colOff>
      <xdr:row>63</xdr:row>
      <xdr:rowOff>200413</xdr:rowOff>
    </xdr:to>
    <xdr:cxnSp macro="">
      <xdr:nvCxnSpPr>
        <xdr:cNvPr id="26" name="Straight Connector 19">
          <a:extLst>
            <a:ext uri="{FF2B5EF4-FFF2-40B4-BE49-F238E27FC236}">
              <a16:creationId xmlns:a16="http://schemas.microsoft.com/office/drawing/2014/main" id="{00000000-0008-0000-0500-00001A000000}"/>
            </a:ext>
          </a:extLst>
        </xdr:cNvPr>
        <xdr:cNvCxnSpPr/>
      </xdr:nvCxnSpPr>
      <xdr:spPr>
        <a:xfrm>
          <a:off x="14635480" y="4042473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436023</xdr:colOff>
      <xdr:row>64</xdr:row>
      <xdr:rowOff>178944</xdr:rowOff>
    </xdr:from>
    <xdr:to>
      <xdr:col>20</xdr:col>
      <xdr:colOff>558197</xdr:colOff>
      <xdr:row>64</xdr:row>
      <xdr:rowOff>178944</xdr:rowOff>
    </xdr:to>
    <xdr:cxnSp macro="">
      <xdr:nvCxnSpPr>
        <xdr:cNvPr id="27" name="Straight Connector 19">
          <a:extLst>
            <a:ext uri="{FF2B5EF4-FFF2-40B4-BE49-F238E27FC236}">
              <a16:creationId xmlns:a16="http://schemas.microsoft.com/office/drawing/2014/main" id="{00000000-0008-0000-0500-00001B000000}"/>
            </a:ext>
          </a:extLst>
        </xdr:cNvPr>
        <xdr:cNvCxnSpPr/>
      </xdr:nvCxnSpPr>
      <xdr:spPr>
        <a:xfrm>
          <a:off x="14759305" y="4077081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577430</xdr:colOff>
      <xdr:row>65</xdr:row>
      <xdr:rowOff>175033</xdr:rowOff>
    </xdr:from>
    <xdr:to>
      <xdr:col>21</xdr:col>
      <xdr:colOff>8079</xdr:colOff>
      <xdr:row>65</xdr:row>
      <xdr:rowOff>176828</xdr:rowOff>
    </xdr:to>
    <xdr:cxnSp macro="">
      <xdr:nvCxnSpPr>
        <xdr:cNvPr id="259" name="Straight Connector 19">
          <a:extLst>
            <a:ext uri="{FF2B5EF4-FFF2-40B4-BE49-F238E27FC236}">
              <a16:creationId xmlns:a16="http://schemas.microsoft.com/office/drawing/2014/main" id="{00000000-0008-0000-0500-000003010000}"/>
            </a:ext>
          </a:extLst>
        </xdr:cNvPr>
        <xdr:cNvCxnSpPr/>
      </xdr:nvCxnSpPr>
      <xdr:spPr>
        <a:xfrm>
          <a:off x="14900910" y="41134665"/>
          <a:ext cx="124460"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336418</xdr:colOff>
      <xdr:row>13</xdr:row>
      <xdr:rowOff>277028</xdr:rowOff>
    </xdr:from>
    <xdr:to>
      <xdr:col>18</xdr:col>
      <xdr:colOff>481640</xdr:colOff>
      <xdr:row>13</xdr:row>
      <xdr:rowOff>277028</xdr:rowOff>
    </xdr:to>
    <xdr:cxnSp macro="">
      <xdr:nvCxnSpPr>
        <xdr:cNvPr id="88" name="Straight Connector 33">
          <a:extLst>
            <a:ext uri="{FF2B5EF4-FFF2-40B4-BE49-F238E27FC236}">
              <a16:creationId xmlns:a16="http://schemas.microsoft.com/office/drawing/2014/main" id="{00000000-0008-0000-0500-000058000000}"/>
            </a:ext>
          </a:extLst>
        </xdr:cNvPr>
        <xdr:cNvCxnSpPr/>
      </xdr:nvCxnSpPr>
      <xdr:spPr>
        <a:xfrm>
          <a:off x="13271500" y="590804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473462</xdr:colOff>
      <xdr:row>5</xdr:row>
      <xdr:rowOff>299652</xdr:rowOff>
    </xdr:from>
    <xdr:to>
      <xdr:col>18</xdr:col>
      <xdr:colOff>185552</xdr:colOff>
      <xdr:row>5</xdr:row>
      <xdr:rowOff>303213</xdr:rowOff>
    </xdr:to>
    <xdr:cxnSp macro="">
      <xdr:nvCxnSpPr>
        <xdr:cNvPr id="4" name="Straight Connector 57">
          <a:extLst>
            <a:ext uri="{FF2B5EF4-FFF2-40B4-BE49-F238E27FC236}">
              <a16:creationId xmlns:a16="http://schemas.microsoft.com/office/drawing/2014/main" id="{00000000-0008-0000-0500-000004000000}"/>
            </a:ext>
          </a:extLst>
        </xdr:cNvPr>
        <xdr:cNvCxnSpPr/>
      </xdr:nvCxnSpPr>
      <xdr:spPr>
        <a:xfrm>
          <a:off x="12714605" y="1301115"/>
          <a:ext cx="40640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475646</xdr:colOff>
      <xdr:row>8</xdr:row>
      <xdr:rowOff>292148</xdr:rowOff>
    </xdr:from>
    <xdr:to>
      <xdr:col>17</xdr:col>
      <xdr:colOff>564855</xdr:colOff>
      <xdr:row>8</xdr:row>
      <xdr:rowOff>295349</xdr:rowOff>
    </xdr:to>
    <xdr:cxnSp macro="">
      <xdr:nvCxnSpPr>
        <xdr:cNvPr id="7" name="Straight Connector 63">
          <a:extLst>
            <a:ext uri="{FF2B5EF4-FFF2-40B4-BE49-F238E27FC236}">
              <a16:creationId xmlns:a16="http://schemas.microsoft.com/office/drawing/2014/main" id="{00000000-0008-0000-0500-000007000000}"/>
            </a:ext>
          </a:extLst>
        </xdr:cNvPr>
        <xdr:cNvCxnSpPr/>
      </xdr:nvCxnSpPr>
      <xdr:spPr>
        <a:xfrm>
          <a:off x="12717145" y="3008630"/>
          <a:ext cx="8890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340113</xdr:colOff>
      <xdr:row>30</xdr:row>
      <xdr:rowOff>266505</xdr:rowOff>
    </xdr:from>
    <xdr:to>
      <xdr:col>19</xdr:col>
      <xdr:colOff>388343</xdr:colOff>
      <xdr:row>30</xdr:row>
      <xdr:rowOff>268817</xdr:rowOff>
    </xdr:to>
    <xdr:cxnSp macro="">
      <xdr:nvCxnSpPr>
        <xdr:cNvPr id="140" name="Straight Connector 19">
          <a:extLst>
            <a:ext uri="{FF2B5EF4-FFF2-40B4-BE49-F238E27FC236}">
              <a16:creationId xmlns:a16="http://schemas.microsoft.com/office/drawing/2014/main" id="{00000000-0008-0000-0500-00008C000000}"/>
            </a:ext>
          </a:extLst>
        </xdr:cNvPr>
        <xdr:cNvCxnSpPr/>
      </xdr:nvCxnSpPr>
      <xdr:spPr>
        <a:xfrm flipV="1">
          <a:off x="13969365" y="15784195"/>
          <a:ext cx="4826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575171</xdr:colOff>
      <xdr:row>35</xdr:row>
      <xdr:rowOff>279014</xdr:rowOff>
    </xdr:from>
    <xdr:to>
      <xdr:col>20</xdr:col>
      <xdr:colOff>446</xdr:colOff>
      <xdr:row>35</xdr:row>
      <xdr:rowOff>279951</xdr:rowOff>
    </xdr:to>
    <xdr:cxnSp macro="">
      <xdr:nvCxnSpPr>
        <xdr:cNvPr id="154" name="Straight Connector 19">
          <a:extLst>
            <a:ext uri="{FF2B5EF4-FFF2-40B4-BE49-F238E27FC236}">
              <a16:creationId xmlns:a16="http://schemas.microsoft.com/office/drawing/2014/main" id="{00000000-0008-0000-0500-00009A000000}"/>
            </a:ext>
          </a:extLst>
        </xdr:cNvPr>
        <xdr:cNvCxnSpPr/>
      </xdr:nvCxnSpPr>
      <xdr:spPr>
        <a:xfrm flipV="1">
          <a:off x="14204315" y="18711545"/>
          <a:ext cx="11938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581768</xdr:colOff>
      <xdr:row>39</xdr:row>
      <xdr:rowOff>290096</xdr:rowOff>
    </xdr:from>
    <xdr:to>
      <xdr:col>20</xdr:col>
      <xdr:colOff>102683</xdr:colOff>
      <xdr:row>39</xdr:row>
      <xdr:rowOff>291033</xdr:rowOff>
    </xdr:to>
    <xdr:cxnSp macro="">
      <xdr:nvCxnSpPr>
        <xdr:cNvPr id="167" name="Straight Connector 19">
          <a:extLst>
            <a:ext uri="{FF2B5EF4-FFF2-40B4-BE49-F238E27FC236}">
              <a16:creationId xmlns:a16="http://schemas.microsoft.com/office/drawing/2014/main" id="{00000000-0008-0000-0500-0000A7000000}"/>
            </a:ext>
          </a:extLst>
        </xdr:cNvPr>
        <xdr:cNvCxnSpPr/>
      </xdr:nvCxnSpPr>
      <xdr:spPr>
        <a:xfrm flipV="1">
          <a:off x="14211300" y="21065490"/>
          <a:ext cx="21463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163474</xdr:colOff>
      <xdr:row>40</xdr:row>
      <xdr:rowOff>298286</xdr:rowOff>
    </xdr:from>
    <xdr:to>
      <xdr:col>20</xdr:col>
      <xdr:colOff>231510</xdr:colOff>
      <xdr:row>40</xdr:row>
      <xdr:rowOff>301120</xdr:rowOff>
    </xdr:to>
    <xdr:cxnSp macro="">
      <xdr:nvCxnSpPr>
        <xdr:cNvPr id="181" name="Straight Connector 19">
          <a:extLst>
            <a:ext uri="{FF2B5EF4-FFF2-40B4-BE49-F238E27FC236}">
              <a16:creationId xmlns:a16="http://schemas.microsoft.com/office/drawing/2014/main" id="{00000000-0008-0000-0500-0000B5000000}"/>
            </a:ext>
          </a:extLst>
        </xdr:cNvPr>
        <xdr:cNvCxnSpPr/>
      </xdr:nvCxnSpPr>
      <xdr:spPr>
        <a:xfrm>
          <a:off x="14486890" y="21645245"/>
          <a:ext cx="6794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81455</xdr:colOff>
      <xdr:row>44</xdr:row>
      <xdr:rowOff>290286</xdr:rowOff>
    </xdr:from>
    <xdr:to>
      <xdr:col>20</xdr:col>
      <xdr:colOff>233254</xdr:colOff>
      <xdr:row>44</xdr:row>
      <xdr:rowOff>292139</xdr:rowOff>
    </xdr:to>
    <xdr:cxnSp macro="">
      <xdr:nvCxnSpPr>
        <xdr:cNvPr id="192" name="Straight Connector 19">
          <a:extLst>
            <a:ext uri="{FF2B5EF4-FFF2-40B4-BE49-F238E27FC236}">
              <a16:creationId xmlns:a16="http://schemas.microsoft.com/office/drawing/2014/main" id="{00000000-0008-0000-0500-0000C0000000}"/>
            </a:ext>
          </a:extLst>
        </xdr:cNvPr>
        <xdr:cNvCxnSpPr/>
      </xdr:nvCxnSpPr>
      <xdr:spPr>
        <a:xfrm flipV="1">
          <a:off x="14404975" y="23980775"/>
          <a:ext cx="15176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299086</xdr:colOff>
      <xdr:row>45</xdr:row>
      <xdr:rowOff>283329</xdr:rowOff>
    </xdr:from>
    <xdr:to>
      <xdr:col>20</xdr:col>
      <xdr:colOff>360945</xdr:colOff>
      <xdr:row>45</xdr:row>
      <xdr:rowOff>285224</xdr:rowOff>
    </xdr:to>
    <xdr:cxnSp macro="">
      <xdr:nvCxnSpPr>
        <xdr:cNvPr id="197" name="Straight Connector 19">
          <a:extLst>
            <a:ext uri="{FF2B5EF4-FFF2-40B4-BE49-F238E27FC236}">
              <a16:creationId xmlns:a16="http://schemas.microsoft.com/office/drawing/2014/main" id="{00000000-0008-0000-0500-0000C5000000}"/>
            </a:ext>
          </a:extLst>
        </xdr:cNvPr>
        <xdr:cNvCxnSpPr/>
      </xdr:nvCxnSpPr>
      <xdr:spPr>
        <a:xfrm>
          <a:off x="14622780" y="24545290"/>
          <a:ext cx="6159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517328</xdr:colOff>
      <xdr:row>47</xdr:row>
      <xdr:rowOff>269991</xdr:rowOff>
    </xdr:from>
    <xdr:to>
      <xdr:col>20</xdr:col>
      <xdr:colOff>81034</xdr:colOff>
      <xdr:row>47</xdr:row>
      <xdr:rowOff>272528</xdr:rowOff>
    </xdr:to>
    <xdr:cxnSp macro="">
      <xdr:nvCxnSpPr>
        <xdr:cNvPr id="206" name="Straight Connector 19">
          <a:extLst>
            <a:ext uri="{FF2B5EF4-FFF2-40B4-BE49-F238E27FC236}">
              <a16:creationId xmlns:a16="http://schemas.microsoft.com/office/drawing/2014/main" id="{00000000-0008-0000-0500-0000CE000000}"/>
            </a:ext>
          </a:extLst>
        </xdr:cNvPr>
        <xdr:cNvCxnSpPr/>
      </xdr:nvCxnSpPr>
      <xdr:spPr>
        <a:xfrm flipV="1">
          <a:off x="14146530" y="25732105"/>
          <a:ext cx="25781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72317</xdr:colOff>
      <xdr:row>48</xdr:row>
      <xdr:rowOff>268199</xdr:rowOff>
    </xdr:from>
    <xdr:to>
      <xdr:col>20</xdr:col>
      <xdr:colOff>220870</xdr:colOff>
      <xdr:row>48</xdr:row>
      <xdr:rowOff>270411</xdr:rowOff>
    </xdr:to>
    <xdr:cxnSp macro="">
      <xdr:nvCxnSpPr>
        <xdr:cNvPr id="209" name="Straight Connector 19">
          <a:extLst>
            <a:ext uri="{FF2B5EF4-FFF2-40B4-BE49-F238E27FC236}">
              <a16:creationId xmlns:a16="http://schemas.microsoft.com/office/drawing/2014/main" id="{00000000-0008-0000-0500-0000D1000000}"/>
            </a:ext>
          </a:extLst>
        </xdr:cNvPr>
        <xdr:cNvCxnSpPr/>
      </xdr:nvCxnSpPr>
      <xdr:spPr>
        <a:xfrm flipV="1">
          <a:off x="14395450" y="26301700"/>
          <a:ext cx="148590"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266298</xdr:colOff>
      <xdr:row>49</xdr:row>
      <xdr:rowOff>310533</xdr:rowOff>
    </xdr:from>
    <xdr:to>
      <xdr:col>20</xdr:col>
      <xdr:colOff>362199</xdr:colOff>
      <xdr:row>49</xdr:row>
      <xdr:rowOff>312077</xdr:rowOff>
    </xdr:to>
    <xdr:cxnSp macro="">
      <xdr:nvCxnSpPr>
        <xdr:cNvPr id="214" name="Straight Connector 19">
          <a:extLst>
            <a:ext uri="{FF2B5EF4-FFF2-40B4-BE49-F238E27FC236}">
              <a16:creationId xmlns:a16="http://schemas.microsoft.com/office/drawing/2014/main" id="{00000000-0008-0000-0500-0000D6000000}"/>
            </a:ext>
          </a:extLst>
        </xdr:cNvPr>
        <xdr:cNvCxnSpPr/>
      </xdr:nvCxnSpPr>
      <xdr:spPr>
        <a:xfrm>
          <a:off x="14589760" y="26915745"/>
          <a:ext cx="9588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329855</xdr:colOff>
      <xdr:row>50</xdr:row>
      <xdr:rowOff>271392</xdr:rowOff>
    </xdr:from>
    <xdr:to>
      <xdr:col>20</xdr:col>
      <xdr:colOff>396894</xdr:colOff>
      <xdr:row>50</xdr:row>
      <xdr:rowOff>271809</xdr:rowOff>
    </xdr:to>
    <xdr:cxnSp macro="">
      <xdr:nvCxnSpPr>
        <xdr:cNvPr id="218" name="Straight Connector 19">
          <a:extLst>
            <a:ext uri="{FF2B5EF4-FFF2-40B4-BE49-F238E27FC236}">
              <a16:creationId xmlns:a16="http://schemas.microsoft.com/office/drawing/2014/main" id="{00000000-0008-0000-0500-0000DA000000}"/>
            </a:ext>
          </a:extLst>
        </xdr:cNvPr>
        <xdr:cNvCxnSpPr/>
      </xdr:nvCxnSpPr>
      <xdr:spPr>
        <a:xfrm>
          <a:off x="14653260" y="27447875"/>
          <a:ext cx="6731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64862</xdr:colOff>
      <xdr:row>52</xdr:row>
      <xdr:rowOff>259303</xdr:rowOff>
    </xdr:from>
    <xdr:to>
      <xdr:col>20</xdr:col>
      <xdr:colOff>214016</xdr:colOff>
      <xdr:row>52</xdr:row>
      <xdr:rowOff>260350</xdr:rowOff>
    </xdr:to>
    <xdr:cxnSp macro="">
      <xdr:nvCxnSpPr>
        <xdr:cNvPr id="224" name="Straight Connector 19">
          <a:extLst>
            <a:ext uri="{FF2B5EF4-FFF2-40B4-BE49-F238E27FC236}">
              <a16:creationId xmlns:a16="http://schemas.microsoft.com/office/drawing/2014/main" id="{00000000-0008-0000-0500-0000E0000000}"/>
            </a:ext>
          </a:extLst>
        </xdr:cNvPr>
        <xdr:cNvCxnSpPr/>
      </xdr:nvCxnSpPr>
      <xdr:spPr>
        <a:xfrm>
          <a:off x="14388465" y="28635960"/>
          <a:ext cx="14922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219327</xdr:colOff>
      <xdr:row>53</xdr:row>
      <xdr:rowOff>274428</xdr:rowOff>
    </xdr:from>
    <xdr:to>
      <xdr:col>20</xdr:col>
      <xdr:colOff>368481</xdr:colOff>
      <xdr:row>53</xdr:row>
      <xdr:rowOff>275475</xdr:rowOff>
    </xdr:to>
    <xdr:cxnSp macro="">
      <xdr:nvCxnSpPr>
        <xdr:cNvPr id="227" name="Straight Connector 19">
          <a:extLst>
            <a:ext uri="{FF2B5EF4-FFF2-40B4-BE49-F238E27FC236}">
              <a16:creationId xmlns:a16="http://schemas.microsoft.com/office/drawing/2014/main" id="{00000000-0008-0000-0500-0000E3000000}"/>
            </a:ext>
          </a:extLst>
        </xdr:cNvPr>
        <xdr:cNvCxnSpPr/>
      </xdr:nvCxnSpPr>
      <xdr:spPr>
        <a:xfrm>
          <a:off x="14542770" y="29222700"/>
          <a:ext cx="14922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383324</xdr:colOff>
      <xdr:row>54</xdr:row>
      <xdr:rowOff>307096</xdr:rowOff>
    </xdr:from>
    <xdr:to>
      <xdr:col>20</xdr:col>
      <xdr:colOff>492665</xdr:colOff>
      <xdr:row>54</xdr:row>
      <xdr:rowOff>307243</xdr:rowOff>
    </xdr:to>
    <xdr:cxnSp macro="">
      <xdr:nvCxnSpPr>
        <xdr:cNvPr id="231" name="Straight Connector 19">
          <a:extLst>
            <a:ext uri="{FF2B5EF4-FFF2-40B4-BE49-F238E27FC236}">
              <a16:creationId xmlns:a16="http://schemas.microsoft.com/office/drawing/2014/main" id="{00000000-0008-0000-0500-0000E7000000}"/>
            </a:ext>
          </a:extLst>
        </xdr:cNvPr>
        <xdr:cNvCxnSpPr/>
      </xdr:nvCxnSpPr>
      <xdr:spPr>
        <a:xfrm>
          <a:off x="14706600" y="29826585"/>
          <a:ext cx="1092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492827</xdr:colOff>
      <xdr:row>55</xdr:row>
      <xdr:rowOff>314081</xdr:rowOff>
    </xdr:from>
    <xdr:to>
      <xdr:col>20</xdr:col>
      <xdr:colOff>563799</xdr:colOff>
      <xdr:row>55</xdr:row>
      <xdr:rowOff>315939</xdr:rowOff>
    </xdr:to>
    <xdr:cxnSp macro="">
      <xdr:nvCxnSpPr>
        <xdr:cNvPr id="235" name="Straight Connector 19">
          <a:extLst>
            <a:ext uri="{FF2B5EF4-FFF2-40B4-BE49-F238E27FC236}">
              <a16:creationId xmlns:a16="http://schemas.microsoft.com/office/drawing/2014/main" id="{00000000-0008-0000-0500-0000EB000000}"/>
            </a:ext>
          </a:extLst>
        </xdr:cNvPr>
        <xdr:cNvCxnSpPr/>
      </xdr:nvCxnSpPr>
      <xdr:spPr>
        <a:xfrm>
          <a:off x="14816455" y="30405070"/>
          <a:ext cx="7048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5061</xdr:colOff>
      <xdr:row>66</xdr:row>
      <xdr:rowOff>185787</xdr:rowOff>
    </xdr:from>
    <xdr:to>
      <xdr:col>21</xdr:col>
      <xdr:colOff>53397</xdr:colOff>
      <xdr:row>66</xdr:row>
      <xdr:rowOff>187325</xdr:rowOff>
    </xdr:to>
    <xdr:cxnSp macro="">
      <xdr:nvCxnSpPr>
        <xdr:cNvPr id="264" name="Straight Connector 19">
          <a:extLst>
            <a:ext uri="{FF2B5EF4-FFF2-40B4-BE49-F238E27FC236}">
              <a16:creationId xmlns:a16="http://schemas.microsoft.com/office/drawing/2014/main" id="{00000000-0008-0000-0500-000008010000}"/>
            </a:ext>
          </a:extLst>
        </xdr:cNvPr>
        <xdr:cNvCxnSpPr/>
      </xdr:nvCxnSpPr>
      <xdr:spPr>
        <a:xfrm>
          <a:off x="15022195" y="41513125"/>
          <a:ext cx="4889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631426</xdr:colOff>
      <xdr:row>67</xdr:row>
      <xdr:rowOff>191751</xdr:rowOff>
    </xdr:from>
    <xdr:to>
      <xdr:col>21</xdr:col>
      <xdr:colOff>44762</xdr:colOff>
      <xdr:row>67</xdr:row>
      <xdr:rowOff>193289</xdr:rowOff>
    </xdr:to>
    <xdr:cxnSp macro="">
      <xdr:nvCxnSpPr>
        <xdr:cNvPr id="271" name="Straight Connector 19">
          <a:extLst>
            <a:ext uri="{FF2B5EF4-FFF2-40B4-BE49-F238E27FC236}">
              <a16:creationId xmlns:a16="http://schemas.microsoft.com/office/drawing/2014/main" id="{00000000-0008-0000-0500-00000F010000}"/>
            </a:ext>
          </a:extLst>
        </xdr:cNvPr>
        <xdr:cNvCxnSpPr/>
      </xdr:nvCxnSpPr>
      <xdr:spPr>
        <a:xfrm>
          <a:off x="14954885" y="41886505"/>
          <a:ext cx="10731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292081</xdr:colOff>
      <xdr:row>70</xdr:row>
      <xdr:rowOff>304570</xdr:rowOff>
    </xdr:from>
    <xdr:to>
      <xdr:col>22</xdr:col>
      <xdr:colOff>18676</xdr:colOff>
      <xdr:row>70</xdr:row>
      <xdr:rowOff>304570</xdr:rowOff>
    </xdr:to>
    <xdr:cxnSp macro="">
      <xdr:nvCxnSpPr>
        <xdr:cNvPr id="284" name="Straight Connector 19">
          <a:extLst>
            <a:ext uri="{FF2B5EF4-FFF2-40B4-BE49-F238E27FC236}">
              <a16:creationId xmlns:a16="http://schemas.microsoft.com/office/drawing/2014/main" id="{00000000-0008-0000-0500-00001C010000}"/>
            </a:ext>
          </a:extLst>
        </xdr:cNvPr>
        <xdr:cNvCxnSpPr/>
      </xdr:nvCxnSpPr>
      <xdr:spPr>
        <a:xfrm>
          <a:off x="15309215" y="42862500"/>
          <a:ext cx="42100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61</xdr:row>
      <xdr:rowOff>0</xdr:rowOff>
    </xdr:from>
    <xdr:to>
      <xdr:col>18</xdr:col>
      <xdr:colOff>468820</xdr:colOff>
      <xdr:row>64</xdr:row>
      <xdr:rowOff>140805</xdr:rowOff>
    </xdr:to>
    <xdr:sp macro="" textlink="">
      <xdr:nvSpPr>
        <xdr:cNvPr id="6" name="TextBox 13">
          <a:extLst>
            <a:ext uri="{FF2B5EF4-FFF2-40B4-BE49-F238E27FC236}">
              <a16:creationId xmlns:a16="http://schemas.microsoft.com/office/drawing/2014/main" id="{00000000-0008-0000-0500-000006000000}"/>
            </a:ext>
          </a:extLst>
        </xdr:cNvPr>
        <xdr:cNvSpPr txBox="1"/>
      </xdr:nvSpPr>
      <xdr:spPr>
        <a:xfrm rot="16200000">
          <a:off x="9742170" y="37070665"/>
          <a:ext cx="712914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18</xdr:col>
      <xdr:colOff>273963</xdr:colOff>
      <xdr:row>65</xdr:row>
      <xdr:rowOff>16565</xdr:rowOff>
    </xdr:from>
    <xdr:to>
      <xdr:col>18</xdr:col>
      <xdr:colOff>468820</xdr:colOff>
      <xdr:row>79</xdr:row>
      <xdr:rowOff>140805</xdr:rowOff>
    </xdr:to>
    <xdr:sp macro="" textlink="">
      <xdr:nvSpPr>
        <xdr:cNvPr id="8" name="TextBox 13">
          <a:extLst>
            <a:ext uri="{FF2B5EF4-FFF2-40B4-BE49-F238E27FC236}">
              <a16:creationId xmlns:a16="http://schemas.microsoft.com/office/drawing/2014/main" id="{00000000-0008-0000-0500-000008000000}"/>
            </a:ext>
          </a:extLst>
        </xdr:cNvPr>
        <xdr:cNvSpPr txBox="1"/>
      </xdr:nvSpPr>
      <xdr:spPr>
        <a:xfrm rot="16200000">
          <a:off x="11089005" y="43096180"/>
          <a:ext cx="443547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18</xdr:col>
      <xdr:colOff>127000</xdr:colOff>
      <xdr:row>6</xdr:row>
      <xdr:rowOff>351118</xdr:rowOff>
    </xdr:from>
    <xdr:to>
      <xdr:col>18</xdr:col>
      <xdr:colOff>474090</xdr:colOff>
      <xdr:row>6</xdr:row>
      <xdr:rowOff>354679</xdr:rowOff>
    </xdr:to>
    <xdr:cxnSp macro="">
      <xdr:nvCxnSpPr>
        <xdr:cNvPr id="17" name="Straight Connector 57">
          <a:extLst>
            <a:ext uri="{FF2B5EF4-FFF2-40B4-BE49-F238E27FC236}">
              <a16:creationId xmlns:a16="http://schemas.microsoft.com/office/drawing/2014/main" id="{00000000-0008-0000-0500-000011000000}"/>
            </a:ext>
          </a:extLst>
        </xdr:cNvPr>
        <xdr:cNvCxnSpPr/>
      </xdr:nvCxnSpPr>
      <xdr:spPr>
        <a:xfrm>
          <a:off x="13062585" y="1924050"/>
          <a:ext cx="34671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160421</xdr:colOff>
      <xdr:row>7</xdr:row>
      <xdr:rowOff>280736</xdr:rowOff>
    </xdr:from>
    <xdr:to>
      <xdr:col>18</xdr:col>
      <xdr:colOff>429267</xdr:colOff>
      <xdr:row>7</xdr:row>
      <xdr:rowOff>287443</xdr:rowOff>
    </xdr:to>
    <xdr:cxnSp macro="">
      <xdr:nvCxnSpPr>
        <xdr:cNvPr id="18" name="Straight Connector 57">
          <a:extLst>
            <a:ext uri="{FF2B5EF4-FFF2-40B4-BE49-F238E27FC236}">
              <a16:creationId xmlns:a16="http://schemas.microsoft.com/office/drawing/2014/main" id="{00000000-0008-0000-0500-000012000000}"/>
            </a:ext>
          </a:extLst>
        </xdr:cNvPr>
        <xdr:cNvCxnSpPr/>
      </xdr:nvCxnSpPr>
      <xdr:spPr>
        <a:xfrm>
          <a:off x="13095605" y="2425700"/>
          <a:ext cx="269240" cy="635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541193</xdr:colOff>
      <xdr:row>9</xdr:row>
      <xdr:rowOff>328324</xdr:rowOff>
    </xdr:from>
    <xdr:to>
      <xdr:col>18</xdr:col>
      <xdr:colOff>591705</xdr:colOff>
      <xdr:row>9</xdr:row>
      <xdr:rowOff>329260</xdr:rowOff>
    </xdr:to>
    <xdr:cxnSp macro="">
      <xdr:nvCxnSpPr>
        <xdr:cNvPr id="22" name="Straight Connector 19">
          <a:extLst>
            <a:ext uri="{FF2B5EF4-FFF2-40B4-BE49-F238E27FC236}">
              <a16:creationId xmlns:a16="http://schemas.microsoft.com/office/drawing/2014/main" id="{00000000-0008-0000-0500-000016000000}"/>
            </a:ext>
          </a:extLst>
        </xdr:cNvPr>
        <xdr:cNvCxnSpPr/>
      </xdr:nvCxnSpPr>
      <xdr:spPr>
        <a:xfrm flipV="1">
          <a:off x="13476605" y="3616325"/>
          <a:ext cx="5016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554252</xdr:colOff>
      <xdr:row>10</xdr:row>
      <xdr:rowOff>298107</xdr:rowOff>
    </xdr:from>
    <xdr:to>
      <xdr:col>18</xdr:col>
      <xdr:colOff>604764</xdr:colOff>
      <xdr:row>10</xdr:row>
      <xdr:rowOff>299043</xdr:rowOff>
    </xdr:to>
    <xdr:cxnSp macro="">
      <xdr:nvCxnSpPr>
        <xdr:cNvPr id="24" name="Straight Connector 19">
          <a:extLst>
            <a:ext uri="{FF2B5EF4-FFF2-40B4-BE49-F238E27FC236}">
              <a16:creationId xmlns:a16="http://schemas.microsoft.com/office/drawing/2014/main" id="{00000000-0008-0000-0500-000018000000}"/>
            </a:ext>
          </a:extLst>
        </xdr:cNvPr>
        <xdr:cNvCxnSpPr/>
      </xdr:nvCxnSpPr>
      <xdr:spPr>
        <a:xfrm flipV="1">
          <a:off x="13489305" y="4157345"/>
          <a:ext cx="5080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492355</xdr:colOff>
      <xdr:row>13</xdr:row>
      <xdr:rowOff>273786</xdr:rowOff>
    </xdr:from>
    <xdr:to>
      <xdr:col>18</xdr:col>
      <xdr:colOff>559076</xdr:colOff>
      <xdr:row>13</xdr:row>
      <xdr:rowOff>276087</xdr:rowOff>
    </xdr:to>
    <xdr:cxnSp macro="">
      <xdr:nvCxnSpPr>
        <xdr:cNvPr id="29" name="Straight Connector 19">
          <a:extLst>
            <a:ext uri="{FF2B5EF4-FFF2-40B4-BE49-F238E27FC236}">
              <a16:creationId xmlns:a16="http://schemas.microsoft.com/office/drawing/2014/main" id="{00000000-0008-0000-0500-00001D000000}"/>
            </a:ext>
          </a:extLst>
        </xdr:cNvPr>
        <xdr:cNvCxnSpPr/>
      </xdr:nvCxnSpPr>
      <xdr:spPr>
        <a:xfrm>
          <a:off x="13427710" y="5904865"/>
          <a:ext cx="6667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543866</xdr:colOff>
      <xdr:row>14</xdr:row>
      <xdr:rowOff>311621</xdr:rowOff>
    </xdr:from>
    <xdr:to>
      <xdr:col>18</xdr:col>
      <xdr:colOff>610587</xdr:colOff>
      <xdr:row>14</xdr:row>
      <xdr:rowOff>313922</xdr:rowOff>
    </xdr:to>
    <xdr:cxnSp macro="">
      <xdr:nvCxnSpPr>
        <xdr:cNvPr id="33" name="Straight Connector 19">
          <a:extLst>
            <a:ext uri="{FF2B5EF4-FFF2-40B4-BE49-F238E27FC236}">
              <a16:creationId xmlns:a16="http://schemas.microsoft.com/office/drawing/2014/main" id="{00000000-0008-0000-0500-000021000000}"/>
            </a:ext>
          </a:extLst>
        </xdr:cNvPr>
        <xdr:cNvCxnSpPr/>
      </xdr:nvCxnSpPr>
      <xdr:spPr>
        <a:xfrm>
          <a:off x="13479145" y="6513830"/>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58697</xdr:colOff>
      <xdr:row>15</xdr:row>
      <xdr:rowOff>250798</xdr:rowOff>
    </xdr:from>
    <xdr:to>
      <xdr:col>19</xdr:col>
      <xdr:colOff>125418</xdr:colOff>
      <xdr:row>15</xdr:row>
      <xdr:rowOff>253099</xdr:rowOff>
    </xdr:to>
    <xdr:cxnSp macro="">
      <xdr:nvCxnSpPr>
        <xdr:cNvPr id="34" name="Straight Connector 19">
          <a:extLst>
            <a:ext uri="{FF2B5EF4-FFF2-40B4-BE49-F238E27FC236}">
              <a16:creationId xmlns:a16="http://schemas.microsoft.com/office/drawing/2014/main" id="{00000000-0008-0000-0500-000022000000}"/>
            </a:ext>
          </a:extLst>
        </xdr:cNvPr>
        <xdr:cNvCxnSpPr/>
      </xdr:nvCxnSpPr>
      <xdr:spPr>
        <a:xfrm>
          <a:off x="13688060" y="7024370"/>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531202</xdr:colOff>
      <xdr:row>18</xdr:row>
      <xdr:rowOff>259495</xdr:rowOff>
    </xdr:from>
    <xdr:to>
      <xdr:col>18</xdr:col>
      <xdr:colOff>597923</xdr:colOff>
      <xdr:row>18</xdr:row>
      <xdr:rowOff>261796</xdr:rowOff>
    </xdr:to>
    <xdr:cxnSp macro="">
      <xdr:nvCxnSpPr>
        <xdr:cNvPr id="36" name="Straight Connector 19">
          <a:extLst>
            <a:ext uri="{FF2B5EF4-FFF2-40B4-BE49-F238E27FC236}">
              <a16:creationId xmlns:a16="http://schemas.microsoft.com/office/drawing/2014/main" id="{00000000-0008-0000-0500-000024000000}"/>
            </a:ext>
          </a:extLst>
        </xdr:cNvPr>
        <xdr:cNvCxnSpPr/>
      </xdr:nvCxnSpPr>
      <xdr:spPr>
        <a:xfrm>
          <a:off x="13466445" y="8804910"/>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58058</xdr:colOff>
      <xdr:row>19</xdr:row>
      <xdr:rowOff>240206</xdr:rowOff>
    </xdr:from>
    <xdr:to>
      <xdr:col>19</xdr:col>
      <xdr:colOff>214045</xdr:colOff>
      <xdr:row>19</xdr:row>
      <xdr:rowOff>243214</xdr:rowOff>
    </xdr:to>
    <xdr:cxnSp macro="">
      <xdr:nvCxnSpPr>
        <xdr:cNvPr id="37" name="Straight Connector 19">
          <a:extLst>
            <a:ext uri="{FF2B5EF4-FFF2-40B4-BE49-F238E27FC236}">
              <a16:creationId xmlns:a16="http://schemas.microsoft.com/office/drawing/2014/main" id="{00000000-0008-0000-0500-000025000000}"/>
            </a:ext>
          </a:extLst>
        </xdr:cNvPr>
        <xdr:cNvCxnSpPr/>
      </xdr:nvCxnSpPr>
      <xdr:spPr>
        <a:xfrm flipV="1">
          <a:off x="13687425" y="9357360"/>
          <a:ext cx="15621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195146</xdr:colOff>
      <xdr:row>20</xdr:row>
      <xdr:rowOff>309756</xdr:rowOff>
    </xdr:from>
    <xdr:to>
      <xdr:col>19</xdr:col>
      <xdr:colOff>261867</xdr:colOff>
      <xdr:row>20</xdr:row>
      <xdr:rowOff>312057</xdr:rowOff>
    </xdr:to>
    <xdr:cxnSp macro="">
      <xdr:nvCxnSpPr>
        <xdr:cNvPr id="39" name="Straight Connector 19">
          <a:extLst>
            <a:ext uri="{FF2B5EF4-FFF2-40B4-BE49-F238E27FC236}">
              <a16:creationId xmlns:a16="http://schemas.microsoft.com/office/drawing/2014/main" id="{00000000-0008-0000-0500-000027000000}"/>
            </a:ext>
          </a:extLst>
        </xdr:cNvPr>
        <xdr:cNvCxnSpPr/>
      </xdr:nvCxnSpPr>
      <xdr:spPr>
        <a:xfrm>
          <a:off x="13824585" y="9998075"/>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593066</xdr:colOff>
      <xdr:row>23</xdr:row>
      <xdr:rowOff>281556</xdr:rowOff>
    </xdr:from>
    <xdr:to>
      <xdr:col>19</xdr:col>
      <xdr:colOff>155755</xdr:colOff>
      <xdr:row>23</xdr:row>
      <xdr:rowOff>281557</xdr:rowOff>
    </xdr:to>
    <xdr:cxnSp macro="">
      <xdr:nvCxnSpPr>
        <xdr:cNvPr id="41" name="Straight Connector 19">
          <a:extLst>
            <a:ext uri="{FF2B5EF4-FFF2-40B4-BE49-F238E27FC236}">
              <a16:creationId xmlns:a16="http://schemas.microsoft.com/office/drawing/2014/main" id="{00000000-0008-0000-0500-000029000000}"/>
            </a:ext>
          </a:extLst>
        </xdr:cNvPr>
        <xdr:cNvCxnSpPr/>
      </xdr:nvCxnSpPr>
      <xdr:spPr>
        <a:xfrm>
          <a:off x="13528040" y="11741785"/>
          <a:ext cx="2571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163742</xdr:colOff>
      <xdr:row>24</xdr:row>
      <xdr:rowOff>299528</xdr:rowOff>
    </xdr:from>
    <xdr:to>
      <xdr:col>19</xdr:col>
      <xdr:colOff>319729</xdr:colOff>
      <xdr:row>24</xdr:row>
      <xdr:rowOff>302536</xdr:rowOff>
    </xdr:to>
    <xdr:cxnSp macro="">
      <xdr:nvCxnSpPr>
        <xdr:cNvPr id="43" name="Straight Connector 19">
          <a:extLst>
            <a:ext uri="{FF2B5EF4-FFF2-40B4-BE49-F238E27FC236}">
              <a16:creationId xmlns:a16="http://schemas.microsoft.com/office/drawing/2014/main" id="{00000000-0008-0000-0500-00002B000000}"/>
            </a:ext>
          </a:extLst>
        </xdr:cNvPr>
        <xdr:cNvCxnSpPr/>
      </xdr:nvCxnSpPr>
      <xdr:spPr>
        <a:xfrm flipV="1">
          <a:off x="13792835" y="12331065"/>
          <a:ext cx="15621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294268</xdr:colOff>
      <xdr:row>25</xdr:row>
      <xdr:rowOff>305884</xdr:rowOff>
    </xdr:from>
    <xdr:to>
      <xdr:col>19</xdr:col>
      <xdr:colOff>360989</xdr:colOff>
      <xdr:row>25</xdr:row>
      <xdr:rowOff>308185</xdr:rowOff>
    </xdr:to>
    <xdr:cxnSp macro="">
      <xdr:nvCxnSpPr>
        <xdr:cNvPr id="44" name="Straight Connector 19">
          <a:extLst>
            <a:ext uri="{FF2B5EF4-FFF2-40B4-BE49-F238E27FC236}">
              <a16:creationId xmlns:a16="http://schemas.microsoft.com/office/drawing/2014/main" id="{00000000-0008-0000-0500-00002C000000}"/>
            </a:ext>
          </a:extLst>
        </xdr:cNvPr>
        <xdr:cNvCxnSpPr/>
      </xdr:nvCxnSpPr>
      <xdr:spPr>
        <a:xfrm>
          <a:off x="13923645" y="12908915"/>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564006</xdr:colOff>
      <xdr:row>27</xdr:row>
      <xdr:rowOff>299751</xdr:rowOff>
    </xdr:from>
    <xdr:to>
      <xdr:col>19</xdr:col>
      <xdr:colOff>51273</xdr:colOff>
      <xdr:row>27</xdr:row>
      <xdr:rowOff>299751</xdr:rowOff>
    </xdr:to>
    <xdr:cxnSp macro="">
      <xdr:nvCxnSpPr>
        <xdr:cNvPr id="46" name="Straight Connector 19">
          <a:extLst>
            <a:ext uri="{FF2B5EF4-FFF2-40B4-BE49-F238E27FC236}">
              <a16:creationId xmlns:a16="http://schemas.microsoft.com/office/drawing/2014/main" id="{00000000-0008-0000-0500-00002E000000}"/>
            </a:ext>
          </a:extLst>
        </xdr:cNvPr>
        <xdr:cNvCxnSpPr/>
      </xdr:nvCxnSpPr>
      <xdr:spPr>
        <a:xfrm>
          <a:off x="13499465" y="14103350"/>
          <a:ext cx="1809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103961</xdr:colOff>
      <xdr:row>28</xdr:row>
      <xdr:rowOff>261305</xdr:rowOff>
    </xdr:from>
    <xdr:to>
      <xdr:col>19</xdr:col>
      <xdr:colOff>226228</xdr:colOff>
      <xdr:row>28</xdr:row>
      <xdr:rowOff>261305</xdr:rowOff>
    </xdr:to>
    <xdr:cxnSp macro="">
      <xdr:nvCxnSpPr>
        <xdr:cNvPr id="48" name="Straight Connector 19">
          <a:extLst>
            <a:ext uri="{FF2B5EF4-FFF2-40B4-BE49-F238E27FC236}">
              <a16:creationId xmlns:a16="http://schemas.microsoft.com/office/drawing/2014/main" id="{00000000-0008-0000-0500-000030000000}"/>
            </a:ext>
          </a:extLst>
        </xdr:cNvPr>
        <xdr:cNvCxnSpPr/>
      </xdr:nvCxnSpPr>
      <xdr:spPr>
        <a:xfrm>
          <a:off x="13733145" y="1463611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245463</xdr:colOff>
      <xdr:row>29</xdr:row>
      <xdr:rowOff>272143</xdr:rowOff>
    </xdr:from>
    <xdr:to>
      <xdr:col>19</xdr:col>
      <xdr:colOff>367730</xdr:colOff>
      <xdr:row>29</xdr:row>
      <xdr:rowOff>272143</xdr:rowOff>
    </xdr:to>
    <xdr:cxnSp macro="">
      <xdr:nvCxnSpPr>
        <xdr:cNvPr id="49" name="Straight Connector 19">
          <a:extLst>
            <a:ext uri="{FF2B5EF4-FFF2-40B4-BE49-F238E27FC236}">
              <a16:creationId xmlns:a16="http://schemas.microsoft.com/office/drawing/2014/main" id="{00000000-0008-0000-0500-000031000000}"/>
            </a:ext>
          </a:extLst>
        </xdr:cNvPr>
        <xdr:cNvCxnSpPr/>
      </xdr:nvCxnSpPr>
      <xdr:spPr>
        <a:xfrm>
          <a:off x="13874750" y="1521841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125905</xdr:colOff>
      <xdr:row>32</xdr:row>
      <xdr:rowOff>229914</xdr:rowOff>
    </xdr:from>
    <xdr:to>
      <xdr:col>19</xdr:col>
      <xdr:colOff>248172</xdr:colOff>
      <xdr:row>32</xdr:row>
      <xdr:rowOff>229914</xdr:rowOff>
    </xdr:to>
    <xdr:cxnSp macro="">
      <xdr:nvCxnSpPr>
        <xdr:cNvPr id="50" name="Straight Connector 19">
          <a:extLst>
            <a:ext uri="{FF2B5EF4-FFF2-40B4-BE49-F238E27FC236}">
              <a16:creationId xmlns:a16="http://schemas.microsoft.com/office/drawing/2014/main" id="{00000000-0008-0000-0500-000032000000}"/>
            </a:ext>
          </a:extLst>
        </xdr:cNvPr>
        <xdr:cNvCxnSpPr/>
      </xdr:nvCxnSpPr>
      <xdr:spPr>
        <a:xfrm>
          <a:off x="13755370" y="1694815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202543</xdr:colOff>
      <xdr:row>33</xdr:row>
      <xdr:rowOff>251810</xdr:rowOff>
    </xdr:from>
    <xdr:to>
      <xdr:col>19</xdr:col>
      <xdr:colOff>324810</xdr:colOff>
      <xdr:row>33</xdr:row>
      <xdr:rowOff>251810</xdr:rowOff>
    </xdr:to>
    <xdr:cxnSp macro="">
      <xdr:nvCxnSpPr>
        <xdr:cNvPr id="51" name="Straight Connector 19">
          <a:extLst>
            <a:ext uri="{FF2B5EF4-FFF2-40B4-BE49-F238E27FC236}">
              <a16:creationId xmlns:a16="http://schemas.microsoft.com/office/drawing/2014/main" id="{00000000-0008-0000-0500-000033000000}"/>
            </a:ext>
          </a:extLst>
        </xdr:cNvPr>
        <xdr:cNvCxnSpPr/>
      </xdr:nvCxnSpPr>
      <xdr:spPr>
        <a:xfrm>
          <a:off x="13831570" y="1754124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383190</xdr:colOff>
      <xdr:row>34</xdr:row>
      <xdr:rowOff>273707</xdr:rowOff>
    </xdr:from>
    <xdr:to>
      <xdr:col>19</xdr:col>
      <xdr:colOff>505457</xdr:colOff>
      <xdr:row>34</xdr:row>
      <xdr:rowOff>273707</xdr:rowOff>
    </xdr:to>
    <xdr:cxnSp macro="">
      <xdr:nvCxnSpPr>
        <xdr:cNvPr id="52" name="Straight Connector 19">
          <a:extLst>
            <a:ext uri="{FF2B5EF4-FFF2-40B4-BE49-F238E27FC236}">
              <a16:creationId xmlns:a16="http://schemas.microsoft.com/office/drawing/2014/main" id="{00000000-0008-0000-0500-000034000000}"/>
            </a:ext>
          </a:extLst>
        </xdr:cNvPr>
        <xdr:cNvCxnSpPr/>
      </xdr:nvCxnSpPr>
      <xdr:spPr>
        <a:xfrm>
          <a:off x="14012545" y="1813496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176622</xdr:colOff>
      <xdr:row>37</xdr:row>
      <xdr:rowOff>243907</xdr:rowOff>
    </xdr:from>
    <xdr:to>
      <xdr:col>19</xdr:col>
      <xdr:colOff>378477</xdr:colOff>
      <xdr:row>37</xdr:row>
      <xdr:rowOff>243908</xdr:rowOff>
    </xdr:to>
    <xdr:cxnSp macro="">
      <xdr:nvCxnSpPr>
        <xdr:cNvPr id="53" name="Straight Connector 19">
          <a:extLst>
            <a:ext uri="{FF2B5EF4-FFF2-40B4-BE49-F238E27FC236}">
              <a16:creationId xmlns:a16="http://schemas.microsoft.com/office/drawing/2014/main" id="{00000000-0008-0000-0500-000035000000}"/>
            </a:ext>
          </a:extLst>
        </xdr:cNvPr>
        <xdr:cNvCxnSpPr/>
      </xdr:nvCxnSpPr>
      <xdr:spPr>
        <a:xfrm flipV="1">
          <a:off x="13806170" y="19876770"/>
          <a:ext cx="2019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259366</xdr:colOff>
      <xdr:row>38</xdr:row>
      <xdr:rowOff>295141</xdr:rowOff>
    </xdr:from>
    <xdr:to>
      <xdr:col>19</xdr:col>
      <xdr:colOff>461221</xdr:colOff>
      <xdr:row>38</xdr:row>
      <xdr:rowOff>295142</xdr:rowOff>
    </xdr:to>
    <xdr:cxnSp macro="">
      <xdr:nvCxnSpPr>
        <xdr:cNvPr id="55" name="Straight Connector 19">
          <a:extLst>
            <a:ext uri="{FF2B5EF4-FFF2-40B4-BE49-F238E27FC236}">
              <a16:creationId xmlns:a16="http://schemas.microsoft.com/office/drawing/2014/main" id="{00000000-0008-0000-0500-000037000000}"/>
            </a:ext>
          </a:extLst>
        </xdr:cNvPr>
        <xdr:cNvCxnSpPr/>
      </xdr:nvCxnSpPr>
      <xdr:spPr>
        <a:xfrm flipV="1">
          <a:off x="13888720" y="20499070"/>
          <a:ext cx="2019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327742</xdr:colOff>
      <xdr:row>42</xdr:row>
      <xdr:rowOff>317500</xdr:rowOff>
    </xdr:from>
    <xdr:to>
      <xdr:col>19</xdr:col>
      <xdr:colOff>526448</xdr:colOff>
      <xdr:row>42</xdr:row>
      <xdr:rowOff>320037</xdr:rowOff>
    </xdr:to>
    <xdr:cxnSp macro="">
      <xdr:nvCxnSpPr>
        <xdr:cNvPr id="57" name="Straight Connector 19">
          <a:extLst>
            <a:ext uri="{FF2B5EF4-FFF2-40B4-BE49-F238E27FC236}">
              <a16:creationId xmlns:a16="http://schemas.microsoft.com/office/drawing/2014/main" id="{00000000-0008-0000-0500-000039000000}"/>
            </a:ext>
          </a:extLst>
        </xdr:cNvPr>
        <xdr:cNvCxnSpPr/>
      </xdr:nvCxnSpPr>
      <xdr:spPr>
        <a:xfrm flipV="1">
          <a:off x="13957300" y="22865080"/>
          <a:ext cx="19875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476250</xdr:colOff>
      <xdr:row>43</xdr:row>
      <xdr:rowOff>285750</xdr:rowOff>
    </xdr:from>
    <xdr:to>
      <xdr:col>19</xdr:col>
      <xdr:colOff>628049</xdr:colOff>
      <xdr:row>43</xdr:row>
      <xdr:rowOff>287603</xdr:rowOff>
    </xdr:to>
    <xdr:cxnSp macro="">
      <xdr:nvCxnSpPr>
        <xdr:cNvPr id="58" name="Straight Connector 19">
          <a:extLst>
            <a:ext uri="{FF2B5EF4-FFF2-40B4-BE49-F238E27FC236}">
              <a16:creationId xmlns:a16="http://schemas.microsoft.com/office/drawing/2014/main" id="{00000000-0008-0000-0500-00003A000000}"/>
            </a:ext>
          </a:extLst>
        </xdr:cNvPr>
        <xdr:cNvCxnSpPr/>
      </xdr:nvCxnSpPr>
      <xdr:spPr>
        <a:xfrm flipV="1">
          <a:off x="14105890" y="23404830"/>
          <a:ext cx="15176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485588</xdr:colOff>
      <xdr:row>57</xdr:row>
      <xdr:rowOff>298824</xdr:rowOff>
    </xdr:from>
    <xdr:to>
      <xdr:col>19</xdr:col>
      <xdr:colOff>127000</xdr:colOff>
      <xdr:row>57</xdr:row>
      <xdr:rowOff>306294</xdr:rowOff>
    </xdr:to>
    <xdr:cxnSp macro="">
      <xdr:nvCxnSpPr>
        <xdr:cNvPr id="63" name="Straight Connector 19">
          <a:extLst>
            <a:ext uri="{FF2B5EF4-FFF2-40B4-BE49-F238E27FC236}">
              <a16:creationId xmlns:a16="http://schemas.microsoft.com/office/drawing/2014/main" id="{00000000-0008-0000-0500-00003F000000}"/>
            </a:ext>
          </a:extLst>
        </xdr:cNvPr>
        <xdr:cNvCxnSpPr/>
      </xdr:nvCxnSpPr>
      <xdr:spPr>
        <a:xfrm>
          <a:off x="13420725" y="31589980"/>
          <a:ext cx="335915" cy="762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362324</xdr:colOff>
      <xdr:row>58</xdr:row>
      <xdr:rowOff>272677</xdr:rowOff>
    </xdr:from>
    <xdr:to>
      <xdr:col>18</xdr:col>
      <xdr:colOff>487785</xdr:colOff>
      <xdr:row>58</xdr:row>
      <xdr:rowOff>275905</xdr:rowOff>
    </xdr:to>
    <xdr:cxnSp macro="">
      <xdr:nvCxnSpPr>
        <xdr:cNvPr id="65" name="Straight Connector 2">
          <a:extLst>
            <a:ext uri="{FF2B5EF4-FFF2-40B4-BE49-F238E27FC236}">
              <a16:creationId xmlns:a16="http://schemas.microsoft.com/office/drawing/2014/main" id="{00000000-0008-0000-0500-000041000000}"/>
            </a:ext>
          </a:extLst>
        </xdr:cNvPr>
        <xdr:cNvCxnSpPr/>
      </xdr:nvCxnSpPr>
      <xdr:spPr>
        <a:xfrm>
          <a:off x="13297535" y="32135445"/>
          <a:ext cx="12573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481852</xdr:colOff>
      <xdr:row>58</xdr:row>
      <xdr:rowOff>276412</xdr:rowOff>
    </xdr:from>
    <xdr:to>
      <xdr:col>19</xdr:col>
      <xdr:colOff>123264</xdr:colOff>
      <xdr:row>58</xdr:row>
      <xdr:rowOff>283882</xdr:rowOff>
    </xdr:to>
    <xdr:cxnSp macro="">
      <xdr:nvCxnSpPr>
        <xdr:cNvPr id="67" name="Straight Connector 19">
          <a:extLst>
            <a:ext uri="{FF2B5EF4-FFF2-40B4-BE49-F238E27FC236}">
              <a16:creationId xmlns:a16="http://schemas.microsoft.com/office/drawing/2014/main" id="{00000000-0008-0000-0500-000043000000}"/>
            </a:ext>
          </a:extLst>
        </xdr:cNvPr>
        <xdr:cNvCxnSpPr/>
      </xdr:nvCxnSpPr>
      <xdr:spPr>
        <a:xfrm>
          <a:off x="13416915" y="32139255"/>
          <a:ext cx="335915" cy="762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366059</xdr:colOff>
      <xdr:row>59</xdr:row>
      <xdr:rowOff>216647</xdr:rowOff>
    </xdr:from>
    <xdr:to>
      <xdr:col>18</xdr:col>
      <xdr:colOff>491520</xdr:colOff>
      <xdr:row>59</xdr:row>
      <xdr:rowOff>219875</xdr:rowOff>
    </xdr:to>
    <xdr:cxnSp macro="">
      <xdr:nvCxnSpPr>
        <xdr:cNvPr id="69" name="Straight Connector 2">
          <a:extLst>
            <a:ext uri="{FF2B5EF4-FFF2-40B4-BE49-F238E27FC236}">
              <a16:creationId xmlns:a16="http://schemas.microsoft.com/office/drawing/2014/main" id="{00000000-0008-0000-0500-000045000000}"/>
            </a:ext>
          </a:extLst>
        </xdr:cNvPr>
        <xdr:cNvCxnSpPr/>
      </xdr:nvCxnSpPr>
      <xdr:spPr>
        <a:xfrm>
          <a:off x="13301345" y="32632015"/>
          <a:ext cx="12573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91065</xdr:colOff>
      <xdr:row>61</xdr:row>
      <xdr:rowOff>467636</xdr:rowOff>
    </xdr:from>
    <xdr:to>
      <xdr:col>21</xdr:col>
      <xdr:colOff>213239</xdr:colOff>
      <xdr:row>61</xdr:row>
      <xdr:rowOff>467636</xdr:rowOff>
    </xdr:to>
    <xdr:cxnSp macro="">
      <xdr:nvCxnSpPr>
        <xdr:cNvPr id="79" name="Straight Connector 19">
          <a:extLst>
            <a:ext uri="{FF2B5EF4-FFF2-40B4-BE49-F238E27FC236}">
              <a16:creationId xmlns:a16="http://schemas.microsoft.com/office/drawing/2014/main" id="{00000000-0008-0000-0500-00004F000000}"/>
            </a:ext>
          </a:extLst>
        </xdr:cNvPr>
        <xdr:cNvCxnSpPr/>
      </xdr:nvCxnSpPr>
      <xdr:spPr>
        <a:xfrm>
          <a:off x="15108555" y="3954907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7938</xdr:colOff>
      <xdr:row>69</xdr:row>
      <xdr:rowOff>230188</xdr:rowOff>
    </xdr:from>
    <xdr:to>
      <xdr:col>20</xdr:col>
      <xdr:colOff>276606</xdr:colOff>
      <xdr:row>69</xdr:row>
      <xdr:rowOff>240562</xdr:rowOff>
    </xdr:to>
    <xdr:cxnSp macro="">
      <xdr:nvCxnSpPr>
        <xdr:cNvPr id="81" name="Straight Connector 19">
          <a:extLst>
            <a:ext uri="{FF2B5EF4-FFF2-40B4-BE49-F238E27FC236}">
              <a16:creationId xmlns:a16="http://schemas.microsoft.com/office/drawing/2014/main" id="{00000000-0008-0000-0500-000051000000}"/>
            </a:ext>
          </a:extLst>
        </xdr:cNvPr>
        <xdr:cNvCxnSpPr/>
      </xdr:nvCxnSpPr>
      <xdr:spPr>
        <a:xfrm flipV="1">
          <a:off x="13637260" y="42350055"/>
          <a:ext cx="962660" cy="1016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480919</xdr:colOff>
      <xdr:row>72</xdr:row>
      <xdr:rowOff>224117</xdr:rowOff>
    </xdr:from>
    <xdr:to>
      <xdr:col>19</xdr:col>
      <xdr:colOff>207514</xdr:colOff>
      <xdr:row>72</xdr:row>
      <xdr:rowOff>224117</xdr:rowOff>
    </xdr:to>
    <xdr:cxnSp macro="">
      <xdr:nvCxnSpPr>
        <xdr:cNvPr id="86" name="Straight Connector 19">
          <a:extLst>
            <a:ext uri="{FF2B5EF4-FFF2-40B4-BE49-F238E27FC236}">
              <a16:creationId xmlns:a16="http://schemas.microsoft.com/office/drawing/2014/main" id="{00000000-0008-0000-0500-000056000000}"/>
            </a:ext>
          </a:extLst>
        </xdr:cNvPr>
        <xdr:cNvCxnSpPr/>
      </xdr:nvCxnSpPr>
      <xdr:spPr>
        <a:xfrm>
          <a:off x="13416280" y="43420030"/>
          <a:ext cx="4203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135405</xdr:colOff>
      <xdr:row>73</xdr:row>
      <xdr:rowOff>210111</xdr:rowOff>
    </xdr:from>
    <xdr:to>
      <xdr:col>19</xdr:col>
      <xdr:colOff>497000</xdr:colOff>
      <xdr:row>73</xdr:row>
      <xdr:rowOff>210111</xdr:rowOff>
    </xdr:to>
    <xdr:cxnSp macro="">
      <xdr:nvCxnSpPr>
        <xdr:cNvPr id="89" name="Straight Connector 19">
          <a:extLst>
            <a:ext uri="{FF2B5EF4-FFF2-40B4-BE49-F238E27FC236}">
              <a16:creationId xmlns:a16="http://schemas.microsoft.com/office/drawing/2014/main" id="{00000000-0008-0000-0500-000059000000}"/>
            </a:ext>
          </a:extLst>
        </xdr:cNvPr>
        <xdr:cNvCxnSpPr/>
      </xdr:nvCxnSpPr>
      <xdr:spPr>
        <a:xfrm>
          <a:off x="13764895" y="43863260"/>
          <a:ext cx="3613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572745</xdr:colOff>
      <xdr:row>76</xdr:row>
      <xdr:rowOff>174314</xdr:rowOff>
    </xdr:from>
    <xdr:to>
      <xdr:col>22</xdr:col>
      <xdr:colOff>0</xdr:colOff>
      <xdr:row>76</xdr:row>
      <xdr:rowOff>174314</xdr:rowOff>
    </xdr:to>
    <xdr:cxnSp macro="">
      <xdr:nvCxnSpPr>
        <xdr:cNvPr id="90" name="Straight Connector 19">
          <a:extLst>
            <a:ext uri="{FF2B5EF4-FFF2-40B4-BE49-F238E27FC236}">
              <a16:creationId xmlns:a16="http://schemas.microsoft.com/office/drawing/2014/main" id="{00000000-0008-0000-0500-00005A000000}"/>
            </a:ext>
          </a:extLst>
        </xdr:cNvPr>
        <xdr:cNvCxnSpPr/>
      </xdr:nvCxnSpPr>
      <xdr:spPr>
        <a:xfrm>
          <a:off x="14895830" y="44342050"/>
          <a:ext cx="8159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273922</xdr:colOff>
      <xdr:row>77</xdr:row>
      <xdr:rowOff>168089</xdr:rowOff>
    </xdr:from>
    <xdr:to>
      <xdr:col>22</xdr:col>
      <xdr:colOff>0</xdr:colOff>
      <xdr:row>77</xdr:row>
      <xdr:rowOff>168089</xdr:rowOff>
    </xdr:to>
    <xdr:cxnSp macro="">
      <xdr:nvCxnSpPr>
        <xdr:cNvPr id="93" name="Straight Connector 19">
          <a:extLst>
            <a:ext uri="{FF2B5EF4-FFF2-40B4-BE49-F238E27FC236}">
              <a16:creationId xmlns:a16="http://schemas.microsoft.com/office/drawing/2014/main" id="{00000000-0008-0000-0500-00005D000000}"/>
            </a:ext>
          </a:extLst>
        </xdr:cNvPr>
        <xdr:cNvCxnSpPr/>
      </xdr:nvCxnSpPr>
      <xdr:spPr>
        <a:xfrm>
          <a:off x="15291435" y="44703365"/>
          <a:ext cx="4203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429559</xdr:colOff>
      <xdr:row>78</xdr:row>
      <xdr:rowOff>180540</xdr:rowOff>
    </xdr:from>
    <xdr:to>
      <xdr:col>22</xdr:col>
      <xdr:colOff>0</xdr:colOff>
      <xdr:row>78</xdr:row>
      <xdr:rowOff>180540</xdr:rowOff>
    </xdr:to>
    <xdr:cxnSp macro="">
      <xdr:nvCxnSpPr>
        <xdr:cNvPr id="95" name="Straight Connector 19">
          <a:extLst>
            <a:ext uri="{FF2B5EF4-FFF2-40B4-BE49-F238E27FC236}">
              <a16:creationId xmlns:a16="http://schemas.microsoft.com/office/drawing/2014/main" id="{00000000-0008-0000-0500-00005F000000}"/>
            </a:ext>
          </a:extLst>
        </xdr:cNvPr>
        <xdr:cNvCxnSpPr/>
      </xdr:nvCxnSpPr>
      <xdr:spPr>
        <a:xfrm>
          <a:off x="15447010" y="45083730"/>
          <a:ext cx="2647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75</xdr:row>
      <xdr:rowOff>191267</xdr:rowOff>
    </xdr:from>
    <xdr:to>
      <xdr:col>22</xdr:col>
      <xdr:colOff>821</xdr:colOff>
      <xdr:row>75</xdr:row>
      <xdr:rowOff>191267</xdr:rowOff>
    </xdr:to>
    <xdr:cxnSp macro="">
      <xdr:nvCxnSpPr>
        <xdr:cNvPr id="2" name="Straight Connector 19">
          <a:extLst>
            <a:ext uri="{FF2B5EF4-FFF2-40B4-BE49-F238E27FC236}">
              <a16:creationId xmlns:a16="http://schemas.microsoft.com/office/drawing/2014/main" id="{F39DF8D4-9928-4C96-AFD9-C587B9CD201E}"/>
            </a:ext>
            <a:ext uri="{147F2762-F138-4A5C-976F-8EAC2B608ADB}">
              <a16:predDERef xmlns:a16="http://schemas.microsoft.com/office/drawing/2014/main" pred="{00000000-0008-0000-0500-00005F000000}"/>
            </a:ext>
          </a:extLst>
        </xdr:cNvPr>
        <xdr:cNvCxnSpPr/>
      </xdr:nvCxnSpPr>
      <xdr:spPr>
        <a:xfrm>
          <a:off x="14240532" y="43253792"/>
          <a:ext cx="1181264"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6569</xdr:colOff>
      <xdr:row>78</xdr:row>
      <xdr:rowOff>198929</xdr:rowOff>
    </xdr:from>
    <xdr:to>
      <xdr:col>22</xdr:col>
      <xdr:colOff>1915</xdr:colOff>
      <xdr:row>78</xdr:row>
      <xdr:rowOff>198929</xdr:rowOff>
    </xdr:to>
    <xdr:cxnSp macro="">
      <xdr:nvCxnSpPr>
        <xdr:cNvPr id="9" name="Straight Connector 19">
          <a:extLst>
            <a:ext uri="{FF2B5EF4-FFF2-40B4-BE49-F238E27FC236}">
              <a16:creationId xmlns:a16="http://schemas.microsoft.com/office/drawing/2014/main" id="{DCF09504-5A2D-47DD-A4D5-E97AD34F99FD}"/>
            </a:ext>
            <a:ext uri="{147F2762-F138-4A5C-976F-8EAC2B608ADB}">
              <a16:predDERef xmlns:a16="http://schemas.microsoft.com/office/drawing/2014/main" pred="{F39DF8D4-9928-4C96-AFD9-C587B9CD201E}"/>
            </a:ext>
          </a:extLst>
        </xdr:cNvPr>
        <xdr:cNvCxnSpPr/>
      </xdr:nvCxnSpPr>
      <xdr:spPr>
        <a:xfrm>
          <a:off x="17675444" y="34231754"/>
          <a:ext cx="690671"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Master%20Sheet"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alfanargroup-my.sharepoint.com/personal/ahmed_abdelzaher_alfanar_com/Documents/SDCC%20-%20Migration%20,%20E2E%20&amp;%20SAT%20Plan.xlsx" TargetMode="External"/><Relationship Id="rId1" Type="http://schemas.openxmlformats.org/officeDocument/2006/relationships/externalLinkPath" Target="SDCC%20-%20Migration%20,%20E2E%20&amp;%20SAT%20Pla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ster Sheet"/>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DINAH Migration Plan"/>
      <sheetName val="Progress Summary"/>
      <sheetName val="Summary Dates"/>
      <sheetName val="Sheet1"/>
      <sheetName val="ABHA Migration Plan"/>
      <sheetName val="MADINAH Migration Plan-"/>
      <sheetName val="Jeddah Migration Plan"/>
      <sheetName val="Makkah Migration Plan"/>
      <sheetName val="Jizan Migration Plan"/>
    </sheetNames>
    <sheetDataSet>
      <sheetData sheetId="0"/>
      <sheetData sheetId="1"/>
      <sheetData sheetId="2"/>
      <sheetData sheetId="3"/>
      <sheetData sheetId="4">
        <row r="2">
          <cell r="E2" t="str">
            <v>Planned Start</v>
          </cell>
          <cell r="F2" t="str">
            <v>Planned Finish</v>
          </cell>
        </row>
        <row r="3">
          <cell r="F3" t="str">
            <v>Completed</v>
          </cell>
        </row>
        <row r="5">
          <cell r="E5">
            <v>46148</v>
          </cell>
          <cell r="F5">
            <v>46175</v>
          </cell>
          <cell r="Y5" t="str">
            <v>Batch 01</v>
          </cell>
        </row>
        <row r="6">
          <cell r="E6">
            <v>46176</v>
          </cell>
          <cell r="F6">
            <v>46181</v>
          </cell>
          <cell r="Y6" t="str">
            <v>Batch 01</v>
          </cell>
        </row>
        <row r="7">
          <cell r="E7" t="str">
            <v>Started</v>
          </cell>
          <cell r="F7">
            <v>46201</v>
          </cell>
        </row>
        <row r="8">
          <cell r="E8">
            <v>46202</v>
          </cell>
          <cell r="F8">
            <v>46203</v>
          </cell>
          <cell r="Y8" t="str">
            <v>Batch 01</v>
          </cell>
        </row>
        <row r="9">
          <cell r="E9">
            <v>46204</v>
          </cell>
          <cell r="F9">
            <v>46205</v>
          </cell>
          <cell r="Y9" t="str">
            <v>Batch 01</v>
          </cell>
        </row>
        <row r="10">
          <cell r="E10">
            <v>46205</v>
          </cell>
          <cell r="F10">
            <v>46205</v>
          </cell>
          <cell r="Y10" t="str">
            <v>Batch 01</v>
          </cell>
        </row>
        <row r="12">
          <cell r="E12">
            <v>46164</v>
          </cell>
          <cell r="F12">
            <v>46179</v>
          </cell>
          <cell r="Y12" t="str">
            <v>Batch 02</v>
          </cell>
        </row>
        <row r="13">
          <cell r="E13">
            <v>46182</v>
          </cell>
          <cell r="F13">
            <v>46186</v>
          </cell>
          <cell r="Y13" t="str">
            <v>Batch 02</v>
          </cell>
        </row>
        <row r="14">
          <cell r="E14">
            <v>46204</v>
          </cell>
          <cell r="F14">
            <v>46209</v>
          </cell>
          <cell r="Y14" t="str">
            <v>Batch 02</v>
          </cell>
        </row>
        <row r="15">
          <cell r="E15">
            <v>46210</v>
          </cell>
          <cell r="F15">
            <v>46211</v>
          </cell>
          <cell r="Y15" t="str">
            <v>Batch 02</v>
          </cell>
        </row>
        <row r="16">
          <cell r="E16">
            <v>46211</v>
          </cell>
          <cell r="F16">
            <v>46211</v>
          </cell>
          <cell r="Y16" t="str">
            <v>Batch 02</v>
          </cell>
        </row>
        <row r="18">
          <cell r="E18">
            <v>46180</v>
          </cell>
          <cell r="F18">
            <v>46186</v>
          </cell>
          <cell r="Y18" t="str">
            <v>Batch 03</v>
          </cell>
        </row>
        <row r="19">
          <cell r="E19">
            <v>46187</v>
          </cell>
          <cell r="F19">
            <v>46190</v>
          </cell>
          <cell r="Y19" t="str">
            <v>Batch 03</v>
          </cell>
        </row>
        <row r="20">
          <cell r="E20">
            <v>46210</v>
          </cell>
          <cell r="F20">
            <v>46216</v>
          </cell>
          <cell r="Y20" t="str">
            <v>Batch 03</v>
          </cell>
        </row>
        <row r="21">
          <cell r="E21">
            <v>46217</v>
          </cell>
          <cell r="F21">
            <v>46218</v>
          </cell>
          <cell r="Y21" t="str">
            <v>Batch 03</v>
          </cell>
        </row>
        <row r="22">
          <cell r="E22">
            <v>46218</v>
          </cell>
          <cell r="F22">
            <v>46218</v>
          </cell>
          <cell r="Y22" t="str">
            <v>Batch 03</v>
          </cell>
        </row>
        <row r="24">
          <cell r="E24">
            <v>46187</v>
          </cell>
          <cell r="F24">
            <v>46194</v>
          </cell>
          <cell r="Y24" t="str">
            <v>Batch 04</v>
          </cell>
        </row>
        <row r="25">
          <cell r="E25">
            <v>46193</v>
          </cell>
          <cell r="F25">
            <v>46196</v>
          </cell>
          <cell r="Y25" t="str">
            <v>Batch 04</v>
          </cell>
        </row>
        <row r="26">
          <cell r="E26">
            <v>46217</v>
          </cell>
          <cell r="F26">
            <v>46224</v>
          </cell>
          <cell r="Y26" t="str">
            <v>Batch 04</v>
          </cell>
        </row>
        <row r="27">
          <cell r="E27">
            <v>46225</v>
          </cell>
          <cell r="F27">
            <v>46226</v>
          </cell>
          <cell r="Y27" t="str">
            <v>Batch 04</v>
          </cell>
        </row>
        <row r="28">
          <cell r="E28">
            <v>46226</v>
          </cell>
          <cell r="F28">
            <v>46226</v>
          </cell>
          <cell r="Y28" t="str">
            <v>Batch 04</v>
          </cell>
        </row>
        <row r="30">
          <cell r="E30">
            <v>46195</v>
          </cell>
          <cell r="F30">
            <v>46202</v>
          </cell>
          <cell r="Y30" t="str">
            <v>Batch 05</v>
          </cell>
        </row>
        <row r="31">
          <cell r="E31">
            <v>46201</v>
          </cell>
          <cell r="F31">
            <v>46204</v>
          </cell>
          <cell r="Y31" t="str">
            <v>Batch 05</v>
          </cell>
        </row>
        <row r="32">
          <cell r="E32">
            <v>46225</v>
          </cell>
          <cell r="F32">
            <v>46232</v>
          </cell>
          <cell r="Y32" t="str">
            <v>Batch 05</v>
          </cell>
        </row>
        <row r="33">
          <cell r="E33">
            <v>46233</v>
          </cell>
          <cell r="F33">
            <v>46236</v>
          </cell>
          <cell r="Y33" t="str">
            <v>Batch 05</v>
          </cell>
        </row>
        <row r="34">
          <cell r="E34">
            <v>46236</v>
          </cell>
          <cell r="F34">
            <v>46236</v>
          </cell>
          <cell r="Y34" t="str">
            <v>Batch 05</v>
          </cell>
        </row>
        <row r="36">
          <cell r="E36">
            <v>46203</v>
          </cell>
          <cell r="F36">
            <v>46210</v>
          </cell>
          <cell r="Y36" t="str">
            <v>Batch 06</v>
          </cell>
        </row>
        <row r="37">
          <cell r="E37">
            <v>46209</v>
          </cell>
          <cell r="F37">
            <v>46212</v>
          </cell>
          <cell r="Y37" t="str">
            <v>Batch 06</v>
          </cell>
        </row>
        <row r="38">
          <cell r="E38">
            <v>46233</v>
          </cell>
          <cell r="F38">
            <v>46239</v>
          </cell>
          <cell r="Y38" t="str">
            <v>Batch 06</v>
          </cell>
        </row>
        <row r="39">
          <cell r="E39">
            <v>46240</v>
          </cell>
          <cell r="F39">
            <v>46243</v>
          </cell>
          <cell r="Y39" t="str">
            <v>Batch 06</v>
          </cell>
        </row>
        <row r="40">
          <cell r="E40">
            <v>46243</v>
          </cell>
          <cell r="F40">
            <v>46243</v>
          </cell>
          <cell r="Y40" t="str">
            <v>Batch 06</v>
          </cell>
        </row>
        <row r="42">
          <cell r="E42">
            <v>46211</v>
          </cell>
          <cell r="F42">
            <v>46218</v>
          </cell>
          <cell r="Y42" t="str">
            <v>Batch 07</v>
          </cell>
        </row>
        <row r="43">
          <cell r="E43">
            <v>46217</v>
          </cell>
          <cell r="F43">
            <v>46221</v>
          </cell>
          <cell r="Y43" t="str">
            <v>Batch 07</v>
          </cell>
        </row>
        <row r="44">
          <cell r="E44">
            <v>46240</v>
          </cell>
          <cell r="F44">
            <v>46246</v>
          </cell>
          <cell r="Y44" t="str">
            <v>Batch 07</v>
          </cell>
        </row>
        <row r="45">
          <cell r="E45">
            <v>46247</v>
          </cell>
          <cell r="F45">
            <v>46250</v>
          </cell>
          <cell r="Y45" t="str">
            <v>Batch 07</v>
          </cell>
        </row>
        <row r="46">
          <cell r="E46">
            <v>46250</v>
          </cell>
          <cell r="F46">
            <v>46250</v>
          </cell>
          <cell r="Y46" t="str">
            <v>Batch 07</v>
          </cell>
        </row>
        <row r="48">
          <cell r="E48">
            <v>46219</v>
          </cell>
          <cell r="F48">
            <v>46226</v>
          </cell>
          <cell r="Y48" t="str">
            <v>Batch 08</v>
          </cell>
        </row>
        <row r="49">
          <cell r="E49">
            <v>46225</v>
          </cell>
          <cell r="F49">
            <v>46229</v>
          </cell>
          <cell r="Y49" t="str">
            <v>Batch 08</v>
          </cell>
        </row>
        <row r="50">
          <cell r="E50">
            <v>46247</v>
          </cell>
          <cell r="F50">
            <v>46253</v>
          </cell>
          <cell r="Y50" t="str">
            <v>Batch 08</v>
          </cell>
        </row>
        <row r="51">
          <cell r="E51">
            <v>46254</v>
          </cell>
          <cell r="F51">
            <v>46257</v>
          </cell>
          <cell r="Y51" t="str">
            <v>Batch 08</v>
          </cell>
        </row>
        <row r="52">
          <cell r="E52">
            <v>46257</v>
          </cell>
          <cell r="F52">
            <v>46257</v>
          </cell>
          <cell r="Y52" t="str">
            <v>Batch 08</v>
          </cell>
        </row>
        <row r="54">
          <cell r="E54">
            <v>46181</v>
          </cell>
          <cell r="F54">
            <v>46201</v>
          </cell>
        </row>
        <row r="55">
          <cell r="E55">
            <v>46181</v>
          </cell>
          <cell r="F55">
            <v>46201</v>
          </cell>
        </row>
        <row r="56">
          <cell r="E56">
            <v>46181</v>
          </cell>
          <cell r="F56">
            <v>46256</v>
          </cell>
        </row>
        <row r="58">
          <cell r="E58">
            <v>46244</v>
          </cell>
          <cell r="F58">
            <v>46246</v>
          </cell>
        </row>
        <row r="59">
          <cell r="E59">
            <v>46247</v>
          </cell>
          <cell r="F59">
            <v>46253</v>
          </cell>
        </row>
        <row r="60">
          <cell r="E60">
            <v>46254</v>
          </cell>
          <cell r="F60">
            <v>46258</v>
          </cell>
        </row>
        <row r="61">
          <cell r="E61">
            <v>46259</v>
          </cell>
          <cell r="F61">
            <v>46260</v>
          </cell>
        </row>
        <row r="62">
          <cell r="E62">
            <v>46261</v>
          </cell>
          <cell r="F62">
            <v>46264</v>
          </cell>
        </row>
        <row r="63">
          <cell r="E63">
            <v>46265</v>
          </cell>
          <cell r="F63">
            <v>46265</v>
          </cell>
        </row>
        <row r="64">
          <cell r="E64">
            <v>46266</v>
          </cell>
          <cell r="F64">
            <v>46266</v>
          </cell>
        </row>
        <row r="66">
          <cell r="E66">
            <v>46181</v>
          </cell>
          <cell r="F66">
            <v>46223</v>
          </cell>
        </row>
        <row r="67">
          <cell r="E67">
            <v>46258</v>
          </cell>
          <cell r="F67">
            <v>46300</v>
          </cell>
        </row>
        <row r="69">
          <cell r="E69">
            <v>46187</v>
          </cell>
          <cell r="F69">
            <v>46208</v>
          </cell>
        </row>
        <row r="70">
          <cell r="E70">
            <v>46204</v>
          </cell>
          <cell r="F70">
            <v>46218</v>
          </cell>
        </row>
        <row r="72">
          <cell r="E72">
            <v>46258</v>
          </cell>
          <cell r="F72">
            <v>46351</v>
          </cell>
        </row>
        <row r="73">
          <cell r="E73">
            <v>46274</v>
          </cell>
          <cell r="F73">
            <v>46368</v>
          </cell>
        </row>
        <row r="74">
          <cell r="E74">
            <v>46281</v>
          </cell>
          <cell r="F74">
            <v>46372</v>
          </cell>
        </row>
        <row r="75">
          <cell r="E75">
            <v>46373</v>
          </cell>
          <cell r="F75">
            <v>46373</v>
          </cell>
        </row>
        <row r="77">
          <cell r="E77">
            <v>46359</v>
          </cell>
          <cell r="F77">
            <v>46365</v>
          </cell>
        </row>
        <row r="78">
          <cell r="E78">
            <v>46366</v>
          </cell>
          <cell r="F78">
            <v>46369</v>
          </cell>
        </row>
        <row r="79">
          <cell r="E79">
            <v>46370</v>
          </cell>
          <cell r="F79">
            <v>46371</v>
          </cell>
        </row>
        <row r="80">
          <cell r="E80">
            <v>46372</v>
          </cell>
          <cell r="F80">
            <v>46372</v>
          </cell>
        </row>
        <row r="81">
          <cell r="E81">
            <v>46373</v>
          </cell>
          <cell r="F81">
            <v>46373</v>
          </cell>
        </row>
        <row r="82">
          <cell r="E82">
            <v>46376</v>
          </cell>
          <cell r="F82">
            <v>46378</v>
          </cell>
        </row>
      </sheetData>
      <sheetData sheetId="5">
        <row r="2">
          <cell r="E2" t="str">
            <v>Planned Start</v>
          </cell>
          <cell r="F2" t="str">
            <v>Planned Finish</v>
          </cell>
        </row>
        <row r="3">
          <cell r="F3" t="str">
            <v>Completed</v>
          </cell>
        </row>
        <row r="5">
          <cell r="E5">
            <v>46148</v>
          </cell>
          <cell r="F5">
            <v>46175</v>
          </cell>
        </row>
        <row r="6">
          <cell r="E6">
            <v>46176</v>
          </cell>
          <cell r="F6">
            <v>46181</v>
          </cell>
        </row>
        <row r="7">
          <cell r="E7" t="str">
            <v>Started</v>
          </cell>
          <cell r="F7">
            <v>46202</v>
          </cell>
        </row>
        <row r="8">
          <cell r="E8">
            <v>46203</v>
          </cell>
          <cell r="F8">
            <v>46204</v>
          </cell>
        </row>
        <row r="9">
          <cell r="E9">
            <v>46205</v>
          </cell>
          <cell r="F9">
            <v>46208</v>
          </cell>
        </row>
        <row r="10">
          <cell r="E10">
            <v>46208</v>
          </cell>
          <cell r="F10">
            <v>46208</v>
          </cell>
        </row>
        <row r="12">
          <cell r="E12">
            <v>46164</v>
          </cell>
          <cell r="F12">
            <v>46179</v>
          </cell>
        </row>
        <row r="13">
          <cell r="E13">
            <v>46182</v>
          </cell>
          <cell r="F13">
            <v>46186</v>
          </cell>
        </row>
        <row r="14">
          <cell r="E14">
            <v>46205</v>
          </cell>
          <cell r="F14">
            <v>46209</v>
          </cell>
        </row>
        <row r="15">
          <cell r="E15">
            <v>46210</v>
          </cell>
          <cell r="F15">
            <v>46211</v>
          </cell>
        </row>
        <row r="16">
          <cell r="E16">
            <v>46211</v>
          </cell>
          <cell r="F16">
            <v>46211</v>
          </cell>
        </row>
        <row r="18">
          <cell r="E18">
            <v>46180</v>
          </cell>
          <cell r="F18">
            <v>46186</v>
          </cell>
        </row>
        <row r="19">
          <cell r="E19">
            <v>46187</v>
          </cell>
          <cell r="F19">
            <v>46190</v>
          </cell>
        </row>
        <row r="20">
          <cell r="E20">
            <v>46210</v>
          </cell>
          <cell r="F20">
            <v>46215</v>
          </cell>
        </row>
        <row r="21">
          <cell r="E21">
            <v>46216</v>
          </cell>
          <cell r="F21">
            <v>46219</v>
          </cell>
        </row>
        <row r="22">
          <cell r="E22">
            <v>46219</v>
          </cell>
          <cell r="F22">
            <v>46219</v>
          </cell>
        </row>
        <row r="24">
          <cell r="E24">
            <v>46187</v>
          </cell>
          <cell r="F24">
            <v>46194</v>
          </cell>
        </row>
        <row r="25">
          <cell r="E25">
            <v>46193</v>
          </cell>
          <cell r="F25">
            <v>46196</v>
          </cell>
        </row>
        <row r="26">
          <cell r="E26">
            <v>46216</v>
          </cell>
          <cell r="F26">
            <v>46219</v>
          </cell>
        </row>
        <row r="27">
          <cell r="E27">
            <v>46222</v>
          </cell>
          <cell r="F27">
            <v>46223</v>
          </cell>
        </row>
        <row r="28">
          <cell r="E28">
            <v>46223</v>
          </cell>
          <cell r="F28">
            <v>46223</v>
          </cell>
        </row>
        <row r="30">
          <cell r="E30">
            <v>46195</v>
          </cell>
          <cell r="F30">
            <v>46202</v>
          </cell>
        </row>
        <row r="31">
          <cell r="E31">
            <v>46201</v>
          </cell>
          <cell r="F31">
            <v>46204</v>
          </cell>
        </row>
        <row r="32">
          <cell r="E32">
            <v>46222</v>
          </cell>
          <cell r="F32">
            <v>46225</v>
          </cell>
        </row>
        <row r="33">
          <cell r="E33">
            <v>46226</v>
          </cell>
          <cell r="F33">
            <v>46229</v>
          </cell>
        </row>
        <row r="34">
          <cell r="E34">
            <v>46229</v>
          </cell>
          <cell r="F34">
            <v>46229</v>
          </cell>
        </row>
        <row r="36">
          <cell r="E36">
            <v>46203</v>
          </cell>
          <cell r="F36">
            <v>46210</v>
          </cell>
        </row>
        <row r="37">
          <cell r="E37">
            <v>46209</v>
          </cell>
          <cell r="F37">
            <v>46212</v>
          </cell>
        </row>
        <row r="38">
          <cell r="E38">
            <v>46226</v>
          </cell>
          <cell r="F38">
            <v>46231</v>
          </cell>
        </row>
        <row r="39">
          <cell r="E39">
            <v>46232</v>
          </cell>
          <cell r="F39">
            <v>46233</v>
          </cell>
        </row>
        <row r="40">
          <cell r="E40">
            <v>46233</v>
          </cell>
          <cell r="F40">
            <v>46233</v>
          </cell>
        </row>
        <row r="42">
          <cell r="E42">
            <v>46211</v>
          </cell>
          <cell r="F42">
            <v>46218</v>
          </cell>
        </row>
        <row r="43">
          <cell r="E43">
            <v>46217</v>
          </cell>
          <cell r="F43">
            <v>46221</v>
          </cell>
        </row>
        <row r="44">
          <cell r="E44">
            <v>46232</v>
          </cell>
          <cell r="F44">
            <v>46237</v>
          </cell>
        </row>
        <row r="45">
          <cell r="E45">
            <v>46238</v>
          </cell>
          <cell r="F45">
            <v>46239</v>
          </cell>
        </row>
        <row r="46">
          <cell r="E46">
            <v>46239</v>
          </cell>
          <cell r="F46">
            <v>46239</v>
          </cell>
        </row>
        <row r="48">
          <cell r="E48">
            <v>46219</v>
          </cell>
          <cell r="F48">
            <v>46226</v>
          </cell>
        </row>
        <row r="49">
          <cell r="E49">
            <v>46225</v>
          </cell>
          <cell r="F49">
            <v>46229</v>
          </cell>
        </row>
        <row r="50">
          <cell r="E50">
            <v>46238</v>
          </cell>
          <cell r="F50">
            <v>46243</v>
          </cell>
        </row>
        <row r="51">
          <cell r="E51">
            <v>46244</v>
          </cell>
          <cell r="F51">
            <v>46245</v>
          </cell>
        </row>
        <row r="52">
          <cell r="E52">
            <v>46245</v>
          </cell>
          <cell r="F52">
            <v>46245</v>
          </cell>
        </row>
        <row r="54">
          <cell r="E54">
            <v>46228</v>
          </cell>
          <cell r="F54">
            <v>46235</v>
          </cell>
        </row>
        <row r="55">
          <cell r="E55">
            <v>46233</v>
          </cell>
          <cell r="F55">
            <v>46237</v>
          </cell>
        </row>
        <row r="56">
          <cell r="E56">
            <v>46244</v>
          </cell>
          <cell r="F56">
            <v>46247</v>
          </cell>
        </row>
        <row r="57">
          <cell r="E57">
            <v>46250</v>
          </cell>
          <cell r="F57">
            <v>46251</v>
          </cell>
        </row>
        <row r="58">
          <cell r="E58">
            <v>46251</v>
          </cell>
          <cell r="F58">
            <v>46251</v>
          </cell>
        </row>
        <row r="60">
          <cell r="E60">
            <v>46236</v>
          </cell>
          <cell r="F60">
            <v>46243</v>
          </cell>
        </row>
        <row r="61">
          <cell r="E61">
            <v>46242</v>
          </cell>
          <cell r="F61">
            <v>46245</v>
          </cell>
        </row>
        <row r="62">
          <cell r="E62">
            <v>46250</v>
          </cell>
          <cell r="F62">
            <v>46253</v>
          </cell>
        </row>
        <row r="63">
          <cell r="E63">
            <v>46254</v>
          </cell>
          <cell r="F63">
            <v>46257</v>
          </cell>
        </row>
        <row r="64">
          <cell r="E64">
            <v>46257</v>
          </cell>
          <cell r="F64">
            <v>46257</v>
          </cell>
        </row>
        <row r="66">
          <cell r="E66">
            <v>46181</v>
          </cell>
          <cell r="F66">
            <v>46201</v>
          </cell>
        </row>
        <row r="67">
          <cell r="E67">
            <v>46181</v>
          </cell>
          <cell r="F67">
            <v>46201</v>
          </cell>
        </row>
        <row r="68">
          <cell r="E68">
            <v>46181</v>
          </cell>
          <cell r="F68">
            <v>46256</v>
          </cell>
        </row>
        <row r="78">
          <cell r="E78">
            <v>46246</v>
          </cell>
          <cell r="F78">
            <v>46250</v>
          </cell>
        </row>
        <row r="79">
          <cell r="E79">
            <v>46251</v>
          </cell>
          <cell r="F79">
            <v>46257</v>
          </cell>
        </row>
        <row r="80">
          <cell r="E80">
            <v>46258</v>
          </cell>
          <cell r="F80">
            <v>46260</v>
          </cell>
        </row>
        <row r="81">
          <cell r="E81">
            <v>46261</v>
          </cell>
          <cell r="F81">
            <v>46264</v>
          </cell>
        </row>
        <row r="82">
          <cell r="E82">
            <v>46265</v>
          </cell>
          <cell r="F82">
            <v>46266</v>
          </cell>
        </row>
        <row r="83">
          <cell r="E83">
            <v>46267</v>
          </cell>
          <cell r="F83">
            <v>46267</v>
          </cell>
        </row>
        <row r="84">
          <cell r="E84">
            <v>46268</v>
          </cell>
          <cell r="F84">
            <v>46268</v>
          </cell>
        </row>
        <row r="86">
          <cell r="E86">
            <v>46181</v>
          </cell>
          <cell r="F86">
            <v>46223</v>
          </cell>
        </row>
        <row r="87">
          <cell r="E87">
            <v>46246</v>
          </cell>
          <cell r="F87">
            <v>46288</v>
          </cell>
        </row>
        <row r="91">
          <cell r="E91">
            <v>46187</v>
          </cell>
          <cell r="F91">
            <v>46208</v>
          </cell>
        </row>
        <row r="92">
          <cell r="E92">
            <v>46336</v>
          </cell>
          <cell r="F92">
            <v>46351</v>
          </cell>
        </row>
        <row r="94">
          <cell r="E94">
            <v>46258</v>
          </cell>
          <cell r="F94">
            <v>46352</v>
          </cell>
        </row>
        <row r="95">
          <cell r="E95">
            <v>46274</v>
          </cell>
          <cell r="F95">
            <v>46369</v>
          </cell>
        </row>
        <row r="96">
          <cell r="E96">
            <v>46281</v>
          </cell>
          <cell r="F96">
            <v>46372</v>
          </cell>
        </row>
        <row r="97">
          <cell r="E97">
            <v>46373</v>
          </cell>
          <cell r="F97">
            <v>46373</v>
          </cell>
        </row>
        <row r="99">
          <cell r="E99">
            <v>46359</v>
          </cell>
          <cell r="F99">
            <v>46365</v>
          </cell>
        </row>
        <row r="100">
          <cell r="E100">
            <v>46366</v>
          </cell>
          <cell r="F100">
            <v>46369</v>
          </cell>
        </row>
        <row r="101">
          <cell r="E101">
            <v>46370</v>
          </cell>
          <cell r="F101">
            <v>46371</v>
          </cell>
        </row>
        <row r="102">
          <cell r="E102">
            <v>46372</v>
          </cell>
          <cell r="F102">
            <v>46372</v>
          </cell>
        </row>
        <row r="103">
          <cell r="E103">
            <v>46373</v>
          </cell>
          <cell r="F103">
            <v>46373</v>
          </cell>
        </row>
        <row r="104">
          <cell r="E104">
            <v>46376</v>
          </cell>
          <cell r="F104">
            <v>46378</v>
          </cell>
        </row>
      </sheetData>
      <sheetData sheetId="6">
        <row r="2">
          <cell r="E2" t="str">
            <v>Planned Start</v>
          </cell>
          <cell r="F2" t="str">
            <v>Planned Finish</v>
          </cell>
        </row>
        <row r="3">
          <cell r="E3">
            <v>46160</v>
          </cell>
          <cell r="F3">
            <v>46172</v>
          </cell>
        </row>
        <row r="5">
          <cell r="E5">
            <v>46173</v>
          </cell>
          <cell r="F5">
            <v>46188</v>
          </cell>
          <cell r="Y5" t="str">
            <v>Batch 01</v>
          </cell>
        </row>
        <row r="6">
          <cell r="E6">
            <v>46179</v>
          </cell>
          <cell r="F6">
            <v>46194</v>
          </cell>
        </row>
        <row r="7">
          <cell r="E7">
            <v>46179</v>
          </cell>
          <cell r="F7">
            <v>46222</v>
          </cell>
        </row>
        <row r="8">
          <cell r="E8">
            <v>46195</v>
          </cell>
          <cell r="F8">
            <v>46200</v>
          </cell>
          <cell r="Y8" t="str">
            <v>Batch 01</v>
          </cell>
        </row>
        <row r="9">
          <cell r="E9" t="str">
            <v>Started</v>
          </cell>
          <cell r="F9">
            <v>46202</v>
          </cell>
        </row>
        <row r="10">
          <cell r="E10">
            <v>46223</v>
          </cell>
          <cell r="F10">
            <v>46225</v>
          </cell>
          <cell r="Y10" t="str">
            <v>Batch 01</v>
          </cell>
        </row>
        <row r="11">
          <cell r="E11">
            <v>46226</v>
          </cell>
          <cell r="F11">
            <v>46229</v>
          </cell>
          <cell r="Y11" t="str">
            <v>Batch 01</v>
          </cell>
        </row>
        <row r="12">
          <cell r="E12">
            <v>46229</v>
          </cell>
          <cell r="F12">
            <v>46229</v>
          </cell>
          <cell r="Y12" t="str">
            <v>Batch 01</v>
          </cell>
        </row>
        <row r="13">
          <cell r="Y13" t="str">
            <v>Batch 02</v>
          </cell>
        </row>
        <row r="14">
          <cell r="E14">
            <v>46189</v>
          </cell>
          <cell r="F14">
            <v>46196</v>
          </cell>
          <cell r="Y14" t="str">
            <v>Batch 02</v>
          </cell>
        </row>
        <row r="15">
          <cell r="E15">
            <v>46201</v>
          </cell>
          <cell r="F15">
            <v>46205</v>
          </cell>
          <cell r="Y15" t="str">
            <v>Batch 02</v>
          </cell>
        </row>
        <row r="16">
          <cell r="E16">
            <v>46226</v>
          </cell>
          <cell r="F16">
            <v>46232</v>
          </cell>
          <cell r="Y16" t="str">
            <v>Batch 02</v>
          </cell>
        </row>
        <row r="17">
          <cell r="E17">
            <v>46233</v>
          </cell>
          <cell r="F17">
            <v>46236</v>
          </cell>
          <cell r="Y17" t="str">
            <v>Batch 02</v>
          </cell>
        </row>
        <row r="18">
          <cell r="E18">
            <v>46236</v>
          </cell>
          <cell r="F18">
            <v>46236</v>
          </cell>
          <cell r="Y18" t="str">
            <v>Batch 02</v>
          </cell>
        </row>
        <row r="19">
          <cell r="Y19" t="str">
            <v>Batch 03</v>
          </cell>
        </row>
        <row r="20">
          <cell r="E20">
            <v>46197</v>
          </cell>
          <cell r="F20">
            <v>46204</v>
          </cell>
          <cell r="Y20" t="str">
            <v>Batch 03</v>
          </cell>
        </row>
        <row r="21">
          <cell r="E21">
            <v>46207</v>
          </cell>
          <cell r="F21">
            <v>46211</v>
          </cell>
          <cell r="Y21" t="str">
            <v>Batch 03</v>
          </cell>
        </row>
        <row r="22">
          <cell r="E22">
            <v>46233</v>
          </cell>
          <cell r="F22">
            <v>46243</v>
          </cell>
          <cell r="Y22" t="str">
            <v>Batch 03</v>
          </cell>
        </row>
        <row r="23">
          <cell r="E23">
            <v>46244</v>
          </cell>
          <cell r="F23">
            <v>46245</v>
          </cell>
          <cell r="Y23" t="str">
            <v>Batch 03</v>
          </cell>
        </row>
        <row r="24">
          <cell r="E24">
            <v>46245</v>
          </cell>
          <cell r="F24">
            <v>46245</v>
          </cell>
          <cell r="Y24" t="str">
            <v>Batch 03</v>
          </cell>
        </row>
        <row r="25">
          <cell r="Y25" t="str">
            <v>Batch 04</v>
          </cell>
        </row>
        <row r="26">
          <cell r="E26">
            <v>46205</v>
          </cell>
          <cell r="F26">
            <v>46212</v>
          </cell>
          <cell r="Y26" t="str">
            <v>Batch 04</v>
          </cell>
        </row>
        <row r="27">
          <cell r="E27">
            <v>46212</v>
          </cell>
          <cell r="F27">
            <v>46217</v>
          </cell>
          <cell r="Y27" t="str">
            <v>Batch 04</v>
          </cell>
        </row>
        <row r="28">
          <cell r="E28">
            <v>46244</v>
          </cell>
          <cell r="F28">
            <v>46252</v>
          </cell>
          <cell r="Y28" t="str">
            <v>Batch 04</v>
          </cell>
        </row>
        <row r="29">
          <cell r="E29">
            <v>46253</v>
          </cell>
          <cell r="F29">
            <v>46254</v>
          </cell>
          <cell r="Y29" t="str">
            <v>Batch 04</v>
          </cell>
        </row>
        <row r="30">
          <cell r="E30">
            <v>46254</v>
          </cell>
          <cell r="F30">
            <v>46254</v>
          </cell>
          <cell r="Y30" t="str">
            <v>Batch 04</v>
          </cell>
        </row>
        <row r="31">
          <cell r="Y31" t="str">
            <v>Batch 05</v>
          </cell>
        </row>
        <row r="32">
          <cell r="E32">
            <v>46214</v>
          </cell>
          <cell r="F32">
            <v>46221</v>
          </cell>
          <cell r="Y32" t="str">
            <v>Batch 05</v>
          </cell>
        </row>
        <row r="33">
          <cell r="E33">
            <v>46218</v>
          </cell>
          <cell r="F33">
            <v>46223</v>
          </cell>
          <cell r="Y33" t="str">
            <v>Batch 05</v>
          </cell>
        </row>
        <row r="34">
          <cell r="E34">
            <v>46253</v>
          </cell>
          <cell r="F34">
            <v>46261</v>
          </cell>
          <cell r="Y34" t="str">
            <v>Batch 05</v>
          </cell>
        </row>
        <row r="35">
          <cell r="E35">
            <v>46264</v>
          </cell>
          <cell r="F35">
            <v>46265</v>
          </cell>
          <cell r="Y35" t="str">
            <v>Batch 05</v>
          </cell>
        </row>
        <row r="36">
          <cell r="E36">
            <v>46265</v>
          </cell>
          <cell r="F36">
            <v>46265</v>
          </cell>
          <cell r="Y36" t="str">
            <v>Batch 05</v>
          </cell>
        </row>
        <row r="37">
          <cell r="Y37" t="str">
            <v>Batch 06</v>
          </cell>
        </row>
        <row r="38">
          <cell r="E38">
            <v>46222</v>
          </cell>
          <cell r="F38">
            <v>46229</v>
          </cell>
          <cell r="Y38" t="str">
            <v>Batch 06</v>
          </cell>
        </row>
        <row r="39">
          <cell r="E39">
            <v>46226</v>
          </cell>
          <cell r="F39">
            <v>46231</v>
          </cell>
          <cell r="Y39" t="str">
            <v>Batch 06</v>
          </cell>
        </row>
        <row r="40">
          <cell r="E40">
            <v>46264</v>
          </cell>
          <cell r="F40">
            <v>46273</v>
          </cell>
          <cell r="Y40" t="str">
            <v>Batch 06</v>
          </cell>
        </row>
        <row r="41">
          <cell r="E41">
            <v>46274</v>
          </cell>
          <cell r="F41">
            <v>46275</v>
          </cell>
          <cell r="Y41" t="str">
            <v>Batch 06</v>
          </cell>
        </row>
        <row r="42">
          <cell r="E42">
            <v>46275</v>
          </cell>
          <cell r="F42">
            <v>46275</v>
          </cell>
          <cell r="Y42" t="str">
            <v>Batch 06</v>
          </cell>
        </row>
        <row r="43">
          <cell r="Y43" t="str">
            <v>Batch 07</v>
          </cell>
        </row>
        <row r="44">
          <cell r="E44">
            <v>46230</v>
          </cell>
          <cell r="F44">
            <v>46237</v>
          </cell>
          <cell r="Y44" t="str">
            <v>Batch 07</v>
          </cell>
        </row>
        <row r="45">
          <cell r="E45">
            <v>46235</v>
          </cell>
          <cell r="F45">
            <v>46239</v>
          </cell>
          <cell r="Y45" t="str">
            <v>Batch 07</v>
          </cell>
        </row>
        <row r="46">
          <cell r="E46">
            <v>46274</v>
          </cell>
          <cell r="F46">
            <v>46281</v>
          </cell>
          <cell r="Y46" t="str">
            <v>Batch 07</v>
          </cell>
        </row>
        <row r="47">
          <cell r="E47">
            <v>46282</v>
          </cell>
          <cell r="F47">
            <v>46285</v>
          </cell>
          <cell r="Y47" t="str">
            <v>Batch 07</v>
          </cell>
        </row>
        <row r="48">
          <cell r="E48">
            <v>46285</v>
          </cell>
          <cell r="F48">
            <v>46285</v>
          </cell>
          <cell r="Y48" t="str">
            <v>Batch 07</v>
          </cell>
        </row>
        <row r="49">
          <cell r="Y49" t="str">
            <v>Batch 08</v>
          </cell>
        </row>
        <row r="50">
          <cell r="E50">
            <v>46238</v>
          </cell>
          <cell r="F50">
            <v>46245</v>
          </cell>
          <cell r="Y50" t="str">
            <v>Batch 08</v>
          </cell>
        </row>
        <row r="51">
          <cell r="E51">
            <v>46242</v>
          </cell>
          <cell r="F51">
            <v>46246</v>
          </cell>
          <cell r="Y51" t="str">
            <v>Batch 08</v>
          </cell>
        </row>
        <row r="52">
          <cell r="E52">
            <v>46282</v>
          </cell>
          <cell r="F52">
            <v>46292</v>
          </cell>
          <cell r="Y52" t="str">
            <v>Batch 08</v>
          </cell>
        </row>
        <row r="53">
          <cell r="E53">
            <v>46293</v>
          </cell>
          <cell r="F53">
            <v>46294</v>
          </cell>
          <cell r="Y53" t="str">
            <v>Batch 08</v>
          </cell>
        </row>
        <row r="54">
          <cell r="E54">
            <v>46294</v>
          </cell>
          <cell r="F54">
            <v>46294</v>
          </cell>
          <cell r="Y54" t="str">
            <v>Batch 08</v>
          </cell>
        </row>
        <row r="55">
          <cell r="Y55" t="str">
            <v>Batch 09</v>
          </cell>
        </row>
        <row r="56">
          <cell r="E56">
            <v>46246</v>
          </cell>
          <cell r="F56">
            <v>46253</v>
          </cell>
          <cell r="Y56" t="str">
            <v>Batch 09</v>
          </cell>
        </row>
        <row r="57">
          <cell r="E57">
            <v>46251</v>
          </cell>
          <cell r="F57">
            <v>46256</v>
          </cell>
          <cell r="Y57" t="str">
            <v>Batch 09</v>
          </cell>
        </row>
        <row r="58">
          <cell r="E58">
            <v>46293</v>
          </cell>
          <cell r="F58">
            <v>46301</v>
          </cell>
          <cell r="Y58" t="str">
            <v>Batch 09</v>
          </cell>
        </row>
        <row r="59">
          <cell r="E59">
            <v>46302</v>
          </cell>
          <cell r="F59">
            <v>46303</v>
          </cell>
          <cell r="Y59" t="str">
            <v>Batch 09</v>
          </cell>
        </row>
        <row r="60">
          <cell r="E60">
            <v>46303</v>
          </cell>
          <cell r="F60">
            <v>46303</v>
          </cell>
          <cell r="Y60" t="str">
            <v>Batch 09</v>
          </cell>
        </row>
        <row r="61">
          <cell r="Y61" t="str">
            <v>Batch 10</v>
          </cell>
        </row>
        <row r="62">
          <cell r="E62">
            <v>46254</v>
          </cell>
          <cell r="F62">
            <v>46261</v>
          </cell>
          <cell r="Y62" t="str">
            <v>Batch 10</v>
          </cell>
        </row>
        <row r="63">
          <cell r="E63">
            <v>46260</v>
          </cell>
          <cell r="F63">
            <v>46264</v>
          </cell>
          <cell r="Y63" t="str">
            <v>Batch 10</v>
          </cell>
        </row>
        <row r="64">
          <cell r="E64">
            <v>46302</v>
          </cell>
          <cell r="F64">
            <v>46313</v>
          </cell>
          <cell r="Y64" t="str">
            <v>Batch 10</v>
          </cell>
        </row>
        <row r="65">
          <cell r="E65">
            <v>46314</v>
          </cell>
          <cell r="F65">
            <v>46315</v>
          </cell>
          <cell r="Y65" t="str">
            <v>Batch 10</v>
          </cell>
        </row>
        <row r="66">
          <cell r="E66">
            <v>46315</v>
          </cell>
          <cell r="F66">
            <v>46315</v>
          </cell>
          <cell r="Y66" t="str">
            <v>Batch 10</v>
          </cell>
        </row>
        <row r="68">
          <cell r="E68">
            <v>46195</v>
          </cell>
          <cell r="F68">
            <v>46215</v>
          </cell>
        </row>
        <row r="69">
          <cell r="E69">
            <v>46195</v>
          </cell>
          <cell r="F69">
            <v>46215</v>
          </cell>
        </row>
        <row r="70">
          <cell r="E70">
            <v>46195</v>
          </cell>
          <cell r="F70">
            <v>46270</v>
          </cell>
        </row>
        <row r="72">
          <cell r="E72">
            <v>46295</v>
          </cell>
          <cell r="F72">
            <v>46299</v>
          </cell>
        </row>
        <row r="73">
          <cell r="E73">
            <v>46300</v>
          </cell>
          <cell r="F73">
            <v>46306</v>
          </cell>
        </row>
        <row r="74">
          <cell r="E74">
            <v>46307</v>
          </cell>
          <cell r="F74">
            <v>46309</v>
          </cell>
        </row>
        <row r="75">
          <cell r="E75">
            <v>46310</v>
          </cell>
          <cell r="F75">
            <v>46313</v>
          </cell>
        </row>
        <row r="76">
          <cell r="E76">
            <v>46314</v>
          </cell>
          <cell r="F76">
            <v>46315</v>
          </cell>
        </row>
        <row r="77">
          <cell r="E77">
            <v>46316</v>
          </cell>
          <cell r="F77">
            <v>46316</v>
          </cell>
        </row>
        <row r="78">
          <cell r="E78">
            <v>46317</v>
          </cell>
          <cell r="F78">
            <v>46317</v>
          </cell>
        </row>
        <row r="80">
          <cell r="E80">
            <v>46195</v>
          </cell>
          <cell r="F80">
            <v>46237</v>
          </cell>
        </row>
        <row r="81">
          <cell r="E81">
            <v>46316</v>
          </cell>
          <cell r="F81">
            <v>46358</v>
          </cell>
        </row>
        <row r="83">
          <cell r="E83">
            <v>46202</v>
          </cell>
          <cell r="F83">
            <v>46223</v>
          </cell>
        </row>
        <row r="84">
          <cell r="E84">
            <v>46224</v>
          </cell>
          <cell r="F84">
            <v>46238</v>
          </cell>
        </row>
        <row r="86">
          <cell r="E86">
            <v>46316</v>
          </cell>
          <cell r="F86">
            <v>46410</v>
          </cell>
        </row>
        <row r="87">
          <cell r="E87">
            <v>46333</v>
          </cell>
          <cell r="F87">
            <v>46426</v>
          </cell>
        </row>
        <row r="88">
          <cell r="E88">
            <v>46338</v>
          </cell>
          <cell r="F88">
            <v>46429</v>
          </cell>
        </row>
        <row r="89">
          <cell r="E89">
            <v>46432</v>
          </cell>
          <cell r="F89">
            <v>46432</v>
          </cell>
        </row>
        <row r="91">
          <cell r="E91">
            <v>46418</v>
          </cell>
          <cell r="F91">
            <v>46422</v>
          </cell>
        </row>
        <row r="92">
          <cell r="E92">
            <v>46425</v>
          </cell>
          <cell r="F92">
            <v>46426</v>
          </cell>
        </row>
        <row r="93">
          <cell r="E93">
            <v>46427</v>
          </cell>
          <cell r="F93">
            <v>46428</v>
          </cell>
        </row>
        <row r="94">
          <cell r="E94">
            <v>46429</v>
          </cell>
          <cell r="F94">
            <v>46429</v>
          </cell>
        </row>
        <row r="95">
          <cell r="E95">
            <v>46432</v>
          </cell>
          <cell r="F95">
            <v>46432</v>
          </cell>
        </row>
        <row r="96">
          <cell r="E96">
            <v>46433</v>
          </cell>
          <cell r="F96">
            <v>46435</v>
          </cell>
        </row>
      </sheetData>
      <sheetData sheetId="7">
        <row r="2">
          <cell r="E2" t="str">
            <v>Planned Start</v>
          </cell>
          <cell r="F2" t="str">
            <v>Planned Finish</v>
          </cell>
        </row>
        <row r="3">
          <cell r="E3">
            <v>46148</v>
          </cell>
          <cell r="F3">
            <v>46163</v>
          </cell>
        </row>
        <row r="5">
          <cell r="E5">
            <v>46173</v>
          </cell>
          <cell r="F5">
            <v>46188</v>
          </cell>
          <cell r="Y5" t="str">
            <v>Batch 01</v>
          </cell>
        </row>
        <row r="6">
          <cell r="E6">
            <v>46179</v>
          </cell>
          <cell r="F6">
            <v>46194</v>
          </cell>
        </row>
        <row r="7">
          <cell r="E7">
            <v>46179</v>
          </cell>
          <cell r="F7">
            <v>46222</v>
          </cell>
        </row>
        <row r="8">
          <cell r="E8">
            <v>46195</v>
          </cell>
          <cell r="F8">
            <v>46200</v>
          </cell>
          <cell r="Y8" t="str">
            <v>Batch 01</v>
          </cell>
        </row>
        <row r="9">
          <cell r="E9" t="str">
            <v>Started</v>
          </cell>
          <cell r="F9">
            <v>46189</v>
          </cell>
        </row>
        <row r="10">
          <cell r="E10">
            <v>46223</v>
          </cell>
          <cell r="F10">
            <v>46224</v>
          </cell>
          <cell r="Y10" t="str">
            <v>Batch 01</v>
          </cell>
        </row>
        <row r="11">
          <cell r="E11">
            <v>46225</v>
          </cell>
          <cell r="F11">
            <v>46226</v>
          </cell>
          <cell r="Y11" t="str">
            <v>Batch 01</v>
          </cell>
        </row>
        <row r="12">
          <cell r="E12">
            <v>46226</v>
          </cell>
          <cell r="F12">
            <v>46226</v>
          </cell>
          <cell r="Y12" t="str">
            <v>Batch 01</v>
          </cell>
        </row>
        <row r="13">
          <cell r="Y13" t="str">
            <v>Batch 02</v>
          </cell>
        </row>
        <row r="14">
          <cell r="E14">
            <v>46189</v>
          </cell>
          <cell r="F14">
            <v>46196</v>
          </cell>
          <cell r="Y14" t="str">
            <v>Batch 02</v>
          </cell>
        </row>
        <row r="15">
          <cell r="E15">
            <v>46201</v>
          </cell>
          <cell r="F15">
            <v>46204</v>
          </cell>
          <cell r="Y15" t="str">
            <v>Batch 02</v>
          </cell>
        </row>
        <row r="16">
          <cell r="E16">
            <v>46225</v>
          </cell>
          <cell r="F16">
            <v>46229</v>
          </cell>
          <cell r="Y16" t="str">
            <v>Batch 02</v>
          </cell>
        </row>
        <row r="17">
          <cell r="E17">
            <v>46230</v>
          </cell>
          <cell r="F17">
            <v>46231</v>
          </cell>
          <cell r="Y17" t="str">
            <v>Batch 02</v>
          </cell>
        </row>
        <row r="18">
          <cell r="E18">
            <v>46231</v>
          </cell>
          <cell r="F18">
            <v>46231</v>
          </cell>
          <cell r="Y18" t="str">
            <v>Batch 02</v>
          </cell>
        </row>
        <row r="19">
          <cell r="Y19" t="str">
            <v>Batch 03</v>
          </cell>
        </row>
        <row r="20">
          <cell r="E20">
            <v>46197</v>
          </cell>
          <cell r="F20">
            <v>46204</v>
          </cell>
          <cell r="Y20" t="str">
            <v>Batch 03</v>
          </cell>
        </row>
        <row r="21">
          <cell r="E21">
            <v>46205</v>
          </cell>
          <cell r="F21">
            <v>46209</v>
          </cell>
          <cell r="Y21" t="str">
            <v>Batch 03</v>
          </cell>
        </row>
        <row r="22">
          <cell r="E22">
            <v>46230</v>
          </cell>
          <cell r="F22">
            <v>46236</v>
          </cell>
          <cell r="Y22" t="str">
            <v>Batch 03</v>
          </cell>
        </row>
        <row r="23">
          <cell r="E23">
            <v>46237</v>
          </cell>
          <cell r="F23">
            <v>46238</v>
          </cell>
          <cell r="Y23" t="str">
            <v>Batch 03</v>
          </cell>
        </row>
        <row r="24">
          <cell r="E24">
            <v>46238</v>
          </cell>
          <cell r="F24">
            <v>46238</v>
          </cell>
          <cell r="Y24" t="str">
            <v>Batch 03</v>
          </cell>
        </row>
        <row r="25">
          <cell r="Y25" t="str">
            <v>Batch 04</v>
          </cell>
        </row>
        <row r="26">
          <cell r="E26">
            <v>46205</v>
          </cell>
          <cell r="F26">
            <v>46212</v>
          </cell>
          <cell r="Y26" t="str">
            <v>Batch 04</v>
          </cell>
        </row>
        <row r="27">
          <cell r="E27">
            <v>46211</v>
          </cell>
          <cell r="F27">
            <v>46215</v>
          </cell>
          <cell r="Y27" t="str">
            <v>Batch 04</v>
          </cell>
        </row>
        <row r="28">
          <cell r="E28">
            <v>46237</v>
          </cell>
          <cell r="F28">
            <v>46243</v>
          </cell>
          <cell r="Y28" t="str">
            <v>Batch 04</v>
          </cell>
        </row>
        <row r="29">
          <cell r="E29">
            <v>46244</v>
          </cell>
          <cell r="F29">
            <v>46245</v>
          </cell>
          <cell r="Y29" t="str">
            <v>Batch 04</v>
          </cell>
        </row>
        <row r="30">
          <cell r="E30">
            <v>46245</v>
          </cell>
          <cell r="F30">
            <v>46245</v>
          </cell>
          <cell r="Y30" t="str">
            <v>Batch 04</v>
          </cell>
        </row>
        <row r="31">
          <cell r="Y31" t="str">
            <v>Batch 05</v>
          </cell>
        </row>
        <row r="32">
          <cell r="E32">
            <v>46214</v>
          </cell>
          <cell r="F32">
            <v>46221</v>
          </cell>
          <cell r="Y32" t="str">
            <v>Batch 05</v>
          </cell>
        </row>
        <row r="33">
          <cell r="E33">
            <v>46219</v>
          </cell>
          <cell r="F33">
            <v>46223</v>
          </cell>
          <cell r="Y33" t="str">
            <v>Batch 05</v>
          </cell>
        </row>
        <row r="34">
          <cell r="E34">
            <v>46244</v>
          </cell>
          <cell r="F34">
            <v>46250</v>
          </cell>
          <cell r="Y34" t="str">
            <v>Batch 05</v>
          </cell>
        </row>
        <row r="35">
          <cell r="E35">
            <v>46251</v>
          </cell>
          <cell r="F35">
            <v>46252</v>
          </cell>
          <cell r="Y35" t="str">
            <v>Batch 05</v>
          </cell>
        </row>
        <row r="36">
          <cell r="E36">
            <v>46252</v>
          </cell>
          <cell r="F36">
            <v>46252</v>
          </cell>
          <cell r="Y36" t="str">
            <v>Batch 05</v>
          </cell>
        </row>
        <row r="37">
          <cell r="Y37" t="str">
            <v>Batch 06</v>
          </cell>
        </row>
        <row r="38">
          <cell r="E38">
            <v>46222</v>
          </cell>
          <cell r="F38">
            <v>46229</v>
          </cell>
          <cell r="Y38" t="str">
            <v>Batch 06</v>
          </cell>
        </row>
        <row r="39">
          <cell r="E39">
            <v>46228</v>
          </cell>
          <cell r="F39">
            <v>46231</v>
          </cell>
          <cell r="Y39" t="str">
            <v>Batch 06</v>
          </cell>
        </row>
        <row r="40">
          <cell r="E40">
            <v>46251</v>
          </cell>
          <cell r="F40">
            <v>46257</v>
          </cell>
          <cell r="Y40" t="str">
            <v>Batch 06</v>
          </cell>
        </row>
        <row r="41">
          <cell r="E41">
            <v>46258</v>
          </cell>
          <cell r="F41">
            <v>46259</v>
          </cell>
          <cell r="Y41" t="str">
            <v>Batch 06</v>
          </cell>
        </row>
        <row r="42">
          <cell r="E42">
            <v>46259</v>
          </cell>
          <cell r="F42">
            <v>46259</v>
          </cell>
          <cell r="Y42" t="str">
            <v>Batch 06</v>
          </cell>
        </row>
        <row r="43">
          <cell r="Y43" t="str">
            <v>Batch 07</v>
          </cell>
        </row>
        <row r="44">
          <cell r="E44">
            <v>46230</v>
          </cell>
          <cell r="F44">
            <v>46237</v>
          </cell>
          <cell r="Y44" t="str">
            <v>Batch 07</v>
          </cell>
        </row>
        <row r="45">
          <cell r="E45">
            <v>46236</v>
          </cell>
          <cell r="F45">
            <v>46239</v>
          </cell>
          <cell r="Y45" t="str">
            <v>Batch 07</v>
          </cell>
        </row>
        <row r="46">
          <cell r="E46">
            <v>46258</v>
          </cell>
          <cell r="F46">
            <v>46264</v>
          </cell>
          <cell r="Y46" t="str">
            <v>Batch 07</v>
          </cell>
        </row>
        <row r="47">
          <cell r="E47">
            <v>46265</v>
          </cell>
          <cell r="F47">
            <v>46266</v>
          </cell>
          <cell r="Y47" t="str">
            <v>Batch 07</v>
          </cell>
        </row>
        <row r="48">
          <cell r="E48">
            <v>46266</v>
          </cell>
          <cell r="F48">
            <v>46266</v>
          </cell>
          <cell r="Y48" t="str">
            <v>Batch 07</v>
          </cell>
        </row>
        <row r="49">
          <cell r="Y49" t="str">
            <v>Batch 08</v>
          </cell>
        </row>
        <row r="50">
          <cell r="E50">
            <v>46238</v>
          </cell>
          <cell r="F50">
            <v>46245</v>
          </cell>
          <cell r="Y50" t="str">
            <v>Batch 08</v>
          </cell>
        </row>
        <row r="51">
          <cell r="E51">
            <v>46244</v>
          </cell>
          <cell r="F51">
            <v>46247</v>
          </cell>
          <cell r="Y51" t="str">
            <v>Batch 08</v>
          </cell>
        </row>
        <row r="52">
          <cell r="E52">
            <v>46265</v>
          </cell>
          <cell r="F52">
            <v>46271</v>
          </cell>
          <cell r="Y52" t="str">
            <v>Batch 08</v>
          </cell>
        </row>
        <row r="53">
          <cell r="E53">
            <v>46272</v>
          </cell>
          <cell r="F53">
            <v>46273</v>
          </cell>
          <cell r="Y53" t="str">
            <v>Batch 08</v>
          </cell>
        </row>
        <row r="54">
          <cell r="E54">
            <v>46273</v>
          </cell>
          <cell r="F54">
            <v>46273</v>
          </cell>
          <cell r="Y54" t="str">
            <v>Batch 08</v>
          </cell>
        </row>
        <row r="55">
          <cell r="Y55" t="str">
            <v>Batch 09</v>
          </cell>
        </row>
        <row r="56">
          <cell r="E56">
            <v>46246</v>
          </cell>
          <cell r="F56">
            <v>46253</v>
          </cell>
          <cell r="Y56" t="str">
            <v>Batch 09</v>
          </cell>
        </row>
        <row r="57">
          <cell r="E57">
            <v>46252</v>
          </cell>
          <cell r="F57">
            <v>46256</v>
          </cell>
          <cell r="Y57" t="str">
            <v>Batch 09</v>
          </cell>
        </row>
        <row r="58">
          <cell r="E58">
            <v>46272</v>
          </cell>
          <cell r="F58">
            <v>46278</v>
          </cell>
          <cell r="Y58" t="str">
            <v>Batch 09</v>
          </cell>
        </row>
        <row r="59">
          <cell r="E59">
            <v>46279</v>
          </cell>
          <cell r="F59">
            <v>46280</v>
          </cell>
          <cell r="Y59" t="str">
            <v>Batch 09</v>
          </cell>
        </row>
        <row r="60">
          <cell r="E60">
            <v>46280</v>
          </cell>
          <cell r="F60">
            <v>46280</v>
          </cell>
          <cell r="Y60" t="str">
            <v>Batch 09</v>
          </cell>
        </row>
        <row r="61">
          <cell r="Y61" t="str">
            <v>Batch 10</v>
          </cell>
        </row>
        <row r="62">
          <cell r="E62">
            <v>46254</v>
          </cell>
          <cell r="F62">
            <v>46261</v>
          </cell>
          <cell r="Y62" t="str">
            <v>Batch 10</v>
          </cell>
        </row>
        <row r="63">
          <cell r="E63">
            <v>46259</v>
          </cell>
          <cell r="F63">
            <v>46263</v>
          </cell>
          <cell r="Y63" t="str">
            <v>Batch 10</v>
          </cell>
        </row>
        <row r="64">
          <cell r="E64">
            <v>46279</v>
          </cell>
          <cell r="F64">
            <v>46285</v>
          </cell>
          <cell r="Y64" t="str">
            <v>Batch 10</v>
          </cell>
        </row>
        <row r="65">
          <cell r="E65">
            <v>46286</v>
          </cell>
          <cell r="F65">
            <v>46287</v>
          </cell>
          <cell r="Y65" t="str">
            <v>Batch 10</v>
          </cell>
        </row>
        <row r="66">
          <cell r="E66">
            <v>46287</v>
          </cell>
          <cell r="F66">
            <v>46287</v>
          </cell>
          <cell r="Y66" t="str">
            <v>Batch 10</v>
          </cell>
        </row>
        <row r="68">
          <cell r="E68">
            <v>46195</v>
          </cell>
          <cell r="F68">
            <v>46215</v>
          </cell>
        </row>
        <row r="69">
          <cell r="E69">
            <v>46195</v>
          </cell>
          <cell r="F69">
            <v>46215</v>
          </cell>
        </row>
        <row r="70">
          <cell r="E70">
            <v>46195</v>
          </cell>
          <cell r="F70">
            <v>46270</v>
          </cell>
        </row>
        <row r="72">
          <cell r="E72">
            <v>46274</v>
          </cell>
          <cell r="F72">
            <v>46278</v>
          </cell>
        </row>
        <row r="73">
          <cell r="E73">
            <v>46279</v>
          </cell>
          <cell r="F73">
            <v>46285</v>
          </cell>
        </row>
        <row r="74">
          <cell r="E74">
            <v>46286</v>
          </cell>
          <cell r="F74">
            <v>46288</v>
          </cell>
        </row>
        <row r="75">
          <cell r="E75">
            <v>46289</v>
          </cell>
          <cell r="F75">
            <v>46292</v>
          </cell>
        </row>
        <row r="76">
          <cell r="E76">
            <v>46293</v>
          </cell>
          <cell r="F76">
            <v>46294</v>
          </cell>
        </row>
        <row r="77">
          <cell r="E77">
            <v>46295</v>
          </cell>
          <cell r="F77">
            <v>46295</v>
          </cell>
        </row>
        <row r="78">
          <cell r="E78">
            <v>46296</v>
          </cell>
          <cell r="F78">
            <v>46296</v>
          </cell>
        </row>
        <row r="80">
          <cell r="E80">
            <v>46195</v>
          </cell>
          <cell r="F80">
            <v>46237</v>
          </cell>
        </row>
        <row r="81">
          <cell r="E81">
            <v>46288</v>
          </cell>
          <cell r="F81">
            <v>46330</v>
          </cell>
        </row>
        <row r="83">
          <cell r="E83">
            <v>46195</v>
          </cell>
          <cell r="F83">
            <v>46216</v>
          </cell>
        </row>
        <row r="84">
          <cell r="E84">
            <v>46217</v>
          </cell>
          <cell r="F84">
            <v>46231</v>
          </cell>
        </row>
        <row r="86">
          <cell r="E86">
            <v>46288</v>
          </cell>
          <cell r="F86">
            <v>46382</v>
          </cell>
        </row>
        <row r="87">
          <cell r="E87">
            <v>46305</v>
          </cell>
          <cell r="F87">
            <v>46398</v>
          </cell>
        </row>
        <row r="88">
          <cell r="E88">
            <v>46310</v>
          </cell>
          <cell r="F88">
            <v>46401</v>
          </cell>
        </row>
        <row r="89">
          <cell r="E89">
            <v>46404</v>
          </cell>
          <cell r="F89">
            <v>46404</v>
          </cell>
        </row>
        <row r="91">
          <cell r="E91">
            <v>46390</v>
          </cell>
          <cell r="F91">
            <v>46394</v>
          </cell>
        </row>
        <row r="92">
          <cell r="E92">
            <v>46397</v>
          </cell>
          <cell r="F92">
            <v>46398</v>
          </cell>
        </row>
        <row r="93">
          <cell r="E93">
            <v>46399</v>
          </cell>
          <cell r="F93">
            <v>46400</v>
          </cell>
        </row>
        <row r="94">
          <cell r="E94">
            <v>46401</v>
          </cell>
          <cell r="F94">
            <v>46401</v>
          </cell>
        </row>
        <row r="95">
          <cell r="E95">
            <v>46404</v>
          </cell>
          <cell r="F95">
            <v>46404</v>
          </cell>
        </row>
        <row r="96">
          <cell r="E96">
            <v>46405</v>
          </cell>
          <cell r="F96">
            <v>46407</v>
          </cell>
        </row>
      </sheetData>
      <sheetData sheetId="8">
        <row r="2">
          <cell r="E2" t="str">
            <v>Planned Start</v>
          </cell>
          <cell r="F2" t="str">
            <v>Planned Finish</v>
          </cell>
        </row>
        <row r="5">
          <cell r="E5">
            <v>46148</v>
          </cell>
          <cell r="F5">
            <v>46175</v>
          </cell>
          <cell r="Y5" t="str">
            <v>Batch 01</v>
          </cell>
        </row>
        <row r="6">
          <cell r="E6">
            <v>46176</v>
          </cell>
          <cell r="F6">
            <v>46182</v>
          </cell>
          <cell r="Y6" t="str">
            <v>Batch 01</v>
          </cell>
        </row>
        <row r="7">
          <cell r="E7" t="str">
            <v>Started</v>
          </cell>
          <cell r="F7">
            <v>46201</v>
          </cell>
        </row>
        <row r="8">
          <cell r="E8">
            <v>46202</v>
          </cell>
          <cell r="F8">
            <v>46204</v>
          </cell>
          <cell r="Y8" t="str">
            <v>Batch 01</v>
          </cell>
        </row>
        <row r="9">
          <cell r="E9">
            <v>46205</v>
          </cell>
          <cell r="F9">
            <v>46208</v>
          </cell>
          <cell r="Y9" t="str">
            <v>Batch 01</v>
          </cell>
        </row>
        <row r="10">
          <cell r="E10">
            <v>46208</v>
          </cell>
          <cell r="F10">
            <v>46208</v>
          </cell>
          <cell r="Y10" t="str">
            <v>Batch 01</v>
          </cell>
        </row>
        <row r="12">
          <cell r="E12">
            <v>46176</v>
          </cell>
          <cell r="F12">
            <v>46183</v>
          </cell>
          <cell r="Y12" t="str">
            <v>Batch 02</v>
          </cell>
        </row>
        <row r="13">
          <cell r="E13">
            <v>46183</v>
          </cell>
          <cell r="F13">
            <v>46187</v>
          </cell>
          <cell r="Y13" t="str">
            <v>Batch 02</v>
          </cell>
        </row>
        <row r="14">
          <cell r="E14">
            <v>46205</v>
          </cell>
          <cell r="F14">
            <v>46208</v>
          </cell>
          <cell r="Y14" t="str">
            <v>Batch 02</v>
          </cell>
        </row>
        <row r="15">
          <cell r="E15">
            <v>46209</v>
          </cell>
          <cell r="F15">
            <v>46210</v>
          </cell>
          <cell r="Y15" t="str">
            <v>Batch 02</v>
          </cell>
        </row>
        <row r="16">
          <cell r="E16">
            <v>46210</v>
          </cell>
          <cell r="F16">
            <v>46210</v>
          </cell>
          <cell r="Y16" t="str">
            <v>Batch 02</v>
          </cell>
        </row>
        <row r="18">
          <cell r="E18">
            <v>46184</v>
          </cell>
          <cell r="F18">
            <v>46191</v>
          </cell>
          <cell r="Y18" t="str">
            <v>Batch 03</v>
          </cell>
        </row>
        <row r="19">
          <cell r="E19">
            <v>46189</v>
          </cell>
          <cell r="F19">
            <v>46193</v>
          </cell>
          <cell r="Y19" t="str">
            <v>Batch 03</v>
          </cell>
        </row>
        <row r="20">
          <cell r="E20">
            <v>46209</v>
          </cell>
          <cell r="F20">
            <v>46215</v>
          </cell>
          <cell r="Y20" t="str">
            <v>Batch 03</v>
          </cell>
        </row>
        <row r="21">
          <cell r="E21">
            <v>46216</v>
          </cell>
          <cell r="F21">
            <v>46217</v>
          </cell>
          <cell r="Y21" t="str">
            <v>Batch 03</v>
          </cell>
        </row>
        <row r="22">
          <cell r="E22">
            <v>46217</v>
          </cell>
          <cell r="F22">
            <v>46217</v>
          </cell>
          <cell r="Y22" t="str">
            <v>Batch 03</v>
          </cell>
        </row>
        <row r="24">
          <cell r="E24">
            <v>46193</v>
          </cell>
          <cell r="F24">
            <v>46200</v>
          </cell>
          <cell r="Y24" t="str">
            <v>Batch 04</v>
          </cell>
        </row>
        <row r="25">
          <cell r="E25">
            <v>46198</v>
          </cell>
          <cell r="F25">
            <v>46202</v>
          </cell>
          <cell r="Y25" t="str">
            <v>Batch 04</v>
          </cell>
        </row>
        <row r="26">
          <cell r="E26">
            <v>46216</v>
          </cell>
          <cell r="F26">
            <v>46219</v>
          </cell>
          <cell r="Y26" t="str">
            <v>Batch 04</v>
          </cell>
        </row>
        <row r="27">
          <cell r="E27">
            <v>46222</v>
          </cell>
          <cell r="F27">
            <v>46223</v>
          </cell>
          <cell r="Y27" t="str">
            <v>Batch 04</v>
          </cell>
        </row>
        <row r="28">
          <cell r="E28">
            <v>46223</v>
          </cell>
          <cell r="F28">
            <v>46223</v>
          </cell>
          <cell r="Y28" t="str">
            <v>Batch 04</v>
          </cell>
        </row>
        <row r="30">
          <cell r="E30">
            <v>46201</v>
          </cell>
          <cell r="F30">
            <v>46208</v>
          </cell>
          <cell r="Y30" t="str">
            <v>Batch 05</v>
          </cell>
        </row>
        <row r="31">
          <cell r="E31">
            <v>46207</v>
          </cell>
          <cell r="F31">
            <v>46210</v>
          </cell>
          <cell r="Y31" t="str">
            <v>Batch 05</v>
          </cell>
        </row>
        <row r="32">
          <cell r="E32">
            <v>46222</v>
          </cell>
          <cell r="F32">
            <v>46225</v>
          </cell>
          <cell r="Y32" t="str">
            <v>Batch 05</v>
          </cell>
        </row>
        <row r="33">
          <cell r="E33">
            <v>46226</v>
          </cell>
          <cell r="F33">
            <v>46229</v>
          </cell>
          <cell r="Y33" t="str">
            <v>Batch 05</v>
          </cell>
        </row>
        <row r="34">
          <cell r="E34">
            <v>46229</v>
          </cell>
          <cell r="F34">
            <v>46229</v>
          </cell>
          <cell r="Y34" t="str">
            <v>Batch 05</v>
          </cell>
        </row>
        <row r="36">
          <cell r="E36">
            <v>46209</v>
          </cell>
          <cell r="F36">
            <v>46216</v>
          </cell>
          <cell r="Y36" t="str">
            <v>Batch 06</v>
          </cell>
        </row>
        <row r="37">
          <cell r="E37">
            <v>46215</v>
          </cell>
          <cell r="F37">
            <v>46218</v>
          </cell>
          <cell r="Y37" t="str">
            <v>Batch 06</v>
          </cell>
        </row>
        <row r="38">
          <cell r="E38">
            <v>46226</v>
          </cell>
          <cell r="F38">
            <v>46231</v>
          </cell>
          <cell r="Y38" t="str">
            <v>Batch 06</v>
          </cell>
        </row>
        <row r="39">
          <cell r="E39">
            <v>46232</v>
          </cell>
          <cell r="F39">
            <v>46233</v>
          </cell>
          <cell r="Y39" t="str">
            <v>Batch 06</v>
          </cell>
        </row>
        <row r="40">
          <cell r="E40">
            <v>46233</v>
          </cell>
          <cell r="F40">
            <v>46233</v>
          </cell>
          <cell r="Y40" t="str">
            <v>Batch 06</v>
          </cell>
        </row>
        <row r="42">
          <cell r="E42">
            <v>46217</v>
          </cell>
          <cell r="F42">
            <v>46224</v>
          </cell>
          <cell r="Y42" t="str">
            <v>Batch 07</v>
          </cell>
        </row>
        <row r="43">
          <cell r="E43">
            <v>46223</v>
          </cell>
          <cell r="F43">
            <v>46226</v>
          </cell>
          <cell r="Y43" t="str">
            <v>Batch 07</v>
          </cell>
        </row>
        <row r="44">
          <cell r="E44">
            <v>46232</v>
          </cell>
          <cell r="F44">
            <v>46237</v>
          </cell>
          <cell r="Y44" t="str">
            <v>Batch 07</v>
          </cell>
        </row>
        <row r="45">
          <cell r="E45">
            <v>46238</v>
          </cell>
          <cell r="F45">
            <v>46239</v>
          </cell>
          <cell r="Y45" t="str">
            <v>Batch 07</v>
          </cell>
        </row>
        <row r="46">
          <cell r="E46">
            <v>46239</v>
          </cell>
          <cell r="F46">
            <v>46239</v>
          </cell>
          <cell r="Y46" t="str">
            <v>Batch 07</v>
          </cell>
        </row>
        <row r="48">
          <cell r="E48">
            <v>46225</v>
          </cell>
          <cell r="F48">
            <v>46232</v>
          </cell>
          <cell r="Y48" t="str">
            <v>Batch 08</v>
          </cell>
        </row>
        <row r="49">
          <cell r="E49">
            <v>46231</v>
          </cell>
          <cell r="F49">
            <v>46235</v>
          </cell>
          <cell r="Y49" t="str">
            <v>Batch 08</v>
          </cell>
        </row>
        <row r="50">
          <cell r="E50">
            <v>46238</v>
          </cell>
          <cell r="F50">
            <v>46245</v>
          </cell>
          <cell r="Y50" t="str">
            <v>Batch 08</v>
          </cell>
        </row>
        <row r="51">
          <cell r="E51">
            <v>46246</v>
          </cell>
          <cell r="F51">
            <v>46247</v>
          </cell>
          <cell r="Y51" t="str">
            <v>Batch 08</v>
          </cell>
        </row>
        <row r="52">
          <cell r="E52">
            <v>46247</v>
          </cell>
          <cell r="F52">
            <v>46247</v>
          </cell>
          <cell r="Y52" t="str">
            <v>Batch 08</v>
          </cell>
        </row>
        <row r="54">
          <cell r="E54">
            <v>46188</v>
          </cell>
          <cell r="F54">
            <v>46208</v>
          </cell>
        </row>
        <row r="55">
          <cell r="E55">
            <v>46188</v>
          </cell>
          <cell r="F55">
            <v>46208</v>
          </cell>
        </row>
        <row r="56">
          <cell r="E56">
            <v>46188</v>
          </cell>
          <cell r="F56">
            <v>46263</v>
          </cell>
        </row>
        <row r="58">
          <cell r="E58">
            <v>46236</v>
          </cell>
          <cell r="F58">
            <v>46238</v>
          </cell>
        </row>
        <row r="59">
          <cell r="E59">
            <v>46239</v>
          </cell>
          <cell r="F59">
            <v>46245</v>
          </cell>
        </row>
        <row r="60">
          <cell r="E60">
            <v>46246</v>
          </cell>
          <cell r="F60">
            <v>46250</v>
          </cell>
        </row>
        <row r="61">
          <cell r="E61">
            <v>46251</v>
          </cell>
          <cell r="F61">
            <v>46252</v>
          </cell>
        </row>
        <row r="62">
          <cell r="E62">
            <v>46253</v>
          </cell>
          <cell r="F62">
            <v>46254</v>
          </cell>
        </row>
        <row r="63">
          <cell r="E63">
            <v>46257</v>
          </cell>
          <cell r="F63">
            <v>46257</v>
          </cell>
        </row>
        <row r="64">
          <cell r="E64">
            <v>46258</v>
          </cell>
          <cell r="F64">
            <v>46258</v>
          </cell>
        </row>
        <row r="66">
          <cell r="E66">
            <v>46188</v>
          </cell>
          <cell r="F66">
            <v>46230</v>
          </cell>
        </row>
        <row r="67">
          <cell r="E67">
            <v>46248</v>
          </cell>
          <cell r="F67">
            <v>46290</v>
          </cell>
        </row>
        <row r="69">
          <cell r="E69">
            <v>46174</v>
          </cell>
          <cell r="F69">
            <v>46195</v>
          </cell>
        </row>
        <row r="70">
          <cell r="E70">
            <v>46204</v>
          </cell>
          <cell r="F70">
            <v>46218</v>
          </cell>
        </row>
        <row r="72">
          <cell r="E72">
            <v>46249</v>
          </cell>
          <cell r="F72">
            <v>46342</v>
          </cell>
        </row>
        <row r="73">
          <cell r="E73">
            <v>46265</v>
          </cell>
          <cell r="F73">
            <v>46358</v>
          </cell>
        </row>
        <row r="74">
          <cell r="E74">
            <v>46272</v>
          </cell>
          <cell r="F74">
            <v>46363</v>
          </cell>
        </row>
        <row r="75">
          <cell r="E75">
            <v>46364</v>
          </cell>
          <cell r="F75">
            <v>46364</v>
          </cell>
        </row>
        <row r="77">
          <cell r="E77">
            <v>46347</v>
          </cell>
          <cell r="F77">
            <v>46351</v>
          </cell>
        </row>
        <row r="78">
          <cell r="E78">
            <v>46352</v>
          </cell>
          <cell r="F78">
            <v>46356</v>
          </cell>
        </row>
        <row r="79">
          <cell r="E79">
            <v>46357</v>
          </cell>
          <cell r="F79">
            <v>46358</v>
          </cell>
        </row>
        <row r="80">
          <cell r="E80">
            <v>46359</v>
          </cell>
          <cell r="F80">
            <v>46362</v>
          </cell>
        </row>
        <row r="81">
          <cell r="E81">
            <v>46363</v>
          </cell>
          <cell r="F81">
            <v>46363</v>
          </cell>
        </row>
        <row r="82">
          <cell r="E82">
            <v>46364</v>
          </cell>
          <cell r="F82">
            <v>46364</v>
          </cell>
        </row>
        <row r="83">
          <cell r="E83">
            <v>46365</v>
          </cell>
          <cell r="F83">
            <v>46369</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L42"/>
  <sheetViews>
    <sheetView showGridLines="0" zoomScale="81" zoomScaleNormal="81" workbookViewId="0">
      <pane ySplit="2" topLeftCell="A3" activePane="bottomLeft" state="frozen"/>
      <selection pane="bottomLeft" activeCell="K17" sqref="K17"/>
    </sheetView>
  </sheetViews>
  <sheetFormatPr defaultColWidth="9" defaultRowHeight="13.5"/>
  <cols>
    <col min="1" max="1" width="0.75" customWidth="1"/>
    <col min="2" max="2" width="5.625" customWidth="1"/>
    <col min="3" max="3" width="32.375" customWidth="1"/>
    <col min="4" max="10" width="9.125" customWidth="1"/>
    <col min="11" max="11" width="42.75" style="2" customWidth="1"/>
  </cols>
  <sheetData>
    <row r="1" spans="2:11" ht="5.45" customHeight="1"/>
    <row r="2" spans="2:11" ht="24" customHeight="1">
      <c r="B2" s="436" t="s">
        <v>0</v>
      </c>
      <c r="C2" s="3" t="s">
        <v>1</v>
      </c>
      <c r="D2" s="4">
        <v>46113</v>
      </c>
      <c r="E2" s="4">
        <v>46143</v>
      </c>
      <c r="F2" s="4">
        <v>46174</v>
      </c>
      <c r="G2" s="4">
        <v>46204</v>
      </c>
      <c r="H2" s="4">
        <v>46235</v>
      </c>
      <c r="I2" s="4">
        <v>46266</v>
      </c>
      <c r="J2" s="4">
        <v>46296</v>
      </c>
      <c r="K2" s="5" t="s">
        <v>2</v>
      </c>
    </row>
    <row r="3" spans="2:11" ht="45" customHeight="1">
      <c r="B3" s="437"/>
      <c r="C3" s="439" t="s">
        <v>3</v>
      </c>
      <c r="D3" s="440"/>
      <c r="E3" s="440"/>
      <c r="F3" s="440"/>
      <c r="G3" s="440"/>
      <c r="H3" s="440"/>
      <c r="I3" s="440"/>
      <c r="J3" s="440"/>
      <c r="K3" s="6" t="s">
        <v>4</v>
      </c>
    </row>
    <row r="4" spans="2:11" ht="45" customHeight="1">
      <c r="B4" s="437"/>
      <c r="C4" s="433" t="s">
        <v>5</v>
      </c>
      <c r="D4" s="434"/>
      <c r="E4" s="434"/>
      <c r="F4" s="434"/>
      <c r="G4" s="434"/>
      <c r="H4" s="434"/>
      <c r="I4" s="434"/>
      <c r="J4" s="435"/>
      <c r="K4" s="6" t="s">
        <v>6</v>
      </c>
    </row>
    <row r="5" spans="2:11" ht="45" customHeight="1">
      <c r="B5" s="437"/>
      <c r="C5" s="433" t="s">
        <v>7</v>
      </c>
      <c r="D5" s="434"/>
      <c r="E5" s="434"/>
      <c r="F5" s="434"/>
      <c r="G5" s="434"/>
      <c r="H5" s="434"/>
      <c r="I5" s="434"/>
      <c r="J5" s="435"/>
      <c r="K5" s="6" t="s">
        <v>8</v>
      </c>
    </row>
    <row r="6" spans="2:11" ht="45" customHeight="1">
      <c r="B6" s="437"/>
      <c r="C6" s="7" t="s">
        <v>9</v>
      </c>
      <c r="D6" s="8"/>
      <c r="E6" s="8"/>
      <c r="F6" s="8"/>
      <c r="G6" s="8"/>
      <c r="H6" s="8"/>
      <c r="I6" s="8"/>
      <c r="J6" s="9"/>
      <c r="K6" s="6" t="s">
        <v>10</v>
      </c>
    </row>
    <row r="7" spans="2:11" ht="45" customHeight="1">
      <c r="B7" s="437"/>
      <c r="C7" s="433" t="s">
        <v>11</v>
      </c>
      <c r="D7" s="434"/>
      <c r="E7" s="434"/>
      <c r="F7" s="434"/>
      <c r="G7" s="434"/>
      <c r="H7" s="434"/>
      <c r="I7" s="434"/>
      <c r="J7" s="435"/>
      <c r="K7" s="6" t="s">
        <v>12</v>
      </c>
    </row>
    <row r="8" spans="2:11" ht="45" customHeight="1">
      <c r="B8" s="437"/>
      <c r="C8" s="433" t="s">
        <v>13</v>
      </c>
      <c r="D8" s="434"/>
      <c r="E8" s="434"/>
      <c r="F8" s="434"/>
      <c r="G8" s="434"/>
      <c r="H8" s="434"/>
      <c r="I8" s="434"/>
      <c r="J8" s="435"/>
      <c r="K8" s="6" t="s">
        <v>14</v>
      </c>
    </row>
    <row r="9" spans="2:11" ht="45" customHeight="1">
      <c r="B9" s="437"/>
      <c r="C9" s="433" t="s">
        <v>15</v>
      </c>
      <c r="D9" s="434"/>
      <c r="E9" s="434"/>
      <c r="F9" s="434"/>
      <c r="G9" s="434"/>
      <c r="H9" s="434"/>
      <c r="I9" s="434"/>
      <c r="J9" s="435"/>
      <c r="K9" s="6" t="s">
        <v>14</v>
      </c>
    </row>
    <row r="10" spans="2:11" ht="45" customHeight="1">
      <c r="B10" s="437"/>
      <c r="C10" s="433" t="s">
        <v>16</v>
      </c>
      <c r="D10" s="434"/>
      <c r="E10" s="434"/>
      <c r="F10" s="434"/>
      <c r="G10" s="434"/>
      <c r="H10" s="434"/>
      <c r="I10" s="434"/>
      <c r="J10" s="435"/>
      <c r="K10" s="6" t="s">
        <v>14</v>
      </c>
    </row>
    <row r="11" spans="2:11" ht="45" customHeight="1">
      <c r="B11" s="437"/>
      <c r="C11" s="433" t="s">
        <v>17</v>
      </c>
      <c r="D11" s="434"/>
      <c r="E11" s="434"/>
      <c r="F11" s="434"/>
      <c r="G11" s="434"/>
      <c r="H11" s="434"/>
      <c r="I11" s="434"/>
      <c r="J11" s="435"/>
      <c r="K11" s="6" t="s">
        <v>18</v>
      </c>
    </row>
    <row r="12" spans="2:11" ht="45" customHeight="1">
      <c r="B12" s="437"/>
      <c r="C12" s="433" t="s">
        <v>19</v>
      </c>
      <c r="D12" s="434"/>
      <c r="E12" s="434"/>
      <c r="F12" s="434"/>
      <c r="G12" s="434"/>
      <c r="H12" s="434"/>
      <c r="I12" s="434"/>
      <c r="J12" s="435"/>
      <c r="K12" s="6" t="s">
        <v>18</v>
      </c>
    </row>
    <row r="13" spans="2:11" ht="45" customHeight="1">
      <c r="B13" s="437"/>
      <c r="C13" s="433" t="s">
        <v>20</v>
      </c>
      <c r="D13" s="434"/>
      <c r="E13" s="434"/>
      <c r="F13" s="434"/>
      <c r="G13" s="434"/>
      <c r="H13" s="434"/>
      <c r="I13" s="434"/>
      <c r="J13" s="435"/>
      <c r="K13" s="6" t="s">
        <v>18</v>
      </c>
    </row>
    <row r="14" spans="2:11" ht="45" customHeight="1">
      <c r="B14" s="437"/>
      <c r="C14" s="433" t="s">
        <v>21</v>
      </c>
      <c r="D14" s="434"/>
      <c r="E14" s="434"/>
      <c r="F14" s="434"/>
      <c r="G14" s="434"/>
      <c r="H14" s="434"/>
      <c r="I14" s="434"/>
      <c r="J14" s="435"/>
      <c r="K14" s="6" t="s">
        <v>22</v>
      </c>
    </row>
    <row r="15" spans="2:11" ht="45" customHeight="1">
      <c r="B15" s="437"/>
      <c r="C15" s="433" t="s">
        <v>23</v>
      </c>
      <c r="D15" s="434"/>
      <c r="E15" s="434"/>
      <c r="F15" s="434"/>
      <c r="G15" s="434"/>
      <c r="H15" s="434"/>
      <c r="I15" s="434"/>
      <c r="J15" s="435"/>
      <c r="K15" s="6" t="s">
        <v>24</v>
      </c>
    </row>
    <row r="16" spans="2:11" ht="45" customHeight="1">
      <c r="B16" s="437"/>
      <c r="C16" s="433" t="s">
        <v>25</v>
      </c>
      <c r="D16" s="434"/>
      <c r="E16" s="434"/>
      <c r="F16" s="434"/>
      <c r="G16" s="434"/>
      <c r="H16" s="434"/>
      <c r="I16" s="434"/>
      <c r="J16" s="435"/>
      <c r="K16" s="6" t="s">
        <v>26</v>
      </c>
    </row>
    <row r="17" spans="2:12" ht="45" customHeight="1">
      <c r="B17" s="437"/>
      <c r="C17" s="7" t="s">
        <v>27</v>
      </c>
      <c r="D17" s="8"/>
      <c r="E17" s="8"/>
      <c r="F17" s="8"/>
      <c r="G17" s="8"/>
      <c r="H17" s="8"/>
      <c r="I17" s="8"/>
      <c r="J17" s="9"/>
      <c r="K17" s="10" t="s">
        <v>28</v>
      </c>
    </row>
    <row r="18" spans="2:12" ht="45" customHeight="1">
      <c r="B18" s="437"/>
      <c r="C18" s="439" t="s">
        <v>29</v>
      </c>
      <c r="D18" s="439"/>
      <c r="E18" s="439"/>
      <c r="F18" s="439"/>
      <c r="G18" s="439"/>
      <c r="H18" s="439"/>
      <c r="I18" s="439"/>
      <c r="J18" s="439"/>
      <c r="K18" s="6" t="s">
        <v>30</v>
      </c>
      <c r="L18" s="1"/>
    </row>
    <row r="19" spans="2:12" ht="43.5" customHeight="1">
      <c r="B19" s="437"/>
      <c r="C19" s="439" t="s">
        <v>31</v>
      </c>
      <c r="D19" s="439"/>
      <c r="E19" s="439"/>
      <c r="F19" s="439"/>
      <c r="G19" s="439"/>
      <c r="H19" s="439"/>
      <c r="I19" s="439"/>
      <c r="J19" s="439"/>
      <c r="K19" s="6" t="s">
        <v>30</v>
      </c>
      <c r="L19" s="1"/>
    </row>
    <row r="20" spans="2:12" ht="36" customHeight="1">
      <c r="B20" s="437"/>
      <c r="C20" s="433" t="s">
        <v>32</v>
      </c>
      <c r="D20" s="434"/>
      <c r="E20" s="434"/>
      <c r="F20" s="434"/>
      <c r="G20" s="434"/>
      <c r="H20" s="434"/>
      <c r="I20" s="434"/>
      <c r="J20" s="435"/>
      <c r="K20" s="6" t="s">
        <v>33</v>
      </c>
      <c r="L20" s="1"/>
    </row>
    <row r="21" spans="2:12" ht="36" customHeight="1">
      <c r="B21" s="437"/>
      <c r="C21" s="433" t="s">
        <v>34</v>
      </c>
      <c r="D21" s="434"/>
      <c r="E21" s="434"/>
      <c r="F21" s="434"/>
      <c r="G21" s="434"/>
      <c r="H21" s="434"/>
      <c r="I21" s="434"/>
      <c r="J21" s="435"/>
      <c r="K21" s="6" t="s">
        <v>35</v>
      </c>
      <c r="L21" s="1"/>
    </row>
    <row r="22" spans="2:12" ht="28.9" customHeight="1">
      <c r="B22" s="437"/>
      <c r="C22" s="7" t="s">
        <v>36</v>
      </c>
      <c r="D22" s="8"/>
      <c r="E22" s="8"/>
      <c r="F22" s="8"/>
      <c r="G22" s="8"/>
      <c r="H22" s="8"/>
      <c r="I22" s="8"/>
      <c r="J22" s="9"/>
      <c r="K22" s="6" t="s">
        <v>37</v>
      </c>
      <c r="L22" s="1"/>
    </row>
    <row r="23" spans="2:12" ht="28.9" customHeight="1">
      <c r="B23" s="437"/>
      <c r="C23" s="7" t="s">
        <v>38</v>
      </c>
      <c r="D23" s="8"/>
      <c r="E23" s="8"/>
      <c r="F23" s="8"/>
      <c r="G23" s="8"/>
      <c r="H23" s="8"/>
      <c r="I23" s="8"/>
      <c r="J23" s="9"/>
      <c r="K23" s="6" t="s">
        <v>39</v>
      </c>
      <c r="L23" s="1"/>
    </row>
    <row r="24" spans="2:12" ht="28.9" customHeight="1">
      <c r="B24" s="437"/>
      <c r="C24" s="7" t="s">
        <v>40</v>
      </c>
      <c r="D24" s="8"/>
      <c r="E24" s="8"/>
      <c r="F24" s="8"/>
      <c r="G24" s="8"/>
      <c r="H24" s="8"/>
      <c r="I24" s="8"/>
      <c r="J24" s="9"/>
      <c r="K24" s="6" t="s">
        <v>37</v>
      </c>
      <c r="L24" s="1"/>
    </row>
    <row r="25" spans="2:12" ht="28.9" customHeight="1">
      <c r="B25" s="437"/>
      <c r="C25" s="7" t="s">
        <v>41</v>
      </c>
      <c r="D25" s="8"/>
      <c r="E25" s="8"/>
      <c r="F25" s="8"/>
      <c r="G25" s="8"/>
      <c r="H25" s="8"/>
      <c r="I25" s="8"/>
      <c r="J25" s="9"/>
      <c r="K25" s="6" t="s">
        <v>42</v>
      </c>
      <c r="L25" s="1"/>
    </row>
    <row r="26" spans="2:12" ht="28.9" customHeight="1">
      <c r="B26" s="437"/>
      <c r="C26" s="7" t="s">
        <v>43</v>
      </c>
      <c r="D26" s="8"/>
      <c r="E26" s="8"/>
      <c r="F26" s="8"/>
      <c r="G26" s="8"/>
      <c r="H26" s="8"/>
      <c r="I26" s="8"/>
      <c r="J26" s="9"/>
      <c r="K26" s="6" t="s">
        <v>42</v>
      </c>
      <c r="L26" s="1"/>
    </row>
    <row r="27" spans="2:12" ht="28.9" customHeight="1">
      <c r="B27" s="437"/>
      <c r="C27" s="7" t="s">
        <v>44</v>
      </c>
      <c r="D27" s="8"/>
      <c r="E27" s="8"/>
      <c r="F27" s="8"/>
      <c r="G27" s="8"/>
      <c r="H27" s="8"/>
      <c r="I27" s="8"/>
      <c r="J27" s="9"/>
      <c r="K27" s="6" t="s">
        <v>45</v>
      </c>
      <c r="L27" s="1"/>
    </row>
    <row r="28" spans="2:12" ht="28.9" customHeight="1">
      <c r="B28" s="437"/>
      <c r="C28" s="7" t="s">
        <v>46</v>
      </c>
      <c r="D28" s="8"/>
      <c r="E28" s="8"/>
      <c r="F28" s="8"/>
      <c r="G28" s="8"/>
      <c r="H28" s="8"/>
      <c r="I28" s="8"/>
      <c r="J28" s="9"/>
      <c r="K28" s="6" t="s">
        <v>45</v>
      </c>
      <c r="L28" s="1"/>
    </row>
    <row r="29" spans="2:12" ht="28.9" customHeight="1">
      <c r="B29" s="437"/>
      <c r="C29" s="11" t="s">
        <v>47</v>
      </c>
      <c r="D29" s="8"/>
      <c r="E29" s="8"/>
      <c r="F29" s="8"/>
      <c r="G29" s="8"/>
      <c r="H29" s="8"/>
      <c r="I29" s="8"/>
      <c r="J29" s="9"/>
      <c r="K29" s="6"/>
      <c r="L29" s="1"/>
    </row>
    <row r="30" spans="2:12" ht="28.9" customHeight="1">
      <c r="B30" s="437"/>
      <c r="C30" s="11" t="s">
        <v>48</v>
      </c>
      <c r="D30" s="8"/>
      <c r="E30" s="8"/>
      <c r="F30" s="8"/>
      <c r="G30" s="8"/>
      <c r="H30" s="8"/>
      <c r="I30" s="8"/>
      <c r="J30" s="9"/>
      <c r="K30" s="6"/>
      <c r="L30" s="1"/>
    </row>
    <row r="31" spans="2:12" ht="36" customHeight="1">
      <c r="B31" s="437"/>
      <c r="C31" s="433" t="s">
        <v>49</v>
      </c>
      <c r="D31" s="434"/>
      <c r="E31" s="434"/>
      <c r="F31" s="434"/>
      <c r="G31" s="434"/>
      <c r="H31" s="434"/>
      <c r="I31" s="434"/>
      <c r="J31" s="435"/>
      <c r="K31" s="6" t="s">
        <v>50</v>
      </c>
      <c r="L31" s="1"/>
    </row>
    <row r="32" spans="2:12" ht="36" customHeight="1">
      <c r="B32" s="438"/>
      <c r="C32" s="433" t="s">
        <v>51</v>
      </c>
      <c r="D32" s="434"/>
      <c r="E32" s="434"/>
      <c r="F32" s="434"/>
      <c r="G32" s="434"/>
      <c r="H32" s="434"/>
      <c r="I32" s="434"/>
      <c r="J32" s="435"/>
      <c r="K32" s="6"/>
      <c r="L32" s="1"/>
    </row>
    <row r="33" spans="4:11">
      <c r="D33" s="1"/>
      <c r="E33" s="1"/>
      <c r="F33" s="1"/>
      <c r="G33" s="1"/>
      <c r="H33" s="1"/>
      <c r="I33" s="1"/>
      <c r="J33" s="1"/>
      <c r="K33" s="12"/>
    </row>
    <row r="34" spans="4:11">
      <c r="D34" s="1"/>
      <c r="E34" s="1"/>
      <c r="F34" s="1"/>
      <c r="G34" s="1"/>
      <c r="H34" s="1"/>
      <c r="I34" s="1"/>
      <c r="J34" s="1"/>
      <c r="K34" s="12"/>
    </row>
    <row r="35" spans="4:11">
      <c r="D35" s="1"/>
      <c r="E35" s="1"/>
      <c r="F35" s="1"/>
      <c r="G35" s="1"/>
      <c r="H35" s="1"/>
      <c r="J35" s="1"/>
      <c r="K35" s="12"/>
    </row>
    <row r="36" spans="4:11">
      <c r="D36" s="1"/>
      <c r="E36" s="1"/>
      <c r="F36" s="1"/>
      <c r="G36" s="1"/>
      <c r="H36" s="1"/>
      <c r="I36" s="1"/>
      <c r="J36" s="1"/>
      <c r="K36" s="12"/>
    </row>
    <row r="37" spans="4:11">
      <c r="D37" s="1"/>
      <c r="E37" s="1"/>
      <c r="F37" s="1"/>
      <c r="G37" s="1"/>
      <c r="H37" s="1"/>
      <c r="I37" s="1"/>
      <c r="J37" s="1"/>
      <c r="K37" s="12"/>
    </row>
    <row r="38" spans="4:11">
      <c r="D38" s="1"/>
      <c r="E38" s="1"/>
      <c r="F38" s="1"/>
      <c r="G38" s="1"/>
      <c r="H38" s="1"/>
      <c r="I38" s="1"/>
      <c r="J38" s="1"/>
      <c r="K38" s="12"/>
    </row>
    <row r="39" spans="4:11">
      <c r="D39" s="1"/>
      <c r="E39" s="1"/>
      <c r="F39" s="1"/>
      <c r="G39" s="1"/>
      <c r="H39" s="1"/>
      <c r="I39" s="1"/>
      <c r="J39" s="1"/>
      <c r="K39" s="12"/>
    </row>
    <row r="42" spans="4:11">
      <c r="D42" s="1"/>
      <c r="E42" s="1"/>
      <c r="F42" s="1"/>
      <c r="G42" s="1"/>
      <c r="H42" s="1"/>
      <c r="I42" s="1"/>
      <c r="J42" s="1"/>
      <c r="K42" s="12"/>
    </row>
  </sheetData>
  <mergeCells count="20">
    <mergeCell ref="C5:J5"/>
    <mergeCell ref="C7:J7"/>
    <mergeCell ref="C8:J8"/>
    <mergeCell ref="C20:J20"/>
    <mergeCell ref="C21:J21"/>
    <mergeCell ref="C31:J31"/>
    <mergeCell ref="C32:J32"/>
    <mergeCell ref="B2:B32"/>
    <mergeCell ref="C14:J14"/>
    <mergeCell ref="C15:J15"/>
    <mergeCell ref="C16:J16"/>
    <mergeCell ref="C18:J18"/>
    <mergeCell ref="C19:J19"/>
    <mergeCell ref="C9:J9"/>
    <mergeCell ref="C10:J10"/>
    <mergeCell ref="C11:J11"/>
    <mergeCell ref="C12:J12"/>
    <mergeCell ref="C13:J13"/>
    <mergeCell ref="C3:J3"/>
    <mergeCell ref="C4:J4"/>
  </mergeCells>
  <pageMargins left="0.7" right="0.7" top="0.75" bottom="0.75" header="0.3" footer="0.3"/>
  <pageSetup paperSize="9"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4E636-D93F-4D9A-9FCB-98B5933689CD}">
  <sheetPr>
    <pageSetUpPr fitToPage="1"/>
  </sheetPr>
  <dimension ref="A1:Z27"/>
  <sheetViews>
    <sheetView view="pageBreakPreview" zoomScale="48" zoomScaleNormal="145" zoomScaleSheetLayoutView="48" workbookViewId="0">
      <selection activeCell="AB28" sqref="AB28"/>
    </sheetView>
  </sheetViews>
  <sheetFormatPr defaultColWidth="9" defaultRowHeight="15"/>
  <cols>
    <col min="1" max="1" width="12.875" style="376" bestFit="1" customWidth="1"/>
    <col min="2" max="2" width="9" style="376" hidden="1" customWidth="1"/>
    <col min="3" max="3" width="11.625" style="376" bestFit="1" customWidth="1"/>
    <col min="4" max="7" width="4.125" style="376" customWidth="1"/>
    <col min="8" max="8" width="2.625" style="376" customWidth="1"/>
    <col min="9" max="9" width="10.25" style="376" customWidth="1"/>
    <col min="10" max="10" width="1" style="376" hidden="1" customWidth="1"/>
    <col min="11" max="11" width="12.875" style="376" customWidth="1"/>
    <col min="12" max="15" width="4.125" style="376" customWidth="1"/>
    <col min="16" max="16" width="2.625" style="376" customWidth="1"/>
    <col min="17" max="17" width="10.25" style="376" customWidth="1"/>
    <col min="18" max="18" width="12.875" style="376" hidden="1" customWidth="1"/>
    <col min="19" max="19" width="12.875" style="376" customWidth="1"/>
    <col min="20" max="23" width="4.125" style="376" customWidth="1"/>
    <col min="24" max="24" width="8.5" style="376" customWidth="1"/>
    <col min="25" max="25" width="9" style="376"/>
    <col min="26" max="26" width="9.5" style="376" customWidth="1"/>
    <col min="27" max="27" width="1.25" style="376" customWidth="1"/>
    <col min="28" max="16384" width="9" style="376"/>
  </cols>
  <sheetData>
    <row r="1" spans="1:26" ht="15.6" customHeight="1">
      <c r="A1" s="373">
        <v>0</v>
      </c>
      <c r="B1" s="374" t="s">
        <v>52</v>
      </c>
      <c r="C1" s="375" t="s">
        <v>52</v>
      </c>
      <c r="D1" s="445" t="s">
        <v>53</v>
      </c>
      <c r="E1" s="446"/>
      <c r="F1" s="446"/>
      <c r="G1" s="446"/>
      <c r="H1" s="446"/>
      <c r="I1" s="446"/>
      <c r="J1" s="446"/>
      <c r="K1" s="446"/>
      <c r="L1" s="446"/>
      <c r="M1" s="446"/>
      <c r="N1" s="446"/>
      <c r="O1" s="446"/>
      <c r="P1" s="446"/>
      <c r="Q1" s="446"/>
      <c r="R1" s="446"/>
      <c r="S1" s="446"/>
      <c r="T1" s="446"/>
      <c r="U1" s="446"/>
      <c r="V1" s="446"/>
      <c r="W1" s="446"/>
    </row>
    <row r="2" spans="1:26" ht="18" customHeight="1">
      <c r="A2" s="373">
        <v>0.5</v>
      </c>
      <c r="B2" s="374" t="s">
        <v>54</v>
      </c>
      <c r="C2" s="375" t="s">
        <v>54</v>
      </c>
      <c r="D2" s="447"/>
      <c r="E2" s="448"/>
      <c r="F2" s="448"/>
      <c r="G2" s="448"/>
      <c r="H2" s="448"/>
      <c r="I2" s="448"/>
      <c r="J2" s="448"/>
      <c r="K2" s="448"/>
      <c r="L2" s="448"/>
      <c r="M2" s="448"/>
      <c r="N2" s="448"/>
      <c r="O2" s="448"/>
      <c r="P2" s="448"/>
      <c r="Q2" s="448"/>
      <c r="R2" s="448"/>
      <c r="S2" s="448"/>
      <c r="T2" s="448"/>
      <c r="U2" s="448"/>
      <c r="V2" s="448"/>
      <c r="W2" s="448"/>
    </row>
    <row r="3" spans="1:26" ht="18" customHeight="1">
      <c r="A3" s="373">
        <v>1</v>
      </c>
      <c r="B3" s="374" t="s">
        <v>55</v>
      </c>
      <c r="C3" s="375" t="s">
        <v>55</v>
      </c>
      <c r="D3" s="447"/>
      <c r="E3" s="448"/>
      <c r="F3" s="448"/>
      <c r="G3" s="448"/>
      <c r="H3" s="448"/>
      <c r="I3" s="448"/>
      <c r="J3" s="448"/>
      <c r="K3" s="448"/>
      <c r="L3" s="448"/>
      <c r="M3" s="448"/>
      <c r="N3" s="448"/>
      <c r="O3" s="448"/>
      <c r="P3" s="448"/>
      <c r="Q3" s="448"/>
      <c r="R3" s="448"/>
      <c r="S3" s="448"/>
      <c r="T3" s="448"/>
      <c r="U3" s="448"/>
      <c r="V3" s="448"/>
      <c r="W3" s="448"/>
    </row>
    <row r="4" spans="1:26" ht="15" customHeight="1">
      <c r="A4" s="377"/>
      <c r="B4" s="378"/>
      <c r="C4" s="379"/>
      <c r="D4" s="449"/>
      <c r="E4" s="449"/>
      <c r="F4" s="449"/>
      <c r="G4" s="449"/>
      <c r="H4" s="449"/>
      <c r="I4" s="449"/>
      <c r="J4" s="449"/>
      <c r="K4" s="449"/>
      <c r="L4" s="449"/>
      <c r="M4" s="449"/>
      <c r="N4" s="449"/>
      <c r="O4" s="449"/>
      <c r="P4" s="449"/>
      <c r="Q4" s="449"/>
      <c r="R4" s="449"/>
      <c r="S4" s="449"/>
      <c r="T4" s="449"/>
      <c r="U4" s="449"/>
      <c r="V4" s="449"/>
      <c r="W4" s="449"/>
    </row>
    <row r="5" spans="1:26" ht="35.1" customHeight="1">
      <c r="A5" s="444" t="s">
        <v>56</v>
      </c>
      <c r="B5" s="444"/>
      <c r="C5" s="444"/>
      <c r="D5" s="444"/>
      <c r="E5" s="444"/>
      <c r="F5" s="444"/>
      <c r="G5" s="444"/>
      <c r="H5" s="450"/>
      <c r="I5" s="444" t="s">
        <v>57</v>
      </c>
      <c r="J5" s="444"/>
      <c r="K5" s="444"/>
      <c r="L5" s="444"/>
      <c r="M5" s="444"/>
      <c r="N5" s="444"/>
      <c r="O5" s="444"/>
      <c r="P5" s="450"/>
      <c r="Q5" s="444" t="s">
        <v>58</v>
      </c>
      <c r="R5" s="444"/>
      <c r="S5" s="444"/>
      <c r="T5" s="444"/>
      <c r="U5" s="444"/>
      <c r="V5" s="444"/>
      <c r="W5" s="444"/>
    </row>
    <row r="6" spans="1:26" s="384" customFormat="1" ht="88.5">
      <c r="A6" s="380" t="s">
        <v>59</v>
      </c>
      <c r="B6" s="381" t="s">
        <v>60</v>
      </c>
      <c r="C6" s="382" t="s">
        <v>61</v>
      </c>
      <c r="D6" s="383" t="s">
        <v>62</v>
      </c>
      <c r="E6" s="383" t="s">
        <v>63</v>
      </c>
      <c r="F6" s="383" t="s">
        <v>64</v>
      </c>
      <c r="G6" s="383" t="s">
        <v>65</v>
      </c>
      <c r="H6" s="451"/>
      <c r="I6" s="380" t="s">
        <v>59</v>
      </c>
      <c r="J6" s="381" t="s">
        <v>60</v>
      </c>
      <c r="K6" s="382" t="s">
        <v>61</v>
      </c>
      <c r="L6" s="383" t="s">
        <v>62</v>
      </c>
      <c r="M6" s="383" t="s">
        <v>66</v>
      </c>
      <c r="N6" s="383" t="s">
        <v>64</v>
      </c>
      <c r="O6" s="383" t="s">
        <v>65</v>
      </c>
      <c r="P6" s="451"/>
      <c r="Q6" s="380" t="s">
        <v>59</v>
      </c>
      <c r="R6" s="381" t="s">
        <v>60</v>
      </c>
      <c r="S6" s="382" t="s">
        <v>61</v>
      </c>
      <c r="T6" s="383" t="s">
        <v>62</v>
      </c>
      <c r="U6" s="383" t="s">
        <v>66</v>
      </c>
      <c r="V6" s="383" t="s">
        <v>64</v>
      </c>
      <c r="W6" s="383" t="s">
        <v>65</v>
      </c>
      <c r="Z6" s="384" t="s">
        <v>67</v>
      </c>
    </row>
    <row r="7" spans="1:26" ht="20.100000000000001" customHeight="1">
      <c r="A7" s="385" t="s">
        <v>68</v>
      </c>
      <c r="B7" s="386" cm="1">
        <f t="array" aca="1" ref="B7" ca="1">IFERROR(AVERAGE(_xlfn._xlws.FILTER(IF(TODAY()&lt;'[2]MADINAH Migration Plan-'!$E$2:$E$209,0,IF(TODAY()&gt;='[2]MADINAH Migration Plan-'!$F$2:$F$209,1,NETWORKDAYS.INTL('[2]MADINAH Migration Plan-'!$E$2:$E$209,TODAY(),"0000011")/NETWORKDAYS.INTL('[2]MADINAH Migration Plan-'!$E$2:$E$209,'[2]MADINAH Migration Plan-'!$F$2:$F$209,"0000011"))),('[2]MADINAH Migration Plan-'!$Z$2:$Z$209=$A7)*('[2]MADINAH Migration Plan-'!$E$2:$E$209&lt;&gt;"")*('[2]MADINAH Migration Plan-'!$F$2:$F$209&lt;&gt;""))),0)</f>
        <v>0</v>
      </c>
      <c r="C7" s="387">
        <f t="shared" ref="C7:C16" si="0">AVERAGE(D7:G7)</f>
        <v>0.5</v>
      </c>
      <c r="D7" s="388" cm="1">
        <f t="array" ref="D7">IFERROR(INDEX('MADINAH Migration Plan-'!$L:$L,MATCH(1,('MADINAH Migration Plan-'!$AA:$AA=$A7)*('MADINAH Migration Plan-'!$Z:$Z=D$6),0)),0)</f>
        <v>1</v>
      </c>
      <c r="E7" s="388" cm="1">
        <f t="array" ref="E7">IFERROR(INDEX('MADINAH Migration Plan-'!$L:$L,MATCH(1,('MADINAH Migration Plan-'!$AA:$AA=$A7)*('MADINAH Migration Plan-'!$Z:$Z=E$6),0)),0)</f>
        <v>1</v>
      </c>
      <c r="F7" s="388" cm="1">
        <f t="array" ref="F7">IFERROR(INDEX('MADINAH Migration Plan-'!$L:$L,MATCH(1,('MADINAH Migration Plan-'!$AA:$AA=$A7)*('MADINAH Migration Plan-'!$Z:$Z=F$6),0)),0)</f>
        <v>0</v>
      </c>
      <c r="G7" s="388" cm="1">
        <f t="array" ref="G7">IFERROR(INDEX('MADINAH Migration Plan-'!$L:$L,MATCH(1,('MADINAH Migration Plan-'!$AA:$AA=$A7)*('MADINAH Migration Plan-'!$Z:$Z=G$6),0)),0)</f>
        <v>0</v>
      </c>
      <c r="H7" s="451"/>
      <c r="I7" s="385" t="s">
        <v>68</v>
      </c>
      <c r="J7" s="389" cm="1">
        <f t="array" aca="1" ref="J7" ca="1">IFERROR(AVERAGE(_xlfn._xlws.FILTER(IF(TODAY()&lt;'[2]Jeddah Migration Plan'!$E$2:$E$201,0,IF(TODAY()&gt;='[2]Jeddah Migration Plan'!$F$2:$F$201,1,NETWORKDAYS.INTL('[2]Jeddah Migration Plan'!$E$2:$E$201,TODAY(),"0000011")/NETWORKDAYS.INTL('[2]Jeddah Migration Plan'!$E$2:$E$201,'[2]Jeddah Migration Plan'!$F$2:$F$201,"0000011"))),('[2]Jeddah Migration Plan'!$Y$2:$Y$201=$I7)*('[2]Jeddah Migration Plan'!$E$2:$E$201&lt;&gt;"")*('[2]Jeddah Migration Plan'!$F$2:$F$201&lt;&gt;""))),0)</f>
        <v>0.4</v>
      </c>
      <c r="K7" s="374">
        <f t="shared" ref="K7:K16" si="1">AVERAGE(L7:O7)</f>
        <v>0.125</v>
      </c>
      <c r="L7" s="388" cm="1">
        <f t="array" ref="L7">IFERROR(INDEX('Jeddah Migration Plan'!$L:$L,MATCH(1,('Jeddah Migration Plan'!$AB:$AB=$A7)*('Jeddah Migration Plan'!$AA:$AA=L$6),0)),0)</f>
        <v>0.5</v>
      </c>
      <c r="M7" s="388" cm="1">
        <f t="array" ref="M7">IFERROR(INDEX('Jeddah Migration Plan'!$L:$L,MATCH(1,('Jeddah Migration Plan'!$AB:$AB=$A7)*('Jeddah Migration Plan'!$AA:$AA=M$6),0)),0)</f>
        <v>0</v>
      </c>
      <c r="N7" s="388" cm="1">
        <f t="array" ref="N7">IFERROR(INDEX('Jeddah Migration Plan'!$L:$L,MATCH(1,('Jeddah Migration Plan'!$AB:$AB=$A7)*('Jeddah Migration Plan'!$AA:$AA=N$6),0)),0)</f>
        <v>0</v>
      </c>
      <c r="O7" s="388" cm="1">
        <f t="array" ref="O7">IFERROR(INDEX('Jeddah Migration Plan'!$L:$L,MATCH(1,('Jeddah Migration Plan'!$AB:$AB=$A7)*('Jeddah Migration Plan'!$AA:$AA=O$6),0)),0)</f>
        <v>0</v>
      </c>
      <c r="P7" s="451"/>
      <c r="Q7" s="385" t="s">
        <v>68</v>
      </c>
      <c r="R7" s="389" cm="1">
        <f t="array" aca="1" ref="R7" ca="1">IFERROR(AVERAGE(_xlfn._xlws.FILTER(IF(TODAY()&lt;'[2]Makkah Migration Plan'!$E$2:$E$198,0,IF(TODAY()&gt;='[2]Makkah Migration Plan'!$F$2:$F$198,1,NETWORKDAYS.INTL('[2]Makkah Migration Plan'!$E$2:$E$198,TODAY(),"0000011")/NETWORKDAYS.INTL('[2]Makkah Migration Plan'!$E$2:$E$198,'[2]Makkah Migration Plan'!$F$2:$F$198,"0000011"))),('[2]Makkah Migration Plan'!$Y$2:$Y$198=$Q7)*('[2]Makkah Migration Plan'!$E$2:$E$198&lt;&gt;"")*('[2]Makkah Migration Plan'!$F$2:$F$198&lt;&gt;""))),0)</f>
        <v>0.4</v>
      </c>
      <c r="S7" s="374">
        <f t="shared" ref="S7:S16" si="2">AVERAGE(T7:W7)</f>
        <v>0.1</v>
      </c>
      <c r="T7" s="388" cm="1">
        <f t="array" ref="T7">IFERROR(INDEX('Makkah Migration Plan'!$L:$L,MATCH(1,('Makkah Migration Plan'!$AA:$AA=$A7)*('Makkah Migration Plan'!$Z:$Z=T$6),0)),0)</f>
        <v>0.4</v>
      </c>
      <c r="U7" s="388" cm="1">
        <f t="array" ref="U7">IFERROR(INDEX('Makkah Migration Plan'!$L:$L,MATCH(1,('Makkah Migration Plan'!$AA:$AA=$A7)*('Makkah Migration Plan'!$Z:$Z=U$6),0)),0)</f>
        <v>0</v>
      </c>
      <c r="V7" s="388" cm="1">
        <f t="array" ref="V7">IFERROR(INDEX('Makkah Migration Plan'!$L:$L,MATCH(1,('Makkah Migration Plan'!$AA:$AA=$A7)*('Makkah Migration Plan'!$Z:$Z=V$6),0)),0)</f>
        <v>0</v>
      </c>
      <c r="W7" s="388" cm="1">
        <f t="array" ref="W7">IFERROR(INDEX('Makkah Migration Plan'!$L:$L,MATCH(1,('Makkah Migration Plan'!$AA:$AA=$A7)*('Makkah Migration Plan'!$Z:$Z=W$6),0)),0)</f>
        <v>0</v>
      </c>
    </row>
    <row r="8" spans="1:26" ht="20.100000000000001" customHeight="1">
      <c r="A8" s="385" t="s">
        <v>69</v>
      </c>
      <c r="B8" s="386" cm="1">
        <f t="array" aca="1" ref="B8" ca="1">IFERROR(AVERAGE(_xlfn._xlws.FILTER(IF(TODAY()&lt;'[2]MADINAH Migration Plan-'!$E$2:$E$209,0,IF(TODAY()&gt;='[2]MADINAH Migration Plan-'!$F$2:$F$209,1,NETWORKDAYS.INTL('[2]MADINAH Migration Plan-'!$E$2:$E$209,TODAY(),"0000011")/NETWORKDAYS.INTL('[2]MADINAH Migration Plan-'!$E$2:$E$209,'[2]MADINAH Migration Plan-'!$F$2:$F$209,"0000011"))),('[2]MADINAH Migration Plan-'!$Z$2:$Z$209=$A8)*('[2]MADINAH Migration Plan-'!$E$2:$E$209&lt;&gt;"")*('[2]MADINAH Migration Plan-'!$F$2:$F$209&lt;&gt;""))),0)</f>
        <v>0</v>
      </c>
      <c r="C8" s="387">
        <f t="shared" si="0"/>
        <v>0.5</v>
      </c>
      <c r="D8" s="388" cm="1">
        <f t="array" ref="D8">IFERROR(INDEX('MADINAH Migration Plan-'!$L:$L,MATCH(1,('MADINAH Migration Plan-'!$AA:$AA=$A8)*('MADINAH Migration Plan-'!$Z:$Z=D$6),0)),0)</f>
        <v>1</v>
      </c>
      <c r="E8" s="388" cm="1">
        <f t="array" ref="E8">IFERROR(INDEX('MADINAH Migration Plan-'!$L:$L,MATCH(1,('MADINAH Migration Plan-'!$AA:$AA=$A8)*('MADINAH Migration Plan-'!$Z:$Z=E$6),0)),0)</f>
        <v>1</v>
      </c>
      <c r="F8" s="388" cm="1">
        <f t="array" ref="F8">IFERROR(INDEX('MADINAH Migration Plan-'!$L:$L,MATCH(1,('MADINAH Migration Plan-'!$AA:$AA=$A8)*('MADINAH Migration Plan-'!$Z:$Z=F$6),0)),0)</f>
        <v>0</v>
      </c>
      <c r="G8" s="388" cm="1">
        <f t="array" ref="G8">IFERROR(INDEX('MADINAH Migration Plan-'!$L:$L,MATCH(1,('MADINAH Migration Plan-'!$AA:$AA=$A8)*('MADINAH Migration Plan-'!$Z:$Z=G$6),0)),0)</f>
        <v>0</v>
      </c>
      <c r="H8" s="451"/>
      <c r="I8" s="385" t="s">
        <v>69</v>
      </c>
      <c r="J8" s="389" cm="1">
        <f t="array" aca="1" ref="J8" ca="1">IFERROR(AVERAGE(_xlfn._xlws.FILTER(IF(TODAY()&lt;'[2]Jeddah Migration Plan'!$E$2:$E$201,0,IF(TODAY()&gt;='[2]Jeddah Migration Plan'!$F$2:$F$201,1,NETWORKDAYS.INTL('[2]Jeddah Migration Plan'!$E$2:$E$201,TODAY(),"0000011")/NETWORKDAYS.INTL('[2]Jeddah Migration Plan'!$E$2:$E$201,'[2]Jeddah Migration Plan'!$F$2:$F$201,"0000011"))),('[2]Jeddah Migration Plan'!$Y$2:$Y$201=$I8)*('[2]Jeddah Migration Plan'!$E$2:$E$201&lt;&gt;"")*('[2]Jeddah Migration Plan'!$F$2:$F$201&lt;&gt;""))),0)</f>
        <v>0.4</v>
      </c>
      <c r="K8" s="387">
        <f t="shared" si="1"/>
        <v>0</v>
      </c>
      <c r="L8" s="388" cm="1">
        <f t="array" ref="L8">IFERROR(INDEX('Jeddah Migration Plan'!$L:$L,MATCH(1,('Jeddah Migration Plan'!$AB:$AB=$A8)*('Jeddah Migration Plan'!$AA:$AA=L$6),0)),0)</f>
        <v>0</v>
      </c>
      <c r="M8" s="388" cm="1">
        <f t="array" ref="M8">IFERROR(INDEX('Jeddah Migration Plan'!$L:$L,MATCH(1,('Jeddah Migration Plan'!$AB:$AB=$A8)*('Jeddah Migration Plan'!$AA:$AA=M$6),0)),0)</f>
        <v>0</v>
      </c>
      <c r="N8" s="388" cm="1">
        <f t="array" ref="N8">IFERROR(INDEX('Jeddah Migration Plan'!$L:$L,MATCH(1,('Jeddah Migration Plan'!$AB:$AB=$A8)*('Jeddah Migration Plan'!$AA:$AA=N$6),0)),0)</f>
        <v>0</v>
      </c>
      <c r="O8" s="388" cm="1">
        <f t="array" ref="O8">IFERROR(INDEX('Jeddah Migration Plan'!$L:$L,MATCH(1,('Jeddah Migration Plan'!$AB:$AB=$A8)*('Jeddah Migration Plan'!$AA:$AA=O$6),0)),0)</f>
        <v>0</v>
      </c>
      <c r="P8" s="451"/>
      <c r="Q8" s="385" t="s">
        <v>69</v>
      </c>
      <c r="R8" s="389" cm="1">
        <f t="array" aca="1" ref="R8" ca="1">IFERROR(AVERAGE(_xlfn._xlws.FILTER(IF(TODAY()&lt;'[2]Makkah Migration Plan'!$E$2:$E$198,0,IF(TODAY()&gt;='[2]Makkah Migration Plan'!$F$2:$F$198,1,NETWORKDAYS.INTL('[2]Makkah Migration Plan'!$E$2:$E$198,TODAY(),"0000011")/NETWORKDAYS.INTL('[2]Makkah Migration Plan'!$E$2:$E$198,'[2]Makkah Migration Plan'!$F$2:$F$198,"0000011"))),('[2]Makkah Migration Plan'!$Y$2:$Y$198=$Q8)*('[2]Makkah Migration Plan'!$E$2:$E$198&lt;&gt;"")*('[2]Makkah Migration Plan'!$F$2:$F$198&lt;&gt;""))),0)</f>
        <v>0.4</v>
      </c>
      <c r="S8" s="387">
        <f t="shared" si="2"/>
        <v>0</v>
      </c>
      <c r="T8" s="388" cm="1">
        <f t="array" ref="T8">IFERROR(INDEX('Makkah Migration Plan'!$L:$L,MATCH(1,('Makkah Migration Plan'!$AA:$AA=$A8)*('Makkah Migration Plan'!$Z:$Z=T$6),0)),0)</f>
        <v>0</v>
      </c>
      <c r="U8" s="388" cm="1">
        <f t="array" ref="U8">IFERROR(INDEX('Makkah Migration Plan'!$L:$L,MATCH(1,('Makkah Migration Plan'!$AA:$AA=$A8)*('Makkah Migration Plan'!$Z:$Z=U$6),0)),0)</f>
        <v>0</v>
      </c>
      <c r="V8" s="388" cm="1">
        <f t="array" ref="V8">IFERROR(INDEX('Makkah Migration Plan'!$L:$L,MATCH(1,('Makkah Migration Plan'!$AA:$AA=$A8)*('Makkah Migration Plan'!$Z:$Z=V$6),0)),0)</f>
        <v>0</v>
      </c>
      <c r="W8" s="388" cm="1">
        <f t="array" ref="W8">IFERROR(INDEX('Makkah Migration Plan'!$L:$L,MATCH(1,('Makkah Migration Plan'!$AA:$AA=$A8)*('Makkah Migration Plan'!$Z:$Z=W$6),0)),0)</f>
        <v>0</v>
      </c>
    </row>
    <row r="9" spans="1:26" ht="20.100000000000001" customHeight="1">
      <c r="A9" s="385" t="s">
        <v>70</v>
      </c>
      <c r="B9" s="389" cm="1">
        <f t="array" aca="1" ref="B9" ca="1">IFERROR(AVERAGE(_xlfn._xlws.FILTER(IF(TODAY()&lt;'[2]MADINAH Migration Plan-'!$E$2:$E$209,0,IF(TODAY()&gt;='[2]MADINAH Migration Plan-'!$F$2:$F$209,1,NETWORKDAYS.INTL('[2]MADINAH Migration Plan-'!$E$2:$E$209,TODAY(),"0000011")/NETWORKDAYS.INTL('[2]MADINAH Migration Plan-'!$E$2:$E$209,'[2]MADINAH Migration Plan-'!$F$2:$F$209,"0000011"))),('[2]MADINAH Migration Plan-'!$Z$2:$Z$209=$A9)*('[2]MADINAH Migration Plan-'!$E$2:$E$209&lt;&gt;"")*('[2]MADINAH Migration Plan-'!$F$2:$F$209&lt;&gt;""))),0)</f>
        <v>0</v>
      </c>
      <c r="C9" s="374">
        <f t="shared" si="0"/>
        <v>0.16250000000000001</v>
      </c>
      <c r="D9" s="388" cm="1">
        <f t="array" ref="D9">IFERROR(INDEX('MADINAH Migration Plan-'!$L:$L,MATCH(1,('MADINAH Migration Plan-'!$AA:$AA=$A9)*('MADINAH Migration Plan-'!$Z:$Z=D$6),0)),0)</f>
        <v>0.65</v>
      </c>
      <c r="E9" s="388" cm="1">
        <f t="array" ref="E9">IFERROR(INDEX('MADINAH Migration Plan-'!$L:$L,MATCH(1,('MADINAH Migration Plan-'!$AA:$AA=$A9)*('MADINAH Migration Plan-'!$Z:$Z=E$6),0)),0)</f>
        <v>0</v>
      </c>
      <c r="F9" s="388" cm="1">
        <f t="array" ref="F9">IFERROR(INDEX('MADINAH Migration Plan-'!$L:$L,MATCH(1,('MADINAH Migration Plan-'!$AA:$AA=$A9)*('MADINAH Migration Plan-'!$Z:$Z=F$6),0)),0)</f>
        <v>0</v>
      </c>
      <c r="G9" s="388" cm="1">
        <f t="array" ref="G9">IFERROR(INDEX('MADINAH Migration Plan-'!$L:$L,MATCH(1,('MADINAH Migration Plan-'!$AA:$AA=$A9)*('MADINAH Migration Plan-'!$Z:$Z=G$6),0)),0)</f>
        <v>0</v>
      </c>
      <c r="H9" s="451"/>
      <c r="I9" s="385" t="s">
        <v>70</v>
      </c>
      <c r="J9" s="389" cm="1">
        <f t="array" aca="1" ref="J9" ca="1">IFERROR(AVERAGE(_xlfn._xlws.FILTER(IF(TODAY()&lt;'[2]Jeddah Migration Plan'!$E$2:$E$201,0,IF(TODAY()&gt;='[2]Jeddah Migration Plan'!$F$2:$F$201,1,NETWORKDAYS.INTL('[2]Jeddah Migration Plan'!$E$2:$E$201,TODAY(),"0000011")/NETWORKDAYS.INTL('[2]Jeddah Migration Plan'!$E$2:$E$201,'[2]Jeddah Migration Plan'!$F$2:$F$201,"0000011"))),('[2]Jeddah Migration Plan'!$Y$2:$Y$201=$I9)*('[2]Jeddah Migration Plan'!$E$2:$E$201&lt;&gt;"")*('[2]Jeddah Migration Plan'!$F$2:$F$201&lt;&gt;""))),0)</f>
        <v>0</v>
      </c>
      <c r="K9" s="387">
        <f t="shared" si="1"/>
        <v>0</v>
      </c>
      <c r="L9" s="388" cm="1">
        <f t="array" ref="L9">IFERROR(INDEX('Jeddah Migration Plan'!$L:$L,MATCH(1,('Jeddah Migration Plan'!$AB:$AB=$A9)*('Jeddah Migration Plan'!$AA:$AA=L$6),0)),0)</f>
        <v>0</v>
      </c>
      <c r="M9" s="388" cm="1">
        <f t="array" ref="M9">IFERROR(INDEX('Jeddah Migration Plan'!$L:$L,MATCH(1,('Jeddah Migration Plan'!$AB:$AB=$A9)*('Jeddah Migration Plan'!$AA:$AA=M$6),0)),0)</f>
        <v>0</v>
      </c>
      <c r="N9" s="388" cm="1">
        <f t="array" ref="N9">IFERROR(INDEX('Jeddah Migration Plan'!$L:$L,MATCH(1,('Jeddah Migration Plan'!$AB:$AB=$A9)*('Jeddah Migration Plan'!$AA:$AA=N$6),0)),0)</f>
        <v>0</v>
      </c>
      <c r="O9" s="388" cm="1">
        <f t="array" ref="O9">IFERROR(INDEX('Jeddah Migration Plan'!$L:$L,MATCH(1,('Jeddah Migration Plan'!$AB:$AB=$A9)*('Jeddah Migration Plan'!$AA:$AA=O$6),0)),0)</f>
        <v>0</v>
      </c>
      <c r="P9" s="451"/>
      <c r="Q9" s="385" t="s">
        <v>70</v>
      </c>
      <c r="R9" s="389" cm="1">
        <f t="array" aca="1" ref="R9" ca="1">IFERROR(AVERAGE(_xlfn._xlws.FILTER(IF(TODAY()&lt;'[2]Makkah Migration Plan'!$E$2:$E$198,0,IF(TODAY()&gt;='[2]Makkah Migration Plan'!$F$2:$F$198,1,NETWORKDAYS.INTL('[2]Makkah Migration Plan'!$E$2:$E$198,TODAY(),"0000011")/NETWORKDAYS.INTL('[2]Makkah Migration Plan'!$E$2:$E$198,'[2]Makkah Migration Plan'!$F$2:$F$198,"0000011"))),('[2]Makkah Migration Plan'!$Y$2:$Y$198=$Q9)*('[2]Makkah Migration Plan'!$E$2:$E$198&lt;&gt;"")*('[2]Makkah Migration Plan'!$F$2:$F$198&lt;&gt;""))),0)</f>
        <v>0</v>
      </c>
      <c r="S9" s="387">
        <f t="shared" si="2"/>
        <v>0</v>
      </c>
      <c r="T9" s="388" cm="1">
        <f t="array" ref="T9">IFERROR(INDEX('Makkah Migration Plan'!$L:$L,MATCH(1,('Makkah Migration Plan'!$AA:$AA=$A9)*('Makkah Migration Plan'!$Z:$Z=T$6),0)),0)</f>
        <v>0</v>
      </c>
      <c r="U9" s="388" cm="1">
        <f t="array" ref="U9">IFERROR(INDEX('Makkah Migration Plan'!$L:$L,MATCH(1,('Makkah Migration Plan'!$AA:$AA=$A9)*('Makkah Migration Plan'!$Z:$Z=U$6),0)),0)</f>
        <v>0</v>
      </c>
      <c r="V9" s="388" cm="1">
        <f t="array" ref="V9">IFERROR(INDEX('Makkah Migration Plan'!$L:$L,MATCH(1,('Makkah Migration Plan'!$AA:$AA=$A9)*('Makkah Migration Plan'!$Z:$Z=V$6),0)),0)</f>
        <v>0</v>
      </c>
      <c r="W9" s="388" cm="1">
        <f t="array" ref="W9">IFERROR(INDEX('Makkah Migration Plan'!$L:$L,MATCH(1,('Makkah Migration Plan'!$AA:$AA=$A9)*('Makkah Migration Plan'!$Z:$Z=W$6),0)),0)</f>
        <v>0</v>
      </c>
    </row>
    <row r="10" spans="1:26" ht="20.100000000000001" customHeight="1">
      <c r="A10" s="385" t="s">
        <v>71</v>
      </c>
      <c r="B10" s="389" cm="1">
        <f t="array" aca="1" ref="B10" ca="1">IFERROR(AVERAGE(_xlfn._xlws.FILTER(IF(TODAY()&lt;'[2]MADINAH Migration Plan-'!$E$2:$E$209,0,IF(TODAY()&gt;='[2]MADINAH Migration Plan-'!$F$2:$F$209,1,NETWORKDAYS.INTL('[2]MADINAH Migration Plan-'!$E$2:$E$209,TODAY(),"0000011")/NETWORKDAYS.INTL('[2]MADINAH Migration Plan-'!$E$2:$E$209,'[2]MADINAH Migration Plan-'!$F$2:$F$209,"0000011"))),('[2]MADINAH Migration Plan-'!$Z$2:$Z$209=$A10)*('[2]MADINAH Migration Plan-'!$E$2:$E$209&lt;&gt;"")*('[2]MADINAH Migration Plan-'!$F$2:$F$209&lt;&gt;""))),0)</f>
        <v>0</v>
      </c>
      <c r="C10" s="387">
        <f t="shared" si="0"/>
        <v>0</v>
      </c>
      <c r="D10" s="388" cm="1">
        <f t="array" ref="D10">IFERROR(INDEX('MADINAH Migration Plan-'!$L:$L,MATCH(1,('MADINAH Migration Plan-'!$AA:$AA=$A10)*('MADINAH Migration Plan-'!$Z:$Z=D$6),0)),0)</f>
        <v>0</v>
      </c>
      <c r="E10" s="388" cm="1">
        <f t="array" ref="E10">IFERROR(INDEX('MADINAH Migration Plan-'!$L:$L,MATCH(1,('MADINAH Migration Plan-'!$AA:$AA=$A10)*('MADINAH Migration Plan-'!$Z:$Z=E$6),0)),0)</f>
        <v>0</v>
      </c>
      <c r="F10" s="388" cm="1">
        <f t="array" ref="F10">IFERROR(INDEX('MADINAH Migration Plan-'!$L:$L,MATCH(1,('MADINAH Migration Plan-'!$AA:$AA=$A10)*('MADINAH Migration Plan-'!$Z:$Z=F$6),0)),0)</f>
        <v>0</v>
      </c>
      <c r="G10" s="388" cm="1">
        <f t="array" ref="G10">IFERROR(INDEX('MADINAH Migration Plan-'!$L:$L,MATCH(1,('MADINAH Migration Plan-'!$AA:$AA=$A10)*('MADINAH Migration Plan-'!$Z:$Z=G$6),0)),0)</f>
        <v>0</v>
      </c>
      <c r="H10" s="451"/>
      <c r="I10" s="385" t="s">
        <v>71</v>
      </c>
      <c r="J10" s="389" cm="1">
        <f t="array" aca="1" ref="J10" ca="1">IFERROR(AVERAGE(_xlfn._xlws.FILTER(IF(TODAY()&lt;'[2]Jeddah Migration Plan'!$E$2:$E$201,0,IF(TODAY()&gt;='[2]Jeddah Migration Plan'!$F$2:$F$201,1,NETWORKDAYS.INTL('[2]Jeddah Migration Plan'!$E$2:$E$201,TODAY(),"0000011")/NETWORKDAYS.INTL('[2]Jeddah Migration Plan'!$E$2:$E$201,'[2]Jeddah Migration Plan'!$F$2:$F$201,"0000011"))),('[2]Jeddah Migration Plan'!$Y$2:$Y$201=$I10)*('[2]Jeddah Migration Plan'!$E$2:$E$201&lt;&gt;"")*('[2]Jeddah Migration Plan'!$F$2:$F$201&lt;&gt;""))),0)</f>
        <v>0</v>
      </c>
      <c r="K10" s="387">
        <f t="shared" si="1"/>
        <v>0</v>
      </c>
      <c r="L10" s="388" cm="1">
        <f t="array" ref="L10">IFERROR(INDEX('Jeddah Migration Plan'!$L:$L,MATCH(1,('Jeddah Migration Plan'!$AB:$AB=$A10)*('Jeddah Migration Plan'!$AA:$AA=L$6),0)),0)</f>
        <v>0</v>
      </c>
      <c r="M10" s="388" cm="1">
        <f t="array" ref="M10">IFERROR(INDEX('Jeddah Migration Plan'!$L:$L,MATCH(1,('Jeddah Migration Plan'!$AB:$AB=$A10)*('Jeddah Migration Plan'!$AA:$AA=M$6),0)),0)</f>
        <v>0</v>
      </c>
      <c r="N10" s="388" cm="1">
        <f t="array" ref="N10">IFERROR(INDEX('Jeddah Migration Plan'!$L:$L,MATCH(1,('Jeddah Migration Plan'!$AB:$AB=$A10)*('Jeddah Migration Plan'!$AA:$AA=N$6),0)),0)</f>
        <v>0</v>
      </c>
      <c r="O10" s="388" cm="1">
        <f t="array" ref="O10">IFERROR(INDEX('Jeddah Migration Plan'!$L:$L,MATCH(1,('Jeddah Migration Plan'!$AB:$AB=$A10)*('Jeddah Migration Plan'!$AA:$AA=O$6),0)),0)</f>
        <v>0</v>
      </c>
      <c r="P10" s="451"/>
      <c r="Q10" s="385" t="s">
        <v>71</v>
      </c>
      <c r="R10" s="389" cm="1">
        <f t="array" aca="1" ref="R10" ca="1">IFERROR(AVERAGE(_xlfn._xlws.FILTER(IF(TODAY()&lt;'[2]Makkah Migration Plan'!$E$2:$E$198,0,IF(TODAY()&gt;='[2]Makkah Migration Plan'!$F$2:$F$198,1,NETWORKDAYS.INTL('[2]Makkah Migration Plan'!$E$2:$E$198,TODAY(),"0000011")/NETWORKDAYS.INTL('[2]Makkah Migration Plan'!$E$2:$E$198,'[2]Makkah Migration Plan'!$F$2:$F$198,"0000011"))),('[2]Makkah Migration Plan'!$Y$2:$Y$198=$Q10)*('[2]Makkah Migration Plan'!$E$2:$E$198&lt;&gt;"")*('[2]Makkah Migration Plan'!$F$2:$F$198&lt;&gt;""))),0)</f>
        <v>0</v>
      </c>
      <c r="S10" s="387">
        <f t="shared" si="2"/>
        <v>0</v>
      </c>
      <c r="T10" s="388" cm="1">
        <f t="array" ref="T10">IFERROR(INDEX('Makkah Migration Plan'!$L:$L,MATCH(1,('Makkah Migration Plan'!$AA:$AA=$A10)*('Makkah Migration Plan'!$Z:$Z=T$6),0)),0)</f>
        <v>0</v>
      </c>
      <c r="U10" s="388" cm="1">
        <f t="array" ref="U10">IFERROR(INDEX('Makkah Migration Plan'!$L:$L,MATCH(1,('Makkah Migration Plan'!$AA:$AA=$A10)*('Makkah Migration Plan'!$Z:$Z=U$6),0)),0)</f>
        <v>0</v>
      </c>
      <c r="V10" s="388" cm="1">
        <f t="array" ref="V10">IFERROR(INDEX('Makkah Migration Plan'!$L:$L,MATCH(1,('Makkah Migration Plan'!$AA:$AA=$A10)*('Makkah Migration Plan'!$Z:$Z=V$6),0)),0)</f>
        <v>0</v>
      </c>
      <c r="W10" s="388" cm="1">
        <f t="array" ref="W10">IFERROR(INDEX('Makkah Migration Plan'!$L:$L,MATCH(1,('Makkah Migration Plan'!$AA:$AA=$A10)*('Makkah Migration Plan'!$Z:$Z=W$6),0)),0)</f>
        <v>0</v>
      </c>
    </row>
    <row r="11" spans="1:26" ht="20.100000000000001" customHeight="1">
      <c r="A11" s="385" t="s">
        <v>72</v>
      </c>
      <c r="B11" s="389" cm="1">
        <f t="array" aca="1" ref="B11" ca="1">IFERROR(AVERAGE(_xlfn._xlws.FILTER(IF(TODAY()&lt;'[2]MADINAH Migration Plan-'!$E$2:$E$209,0,IF(TODAY()&gt;='[2]MADINAH Migration Plan-'!$F$2:$F$209,1,NETWORKDAYS.INTL('[2]MADINAH Migration Plan-'!$E$2:$E$209,TODAY(),"0000011")/NETWORKDAYS.INTL('[2]MADINAH Migration Plan-'!$E$2:$E$209,'[2]MADINAH Migration Plan-'!$F$2:$F$209,"0000011"))),('[2]MADINAH Migration Plan-'!$Z$2:$Z$209=$A11)*('[2]MADINAH Migration Plan-'!$E$2:$E$209&lt;&gt;"")*('[2]MADINAH Migration Plan-'!$F$2:$F$209&lt;&gt;""))),0)</f>
        <v>0</v>
      </c>
      <c r="C11" s="387">
        <f t="shared" si="0"/>
        <v>0</v>
      </c>
      <c r="D11" s="388" cm="1">
        <f t="array" ref="D11">IFERROR(INDEX('MADINAH Migration Plan-'!$L:$L,MATCH(1,('MADINAH Migration Plan-'!$AA:$AA=$A11)*('MADINAH Migration Plan-'!$Z:$Z=D$6),0)),0)</f>
        <v>0</v>
      </c>
      <c r="E11" s="388" cm="1">
        <f t="array" ref="E11">IFERROR(INDEX('MADINAH Migration Plan-'!$L:$L,MATCH(1,('MADINAH Migration Plan-'!$AA:$AA=$A11)*('MADINAH Migration Plan-'!$Z:$Z=E$6),0)),0)</f>
        <v>0</v>
      </c>
      <c r="F11" s="388" cm="1">
        <f t="array" ref="F11">IFERROR(INDEX('MADINAH Migration Plan-'!$L:$L,MATCH(1,('MADINAH Migration Plan-'!$AA:$AA=$A11)*('MADINAH Migration Plan-'!$Z:$Z=F$6),0)),0)</f>
        <v>0</v>
      </c>
      <c r="G11" s="388" cm="1">
        <f t="array" ref="G11">IFERROR(INDEX('MADINAH Migration Plan-'!$L:$L,MATCH(1,('MADINAH Migration Plan-'!$AA:$AA=$A11)*('MADINAH Migration Plan-'!$Z:$Z=G$6),0)),0)</f>
        <v>0</v>
      </c>
      <c r="H11" s="451"/>
      <c r="I11" s="385" t="s">
        <v>72</v>
      </c>
      <c r="J11" s="389" cm="1">
        <f t="array" aca="1" ref="J11" ca="1">IFERROR(AVERAGE(_xlfn._xlws.FILTER(IF(TODAY()&lt;'[2]Jeddah Migration Plan'!$E$2:$E$201,0,IF(TODAY()&gt;='[2]Jeddah Migration Plan'!$F$2:$F$201,1,NETWORKDAYS.INTL('[2]Jeddah Migration Plan'!$E$2:$E$201,TODAY(),"0000011")/NETWORKDAYS.INTL('[2]Jeddah Migration Plan'!$E$2:$E$201,'[2]Jeddah Migration Plan'!$F$2:$F$201,"0000011"))),('[2]Jeddah Migration Plan'!$Y$2:$Y$201=$I11)*('[2]Jeddah Migration Plan'!$E$2:$E$201&lt;&gt;"")*('[2]Jeddah Migration Plan'!$F$2:$F$201&lt;&gt;""))),0)</f>
        <v>0</v>
      </c>
      <c r="K11" s="387">
        <f t="shared" si="1"/>
        <v>0</v>
      </c>
      <c r="L11" s="388" cm="1">
        <f t="array" ref="L11">IFERROR(INDEX('Jeddah Migration Plan'!$L:$L,MATCH(1,('Jeddah Migration Plan'!$AB:$AB=$A11)*('Jeddah Migration Plan'!$AA:$AA=L$6),0)),0)</f>
        <v>0</v>
      </c>
      <c r="M11" s="388" cm="1">
        <f t="array" ref="M11">IFERROR(INDEX('Jeddah Migration Plan'!$L:$L,MATCH(1,('Jeddah Migration Plan'!$AB:$AB=$A11)*('Jeddah Migration Plan'!$AA:$AA=M$6),0)),0)</f>
        <v>0</v>
      </c>
      <c r="N11" s="388" cm="1">
        <f t="array" ref="N11">IFERROR(INDEX('Jeddah Migration Plan'!$L:$L,MATCH(1,('Jeddah Migration Plan'!$AB:$AB=$A11)*('Jeddah Migration Plan'!$AA:$AA=N$6),0)),0)</f>
        <v>0</v>
      </c>
      <c r="O11" s="388" cm="1">
        <f t="array" ref="O11">IFERROR(INDEX('Jeddah Migration Plan'!$L:$L,MATCH(1,('Jeddah Migration Plan'!$AB:$AB=$A11)*('Jeddah Migration Plan'!$AA:$AA=O$6),0)),0)</f>
        <v>0</v>
      </c>
      <c r="P11" s="451"/>
      <c r="Q11" s="385" t="s">
        <v>72</v>
      </c>
      <c r="R11" s="389" cm="1">
        <f t="array" aca="1" ref="R11" ca="1">IFERROR(AVERAGE(_xlfn._xlws.FILTER(IF(TODAY()&lt;'[2]Makkah Migration Plan'!$E$2:$E$198,0,IF(TODAY()&gt;='[2]Makkah Migration Plan'!$F$2:$F$198,1,NETWORKDAYS.INTL('[2]Makkah Migration Plan'!$E$2:$E$198,TODAY(),"0000011")/NETWORKDAYS.INTL('[2]Makkah Migration Plan'!$E$2:$E$198,'[2]Makkah Migration Plan'!$F$2:$F$198,"0000011"))),('[2]Makkah Migration Plan'!$Y$2:$Y$198=$Q11)*('[2]Makkah Migration Plan'!$E$2:$E$198&lt;&gt;"")*('[2]Makkah Migration Plan'!$F$2:$F$198&lt;&gt;""))),0)</f>
        <v>0</v>
      </c>
      <c r="S11" s="387">
        <f t="shared" si="2"/>
        <v>0</v>
      </c>
      <c r="T11" s="388" cm="1">
        <f t="array" ref="T11">IFERROR(INDEX('Makkah Migration Plan'!$L:$L,MATCH(1,('Makkah Migration Plan'!$AA:$AA=$A11)*('Makkah Migration Plan'!$Z:$Z=T$6),0)),0)</f>
        <v>0</v>
      </c>
      <c r="U11" s="388" cm="1">
        <f t="array" ref="U11">IFERROR(INDEX('Makkah Migration Plan'!$L:$L,MATCH(1,('Makkah Migration Plan'!$AA:$AA=$A11)*('Makkah Migration Plan'!$Z:$Z=U$6),0)),0)</f>
        <v>0</v>
      </c>
      <c r="V11" s="388" cm="1">
        <f t="array" ref="V11">IFERROR(INDEX('Makkah Migration Plan'!$L:$L,MATCH(1,('Makkah Migration Plan'!$AA:$AA=$A11)*('Makkah Migration Plan'!$Z:$Z=V$6),0)),0)</f>
        <v>0</v>
      </c>
      <c r="W11" s="388" cm="1">
        <f t="array" ref="W11">IFERROR(INDEX('Makkah Migration Plan'!$L:$L,MATCH(1,('Makkah Migration Plan'!$AA:$AA=$A11)*('Makkah Migration Plan'!$Z:$Z=W$6),0)),0)</f>
        <v>0</v>
      </c>
    </row>
    <row r="12" spans="1:26" ht="20.100000000000001" customHeight="1">
      <c r="A12" s="385" t="s">
        <v>73</v>
      </c>
      <c r="B12" s="389" cm="1">
        <f t="array" aca="1" ref="B12" ca="1">IFERROR(AVERAGE(_xlfn._xlws.FILTER(IF(TODAY()&lt;'[2]MADINAH Migration Plan-'!$E$2:$E$209,0,IF(TODAY()&gt;='[2]MADINAH Migration Plan-'!$F$2:$F$209,1,NETWORKDAYS.INTL('[2]MADINAH Migration Plan-'!$E$2:$E$209,TODAY(),"0000011")/NETWORKDAYS.INTL('[2]MADINAH Migration Plan-'!$E$2:$E$209,'[2]MADINAH Migration Plan-'!$F$2:$F$209,"0000011"))),('[2]MADINAH Migration Plan-'!$Z$2:$Z$209=$A12)*('[2]MADINAH Migration Plan-'!$E$2:$E$209&lt;&gt;"")*('[2]MADINAH Migration Plan-'!$F$2:$F$209&lt;&gt;""))),0)</f>
        <v>0</v>
      </c>
      <c r="C12" s="387">
        <f t="shared" si="0"/>
        <v>0</v>
      </c>
      <c r="D12" s="388" cm="1">
        <f t="array" ref="D12">IFERROR(INDEX('MADINAH Migration Plan-'!$L:$L,MATCH(1,('MADINAH Migration Plan-'!$AA:$AA=$A12)*('MADINAH Migration Plan-'!$Z:$Z=D$6),0)),0)</f>
        <v>0</v>
      </c>
      <c r="E12" s="388" cm="1">
        <f t="array" ref="E12">IFERROR(INDEX('MADINAH Migration Plan-'!$L:$L,MATCH(1,('MADINAH Migration Plan-'!$AA:$AA=$A12)*('MADINAH Migration Plan-'!$Z:$Z=E$6),0)),0)</f>
        <v>0</v>
      </c>
      <c r="F12" s="388" cm="1">
        <f t="array" ref="F12">IFERROR(INDEX('MADINAH Migration Plan-'!$L:$L,MATCH(1,('MADINAH Migration Plan-'!$AA:$AA=$A12)*('MADINAH Migration Plan-'!$Z:$Z=F$6),0)),0)</f>
        <v>0</v>
      </c>
      <c r="G12" s="388" cm="1">
        <f t="array" ref="G12">IFERROR(INDEX('MADINAH Migration Plan-'!$L:$L,MATCH(1,('MADINAH Migration Plan-'!$AA:$AA=$A12)*('MADINAH Migration Plan-'!$Z:$Z=G$6),0)),0)</f>
        <v>0</v>
      </c>
      <c r="H12" s="451"/>
      <c r="I12" s="385" t="s">
        <v>73</v>
      </c>
      <c r="J12" s="389" cm="1">
        <f t="array" aca="1" ref="J12" ca="1">IFERROR(AVERAGE(_xlfn._xlws.FILTER(IF(TODAY()&lt;'[2]Jeddah Migration Plan'!$E$2:$E$201,0,IF(TODAY()&gt;='[2]Jeddah Migration Plan'!$F$2:$F$201,1,NETWORKDAYS.INTL('[2]Jeddah Migration Plan'!$E$2:$E$201,TODAY(),"0000011")/NETWORKDAYS.INTL('[2]Jeddah Migration Plan'!$E$2:$E$201,'[2]Jeddah Migration Plan'!$F$2:$F$201,"0000011"))),('[2]Jeddah Migration Plan'!$Y$2:$Y$201=$I12)*('[2]Jeddah Migration Plan'!$E$2:$E$201&lt;&gt;"")*('[2]Jeddah Migration Plan'!$F$2:$F$201&lt;&gt;""))),0)</f>
        <v>0</v>
      </c>
      <c r="K12" s="387">
        <f t="shared" si="1"/>
        <v>0</v>
      </c>
      <c r="L12" s="388" cm="1">
        <f t="array" ref="L12">IFERROR(INDEX('Jeddah Migration Plan'!$L:$L,MATCH(1,('Jeddah Migration Plan'!$AB:$AB=$A12)*('Jeddah Migration Plan'!$AA:$AA=L$6),0)),0)</f>
        <v>0</v>
      </c>
      <c r="M12" s="388" cm="1">
        <f t="array" ref="M12">IFERROR(INDEX('Jeddah Migration Plan'!$L:$L,MATCH(1,('Jeddah Migration Plan'!$AB:$AB=$A12)*('Jeddah Migration Plan'!$AA:$AA=M$6),0)),0)</f>
        <v>0</v>
      </c>
      <c r="N12" s="388" cm="1">
        <f t="array" ref="N12">IFERROR(INDEX('Jeddah Migration Plan'!$L:$L,MATCH(1,('Jeddah Migration Plan'!$AB:$AB=$A12)*('Jeddah Migration Plan'!$AA:$AA=N$6),0)),0)</f>
        <v>0</v>
      </c>
      <c r="O12" s="388" cm="1">
        <f t="array" ref="O12">IFERROR(INDEX('Jeddah Migration Plan'!$L:$L,MATCH(1,('Jeddah Migration Plan'!$AB:$AB=$A12)*('Jeddah Migration Plan'!$AA:$AA=O$6),0)),0)</f>
        <v>0</v>
      </c>
      <c r="P12" s="451"/>
      <c r="Q12" s="385" t="s">
        <v>73</v>
      </c>
      <c r="R12" s="389" cm="1">
        <f t="array" aca="1" ref="R12" ca="1">IFERROR(AVERAGE(_xlfn._xlws.FILTER(IF(TODAY()&lt;'[2]Makkah Migration Plan'!$E$2:$E$198,0,IF(TODAY()&gt;='[2]Makkah Migration Plan'!$F$2:$F$198,1,NETWORKDAYS.INTL('[2]Makkah Migration Plan'!$E$2:$E$198,TODAY(),"0000011")/NETWORKDAYS.INTL('[2]Makkah Migration Plan'!$E$2:$E$198,'[2]Makkah Migration Plan'!$F$2:$F$198,"0000011"))),('[2]Makkah Migration Plan'!$Y$2:$Y$198=$Q12)*('[2]Makkah Migration Plan'!$E$2:$E$198&lt;&gt;"")*('[2]Makkah Migration Plan'!$F$2:$F$198&lt;&gt;""))),0)</f>
        <v>0</v>
      </c>
      <c r="S12" s="387">
        <f t="shared" si="2"/>
        <v>0</v>
      </c>
      <c r="T12" s="388" cm="1">
        <f t="array" ref="T12">IFERROR(INDEX('Makkah Migration Plan'!$L:$L,MATCH(1,('Makkah Migration Plan'!$AA:$AA=$A12)*('Makkah Migration Plan'!$Z:$Z=T$6),0)),0)</f>
        <v>0</v>
      </c>
      <c r="U12" s="388" cm="1">
        <f t="array" ref="U12">IFERROR(INDEX('Makkah Migration Plan'!$L:$L,MATCH(1,('Makkah Migration Plan'!$AA:$AA=$A12)*('Makkah Migration Plan'!$Z:$Z=U$6),0)),0)</f>
        <v>0</v>
      </c>
      <c r="V12" s="388" cm="1">
        <f t="array" ref="V12">IFERROR(INDEX('Makkah Migration Plan'!$L:$L,MATCH(1,('Makkah Migration Plan'!$AA:$AA=$A12)*('Makkah Migration Plan'!$Z:$Z=V$6),0)),0)</f>
        <v>0</v>
      </c>
      <c r="W12" s="388" cm="1">
        <f t="array" ref="W12">IFERROR(INDEX('Makkah Migration Plan'!$L:$L,MATCH(1,('Makkah Migration Plan'!$AA:$AA=$A12)*('Makkah Migration Plan'!$Z:$Z=W$6),0)),0)</f>
        <v>0</v>
      </c>
    </row>
    <row r="13" spans="1:26" ht="20.100000000000001" customHeight="1">
      <c r="A13" s="385" t="s">
        <v>74</v>
      </c>
      <c r="B13" s="389" cm="1">
        <f t="array" aca="1" ref="B13" ca="1">IFERROR(AVERAGE(_xlfn._xlws.FILTER(IF(TODAY()&lt;'[2]MADINAH Migration Plan-'!$E$2:$E$209,0,IF(TODAY()&gt;='[2]MADINAH Migration Plan-'!$F$2:$F$209,1,NETWORKDAYS.INTL('[2]MADINAH Migration Plan-'!$E$2:$E$209,TODAY(),"0000011")/NETWORKDAYS.INTL('[2]MADINAH Migration Plan-'!$E$2:$E$209,'[2]MADINAH Migration Plan-'!$F$2:$F$209,"0000011"))),('[2]MADINAH Migration Plan-'!$Z$2:$Z$209=$A13)*('[2]MADINAH Migration Plan-'!$E$2:$E$209&lt;&gt;"")*('[2]MADINAH Migration Plan-'!$F$2:$F$209&lt;&gt;""))),0)</f>
        <v>0</v>
      </c>
      <c r="C13" s="387">
        <f t="shared" si="0"/>
        <v>0</v>
      </c>
      <c r="D13" s="388" cm="1">
        <f t="array" ref="D13">IFERROR(INDEX('MADINAH Migration Plan-'!$L:$L,MATCH(1,('MADINAH Migration Plan-'!$AA:$AA=$A13)*('MADINAH Migration Plan-'!$Z:$Z=D$6),0)),0)</f>
        <v>0</v>
      </c>
      <c r="E13" s="388" cm="1">
        <f t="array" ref="E13">IFERROR(INDEX('MADINAH Migration Plan-'!$L:$L,MATCH(1,('MADINAH Migration Plan-'!$AA:$AA=$A13)*('MADINAH Migration Plan-'!$Z:$Z=E$6),0)),0)</f>
        <v>0</v>
      </c>
      <c r="F13" s="388" cm="1">
        <f t="array" ref="F13">IFERROR(INDEX('MADINAH Migration Plan-'!$L:$L,MATCH(1,('MADINAH Migration Plan-'!$AA:$AA=$A13)*('MADINAH Migration Plan-'!$Z:$Z=F$6),0)),0)</f>
        <v>0</v>
      </c>
      <c r="G13" s="388" cm="1">
        <f t="array" ref="G13">IFERROR(INDEX('MADINAH Migration Plan-'!$L:$L,MATCH(1,('MADINAH Migration Plan-'!$AA:$AA=$A13)*('MADINAH Migration Plan-'!$Z:$Z=G$6),0)),0)</f>
        <v>0</v>
      </c>
      <c r="H13" s="451"/>
      <c r="I13" s="385" t="s">
        <v>74</v>
      </c>
      <c r="J13" s="389" cm="1">
        <f t="array" aca="1" ref="J13" ca="1">IFERROR(AVERAGE(_xlfn._xlws.FILTER(IF(TODAY()&lt;'[2]Jeddah Migration Plan'!$E$2:$E$201,0,IF(TODAY()&gt;='[2]Jeddah Migration Plan'!$F$2:$F$201,1,NETWORKDAYS.INTL('[2]Jeddah Migration Plan'!$E$2:$E$201,TODAY(),"0000011")/NETWORKDAYS.INTL('[2]Jeddah Migration Plan'!$E$2:$E$201,'[2]Jeddah Migration Plan'!$F$2:$F$201,"0000011"))),('[2]Jeddah Migration Plan'!$Y$2:$Y$201=$I13)*('[2]Jeddah Migration Plan'!$E$2:$E$201&lt;&gt;"")*('[2]Jeddah Migration Plan'!$F$2:$F$201&lt;&gt;""))),0)</f>
        <v>0</v>
      </c>
      <c r="K13" s="387">
        <f t="shared" si="1"/>
        <v>0</v>
      </c>
      <c r="L13" s="388" cm="1">
        <f t="array" ref="L13">IFERROR(INDEX('Jeddah Migration Plan'!$L:$L,MATCH(1,('Jeddah Migration Plan'!$AB:$AB=$A13)*('Jeddah Migration Plan'!$AA:$AA=L$6),0)),0)</f>
        <v>0</v>
      </c>
      <c r="M13" s="388" cm="1">
        <f t="array" ref="M13">IFERROR(INDEX('Jeddah Migration Plan'!$L:$L,MATCH(1,('Jeddah Migration Plan'!$AB:$AB=$A13)*('Jeddah Migration Plan'!$AA:$AA=M$6),0)),0)</f>
        <v>0</v>
      </c>
      <c r="N13" s="388" cm="1">
        <f t="array" ref="N13">IFERROR(INDEX('Jeddah Migration Plan'!$L:$L,MATCH(1,('Jeddah Migration Plan'!$AB:$AB=$A13)*('Jeddah Migration Plan'!$AA:$AA=N$6),0)),0)</f>
        <v>0</v>
      </c>
      <c r="O13" s="388" cm="1">
        <f t="array" ref="O13">IFERROR(INDEX('Jeddah Migration Plan'!$L:$L,MATCH(1,('Jeddah Migration Plan'!$AB:$AB=$A13)*('Jeddah Migration Plan'!$AA:$AA=O$6),0)),0)</f>
        <v>0</v>
      </c>
      <c r="P13" s="451"/>
      <c r="Q13" s="385" t="s">
        <v>74</v>
      </c>
      <c r="R13" s="389" cm="1">
        <f t="array" aca="1" ref="R13" ca="1">IFERROR(AVERAGE(_xlfn._xlws.FILTER(IF(TODAY()&lt;'[2]Makkah Migration Plan'!$E$2:$E$198,0,IF(TODAY()&gt;='[2]Makkah Migration Plan'!$F$2:$F$198,1,NETWORKDAYS.INTL('[2]Makkah Migration Plan'!$E$2:$E$198,TODAY(),"0000011")/NETWORKDAYS.INTL('[2]Makkah Migration Plan'!$E$2:$E$198,'[2]Makkah Migration Plan'!$F$2:$F$198,"0000011"))),('[2]Makkah Migration Plan'!$Y$2:$Y$198=$Q13)*('[2]Makkah Migration Plan'!$E$2:$E$198&lt;&gt;"")*('[2]Makkah Migration Plan'!$F$2:$F$198&lt;&gt;""))),0)</f>
        <v>0</v>
      </c>
      <c r="S13" s="387">
        <f t="shared" si="2"/>
        <v>0</v>
      </c>
      <c r="T13" s="388" cm="1">
        <f t="array" ref="T13">IFERROR(INDEX('Makkah Migration Plan'!$L:$L,MATCH(1,('Makkah Migration Plan'!$AA:$AA=$A13)*('Makkah Migration Plan'!$Z:$Z=T$6),0)),0)</f>
        <v>0</v>
      </c>
      <c r="U13" s="388" cm="1">
        <f t="array" ref="U13">IFERROR(INDEX('Makkah Migration Plan'!$L:$L,MATCH(1,('Makkah Migration Plan'!$AA:$AA=$A13)*('Makkah Migration Plan'!$Z:$Z=U$6),0)),0)</f>
        <v>0</v>
      </c>
      <c r="V13" s="388" cm="1">
        <f t="array" ref="V13">IFERROR(INDEX('Makkah Migration Plan'!$L:$L,MATCH(1,('Makkah Migration Plan'!$AA:$AA=$A13)*('Makkah Migration Plan'!$Z:$Z=V$6),0)),0)</f>
        <v>0</v>
      </c>
      <c r="W13" s="388" cm="1">
        <f t="array" ref="W13">IFERROR(INDEX('Makkah Migration Plan'!$L:$L,MATCH(1,('Makkah Migration Plan'!$AA:$AA=$A13)*('Makkah Migration Plan'!$Z:$Z=W$6),0)),0)</f>
        <v>0</v>
      </c>
    </row>
    <row r="14" spans="1:26" ht="20.100000000000001" customHeight="1">
      <c r="A14" s="385" t="s">
        <v>75</v>
      </c>
      <c r="B14" s="389" cm="1">
        <f t="array" aca="1" ref="B14" ca="1">IFERROR(AVERAGE(_xlfn._xlws.FILTER(IF(TODAY()&lt;'[2]MADINAH Migration Plan-'!$E$2:$E$209,0,IF(TODAY()&gt;='[2]MADINAH Migration Plan-'!$F$2:$F$209,1,NETWORKDAYS.INTL('[2]MADINAH Migration Plan-'!$E$2:$E$209,TODAY(),"0000011")/NETWORKDAYS.INTL('[2]MADINAH Migration Plan-'!$E$2:$E$209,'[2]MADINAH Migration Plan-'!$F$2:$F$209,"0000011"))),('[2]MADINAH Migration Plan-'!$Z$2:$Z$209=$A14)*('[2]MADINAH Migration Plan-'!$E$2:$E$209&lt;&gt;"")*('[2]MADINAH Migration Plan-'!$F$2:$F$209&lt;&gt;""))),0)</f>
        <v>0</v>
      </c>
      <c r="C14" s="387">
        <f t="shared" si="0"/>
        <v>0</v>
      </c>
      <c r="D14" s="388" cm="1">
        <f t="array" ref="D14">IFERROR(INDEX('MADINAH Migration Plan-'!$L:$L,MATCH(1,('MADINAH Migration Plan-'!$AA:$AA=$A14)*('MADINAH Migration Plan-'!$Z:$Z=D$6),0)),0)</f>
        <v>0</v>
      </c>
      <c r="E14" s="388" cm="1">
        <f t="array" ref="E14">IFERROR(INDEX('MADINAH Migration Plan-'!$L:$L,MATCH(1,('MADINAH Migration Plan-'!$AA:$AA=$A14)*('MADINAH Migration Plan-'!$Z:$Z=E$6),0)),0)</f>
        <v>0</v>
      </c>
      <c r="F14" s="388" cm="1">
        <f t="array" ref="F14">IFERROR(INDEX('MADINAH Migration Plan-'!$L:$L,MATCH(1,('MADINAH Migration Plan-'!$AA:$AA=$A14)*('MADINAH Migration Plan-'!$Z:$Z=F$6),0)),0)</f>
        <v>0</v>
      </c>
      <c r="G14" s="388" cm="1">
        <f t="array" ref="G14">IFERROR(INDEX('MADINAH Migration Plan-'!$L:$L,MATCH(1,('MADINAH Migration Plan-'!$AA:$AA=$A14)*('MADINAH Migration Plan-'!$Z:$Z=G$6),0)),0)</f>
        <v>0</v>
      </c>
      <c r="H14" s="451"/>
      <c r="I14" s="385" t="s">
        <v>75</v>
      </c>
      <c r="J14" s="389" cm="1">
        <f t="array" aca="1" ref="J14" ca="1">IFERROR(AVERAGE(_xlfn._xlws.FILTER(IF(TODAY()&lt;'[2]Jeddah Migration Plan'!$E$2:$E$201,0,IF(TODAY()&gt;='[2]Jeddah Migration Plan'!$F$2:$F$201,1,NETWORKDAYS.INTL('[2]Jeddah Migration Plan'!$E$2:$E$201,TODAY(),"0000011")/NETWORKDAYS.INTL('[2]Jeddah Migration Plan'!$E$2:$E$201,'[2]Jeddah Migration Plan'!$F$2:$F$201,"0000011"))),('[2]Jeddah Migration Plan'!$Y$2:$Y$201=$I14)*('[2]Jeddah Migration Plan'!$E$2:$E$201&lt;&gt;"")*('[2]Jeddah Migration Plan'!$F$2:$F$201&lt;&gt;""))),0)</f>
        <v>0</v>
      </c>
      <c r="K14" s="387">
        <f t="shared" si="1"/>
        <v>0</v>
      </c>
      <c r="L14" s="388" cm="1">
        <f t="array" ref="L14">IFERROR(INDEX('Jeddah Migration Plan'!$L:$L,MATCH(1,('Jeddah Migration Plan'!$AB:$AB=$A14)*('Jeddah Migration Plan'!$AA:$AA=L$6),0)),0)</f>
        <v>0</v>
      </c>
      <c r="M14" s="388" cm="1">
        <f t="array" ref="M14">IFERROR(INDEX('Jeddah Migration Plan'!$L:$L,MATCH(1,('Jeddah Migration Plan'!$AB:$AB=$A14)*('Jeddah Migration Plan'!$AA:$AA=M$6),0)),0)</f>
        <v>0</v>
      </c>
      <c r="N14" s="388" cm="1">
        <f t="array" ref="N14">IFERROR(INDEX('Jeddah Migration Plan'!$L:$L,MATCH(1,('Jeddah Migration Plan'!$AB:$AB=$A14)*('Jeddah Migration Plan'!$AA:$AA=N$6),0)),0)</f>
        <v>0</v>
      </c>
      <c r="O14" s="388" cm="1">
        <f t="array" ref="O14">IFERROR(INDEX('Jeddah Migration Plan'!$L:$L,MATCH(1,('Jeddah Migration Plan'!$AB:$AB=$A14)*('Jeddah Migration Plan'!$AA:$AA=O$6),0)),0)</f>
        <v>0</v>
      </c>
      <c r="P14" s="451"/>
      <c r="Q14" s="385" t="s">
        <v>75</v>
      </c>
      <c r="R14" s="389" cm="1">
        <f t="array" aca="1" ref="R14" ca="1">IFERROR(AVERAGE(_xlfn._xlws.FILTER(IF(TODAY()&lt;'[2]Makkah Migration Plan'!$E$2:$E$198,0,IF(TODAY()&gt;='[2]Makkah Migration Plan'!$F$2:$F$198,1,NETWORKDAYS.INTL('[2]Makkah Migration Plan'!$E$2:$E$198,TODAY(),"0000011")/NETWORKDAYS.INTL('[2]Makkah Migration Plan'!$E$2:$E$198,'[2]Makkah Migration Plan'!$F$2:$F$198,"0000011"))),('[2]Makkah Migration Plan'!$Y$2:$Y$198=$Q14)*('[2]Makkah Migration Plan'!$E$2:$E$198&lt;&gt;"")*('[2]Makkah Migration Plan'!$F$2:$F$198&lt;&gt;""))),0)</f>
        <v>0</v>
      </c>
      <c r="S14" s="387">
        <f t="shared" si="2"/>
        <v>0</v>
      </c>
      <c r="T14" s="388" cm="1">
        <f t="array" ref="T14">IFERROR(INDEX('Makkah Migration Plan'!$L:$L,MATCH(1,('Makkah Migration Plan'!$AA:$AA=$A14)*('Makkah Migration Plan'!$Z:$Z=T$6),0)),0)</f>
        <v>0</v>
      </c>
      <c r="U14" s="388" cm="1">
        <f t="array" ref="U14">IFERROR(INDEX('Makkah Migration Plan'!$L:$L,MATCH(1,('Makkah Migration Plan'!$AA:$AA=$A14)*('Makkah Migration Plan'!$Z:$Z=U$6),0)),0)</f>
        <v>0</v>
      </c>
      <c r="V14" s="388" cm="1">
        <f t="array" ref="V14">IFERROR(INDEX('Makkah Migration Plan'!$L:$L,MATCH(1,('Makkah Migration Plan'!$AA:$AA=$A14)*('Makkah Migration Plan'!$Z:$Z=V$6),0)),0)</f>
        <v>0</v>
      </c>
      <c r="W14" s="388" cm="1">
        <f t="array" ref="W14">IFERROR(INDEX('Makkah Migration Plan'!$L:$L,MATCH(1,('Makkah Migration Plan'!$AA:$AA=$A14)*('Makkah Migration Plan'!$Z:$Z=W$6),0)),0)</f>
        <v>0</v>
      </c>
    </row>
    <row r="15" spans="1:26" ht="20.100000000000001" customHeight="1">
      <c r="A15" s="385" t="s">
        <v>76</v>
      </c>
      <c r="B15" s="389" cm="1">
        <f t="array" aca="1" ref="B15" ca="1">IFERROR(AVERAGE(_xlfn._xlws.FILTER(IF(TODAY()&lt;'[2]MADINAH Migration Plan-'!$E$2:$E$209,0,IF(TODAY()&gt;='[2]MADINAH Migration Plan-'!$F$2:$F$209,1,NETWORKDAYS.INTL('[2]MADINAH Migration Plan-'!$E$2:$E$209,TODAY(),"0000011")/NETWORKDAYS.INTL('[2]MADINAH Migration Plan-'!$E$2:$E$209,'[2]MADINAH Migration Plan-'!$F$2:$F$209,"0000011"))),('[2]MADINAH Migration Plan-'!$Z$2:$Z$209=$A15)*('[2]MADINAH Migration Plan-'!$E$2:$E$209&lt;&gt;"")*('[2]MADINAH Migration Plan-'!$F$2:$F$209&lt;&gt;""))),0)</f>
        <v>0</v>
      </c>
      <c r="C15" s="387">
        <f t="shared" si="0"/>
        <v>0</v>
      </c>
      <c r="D15" s="388" cm="1">
        <f t="array" ref="D15">IFERROR(INDEX('MADINAH Migration Plan-'!$L:$L,MATCH(1,('MADINAH Migration Plan-'!$AA:$AA=$A15)*('MADINAH Migration Plan-'!$Z:$Z=D$6),0)),0)</f>
        <v>0</v>
      </c>
      <c r="E15" s="388" cm="1">
        <f t="array" ref="E15">IFERROR(INDEX('MADINAH Migration Plan-'!$L:$L,MATCH(1,('MADINAH Migration Plan-'!$AA:$AA=$A15)*('MADINAH Migration Plan-'!$Z:$Z=E$6),0)),0)</f>
        <v>0</v>
      </c>
      <c r="F15" s="388" cm="1">
        <f t="array" ref="F15">IFERROR(INDEX('MADINAH Migration Plan-'!$L:$L,MATCH(1,('MADINAH Migration Plan-'!$AA:$AA=$A15)*('MADINAH Migration Plan-'!$Z:$Z=F$6),0)),0)</f>
        <v>0</v>
      </c>
      <c r="G15" s="388" cm="1">
        <f t="array" ref="G15">IFERROR(INDEX('MADINAH Migration Plan-'!$L:$L,MATCH(1,('MADINAH Migration Plan-'!$AA:$AA=$A15)*('MADINAH Migration Plan-'!$Z:$Z=G$6),0)),0)</f>
        <v>0</v>
      </c>
      <c r="H15" s="451"/>
      <c r="I15" s="385" t="s">
        <v>76</v>
      </c>
      <c r="J15" s="389" cm="1">
        <f t="array" aca="1" ref="J15" ca="1">IFERROR(AVERAGE(_xlfn._xlws.FILTER(IF(TODAY()&lt;'[2]Jeddah Migration Plan'!$E$2:$E$201,0,IF(TODAY()&gt;='[2]Jeddah Migration Plan'!$F$2:$F$201,1,NETWORKDAYS.INTL('[2]Jeddah Migration Plan'!$E$2:$E$201,TODAY(),"0000011")/NETWORKDAYS.INTL('[2]Jeddah Migration Plan'!$E$2:$E$201,'[2]Jeddah Migration Plan'!$F$2:$F$201,"0000011"))),('[2]Jeddah Migration Plan'!$Y$2:$Y$201=$I15)*('[2]Jeddah Migration Plan'!$E$2:$E$201&lt;&gt;"")*('[2]Jeddah Migration Plan'!$F$2:$F$201&lt;&gt;""))),0)</f>
        <v>0</v>
      </c>
      <c r="K15" s="387">
        <f t="shared" si="1"/>
        <v>0</v>
      </c>
      <c r="L15" s="388" cm="1">
        <f t="array" ref="L15">IFERROR(INDEX('Jeddah Migration Plan'!$L:$L,MATCH(1,('Jeddah Migration Plan'!$AB:$AB=$A15)*('Jeddah Migration Plan'!$AA:$AA=L$6),0)),0)</f>
        <v>0</v>
      </c>
      <c r="M15" s="388" cm="1">
        <f t="array" ref="M15">IFERROR(INDEX('Jeddah Migration Plan'!$L:$L,MATCH(1,('Jeddah Migration Plan'!$AB:$AB=$A15)*('Jeddah Migration Plan'!$AA:$AA=M$6),0)),0)</f>
        <v>0</v>
      </c>
      <c r="N15" s="388" cm="1">
        <f t="array" ref="N15">IFERROR(INDEX('Jeddah Migration Plan'!$L:$L,MATCH(1,('Jeddah Migration Plan'!$AB:$AB=$A15)*('Jeddah Migration Plan'!$AA:$AA=N$6),0)),0)</f>
        <v>0</v>
      </c>
      <c r="O15" s="388" cm="1">
        <f t="array" ref="O15">IFERROR(INDEX('Jeddah Migration Plan'!$L:$L,MATCH(1,('Jeddah Migration Plan'!$AB:$AB=$A15)*('Jeddah Migration Plan'!$AA:$AA=O$6),0)),0)</f>
        <v>0</v>
      </c>
      <c r="P15" s="451"/>
      <c r="Q15" s="385" t="s">
        <v>76</v>
      </c>
      <c r="R15" s="389" cm="1">
        <f t="array" aca="1" ref="R15" ca="1">IFERROR(AVERAGE(_xlfn._xlws.FILTER(IF(TODAY()&lt;'[2]Makkah Migration Plan'!$E$2:$E$198,0,IF(TODAY()&gt;='[2]Makkah Migration Plan'!$F$2:$F$198,1,NETWORKDAYS.INTL('[2]Makkah Migration Plan'!$E$2:$E$198,TODAY(),"0000011")/NETWORKDAYS.INTL('[2]Makkah Migration Plan'!$E$2:$E$198,'[2]Makkah Migration Plan'!$F$2:$F$198,"0000011"))),('[2]Makkah Migration Plan'!$Y$2:$Y$198=$Q15)*('[2]Makkah Migration Plan'!$E$2:$E$198&lt;&gt;"")*('[2]Makkah Migration Plan'!$F$2:$F$198&lt;&gt;""))),0)</f>
        <v>0</v>
      </c>
      <c r="S15" s="387">
        <f t="shared" si="2"/>
        <v>0</v>
      </c>
      <c r="T15" s="388" cm="1">
        <f t="array" ref="T15">IFERROR(INDEX('Makkah Migration Plan'!$L:$L,MATCH(1,('Makkah Migration Plan'!$AA:$AA=$A15)*('Makkah Migration Plan'!$Z:$Z=T$6),0)),0)</f>
        <v>0</v>
      </c>
      <c r="U15" s="388" cm="1">
        <f t="array" ref="U15">IFERROR(INDEX('Makkah Migration Plan'!$L:$L,MATCH(1,('Makkah Migration Plan'!$AA:$AA=$A15)*('Makkah Migration Plan'!$Z:$Z=U$6),0)),0)</f>
        <v>0</v>
      </c>
      <c r="V15" s="388" cm="1">
        <f t="array" ref="V15">IFERROR(INDEX('Makkah Migration Plan'!$L:$L,MATCH(1,('Makkah Migration Plan'!$AA:$AA=$A15)*('Makkah Migration Plan'!$Z:$Z=V$6),0)),0)</f>
        <v>0</v>
      </c>
      <c r="W15" s="388" cm="1">
        <f t="array" ref="W15">IFERROR(INDEX('Makkah Migration Plan'!$L:$L,MATCH(1,('Makkah Migration Plan'!$AA:$AA=$A15)*('Makkah Migration Plan'!$Z:$Z=W$6),0)),0)</f>
        <v>0</v>
      </c>
    </row>
    <row r="16" spans="1:26" ht="20.100000000000001" customHeight="1">
      <c r="A16" s="385" t="s">
        <v>77</v>
      </c>
      <c r="B16" s="389" cm="1">
        <f t="array" aca="1" ref="B16" ca="1">IFERROR(AVERAGE(_xlfn._xlws.FILTER(IF(TODAY()&lt;'[2]MADINAH Migration Plan-'!$E$2:$E$209,0,IF(TODAY()&gt;='[2]MADINAH Migration Plan-'!$F$2:$F$209,1,NETWORKDAYS.INTL('[2]MADINAH Migration Plan-'!$E$2:$E$209,TODAY(),"0000011")/NETWORKDAYS.INTL('[2]MADINAH Migration Plan-'!$E$2:$E$209,'[2]MADINAH Migration Plan-'!$F$2:$F$209,"0000011"))),('[2]MADINAH Migration Plan-'!$Z$2:$Z$209=$A16)*('[2]MADINAH Migration Plan-'!$E$2:$E$209&lt;&gt;"")*('[2]MADINAH Migration Plan-'!$F$2:$F$209&lt;&gt;""))),0)</f>
        <v>0</v>
      </c>
      <c r="C16" s="387">
        <f t="shared" si="0"/>
        <v>0</v>
      </c>
      <c r="D16" s="388" cm="1">
        <f t="array" ref="D16">IFERROR(INDEX('MADINAH Migration Plan-'!$L:$L,MATCH(1,('MADINAH Migration Plan-'!$AA:$AA=$A16)*('MADINAH Migration Plan-'!$Z:$Z=D$6),0)),0)</f>
        <v>0</v>
      </c>
      <c r="E16" s="388" cm="1">
        <f t="array" ref="E16">IFERROR(INDEX('MADINAH Migration Plan-'!$L:$L,MATCH(1,('MADINAH Migration Plan-'!$AA:$AA=$A16)*('MADINAH Migration Plan-'!$Z:$Z=E$6),0)),0)</f>
        <v>0</v>
      </c>
      <c r="F16" s="388" cm="1">
        <f t="array" ref="F16">IFERROR(INDEX('MADINAH Migration Plan-'!$L:$L,MATCH(1,('MADINAH Migration Plan-'!$AA:$AA=$A16)*('MADINAH Migration Plan-'!$Z:$Z=F$6),0)),0)</f>
        <v>0</v>
      </c>
      <c r="G16" s="388" cm="1">
        <f t="array" ref="G16">IFERROR(INDEX('MADINAH Migration Plan-'!$L:$L,MATCH(1,('MADINAH Migration Plan-'!$AA:$AA=$A16)*('MADINAH Migration Plan-'!$Z:$Z=G$6),0)),0)</f>
        <v>0</v>
      </c>
      <c r="H16" s="452"/>
      <c r="I16" s="385" t="s">
        <v>77</v>
      </c>
      <c r="J16" s="389" cm="1">
        <f t="array" aca="1" ref="J16" ca="1">IFERROR(AVERAGE(_xlfn._xlws.FILTER(IF(TODAY()&lt;'[2]Jeddah Migration Plan'!$E$2:$E$201,0,IF(TODAY()&gt;='[2]Jeddah Migration Plan'!$F$2:$F$201,1,NETWORKDAYS.INTL('[2]Jeddah Migration Plan'!$E$2:$E$201,TODAY(),"0000011")/NETWORKDAYS.INTL('[2]Jeddah Migration Plan'!$E$2:$E$201,'[2]Jeddah Migration Plan'!$F$2:$F$201,"0000011"))),('[2]Jeddah Migration Plan'!$Y$2:$Y$201=$I16)*('[2]Jeddah Migration Plan'!$E$2:$E$201&lt;&gt;"")*('[2]Jeddah Migration Plan'!$F$2:$F$201&lt;&gt;""))),0)</f>
        <v>0</v>
      </c>
      <c r="K16" s="387">
        <f t="shared" si="1"/>
        <v>0</v>
      </c>
      <c r="L16" s="388" cm="1">
        <f t="array" ref="L16">IFERROR(INDEX('Jeddah Migration Plan'!$L:$L,MATCH(1,('Jeddah Migration Plan'!$AB:$AB=$A16)*('Jeddah Migration Plan'!$AA:$AA=L$6),0)),0)</f>
        <v>0</v>
      </c>
      <c r="M16" s="388" cm="1">
        <f t="array" ref="M16">IFERROR(INDEX('Jeddah Migration Plan'!$L:$L,MATCH(1,('Jeddah Migration Plan'!$AB:$AB=$A16)*('Jeddah Migration Plan'!$AA:$AA=M$6),0)),0)</f>
        <v>0</v>
      </c>
      <c r="N16" s="388" cm="1">
        <f t="array" ref="N16">IFERROR(INDEX('Jeddah Migration Plan'!$L:$L,MATCH(1,('Jeddah Migration Plan'!$AB:$AB=$A16)*('Jeddah Migration Plan'!$AA:$AA=N$6),0)),0)</f>
        <v>0</v>
      </c>
      <c r="O16" s="388" cm="1">
        <f t="array" ref="O16">IFERROR(INDEX('Jeddah Migration Plan'!$L:$L,MATCH(1,('Jeddah Migration Plan'!$AB:$AB=$A16)*('Jeddah Migration Plan'!$AA:$AA=O$6),0)),0)</f>
        <v>0</v>
      </c>
      <c r="P16" s="452"/>
      <c r="Q16" s="385" t="s">
        <v>77</v>
      </c>
      <c r="R16" s="389" cm="1">
        <f t="array" aca="1" ref="R16" ca="1">IFERROR(AVERAGE(_xlfn._xlws.FILTER(IF(TODAY()&lt;'[2]Makkah Migration Plan'!$E$2:$E$198,0,IF(TODAY()&gt;='[2]Makkah Migration Plan'!$F$2:$F$198,1,NETWORKDAYS.INTL('[2]Makkah Migration Plan'!$E$2:$E$198,TODAY(),"0000011")/NETWORKDAYS.INTL('[2]Makkah Migration Plan'!$E$2:$E$198,'[2]Makkah Migration Plan'!$F$2:$F$198,"0000011"))),('[2]Makkah Migration Plan'!$Y$2:$Y$198=$Q16)*('[2]Makkah Migration Plan'!$E$2:$E$198&lt;&gt;"")*('[2]Makkah Migration Plan'!$F$2:$F$198&lt;&gt;""))),0)</f>
        <v>0</v>
      </c>
      <c r="S16" s="387">
        <f t="shared" si="2"/>
        <v>0</v>
      </c>
      <c r="T16" s="388" cm="1">
        <f t="array" ref="T16">IFERROR(INDEX('Makkah Migration Plan'!$L:$L,MATCH(1,('Makkah Migration Plan'!$AA:$AA=$A16)*('Makkah Migration Plan'!$Z:$Z=T$6),0)),0)</f>
        <v>0</v>
      </c>
      <c r="U16" s="388" cm="1">
        <f t="array" ref="U16">IFERROR(INDEX('Makkah Migration Plan'!$L:$L,MATCH(1,('Makkah Migration Plan'!$AA:$AA=$A16)*('Makkah Migration Plan'!$Z:$Z=U$6),0)),0)</f>
        <v>0</v>
      </c>
      <c r="V16" s="388" cm="1">
        <f t="array" ref="V16">IFERROR(INDEX('Makkah Migration Plan'!$L:$L,MATCH(1,('Makkah Migration Plan'!$AA:$AA=$A16)*('Makkah Migration Plan'!$Z:$Z=V$6),0)),0)</f>
        <v>0</v>
      </c>
      <c r="W16" s="388" cm="1">
        <f t="array" ref="W16">IFERROR(INDEX('Makkah Migration Plan'!$L:$L,MATCH(1,('Makkah Migration Plan'!$AA:$AA=$A16)*('Makkah Migration Plan'!$Z:$Z=W$6),0)),0)</f>
        <v>0</v>
      </c>
    </row>
    <row r="17" spans="1:23">
      <c r="A17" s="441"/>
      <c r="B17" s="442"/>
      <c r="C17" s="442"/>
      <c r="D17" s="442"/>
      <c r="E17" s="442"/>
      <c r="F17" s="442"/>
      <c r="G17" s="442"/>
      <c r="H17" s="443"/>
      <c r="I17" s="443"/>
      <c r="J17" s="443"/>
      <c r="K17" s="443"/>
      <c r="L17" s="443"/>
      <c r="M17" s="443"/>
      <c r="N17" s="443"/>
      <c r="O17" s="443"/>
      <c r="P17" s="443"/>
      <c r="Q17" s="443"/>
      <c r="R17" s="443"/>
      <c r="S17" s="443"/>
      <c r="T17" s="443"/>
      <c r="U17" s="443"/>
      <c r="V17" s="443"/>
      <c r="W17" s="443"/>
    </row>
    <row r="18" spans="1:23" ht="35.1" customHeight="1">
      <c r="A18" s="444" t="s">
        <v>78</v>
      </c>
      <c r="B18" s="444"/>
      <c r="C18" s="444"/>
      <c r="D18" s="444"/>
      <c r="E18" s="444"/>
      <c r="F18" s="444"/>
      <c r="G18" s="444"/>
      <c r="H18" s="390"/>
      <c r="I18" s="453"/>
      <c r="J18" s="453"/>
      <c r="K18" s="453"/>
      <c r="L18" s="453"/>
      <c r="M18" s="453"/>
      <c r="N18" s="453"/>
      <c r="O18" s="453"/>
      <c r="P18" s="391"/>
      <c r="Q18" s="444" t="s">
        <v>79</v>
      </c>
      <c r="R18" s="444"/>
      <c r="S18" s="444"/>
      <c r="T18" s="444"/>
      <c r="U18" s="444"/>
      <c r="V18" s="444"/>
      <c r="W18" s="444"/>
    </row>
    <row r="19" spans="1:23" ht="86.25" customHeight="1">
      <c r="A19" s="380" t="s">
        <v>59</v>
      </c>
      <c r="B19" s="381" t="s">
        <v>60</v>
      </c>
      <c r="C19" s="382" t="s">
        <v>61</v>
      </c>
      <c r="D19" s="383" t="s">
        <v>62</v>
      </c>
      <c r="E19" s="383" t="s">
        <v>66</v>
      </c>
      <c r="F19" s="383" t="s">
        <v>64</v>
      </c>
      <c r="G19" s="383" t="s">
        <v>65</v>
      </c>
      <c r="H19" s="392"/>
      <c r="I19" s="454"/>
      <c r="J19" s="454"/>
      <c r="K19" s="454"/>
      <c r="L19" s="454"/>
      <c r="M19" s="454"/>
      <c r="N19" s="454"/>
      <c r="O19" s="454"/>
      <c r="P19" s="393"/>
      <c r="Q19" s="380" t="s">
        <v>59</v>
      </c>
      <c r="R19" s="381" t="s">
        <v>60</v>
      </c>
      <c r="S19" s="382" t="s">
        <v>61</v>
      </c>
      <c r="T19" s="383" t="s">
        <v>62</v>
      </c>
      <c r="U19" s="383" t="s">
        <v>66</v>
      </c>
      <c r="V19" s="383" t="s">
        <v>64</v>
      </c>
      <c r="W19" s="383" t="s">
        <v>65</v>
      </c>
    </row>
    <row r="20" spans="1:23" ht="20.100000000000001" customHeight="1">
      <c r="A20" s="385" t="s">
        <v>68</v>
      </c>
      <c r="B20" s="386" cm="1">
        <f t="array" aca="1" ref="B20" ca="1">IFERROR(AVERAGE(_xlfn._xlws.FILTER(IF(TODAY()&lt;'[2]ABHA Migration Plan'!$E$2:$E$199,0,IF(TODAY()&gt;='[2]ABHA Migration Plan'!$F$2:$F$199,1,NETWORKDAYS.INTL('[2]ABHA Migration Plan'!$E$2:$E$199,TODAY(),"0000011")/NETWORKDAYS.INTL('[2]ABHA Migration Plan'!$E$2:$E$199,'[2]ABHA Migration Plan'!$F$2:$F$199,"0000011"))),('[2]ABHA Migration Plan'!$Y$2:$Y$199=$A20)*('[2]ABHA Migration Plan'!$E$2:$E$199&lt;&gt;"")*('[2]ABHA Migration Plan'!$F$2:$F$199&lt;&gt;""))),0)</f>
        <v>1</v>
      </c>
      <c r="C20" s="387">
        <f t="shared" ref="C20:C27" si="3">AVERAGE(D20:G20)</f>
        <v>0.47499999999999998</v>
      </c>
      <c r="D20" s="388" cm="1">
        <f t="array" ref="D20">IFERROR(INDEX('ABHA Migration Plan'!$L:$L,MATCH(1,('ABHA Migration Plan'!$AA:$AA=$A20)*('ABHA Migration Plan'!$Z:$Z=D$6),0)),0)</f>
        <v>1</v>
      </c>
      <c r="E20" s="388" cm="1">
        <f t="array" ref="E20">IFERROR(INDEX('ABHA Migration Plan'!$L:$L,MATCH(1,('ABHA Migration Plan'!$AA:$AA=$A20)*('ABHA Migration Plan'!$Z:$Z=E$6),0)),0)</f>
        <v>0.9</v>
      </c>
      <c r="F20" s="388" cm="1">
        <f t="array" ref="F20">IFERROR(INDEX('ABHA Migration Plan'!$L:$L,MATCH(1,('ABHA Migration Plan'!$AA:$AA=$A20)*('ABHA Migration Plan'!$Z:$Z=F$6),0)),0)</f>
        <v>0</v>
      </c>
      <c r="G20" s="388" cm="1">
        <f t="array" ref="G20">IFERROR(INDEX('ABHA Migration Plan'!$L:$L,MATCH(1,('ABHA Migration Plan'!$AA:$AA=$A20)*('ABHA Migration Plan'!$Z:$Z=G$6),0)),0)</f>
        <v>0</v>
      </c>
      <c r="H20" s="392"/>
      <c r="I20" s="454"/>
      <c r="J20" s="454"/>
      <c r="K20" s="454"/>
      <c r="L20" s="454"/>
      <c r="M20" s="454"/>
      <c r="N20" s="454"/>
      <c r="O20" s="454"/>
      <c r="P20" s="393"/>
      <c r="Q20" s="385" t="s">
        <v>68</v>
      </c>
      <c r="R20" s="386" cm="1">
        <f t="array" aca="1" ref="R20" ca="1">IFERROR(AVERAGE(_xlfn._xlws.FILTER(IF(TODAY()&lt;'[2]Jizan Migration Plan'!$E$2:$E$200,0,IF(TODAY()&gt;='[2]Jizan Migration Plan'!$F$2:$F$200,1,NETWORKDAYS.INTL('[2]Jizan Migration Plan'!$E$2:$E$200,TODAY(),"0000011")/NETWORKDAYS.INTL('[2]Jizan Migration Plan'!$E$2:$E$200,'[2]Jizan Migration Plan'!$F$2:$F$200,"0000011"))),('[2]Jizan Migration Plan'!$Y$2:$Y$200=$Q20)*('[2]Jizan Migration Plan'!$E$2:$E$200&lt;&gt;"")*('[2]Jizan Migration Plan'!$F$2:$F$200&lt;&gt;""))),0)</f>
        <v>0</v>
      </c>
      <c r="S20" s="387">
        <f t="shared" ref="S20:S27" si="4">AVERAGE(T20:W20)</f>
        <v>0.25</v>
      </c>
      <c r="T20" s="388" cm="1">
        <f t="array" ref="T20">IFERROR(INDEX('Jizan Migration Plan'!$L:$L,MATCH(1,('Jizan Migration Plan'!$AA:$AA=$A20)*('Jizan Migration Plan'!$Z:$Z=T$6),0)),0)</f>
        <v>1</v>
      </c>
      <c r="U20" s="388" cm="1">
        <f t="array" ref="U20">IFERROR(INDEX('Jizan Migration Plan'!$L:$L,MATCH(1,('Jizan Migration Plan'!$AA:$AA=$A20)*('Jizan Migration Plan'!$Z:$Z=U$6),0)),0)</f>
        <v>0</v>
      </c>
      <c r="V20" s="388" cm="1">
        <f t="array" ref="V20">IFERROR(INDEX('Jizan Migration Plan'!$L:$L,MATCH(1,('Jizan Migration Plan'!$AA:$AA=$A20)*('Jizan Migration Plan'!$Z:$Z=V$6),0)),0)</f>
        <v>0</v>
      </c>
      <c r="W20" s="388" cm="1">
        <f t="array" ref="W20">IFERROR(INDEX('Jizan Migration Plan'!$L:$L,MATCH(1,('Jizan Migration Plan'!$AA:$AA=$A20)*('Jizan Migration Plan'!$Z:$Z=W$6),0)),0)</f>
        <v>0</v>
      </c>
    </row>
    <row r="21" spans="1:23" ht="20.100000000000001" customHeight="1">
      <c r="A21" s="385" t="s">
        <v>69</v>
      </c>
      <c r="B21" s="386" cm="1">
        <f t="array" aca="1" ref="B21" ca="1">IFERROR(AVERAGE(_xlfn._xlws.FILTER(IF(TODAY()&lt;'[2]ABHA Migration Plan'!$E$2:$E$199,0,IF(TODAY()&gt;='[2]ABHA Migration Plan'!$F$2:$F$199,1,NETWORKDAYS.INTL('[2]ABHA Migration Plan'!$E$2:$E$199,TODAY(),"0000011")/NETWORKDAYS.INTL('[2]ABHA Migration Plan'!$E$2:$E$199,'[2]ABHA Migration Plan'!$F$2:$F$199,"0000011"))),('[2]ABHA Migration Plan'!$Y$2:$Y$199=$A21)*('[2]ABHA Migration Plan'!$E$2:$E$199&lt;&gt;"")*('[2]ABHA Migration Plan'!$F$2:$F$199&lt;&gt;""))),0)</f>
        <v>0</v>
      </c>
      <c r="C21" s="387">
        <f t="shared" si="3"/>
        <v>0.47499999999999998</v>
      </c>
      <c r="D21" s="388" cm="1">
        <f t="array" ref="D21">IFERROR(INDEX('ABHA Migration Plan'!$L:$L,MATCH(1,('ABHA Migration Plan'!$AA:$AA=$A21)*('ABHA Migration Plan'!$Z:$Z=D$6),0)),0)</f>
        <v>1</v>
      </c>
      <c r="E21" s="388" cm="1">
        <f t="array" ref="E21">IFERROR(INDEX('ABHA Migration Plan'!$L:$L,MATCH(1,('ABHA Migration Plan'!$AA:$AA=$A21)*('ABHA Migration Plan'!$Z:$Z=E$6),0)),0)</f>
        <v>0.9</v>
      </c>
      <c r="F21" s="388" cm="1">
        <f t="array" ref="F21">IFERROR(INDEX('ABHA Migration Plan'!$L:$L,MATCH(1,('ABHA Migration Plan'!$AA:$AA=$A21)*('ABHA Migration Plan'!$Z:$Z=F$6),0)),0)</f>
        <v>0</v>
      </c>
      <c r="G21" s="388" cm="1">
        <f t="array" ref="G21">IFERROR(INDEX('ABHA Migration Plan'!$L:$L,MATCH(1,('ABHA Migration Plan'!$AA:$AA=$A21)*('ABHA Migration Plan'!$Z:$Z=G$6),0)),0)</f>
        <v>0</v>
      </c>
      <c r="H21" s="392"/>
      <c r="I21" s="454"/>
      <c r="J21" s="454"/>
      <c r="K21" s="454"/>
      <c r="L21" s="454"/>
      <c r="M21" s="454"/>
      <c r="N21" s="454"/>
      <c r="O21" s="454"/>
      <c r="P21" s="393"/>
      <c r="Q21" s="385" t="s">
        <v>69</v>
      </c>
      <c r="R21" s="389" cm="1">
        <f t="array" aca="1" ref="R21" ca="1">IFERROR(AVERAGE(_xlfn._xlws.FILTER(IF(TODAY()&lt;'[2]Jizan Migration Plan'!$E$2:$E$200,0,IF(TODAY()&gt;='[2]Jizan Migration Plan'!$F$2:$F$200,1,NETWORKDAYS.INTL('[2]Jizan Migration Plan'!$E$2:$E$200,TODAY(),"0000011")/NETWORKDAYS.INTL('[2]Jizan Migration Plan'!$E$2:$E$200,'[2]Jizan Migration Plan'!$F$2:$F$200,"0000011"))),('[2]Jizan Migration Plan'!$Y$2:$Y$200=$Q21)*('[2]Jizan Migration Plan'!$E$2:$E$200&lt;&gt;"")*('[2]Jizan Migration Plan'!$F$2:$F$200&lt;&gt;""))),0)</f>
        <v>0</v>
      </c>
      <c r="S21" s="387">
        <f t="shared" si="4"/>
        <v>0.25</v>
      </c>
      <c r="T21" s="388" cm="1">
        <f t="array" ref="T21">IFERROR(INDEX('Jizan Migration Plan'!$L:$L,MATCH(1,('Jizan Migration Plan'!$AA:$AA=$A21)*('Jizan Migration Plan'!$Z:$Z=T$6),0)),0)</f>
        <v>1</v>
      </c>
      <c r="U21" s="388" cm="1">
        <f t="array" ref="U21">IFERROR(INDEX('Jizan Migration Plan'!$L:$L,MATCH(1,('Jizan Migration Plan'!$AA:$AA=$A21)*('Jizan Migration Plan'!$Z:$Z=U$6),0)),0)</f>
        <v>0</v>
      </c>
      <c r="V21" s="388" cm="1">
        <f t="array" ref="V21">IFERROR(INDEX('Jizan Migration Plan'!$L:$L,MATCH(1,('Jizan Migration Plan'!$AA:$AA=$A21)*('Jizan Migration Plan'!$Z:$Z=V$6),0)),0)</f>
        <v>0</v>
      </c>
      <c r="W21" s="388" cm="1">
        <f t="array" ref="W21">IFERROR(INDEX('Jizan Migration Plan'!$L:$L,MATCH(1,('Jizan Migration Plan'!$AA:$AA=$A21)*('Jizan Migration Plan'!$Z:$Z=W$6),0)),0)</f>
        <v>0</v>
      </c>
    </row>
    <row r="22" spans="1:23" ht="20.100000000000001" customHeight="1">
      <c r="A22" s="385" t="s">
        <v>70</v>
      </c>
      <c r="B22" s="389" cm="1">
        <f t="array" aca="1" ref="B22" ca="1">IFERROR(AVERAGE(_xlfn._xlws.FILTER(IF(TODAY()&lt;'[2]ABHA Migration Plan'!$E$2:$E$199,0,IF(TODAY()&gt;='[2]ABHA Migration Plan'!$F$2:$F$199,1,NETWORKDAYS.INTL('[2]ABHA Migration Plan'!$E$2:$E$199,TODAY(),"0000011")/NETWORKDAYS.INTL('[2]ABHA Migration Plan'!$E$2:$E$199,'[2]ABHA Migration Plan'!$F$2:$F$199,"0000011"))),('[2]ABHA Migration Plan'!$Y$2:$Y$199=$A22)*('[2]ABHA Migration Plan'!$E$2:$E$199&lt;&gt;"")*('[2]ABHA Migration Plan'!$F$2:$F$199&lt;&gt;""))),0)</f>
        <v>0.4</v>
      </c>
      <c r="C22" s="374">
        <f t="shared" si="3"/>
        <v>0</v>
      </c>
      <c r="D22" s="388" cm="1">
        <f t="array" ref="D22">IFERROR(INDEX('ABHA Migration Plan'!$L:$L,MATCH(1,('ABHA Migration Plan'!$AA:$AA=$A22)*('ABHA Migration Plan'!$Z:$Z=D$6),0)),0)</f>
        <v>0</v>
      </c>
      <c r="E22" s="388" cm="1">
        <f t="array" ref="E22">IFERROR(INDEX('ABHA Migration Plan'!$L:$L,MATCH(1,('ABHA Migration Plan'!$AA:$AA=$A22)*('ABHA Migration Plan'!$Z:$Z=E$6),0)),0)</f>
        <v>0</v>
      </c>
      <c r="F22" s="388" cm="1">
        <f t="array" ref="F22">IFERROR(INDEX('ABHA Migration Plan'!$L:$L,MATCH(1,('ABHA Migration Plan'!$AA:$AA=$A22)*('ABHA Migration Plan'!$Z:$Z=F$6),0)),0)</f>
        <v>0</v>
      </c>
      <c r="G22" s="388" cm="1">
        <f t="array" ref="G22">IFERROR(INDEX('ABHA Migration Plan'!$L:$L,MATCH(1,('ABHA Migration Plan'!$AA:$AA=$A22)*('ABHA Migration Plan'!$Z:$Z=G$6),0)),0)</f>
        <v>0</v>
      </c>
      <c r="H22" s="392"/>
      <c r="I22" s="454"/>
      <c r="J22" s="454"/>
      <c r="K22" s="454"/>
      <c r="L22" s="454"/>
      <c r="M22" s="454"/>
      <c r="N22" s="454"/>
      <c r="O22" s="454"/>
      <c r="P22" s="393"/>
      <c r="Q22" s="385" t="s">
        <v>70</v>
      </c>
      <c r="R22" s="389" cm="1">
        <f t="array" aca="1" ref="R22" ca="1">IFERROR(AVERAGE(_xlfn._xlws.FILTER(IF(TODAY()&lt;'[2]Jizan Migration Plan'!$E$2:$E$200,0,IF(TODAY()&gt;='[2]Jizan Migration Plan'!$F$2:$F$200,1,NETWORKDAYS.INTL('[2]Jizan Migration Plan'!$E$2:$E$200,TODAY(),"0000011")/NETWORKDAYS.INTL('[2]Jizan Migration Plan'!$E$2:$E$200,'[2]Jizan Migration Plan'!$F$2:$F$200,"0000011"))),('[2]Jizan Migration Plan'!$Y$2:$Y$200=$Q22)*('[2]Jizan Migration Plan'!$E$2:$E$200&lt;&gt;"")*('[2]Jizan Migration Plan'!$F$2:$F$200&lt;&gt;""))),0)</f>
        <v>0.4</v>
      </c>
      <c r="S22" s="374">
        <f t="shared" si="4"/>
        <v>0.22500000000000001</v>
      </c>
      <c r="T22" s="388" cm="1">
        <f t="array" ref="T22">IFERROR(INDEX('Jizan Migration Plan'!$L:$L,MATCH(1,('Jizan Migration Plan'!$AA:$AA=$A22)*('Jizan Migration Plan'!$Z:$Z=T$6),0)),0)</f>
        <v>0.9</v>
      </c>
      <c r="U22" s="388" cm="1">
        <f t="array" ref="U22">IFERROR(INDEX('Jizan Migration Plan'!$L:$L,MATCH(1,('Jizan Migration Plan'!$AA:$AA=$A22)*('Jizan Migration Plan'!$Z:$Z=U$6),0)),0)</f>
        <v>0</v>
      </c>
      <c r="V22" s="388" cm="1">
        <f t="array" ref="V22">IFERROR(INDEX('Jizan Migration Plan'!$L:$L,MATCH(1,('Jizan Migration Plan'!$AA:$AA=$A22)*('Jizan Migration Plan'!$Z:$Z=V$6),0)),0)</f>
        <v>0</v>
      </c>
      <c r="W22" s="388" cm="1">
        <f t="array" ref="W22">IFERROR(INDEX('Jizan Migration Plan'!$L:$L,MATCH(1,('Jizan Migration Plan'!$AA:$AA=$A22)*('Jizan Migration Plan'!$Z:$Z=W$6),0)),0)</f>
        <v>0</v>
      </c>
    </row>
    <row r="23" spans="1:23" ht="20.100000000000001" customHeight="1">
      <c r="A23" s="385" t="s">
        <v>71</v>
      </c>
      <c r="B23" s="389" cm="1">
        <f t="array" aca="1" ref="B23" ca="1">IFERROR(AVERAGE(_xlfn._xlws.FILTER(IF(TODAY()&lt;'[2]ABHA Migration Plan'!$E$2:$E$199,0,IF(TODAY()&gt;='[2]ABHA Migration Plan'!$F$2:$F$199,1,NETWORKDAYS.INTL('[2]ABHA Migration Plan'!$E$2:$E$199,TODAY(),"0000011")/NETWORKDAYS.INTL('[2]ABHA Migration Plan'!$E$2:$E$199,'[2]ABHA Migration Plan'!$F$2:$F$199,"0000011"))),('[2]ABHA Migration Plan'!$Y$2:$Y$199=$A23)*('[2]ABHA Migration Plan'!$E$2:$E$199&lt;&gt;"")*('[2]ABHA Migration Plan'!$F$2:$F$199&lt;&gt;""))),0)</f>
        <v>0.4</v>
      </c>
      <c r="C23" s="374">
        <f t="shared" si="3"/>
        <v>0</v>
      </c>
      <c r="D23" s="388" cm="1">
        <f t="array" ref="D23">IFERROR(INDEX('ABHA Migration Plan'!$L:$L,MATCH(1,('ABHA Migration Plan'!$AA:$AA=$A23)*('ABHA Migration Plan'!$Z:$Z=D$6),0)),0)</f>
        <v>0</v>
      </c>
      <c r="E23" s="388" cm="1">
        <f t="array" ref="E23">IFERROR(INDEX('ABHA Migration Plan'!$L:$L,MATCH(1,('ABHA Migration Plan'!$AA:$AA=$A23)*('ABHA Migration Plan'!$Z:$Z=E$6),0)),0)</f>
        <v>0</v>
      </c>
      <c r="F23" s="388" cm="1">
        <f t="array" ref="F23">IFERROR(INDEX('ABHA Migration Plan'!$L:$L,MATCH(1,('ABHA Migration Plan'!$AA:$AA=$A23)*('ABHA Migration Plan'!$Z:$Z=F$6),0)),0)</f>
        <v>0</v>
      </c>
      <c r="G23" s="388" cm="1">
        <f t="array" ref="G23">IFERROR(INDEX('ABHA Migration Plan'!$L:$L,MATCH(1,('ABHA Migration Plan'!$AA:$AA=$A23)*('ABHA Migration Plan'!$Z:$Z=G$6),0)),0)</f>
        <v>0</v>
      </c>
      <c r="H23" s="392"/>
      <c r="I23" s="454"/>
      <c r="J23" s="454"/>
      <c r="K23" s="454"/>
      <c r="L23" s="454"/>
      <c r="M23" s="454"/>
      <c r="N23" s="454"/>
      <c r="O23" s="454"/>
      <c r="P23" s="393"/>
      <c r="Q23" s="385" t="s">
        <v>71</v>
      </c>
      <c r="R23" s="389" cm="1">
        <f t="array" aca="1" ref="R23" ca="1">IFERROR(AVERAGE(_xlfn._xlws.FILTER(IF(TODAY()&lt;'[2]Jizan Migration Plan'!$E$2:$E$200,0,IF(TODAY()&gt;='[2]Jizan Migration Plan'!$F$2:$F$200,1,NETWORKDAYS.INTL('[2]Jizan Migration Plan'!$E$2:$E$200,TODAY(),"0000011")/NETWORKDAYS.INTL('[2]Jizan Migration Plan'!$E$2:$E$200,'[2]Jizan Migration Plan'!$F$2:$F$200,"0000011"))),('[2]Jizan Migration Plan'!$Y$2:$Y$200=$Q23)*('[2]Jizan Migration Plan'!$E$2:$E$200&lt;&gt;"")*('[2]Jizan Migration Plan'!$F$2:$F$200&lt;&gt;""))),0)</f>
        <v>0.4</v>
      </c>
      <c r="S23" s="387">
        <f t="shared" si="4"/>
        <v>0</v>
      </c>
      <c r="T23" s="388" cm="1">
        <f t="array" ref="T23">IFERROR(INDEX('Jizan Migration Plan'!$L:$L,MATCH(1,('Jizan Migration Plan'!$AA:$AA=$A23)*('Jizan Migration Plan'!$Z:$Z=T$6),0)),0)</f>
        <v>0</v>
      </c>
      <c r="U23" s="388" cm="1">
        <f t="array" ref="U23">IFERROR(INDEX('Jizan Migration Plan'!$L:$L,MATCH(1,('Jizan Migration Plan'!$AA:$AA=$A23)*('Jizan Migration Plan'!$Z:$Z=U$6),0)),0)</f>
        <v>0</v>
      </c>
      <c r="V23" s="388" cm="1">
        <f t="array" ref="V23">IFERROR(INDEX('Jizan Migration Plan'!$L:$L,MATCH(1,('Jizan Migration Plan'!$AA:$AA=$A23)*('Jizan Migration Plan'!$Z:$Z=V$6),0)),0)</f>
        <v>0</v>
      </c>
      <c r="W23" s="388" cm="1">
        <f t="array" ref="W23">IFERROR(INDEX('Jizan Migration Plan'!$L:$L,MATCH(1,('Jizan Migration Plan'!$AA:$AA=$A23)*('Jizan Migration Plan'!$Z:$Z=W$6),0)),0)</f>
        <v>0</v>
      </c>
    </row>
    <row r="24" spans="1:23" ht="20.100000000000001" customHeight="1">
      <c r="A24" s="385" t="s">
        <v>72</v>
      </c>
      <c r="B24" s="389" cm="1">
        <f t="array" aca="1" ref="B24" ca="1">IFERROR(AVERAGE(_xlfn._xlws.FILTER(IF(TODAY()&lt;'[2]ABHA Migration Plan'!$E$2:$E$199,0,IF(TODAY()&gt;='[2]ABHA Migration Plan'!$F$2:$F$199,1,NETWORKDAYS.INTL('[2]ABHA Migration Plan'!$E$2:$E$199,TODAY(),"0000011")/NETWORKDAYS.INTL('[2]ABHA Migration Plan'!$E$2:$E$199,'[2]ABHA Migration Plan'!$F$2:$F$199,"0000011"))),('[2]ABHA Migration Plan'!$Y$2:$Y$199=$A24)*('[2]ABHA Migration Plan'!$E$2:$E$199&lt;&gt;"")*('[2]ABHA Migration Plan'!$F$2:$F$199&lt;&gt;""))),0)</f>
        <v>0.4</v>
      </c>
      <c r="C24" s="374">
        <f t="shared" si="3"/>
        <v>0</v>
      </c>
      <c r="D24" s="388" cm="1">
        <f t="array" ref="D24">IFERROR(INDEX('ABHA Migration Plan'!$L:$L,MATCH(1,('ABHA Migration Plan'!$AA:$AA=$A24)*('ABHA Migration Plan'!$Z:$Z=D$6),0)),0)</f>
        <v>0</v>
      </c>
      <c r="E24" s="388" cm="1">
        <f t="array" ref="E24">IFERROR(INDEX('ABHA Migration Plan'!$L:$L,MATCH(1,('ABHA Migration Plan'!$AA:$AA=$A24)*('ABHA Migration Plan'!$Z:$Z=E$6),0)),0)</f>
        <v>0</v>
      </c>
      <c r="F24" s="388" cm="1">
        <f t="array" ref="F24">IFERROR(INDEX('ABHA Migration Plan'!$L:$L,MATCH(1,('ABHA Migration Plan'!$AA:$AA=$A24)*('ABHA Migration Plan'!$Z:$Z=F$6),0)),0)</f>
        <v>0</v>
      </c>
      <c r="G24" s="388" cm="1">
        <f t="array" ref="G24">IFERROR(INDEX('ABHA Migration Plan'!$L:$L,MATCH(1,('ABHA Migration Plan'!$AA:$AA=$A24)*('ABHA Migration Plan'!$Z:$Z=G$6),0)),0)</f>
        <v>0</v>
      </c>
      <c r="H24" s="392"/>
      <c r="I24" s="454"/>
      <c r="J24" s="454"/>
      <c r="K24" s="454"/>
      <c r="L24" s="454"/>
      <c r="M24" s="454"/>
      <c r="N24" s="454"/>
      <c r="O24" s="454"/>
      <c r="P24" s="393"/>
      <c r="Q24" s="385" t="s">
        <v>72</v>
      </c>
      <c r="R24" s="389" cm="1">
        <f t="array" aca="1" ref="R24" ca="1">IFERROR(AVERAGE(_xlfn._xlws.FILTER(IF(TODAY()&lt;'[2]Jizan Migration Plan'!$E$2:$E$200,0,IF(TODAY()&gt;='[2]Jizan Migration Plan'!$F$2:$F$200,1,NETWORKDAYS.INTL('[2]Jizan Migration Plan'!$E$2:$E$200,TODAY(),"0000011")/NETWORKDAYS.INTL('[2]Jizan Migration Plan'!$E$2:$E$200,'[2]Jizan Migration Plan'!$F$2:$F$200,"0000011"))),('[2]Jizan Migration Plan'!$Y$2:$Y$200=$Q24)*('[2]Jizan Migration Plan'!$E$2:$E$200&lt;&gt;"")*('[2]Jizan Migration Plan'!$F$2:$F$200&lt;&gt;""))),0)</f>
        <v>0</v>
      </c>
      <c r="S24" s="387">
        <f t="shared" si="4"/>
        <v>0</v>
      </c>
      <c r="T24" s="388" cm="1">
        <f t="array" ref="T24">IFERROR(INDEX('Jizan Migration Plan'!$L:$L,MATCH(1,('Jizan Migration Plan'!$AA:$AA=$A24)*('Jizan Migration Plan'!$Z:$Z=T$6),0)),0)</f>
        <v>0</v>
      </c>
      <c r="U24" s="388" cm="1">
        <f t="array" ref="U24">IFERROR(INDEX('Jizan Migration Plan'!$L:$L,MATCH(1,('Jizan Migration Plan'!$AA:$AA=$A24)*('Jizan Migration Plan'!$Z:$Z=U$6),0)),0)</f>
        <v>0</v>
      </c>
      <c r="V24" s="388" cm="1">
        <f t="array" ref="V24">IFERROR(INDEX('Jizan Migration Plan'!$L:$L,MATCH(1,('Jizan Migration Plan'!$AA:$AA=$A24)*('Jizan Migration Plan'!$Z:$Z=V$6),0)),0)</f>
        <v>0</v>
      </c>
      <c r="W24" s="388" cm="1">
        <f t="array" ref="W24">IFERROR(INDEX('Jizan Migration Plan'!$L:$L,MATCH(1,('Jizan Migration Plan'!$AA:$AA=$A24)*('Jizan Migration Plan'!$Z:$Z=W$6),0)),0)</f>
        <v>0</v>
      </c>
    </row>
    <row r="25" spans="1:23" ht="20.100000000000001" customHeight="1">
      <c r="A25" s="385" t="s">
        <v>73</v>
      </c>
      <c r="B25" s="389" cm="1">
        <f t="array" aca="1" ref="B25" ca="1">IFERROR(AVERAGE(_xlfn._xlws.FILTER(IF(TODAY()&lt;'[2]ABHA Migration Plan'!$E$2:$E$199,0,IF(TODAY()&gt;='[2]ABHA Migration Plan'!$F$2:$F$199,1,NETWORKDAYS.INTL('[2]ABHA Migration Plan'!$E$2:$E$199,TODAY(),"0000011")/NETWORKDAYS.INTL('[2]ABHA Migration Plan'!$E$2:$E$199,'[2]ABHA Migration Plan'!$F$2:$F$199,"0000011"))),('[2]ABHA Migration Plan'!$Y$2:$Y$199=$A25)*('[2]ABHA Migration Plan'!$E$2:$E$199&lt;&gt;"")*('[2]ABHA Migration Plan'!$F$2:$F$199&lt;&gt;""))),0)</f>
        <v>0</v>
      </c>
      <c r="C25" s="387">
        <f t="shared" si="3"/>
        <v>0</v>
      </c>
      <c r="D25" s="388" cm="1">
        <f t="array" ref="D25">IFERROR(INDEX('ABHA Migration Plan'!$L:$L,MATCH(1,('ABHA Migration Plan'!$AA:$AA=$A25)*('ABHA Migration Plan'!$Z:$Z=D$6),0)),0)</f>
        <v>0</v>
      </c>
      <c r="E25" s="388" cm="1">
        <f t="array" ref="E25">IFERROR(INDEX('ABHA Migration Plan'!$L:$L,MATCH(1,('ABHA Migration Plan'!$AA:$AA=$A25)*('ABHA Migration Plan'!$Z:$Z=E$6),0)),0)</f>
        <v>0</v>
      </c>
      <c r="F25" s="388" cm="1">
        <f t="array" ref="F25">IFERROR(INDEX('ABHA Migration Plan'!$L:$L,MATCH(1,('ABHA Migration Plan'!$AA:$AA=$A25)*('ABHA Migration Plan'!$Z:$Z=F$6),0)),0)</f>
        <v>0</v>
      </c>
      <c r="G25" s="388" cm="1">
        <f t="array" ref="G25">IFERROR(INDEX('ABHA Migration Plan'!$L:$L,MATCH(1,('ABHA Migration Plan'!$AA:$AA=$A25)*('ABHA Migration Plan'!$Z:$Z=G$6),0)),0)</f>
        <v>0</v>
      </c>
      <c r="H25" s="392"/>
      <c r="I25" s="454"/>
      <c r="J25" s="454"/>
      <c r="K25" s="454"/>
      <c r="L25" s="454"/>
      <c r="M25" s="454"/>
      <c r="N25" s="454"/>
      <c r="O25" s="454"/>
      <c r="P25" s="393"/>
      <c r="Q25" s="385" t="s">
        <v>73</v>
      </c>
      <c r="R25" s="389" cm="1">
        <f t="array" aca="1" ref="R25" ca="1">IFERROR(AVERAGE(_xlfn._xlws.FILTER(IF(TODAY()&lt;'[2]Jizan Migration Plan'!$E$2:$E$200,0,IF(TODAY()&gt;='[2]Jizan Migration Plan'!$F$2:$F$200,1,NETWORKDAYS.INTL('[2]Jizan Migration Plan'!$E$2:$E$200,TODAY(),"0000011")/NETWORKDAYS.INTL('[2]Jizan Migration Plan'!$E$2:$E$200,'[2]Jizan Migration Plan'!$F$2:$F$200,"0000011"))),('[2]Jizan Migration Plan'!$Y$2:$Y$200=$Q25)*('[2]Jizan Migration Plan'!$E$2:$E$200&lt;&gt;"")*('[2]Jizan Migration Plan'!$F$2:$F$200&lt;&gt;""))),0)</f>
        <v>0</v>
      </c>
      <c r="S25" s="387">
        <f t="shared" si="4"/>
        <v>0</v>
      </c>
      <c r="T25" s="388" cm="1">
        <f t="array" ref="T25">IFERROR(INDEX('Jizan Migration Plan'!$L:$L,MATCH(1,('Jizan Migration Plan'!$AA:$AA=$A25)*('Jizan Migration Plan'!$Z:$Z=T$6),0)),0)</f>
        <v>0</v>
      </c>
      <c r="U25" s="388" cm="1">
        <f t="array" ref="U25">IFERROR(INDEX('Jizan Migration Plan'!$L:$L,MATCH(1,('Jizan Migration Plan'!$AA:$AA=$A25)*('Jizan Migration Plan'!$Z:$Z=U$6),0)),0)</f>
        <v>0</v>
      </c>
      <c r="V25" s="388" cm="1">
        <f t="array" ref="V25">IFERROR(INDEX('Jizan Migration Plan'!$L:$L,MATCH(1,('Jizan Migration Plan'!$AA:$AA=$A25)*('Jizan Migration Plan'!$Z:$Z=V$6),0)),0)</f>
        <v>0</v>
      </c>
      <c r="W25" s="388" cm="1">
        <f t="array" ref="W25">IFERROR(INDEX('Jizan Migration Plan'!$L:$L,MATCH(1,('Jizan Migration Plan'!$AA:$AA=$A25)*('Jizan Migration Plan'!$Z:$Z=W$6),0)),0)</f>
        <v>0</v>
      </c>
    </row>
    <row r="26" spans="1:23" ht="20.100000000000001" customHeight="1">
      <c r="A26" s="385" t="s">
        <v>74</v>
      </c>
      <c r="B26" s="389" cm="1">
        <f t="array" aca="1" ref="B26" ca="1">IFERROR(AVERAGE(_xlfn._xlws.FILTER(IF(TODAY()&lt;'[2]ABHA Migration Plan'!$E$2:$E$199,0,IF(TODAY()&gt;='[2]ABHA Migration Plan'!$F$2:$F$199,1,NETWORKDAYS.INTL('[2]ABHA Migration Plan'!$E$2:$E$199,TODAY(),"0000011")/NETWORKDAYS.INTL('[2]ABHA Migration Plan'!$E$2:$E$199,'[2]ABHA Migration Plan'!$F$2:$F$199,"0000011"))),('[2]ABHA Migration Plan'!$Y$2:$Y$199=$A26)*('[2]ABHA Migration Plan'!$E$2:$E$199&lt;&gt;"")*('[2]ABHA Migration Plan'!$F$2:$F$199&lt;&gt;""))),0)</f>
        <v>0</v>
      </c>
      <c r="C26" s="387">
        <f t="shared" si="3"/>
        <v>0</v>
      </c>
      <c r="D26" s="388" cm="1">
        <f t="array" ref="D26">IFERROR(INDEX('ABHA Migration Plan'!$L:$L,MATCH(1,('ABHA Migration Plan'!$AA:$AA=$A26)*('ABHA Migration Plan'!$Z:$Z=D$6),0)),0)</f>
        <v>0</v>
      </c>
      <c r="E26" s="388" cm="1">
        <f t="array" ref="E26">IFERROR(INDEX('ABHA Migration Plan'!$L:$L,MATCH(1,('ABHA Migration Plan'!$AA:$AA=$A26)*('ABHA Migration Plan'!$Z:$Z=E$6),0)),0)</f>
        <v>0</v>
      </c>
      <c r="F26" s="388" cm="1">
        <f t="array" ref="F26">IFERROR(INDEX('ABHA Migration Plan'!$L:$L,MATCH(1,('ABHA Migration Plan'!$AA:$AA=$A26)*('ABHA Migration Plan'!$Z:$Z=F$6),0)),0)</f>
        <v>0</v>
      </c>
      <c r="G26" s="388" cm="1">
        <f t="array" ref="G26">IFERROR(INDEX('ABHA Migration Plan'!$L:$L,MATCH(1,('ABHA Migration Plan'!$AA:$AA=$A26)*('ABHA Migration Plan'!$Z:$Z=G$6),0)),0)</f>
        <v>0</v>
      </c>
      <c r="H26" s="392"/>
      <c r="I26" s="454"/>
      <c r="J26" s="454"/>
      <c r="K26" s="454"/>
      <c r="L26" s="454"/>
      <c r="M26" s="454"/>
      <c r="N26" s="454"/>
      <c r="O26" s="454"/>
      <c r="P26" s="393"/>
      <c r="Q26" s="385" t="s">
        <v>74</v>
      </c>
      <c r="R26" s="389" cm="1">
        <f t="array" aca="1" ref="R26" ca="1">IFERROR(AVERAGE(_xlfn._xlws.FILTER(IF(TODAY()&lt;'[2]Jizan Migration Plan'!$E$2:$E$200,0,IF(TODAY()&gt;='[2]Jizan Migration Plan'!$F$2:$F$200,1,NETWORKDAYS.INTL('[2]Jizan Migration Plan'!$E$2:$E$200,TODAY(),"0000011")/NETWORKDAYS.INTL('[2]Jizan Migration Plan'!$E$2:$E$200,'[2]Jizan Migration Plan'!$F$2:$F$200,"0000011"))),('[2]Jizan Migration Plan'!$Y$2:$Y$200=$Q26)*('[2]Jizan Migration Plan'!$E$2:$E$200&lt;&gt;"")*('[2]Jizan Migration Plan'!$F$2:$F$200&lt;&gt;""))),0)</f>
        <v>0</v>
      </c>
      <c r="S26" s="387">
        <f t="shared" si="4"/>
        <v>0</v>
      </c>
      <c r="T26" s="388" cm="1">
        <f t="array" ref="T26">IFERROR(INDEX('Jizan Migration Plan'!$L:$L,MATCH(1,('Jizan Migration Plan'!$AA:$AA=$A26)*('Jizan Migration Plan'!$Z:$Z=T$6),0)),0)</f>
        <v>0</v>
      </c>
      <c r="U26" s="388" cm="1">
        <f t="array" ref="U26">IFERROR(INDEX('Jizan Migration Plan'!$L:$L,MATCH(1,('Jizan Migration Plan'!$AA:$AA=$A26)*('Jizan Migration Plan'!$Z:$Z=U$6),0)),0)</f>
        <v>0</v>
      </c>
      <c r="V26" s="388" cm="1">
        <f t="array" ref="V26">IFERROR(INDEX('Jizan Migration Plan'!$L:$L,MATCH(1,('Jizan Migration Plan'!$AA:$AA=$A26)*('Jizan Migration Plan'!$Z:$Z=V$6),0)),0)</f>
        <v>0</v>
      </c>
      <c r="W26" s="388" cm="1">
        <f t="array" ref="W26">IFERROR(INDEX('Jizan Migration Plan'!$L:$L,MATCH(1,('Jizan Migration Plan'!$AA:$AA=$A26)*('Jizan Migration Plan'!$Z:$Z=W$6),0)),0)</f>
        <v>0</v>
      </c>
    </row>
    <row r="27" spans="1:23" ht="20.100000000000001" customHeight="1">
      <c r="A27" s="385" t="s">
        <v>75</v>
      </c>
      <c r="B27" s="389" cm="1">
        <f t="array" aca="1" ref="B27" ca="1">IFERROR(AVERAGE(_xlfn._xlws.FILTER(IF(TODAY()&lt;'[2]ABHA Migration Plan'!$E$2:$E$199,0,IF(TODAY()&gt;='[2]ABHA Migration Plan'!$F$2:$F$199,1,NETWORKDAYS.INTL('[2]ABHA Migration Plan'!$E$2:$E$199,TODAY(),"0000011")/NETWORKDAYS.INTL('[2]ABHA Migration Plan'!$E$2:$E$199,'[2]ABHA Migration Plan'!$F$2:$F$199,"0000011"))),('[2]ABHA Migration Plan'!$Y$2:$Y$199=$A27)*('[2]ABHA Migration Plan'!$E$2:$E$199&lt;&gt;"")*('[2]ABHA Migration Plan'!$F$2:$F$199&lt;&gt;""))),0)</f>
        <v>0</v>
      </c>
      <c r="C27" s="387">
        <f t="shared" si="3"/>
        <v>0</v>
      </c>
      <c r="D27" s="388" cm="1">
        <f t="array" ref="D27">IFERROR(INDEX('ABHA Migration Plan'!$L:$L,MATCH(1,('ABHA Migration Plan'!$AA:$AA=$A27)*('ABHA Migration Plan'!$Z:$Z=D$6),0)),0)</f>
        <v>0</v>
      </c>
      <c r="E27" s="388" cm="1">
        <f t="array" ref="E27">IFERROR(INDEX('ABHA Migration Plan'!$L:$L,MATCH(1,('ABHA Migration Plan'!$AA:$AA=$A27)*('ABHA Migration Plan'!$Z:$Z=E$6),0)),0)</f>
        <v>0</v>
      </c>
      <c r="F27" s="388" cm="1">
        <f t="array" ref="F27">IFERROR(INDEX('ABHA Migration Plan'!$L:$L,MATCH(1,('ABHA Migration Plan'!$AA:$AA=$A27)*('ABHA Migration Plan'!$Z:$Z=F$6),0)),0)</f>
        <v>0</v>
      </c>
      <c r="G27" s="388" cm="1">
        <f t="array" ref="G27">IFERROR(INDEX('ABHA Migration Plan'!$L:$L,MATCH(1,('ABHA Migration Plan'!$AA:$AA=$A27)*('ABHA Migration Plan'!$Z:$Z=G$6),0)),0)</f>
        <v>0</v>
      </c>
      <c r="H27" s="394"/>
      <c r="I27" s="455"/>
      <c r="J27" s="455"/>
      <c r="K27" s="455"/>
      <c r="L27" s="455"/>
      <c r="M27" s="455"/>
      <c r="N27" s="455"/>
      <c r="O27" s="455"/>
      <c r="P27" s="395"/>
      <c r="Q27" s="385" t="s">
        <v>75</v>
      </c>
      <c r="R27" s="389" cm="1">
        <f t="array" aca="1" ref="R27" ca="1">IFERROR(AVERAGE(_xlfn._xlws.FILTER(IF(TODAY()&lt;'[2]Jizan Migration Plan'!$E$2:$E$200,0,IF(TODAY()&gt;='[2]Jizan Migration Plan'!$F$2:$F$200,1,NETWORKDAYS.INTL('[2]Jizan Migration Plan'!$E$2:$E$200,TODAY(),"0000011")/NETWORKDAYS.INTL('[2]Jizan Migration Plan'!$E$2:$E$200,'[2]Jizan Migration Plan'!$F$2:$F$200,"0000011"))),('[2]Jizan Migration Plan'!$Y$2:$Y$200=$Q27)*('[2]Jizan Migration Plan'!$E$2:$E$200&lt;&gt;"")*('[2]Jizan Migration Plan'!$F$2:$F$200&lt;&gt;""))),0)</f>
        <v>0</v>
      </c>
      <c r="S27" s="387">
        <f t="shared" si="4"/>
        <v>0</v>
      </c>
      <c r="T27" s="388" cm="1">
        <f t="array" ref="T27">IFERROR(INDEX('Jizan Migration Plan'!$L:$L,MATCH(1,('Jizan Migration Plan'!$AA:$AA=$A27)*('Jizan Migration Plan'!$Z:$Z=T$6),0)),0)</f>
        <v>0</v>
      </c>
      <c r="U27" s="388" cm="1">
        <f t="array" ref="U27">IFERROR(INDEX('Jizan Migration Plan'!$L:$L,MATCH(1,('Jizan Migration Plan'!$AA:$AA=$A27)*('Jizan Migration Plan'!$Z:$Z=U$6),0)),0)</f>
        <v>0</v>
      </c>
      <c r="V27" s="388" cm="1">
        <f t="array" ref="V27">IFERROR(INDEX('Jizan Migration Plan'!$L:$L,MATCH(1,('Jizan Migration Plan'!$AA:$AA=$A27)*('Jizan Migration Plan'!$Z:$Z=V$6),0)),0)</f>
        <v>0</v>
      </c>
      <c r="W27" s="388" cm="1">
        <f t="array" ref="W27">IFERROR(INDEX('Jizan Migration Plan'!$L:$L,MATCH(1,('Jizan Migration Plan'!$AA:$AA=$A27)*('Jizan Migration Plan'!$Z:$Z=W$6),0)),0)</f>
        <v>0</v>
      </c>
    </row>
  </sheetData>
  <mergeCells count="10">
    <mergeCell ref="A17:W17"/>
    <mergeCell ref="A18:G18"/>
    <mergeCell ref="Q18:W18"/>
    <mergeCell ref="D1:W4"/>
    <mergeCell ref="A5:G5"/>
    <mergeCell ref="H5:H16"/>
    <mergeCell ref="I5:O5"/>
    <mergeCell ref="P5:P16"/>
    <mergeCell ref="Q5:W5"/>
    <mergeCell ref="I18:O27"/>
  </mergeCells>
  <conditionalFormatting sqref="B1:B3">
    <cfRule type="dataBar" priority="10">
      <dataBar>
        <cfvo type="formula" val="0"/>
        <cfvo type="formula" val="1"/>
        <color rgb="FF63C384"/>
      </dataBar>
      <extLst>
        <ext xmlns:x14="http://schemas.microsoft.com/office/spreadsheetml/2009/9/main" uri="{B025F937-C7B1-47D3-B67F-A62EFF666E3E}">
          <x14:id>{0B1936DE-2B3A-41B4-8605-894F823D7635}</x14:id>
        </ext>
      </extLst>
    </cfRule>
  </conditionalFormatting>
  <conditionalFormatting sqref="B7:B16">
    <cfRule type="dataBar" priority="25">
      <dataBar>
        <cfvo type="formula" val="0"/>
        <cfvo type="formula" val="1"/>
        <color rgb="FF008AEF"/>
      </dataBar>
      <extLst>
        <ext xmlns:x14="http://schemas.microsoft.com/office/spreadsheetml/2009/9/main" uri="{B025F937-C7B1-47D3-B67F-A62EFF666E3E}">
          <x14:id>{4557466E-84BB-4ED9-9D80-50A05E931389}</x14:id>
        </ext>
      </extLst>
    </cfRule>
  </conditionalFormatting>
  <conditionalFormatting sqref="B20:B27">
    <cfRule type="dataBar" priority="18">
      <dataBar>
        <cfvo type="formula" val="0"/>
        <cfvo type="formula" val="1"/>
        <color rgb="FF008AEF"/>
      </dataBar>
      <extLst>
        <ext xmlns:x14="http://schemas.microsoft.com/office/spreadsheetml/2009/9/main" uri="{B025F937-C7B1-47D3-B67F-A62EFF666E3E}">
          <x14:id>{077828AA-A28E-491E-AA3E-47A6FBB54495}</x14:id>
        </ext>
      </extLst>
    </cfRule>
  </conditionalFormatting>
  <conditionalFormatting sqref="C1:C3">
    <cfRule type="dataBar" priority="9">
      <dataBar>
        <cfvo type="formula" val="0"/>
        <cfvo type="formula" val="1"/>
        <color rgb="FF63C384"/>
      </dataBar>
      <extLst>
        <ext xmlns:x14="http://schemas.microsoft.com/office/spreadsheetml/2009/9/main" uri="{B025F937-C7B1-47D3-B67F-A62EFF666E3E}">
          <x14:id>{868B07A3-F311-4D2F-826D-0AB85ED49EBB}</x14:id>
        </ext>
      </extLst>
    </cfRule>
  </conditionalFormatting>
  <conditionalFormatting sqref="C7:C16">
    <cfRule type="dataBar" priority="24">
      <dataBar>
        <cfvo type="formula" val="0"/>
        <cfvo type="formula" val="1"/>
        <color rgb="FF63C384"/>
      </dataBar>
      <extLst>
        <ext xmlns:x14="http://schemas.microsoft.com/office/spreadsheetml/2009/9/main" uri="{B025F937-C7B1-47D3-B67F-A62EFF666E3E}">
          <x14:id>{E14A6181-F5C0-40EB-B739-07B3ED852536}</x14:id>
        </ext>
      </extLst>
    </cfRule>
  </conditionalFormatting>
  <conditionalFormatting sqref="C20:C27">
    <cfRule type="dataBar" priority="13">
      <dataBar>
        <cfvo type="formula" val="0"/>
        <cfvo type="formula" val="1"/>
        <color rgb="FF63C384"/>
      </dataBar>
      <extLst>
        <ext xmlns:x14="http://schemas.microsoft.com/office/spreadsheetml/2009/9/main" uri="{B025F937-C7B1-47D3-B67F-A62EFF666E3E}">
          <x14:id>{EA8A5769-8DF8-4B2A-80DF-6221B396DB44}</x14:id>
        </ext>
      </extLst>
    </cfRule>
  </conditionalFormatting>
  <conditionalFormatting sqref="J7:J16">
    <cfRule type="dataBar" priority="22">
      <dataBar>
        <cfvo type="formula" val="0"/>
        <cfvo type="formula" val="1"/>
        <color rgb="FF008AEF"/>
      </dataBar>
      <extLst>
        <ext xmlns:x14="http://schemas.microsoft.com/office/spreadsheetml/2009/9/main" uri="{B025F937-C7B1-47D3-B67F-A62EFF666E3E}">
          <x14:id>{F4AE4576-6169-44FE-BE90-0F2C4B64D504}</x14:id>
        </ext>
      </extLst>
    </cfRule>
  </conditionalFormatting>
  <conditionalFormatting sqref="K7:K16">
    <cfRule type="dataBar" priority="15">
      <dataBar>
        <cfvo type="formula" val="0"/>
        <cfvo type="formula" val="1"/>
        <color rgb="FF63C384"/>
      </dataBar>
      <extLst>
        <ext xmlns:x14="http://schemas.microsoft.com/office/spreadsheetml/2009/9/main" uri="{B025F937-C7B1-47D3-B67F-A62EFF666E3E}">
          <x14:id>{96A9A258-0E54-4046-9D9E-2F9C587E78F6}</x14:id>
        </ext>
      </extLst>
    </cfRule>
  </conditionalFormatting>
  <conditionalFormatting sqref="R7:R16">
    <cfRule type="dataBar" priority="20">
      <dataBar>
        <cfvo type="formula" val="0"/>
        <cfvo type="formula" val="1"/>
        <color rgb="FF008AEF"/>
      </dataBar>
      <extLst>
        <ext xmlns:x14="http://schemas.microsoft.com/office/spreadsheetml/2009/9/main" uri="{B025F937-C7B1-47D3-B67F-A62EFF666E3E}">
          <x14:id>{E3EAA460-85B0-440E-AF62-C1FF33FB6A5C}</x14:id>
        </ext>
      </extLst>
    </cfRule>
  </conditionalFormatting>
  <conditionalFormatting sqref="R20:R27">
    <cfRule type="dataBar" priority="16">
      <dataBar>
        <cfvo type="formula" val="0"/>
        <cfvo type="formula" val="1"/>
        <color rgb="FF008AEF"/>
      </dataBar>
      <extLst>
        <ext xmlns:x14="http://schemas.microsoft.com/office/spreadsheetml/2009/9/main" uri="{B025F937-C7B1-47D3-B67F-A62EFF666E3E}">
          <x14:id>{8DEC499E-D9FE-418D-94B5-12B20CF8ED7C}</x14:id>
        </ext>
      </extLst>
    </cfRule>
  </conditionalFormatting>
  <conditionalFormatting sqref="S7:S16">
    <cfRule type="dataBar" priority="14">
      <dataBar>
        <cfvo type="formula" val="0"/>
        <cfvo type="formula" val="1"/>
        <color rgb="FF63C384"/>
      </dataBar>
      <extLst>
        <ext xmlns:x14="http://schemas.microsoft.com/office/spreadsheetml/2009/9/main" uri="{B025F937-C7B1-47D3-B67F-A62EFF666E3E}">
          <x14:id>{2E859AA6-C743-4B2F-B1FA-A53C18822DB4}</x14:id>
        </ext>
      </extLst>
    </cfRule>
  </conditionalFormatting>
  <conditionalFormatting sqref="S20:S27">
    <cfRule type="dataBar" priority="12">
      <dataBar>
        <cfvo type="formula" val="0"/>
        <cfvo type="formula" val="1"/>
        <color rgb="FF63C384"/>
      </dataBar>
      <extLst>
        <ext xmlns:x14="http://schemas.microsoft.com/office/spreadsheetml/2009/9/main" uri="{B025F937-C7B1-47D3-B67F-A62EFF666E3E}">
          <x14:id>{32AD8445-C7F1-4A5C-B917-32FBA70C6F16}</x14:id>
        </ext>
      </extLst>
    </cfRule>
  </conditionalFormatting>
  <printOptions horizontalCentered="1" verticalCentered="1"/>
  <pageMargins left="0.25" right="0.25" top="0.75" bottom="0.75" header="0.3" footer="0.3"/>
  <pageSetup paperSize="8" orientation="landscape" r:id="rId1"/>
  <extLst>
    <ext xmlns:x14="http://schemas.microsoft.com/office/spreadsheetml/2009/9/main" uri="{78C0D931-6437-407d-A8EE-F0AAD7539E65}">
      <x14:conditionalFormattings>
        <x14:conditionalFormatting xmlns:xm="http://schemas.microsoft.com/office/excel/2006/main">
          <x14:cfRule type="dataBar" id="{0B1936DE-2B3A-41B4-8605-894F823D7635}">
            <x14:dataBar minLength="0" maxLength="100" gradient="0" direction="leftToRight">
              <x14:cfvo type="formula">
                <xm:f>0</xm:f>
              </x14:cfvo>
              <x14:cfvo type="formula">
                <xm:f>1</xm:f>
              </x14:cfvo>
              <x14:negativeFillColor rgb="FFFF0000"/>
              <x14:axisColor rgb="FF000000"/>
            </x14:dataBar>
          </x14:cfRule>
          <xm:sqref>B1:B3</xm:sqref>
        </x14:conditionalFormatting>
        <x14:conditionalFormatting xmlns:xm="http://schemas.microsoft.com/office/excel/2006/main">
          <x14:cfRule type="dataBar" id="{4557466E-84BB-4ED9-9D80-50A05E931389}">
            <x14:dataBar minLength="0" maxLength="100" gradient="0" direction="rightToLeft">
              <x14:cfvo type="formula">
                <xm:f>0</xm:f>
              </x14:cfvo>
              <x14:cfvo type="formula">
                <xm:f>1</xm:f>
              </x14:cfvo>
              <x14:negativeFillColor rgb="FFFF0000"/>
              <x14:axisColor rgb="FF000000"/>
            </x14:dataBar>
          </x14:cfRule>
          <xm:sqref>B7:B16</xm:sqref>
        </x14:conditionalFormatting>
        <x14:conditionalFormatting xmlns:xm="http://schemas.microsoft.com/office/excel/2006/main">
          <x14:cfRule type="dataBar" id="{077828AA-A28E-491E-AA3E-47A6FBB54495}">
            <x14:dataBar minLength="0" maxLength="100" gradient="0" direction="rightToLeft">
              <x14:cfvo type="formula">
                <xm:f>0</xm:f>
              </x14:cfvo>
              <x14:cfvo type="formula">
                <xm:f>1</xm:f>
              </x14:cfvo>
              <x14:negativeFillColor rgb="FFFF0000"/>
              <x14:axisColor rgb="FF000000"/>
            </x14:dataBar>
          </x14:cfRule>
          <xm:sqref>B20:B27</xm:sqref>
        </x14:conditionalFormatting>
        <x14:conditionalFormatting xmlns:xm="http://schemas.microsoft.com/office/excel/2006/main">
          <x14:cfRule type="dataBar" id="{868B07A3-F311-4D2F-826D-0AB85ED49EBB}">
            <x14:dataBar minLength="0" maxLength="100" gradient="0" direction="leftToRight">
              <x14:cfvo type="formula">
                <xm:f>0</xm:f>
              </x14:cfvo>
              <x14:cfvo type="formula">
                <xm:f>1</xm:f>
              </x14:cfvo>
              <x14:negativeFillColor rgb="FFFF0000"/>
              <x14:axisColor rgb="FF000000"/>
            </x14:dataBar>
          </x14:cfRule>
          <xm:sqref>C1:C3</xm:sqref>
        </x14:conditionalFormatting>
        <x14:conditionalFormatting xmlns:xm="http://schemas.microsoft.com/office/excel/2006/main">
          <x14:cfRule type="dataBar" id="{E14A6181-F5C0-40EB-B739-07B3ED852536}">
            <x14:dataBar minLength="0" maxLength="100" gradient="0" direction="leftToRight">
              <x14:cfvo type="formula">
                <xm:f>0</xm:f>
              </x14:cfvo>
              <x14:cfvo type="formula">
                <xm:f>1</xm:f>
              </x14:cfvo>
              <x14:negativeFillColor rgb="FFFF0000"/>
              <x14:axisColor rgb="FF000000"/>
            </x14:dataBar>
          </x14:cfRule>
          <xm:sqref>C7:C16</xm:sqref>
        </x14:conditionalFormatting>
        <x14:conditionalFormatting xmlns:xm="http://schemas.microsoft.com/office/excel/2006/main">
          <x14:cfRule type="dataBar" id="{EA8A5769-8DF8-4B2A-80DF-6221B396DB44}">
            <x14:dataBar minLength="0" maxLength="100" gradient="0" direction="leftToRight">
              <x14:cfvo type="formula">
                <xm:f>0</xm:f>
              </x14:cfvo>
              <x14:cfvo type="formula">
                <xm:f>1</xm:f>
              </x14:cfvo>
              <x14:negativeFillColor rgb="FFFF0000"/>
              <x14:axisColor rgb="FF000000"/>
            </x14:dataBar>
          </x14:cfRule>
          <xm:sqref>C20:C27</xm:sqref>
        </x14:conditionalFormatting>
        <x14:conditionalFormatting xmlns:xm="http://schemas.microsoft.com/office/excel/2006/main">
          <x14:cfRule type="dataBar" id="{F4AE4576-6169-44FE-BE90-0F2C4B64D504}">
            <x14:dataBar minLength="0" maxLength="100" gradient="0" direction="rightToLeft">
              <x14:cfvo type="formula">
                <xm:f>0</xm:f>
              </x14:cfvo>
              <x14:cfvo type="formula">
                <xm:f>1</xm:f>
              </x14:cfvo>
              <x14:negativeFillColor rgb="FFFF0000"/>
              <x14:axisColor rgb="FF000000"/>
            </x14:dataBar>
          </x14:cfRule>
          <xm:sqref>J7:J16</xm:sqref>
        </x14:conditionalFormatting>
        <x14:conditionalFormatting xmlns:xm="http://schemas.microsoft.com/office/excel/2006/main">
          <x14:cfRule type="dataBar" id="{96A9A258-0E54-4046-9D9E-2F9C587E78F6}">
            <x14:dataBar minLength="0" maxLength="100" gradient="0" direction="leftToRight">
              <x14:cfvo type="formula">
                <xm:f>0</xm:f>
              </x14:cfvo>
              <x14:cfvo type="formula">
                <xm:f>1</xm:f>
              </x14:cfvo>
              <x14:negativeFillColor rgb="FFFF0000"/>
              <x14:axisColor rgb="FF000000"/>
            </x14:dataBar>
          </x14:cfRule>
          <xm:sqref>K7:K16</xm:sqref>
        </x14:conditionalFormatting>
        <x14:conditionalFormatting xmlns:xm="http://schemas.microsoft.com/office/excel/2006/main">
          <x14:cfRule type="dataBar" id="{E3EAA460-85B0-440E-AF62-C1FF33FB6A5C}">
            <x14:dataBar minLength="0" maxLength="100" gradient="0" direction="rightToLeft">
              <x14:cfvo type="formula">
                <xm:f>0</xm:f>
              </x14:cfvo>
              <x14:cfvo type="formula">
                <xm:f>1</xm:f>
              </x14:cfvo>
              <x14:negativeFillColor rgb="FFFF0000"/>
              <x14:axisColor rgb="FF000000"/>
            </x14:dataBar>
          </x14:cfRule>
          <xm:sqref>R7:R16</xm:sqref>
        </x14:conditionalFormatting>
        <x14:conditionalFormatting xmlns:xm="http://schemas.microsoft.com/office/excel/2006/main">
          <x14:cfRule type="dataBar" id="{8DEC499E-D9FE-418D-94B5-12B20CF8ED7C}">
            <x14:dataBar minLength="0" maxLength="100" gradient="0" direction="rightToLeft">
              <x14:cfvo type="formula">
                <xm:f>0</xm:f>
              </x14:cfvo>
              <x14:cfvo type="formula">
                <xm:f>1</xm:f>
              </x14:cfvo>
              <x14:negativeFillColor rgb="FFFF0000"/>
              <x14:axisColor rgb="FF000000"/>
            </x14:dataBar>
          </x14:cfRule>
          <xm:sqref>R20:R27</xm:sqref>
        </x14:conditionalFormatting>
        <x14:conditionalFormatting xmlns:xm="http://schemas.microsoft.com/office/excel/2006/main">
          <x14:cfRule type="dataBar" id="{2E859AA6-C743-4B2F-B1FA-A53C18822DB4}">
            <x14:dataBar minLength="0" maxLength="100" gradient="0" direction="leftToRight">
              <x14:cfvo type="formula">
                <xm:f>0</xm:f>
              </x14:cfvo>
              <x14:cfvo type="formula">
                <xm:f>1</xm:f>
              </x14:cfvo>
              <x14:negativeFillColor rgb="FFFF0000"/>
              <x14:axisColor rgb="FF000000"/>
            </x14:dataBar>
          </x14:cfRule>
          <xm:sqref>S7:S16</xm:sqref>
        </x14:conditionalFormatting>
        <x14:conditionalFormatting xmlns:xm="http://schemas.microsoft.com/office/excel/2006/main">
          <x14:cfRule type="dataBar" id="{32AD8445-C7F1-4A5C-B917-32FBA70C6F16}">
            <x14:dataBar minLength="0" maxLength="100" gradient="0" direction="leftToRight">
              <x14:cfvo type="formula">
                <xm:f>0</xm:f>
              </x14:cfvo>
              <x14:cfvo type="formula">
                <xm:f>1</xm:f>
              </x14:cfvo>
              <x14:negativeFillColor rgb="FFFF0000"/>
              <x14:axisColor rgb="FF000000"/>
            </x14:dataBar>
          </x14:cfRule>
          <xm:sqref>S20:S27</xm:sqref>
        </x14:conditionalFormatting>
        <x14:conditionalFormatting xmlns:xm="http://schemas.microsoft.com/office/excel/2006/main">
          <x14:cfRule type="iconSet" priority="11" id="{79F30A10-B97F-44AE-911C-6718F507306B}">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A1:A3</xm:sqref>
        </x14:conditionalFormatting>
        <x14:conditionalFormatting xmlns:xm="http://schemas.microsoft.com/office/excel/2006/main">
          <x14:cfRule type="iconSet" priority="28" id="{2495DCDF-3D3F-4A02-8806-9F561637C177}">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D7:G16</xm:sqref>
        </x14:conditionalFormatting>
        <x14:conditionalFormatting xmlns:xm="http://schemas.microsoft.com/office/excel/2006/main">
          <x14:cfRule type="iconSet" priority="29" id="{0CEA0DD7-BC64-42B6-9DED-4A410C9D9ACA}">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D20:G27</xm:sqref>
        </x14:conditionalFormatting>
        <x14:conditionalFormatting xmlns:xm="http://schemas.microsoft.com/office/excel/2006/main">
          <x14:cfRule type="iconSet" priority="4" id="{AC8C5D6B-7351-409C-899F-424C1C4C4F11}">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L7:O16</xm:sqref>
        </x14:conditionalFormatting>
        <x14:conditionalFormatting xmlns:xm="http://schemas.microsoft.com/office/excel/2006/main">
          <x14:cfRule type="iconSet" priority="3" id="{BF362FC8-1C73-4C6F-AEE5-FBDDE90680F0}">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T7:W16</xm:sqref>
        </x14:conditionalFormatting>
        <x14:conditionalFormatting xmlns:xm="http://schemas.microsoft.com/office/excel/2006/main">
          <x14:cfRule type="iconSet" priority="27" id="{BA4D6AA8-3ED0-43CC-AEB9-CB55F48B491B}">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T20:W27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B4BB28-03E4-4B08-BA95-267094CE3CB6}">
  <dimension ref="A1:N35"/>
  <sheetViews>
    <sheetView tabSelected="1" zoomScale="115" zoomScaleNormal="115" workbookViewId="0">
      <selection activeCell="H1" sqref="H1:M23"/>
    </sheetView>
  </sheetViews>
  <sheetFormatPr defaultRowHeight="13.5"/>
  <cols>
    <col min="1" max="1" width="10.625" bestFit="1" customWidth="1"/>
    <col min="2" max="2" width="27.5" bestFit="1" customWidth="1"/>
    <col min="3" max="3" width="11.625" style="1" customWidth="1"/>
    <col min="4" max="4" width="12.875" bestFit="1" customWidth="1"/>
    <col min="5" max="5" width="13.75" bestFit="1" customWidth="1"/>
    <col min="6" max="6" width="12.75" style="1" customWidth="1"/>
    <col min="7" max="7" width="2" customWidth="1"/>
    <col min="8" max="8" width="10.625" bestFit="1" customWidth="1"/>
    <col min="9" max="9" width="27.5" bestFit="1" customWidth="1"/>
    <col min="10" max="10" width="11.625" style="1" customWidth="1"/>
    <col min="11" max="11" width="12.875" bestFit="1" customWidth="1"/>
    <col min="12" max="12" width="13.75" bestFit="1" customWidth="1"/>
    <col min="13" max="13" width="12.75" style="1" customWidth="1"/>
  </cols>
  <sheetData>
    <row r="1" spans="1:14" s="98" customFormat="1" ht="18.75">
      <c r="A1" s="419" t="s">
        <v>80</v>
      </c>
      <c r="B1" s="420"/>
      <c r="C1" s="420"/>
      <c r="D1" s="420"/>
      <c r="E1" s="420"/>
      <c r="F1" s="421"/>
      <c r="H1" s="419" t="s">
        <v>81</v>
      </c>
      <c r="I1" s="420"/>
      <c r="J1" s="420"/>
      <c r="K1" s="420"/>
      <c r="L1" s="420"/>
      <c r="M1" s="421"/>
    </row>
    <row r="2" spans="1:14" s="99" customFormat="1" ht="24.75" customHeight="1">
      <c r="A2" s="408"/>
      <c r="B2" s="409"/>
      <c r="C2" s="397" t="s">
        <v>82</v>
      </c>
      <c r="D2" s="409" t="s">
        <v>83</v>
      </c>
      <c r="E2" s="397" t="s">
        <v>84</v>
      </c>
      <c r="F2" s="398" t="s">
        <v>85</v>
      </c>
      <c r="H2" s="408"/>
      <c r="I2" s="409"/>
      <c r="J2" s="397" t="s">
        <v>82</v>
      </c>
      <c r="K2" s="409" t="s">
        <v>83</v>
      </c>
      <c r="L2" s="397" t="s">
        <v>84</v>
      </c>
      <c r="M2" s="398" t="s">
        <v>85</v>
      </c>
    </row>
    <row r="3" spans="1:14" ht="15.75">
      <c r="A3" s="422" t="s">
        <v>86</v>
      </c>
      <c r="B3" s="399" t="s">
        <v>87</v>
      </c>
      <c r="C3" s="402">
        <f>AVERAGE('MADINAH Migration Plan-'!$L$5,'MADINAH Migration Plan-'!$L$6,'MADINAH Migration Plan-'!$L$11,'MADINAH Migration Plan-'!$L$12,'MADINAH Migration Plan-'!$L$16,'MADINAH Migration Plan-'!$L$17,'MADINAH Migration Plan-'!$L$21,'MADINAH Migration Plan-'!$L$22,'MADINAH Migration Plan-'!$L$26,'MADINAH Migration Plan-'!$L$27,'MADINAH Migration Plan-'!$L$31,'MADINAH Migration Plan-'!$L$32,'MADINAH Migration Plan-'!$L$36,'MADINAH Migration Plan-'!$L$37,'MADINAH Migration Plan-'!$L$41,'MADINAH Migration Plan-'!$L$42,'MADINAH Migration Plan-'!$L$46,'MADINAH Migration Plan-'!$L$47,'MADINAH Migration Plan-'!$L$51,'MADINAH Migration Plan-'!$L$52)</f>
        <v>0.23250000000000001</v>
      </c>
      <c r="D3" s="410">
        <f>MAX('MADINAH Migration Plan-'!$G$5,'MADINAH Migration Plan-'!$G$6,'MADINAH Migration Plan-'!$G$11,'MADINAH Migration Plan-'!$G$12,'MADINAH Migration Plan-'!$G$16,'MADINAH Migration Plan-'!$G$17,'MADINAH Migration Plan-'!$G$21,'MADINAH Migration Plan-'!$G$22,'MADINAH Migration Plan-'!$G$26,'MADINAH Migration Plan-'!$G$27,'MADINAH Migration Plan-'!$G$31,'MADINAH Migration Plan-'!$G$32,'MADINAH Migration Plan-'!G36,'MADINAH Migration Plan-'!$G$37,'MADINAH Migration Plan-'!$G$41,'MADINAH Migration Plan-'!$G$42,'MADINAH Migration Plan-'!$G$46,'MADINAH Migration Plan-'!$G$47,'MADINAH Migration Plan-'!$G$51,'MADINAH Migration Plan-'!$G$52)</f>
        <v>46279</v>
      </c>
      <c r="E3" s="403">
        <f>MAX('MADINAH Migration Plan-'!$I$5,'MADINAH Migration Plan-'!$I$6,'MADINAH Migration Plan-'!$I$11,'MADINAH Migration Plan-'!$I$12,'MADINAH Migration Plan-'!$I$16,'MADINAH Migration Plan-'!$I$17,'MADINAH Migration Plan-'!$I$21,'MADINAH Migration Plan-'!$I$22,'MADINAH Migration Plan-'!$I$26,'MADINAH Migration Plan-'!$I$27,'MADINAH Migration Plan-'!$I$31,'MADINAH Migration Plan-'!$I$32,'MADINAH Migration Plan-'!I36,'MADINAH Migration Plan-'!$I$37,'MADINAH Migration Plan-'!$I$41,'MADINAH Migration Plan-'!$I$42,'MADINAH Migration Plan-'!$I$46,'MADINAH Migration Plan-'!$I$47,'MADINAH Migration Plan-'!$I$51,'MADINAH Migration Plan-'!$I$52)</f>
        <v>46279</v>
      </c>
      <c r="F3" s="404">
        <f>E3-D3</f>
        <v>0</v>
      </c>
      <c r="H3" s="422" t="s">
        <v>86</v>
      </c>
      <c r="I3" s="399" t="s">
        <v>87</v>
      </c>
      <c r="J3" s="402">
        <f>AVERAGE('ABHA Migration Plan'!L4,'ABHA Migration Plan'!L5,'ABHA Migration Plan'!L10,'ABHA Migration Plan'!L11,'ABHA Migration Plan'!L15,'ABHA Migration Plan'!L16,'ABHA Migration Plan'!L20,'ABHA Migration Plan'!L21,'ABHA Migration Plan'!L25,'ABHA Migration Plan'!L26,'ABHA Migration Plan'!L30,'ABHA Migration Plan'!L31,'ABHA Migration Plan'!L35,'ABHA Migration Plan'!L36,'ABHA Migration Plan'!L40,'ABHA Migration Plan'!L41)</f>
        <v>0.23749999999999999</v>
      </c>
      <c r="K3" s="410">
        <f>'ABHA Migration Plan'!G41</f>
        <v>46278</v>
      </c>
      <c r="L3" s="410">
        <f>'ABHA Migration Plan'!I41</f>
        <v>46278</v>
      </c>
      <c r="M3" s="404">
        <f>L3-K3</f>
        <v>0</v>
      </c>
      <c r="N3" s="396"/>
    </row>
    <row r="4" spans="1:14" ht="15.75">
      <c r="A4" s="422"/>
      <c r="B4" s="399" t="s">
        <v>88</v>
      </c>
      <c r="C4" s="402">
        <f>AVERAGE('MADINAH Migration Plan-'!$L$8,'MADINAH Migration Plan-'!$L$9,'MADINAH Migration Plan-'!$L$13,'MADINAH Migration Plan-'!$L$14,'MADINAH Migration Plan-'!$L$18,'MADINAH Migration Plan-'!$L$19,'MADINAH Migration Plan-'!$L$23,'MADINAH Migration Plan-'!$L$24,'MADINAH Migration Plan-'!$L$28,'MADINAH Migration Plan-'!$L$29,'MADINAH Migration Plan-'!$L$33,'MADINAH Migration Plan-'!$L$34,'MADINAH Migration Plan-'!$L$38,'MADINAH Migration Plan-'!$L$39,'MADINAH Migration Plan-'!$L$43,'MADINAH Migration Plan-'!$L$44,'MADINAH Migration Plan-'!$L$48,'MADINAH Migration Plan-'!$L$49,'MADINAH Migration Plan-'!$L$53,'MADINAH Migration Plan-'!$L$54)</f>
        <v>0</v>
      </c>
      <c r="D4" s="410">
        <f>MAX('MADINAH Migration Plan-'!$G$9,'MADINAH Migration Plan-'!$G$14,'MADINAH Migration Plan-'!$G$19,'MADINAH Migration Plan-'!$G$24,'MADINAH Migration Plan-'!$G$29,'MADINAH Migration Plan-'!$G$34,'MADINAH Migration Plan-'!$G$39,'MADINAH Migration Plan-'!$G$44,'MADINAH Migration Plan-'!$G$49,'MADINAH Migration Plan-'!$G$54)</f>
        <v>46287</v>
      </c>
      <c r="E4" s="403">
        <f>MAX('MADINAH Migration Plan-'!$I$9,'MADINAH Migration Plan-'!$I$14,'MADINAH Migration Plan-'!$I$19,'MADINAH Migration Plan-'!$I$24,'MADINAH Migration Plan-'!$I$29,'MADINAH Migration Plan-'!$I$34,'MADINAH Migration Plan-'!$I$39,'MADINAH Migration Plan-'!$I$44,'MADINAH Migration Plan-'!$I$49,'MADINAH Migration Plan-'!$I$54)</f>
        <v>46287</v>
      </c>
      <c r="F4" s="404">
        <f>E4-D4</f>
        <v>0</v>
      </c>
      <c r="H4" s="422"/>
      <c r="I4" s="399" t="s">
        <v>88</v>
      </c>
      <c r="J4" s="402">
        <f>AVERAGE('ABHA Migration Plan'!L7,'ABHA Migration Plan'!L8,'ABHA Migration Plan'!L12,'ABHA Migration Plan'!L13,'ABHA Migration Plan'!L17,'ABHA Migration Plan'!L18,'ABHA Migration Plan'!L22,'ABHA Migration Plan'!L23,'ABHA Migration Plan'!L27,'ABHA Migration Plan'!L28,'ABHA Migration Plan'!L32,'ABHA Migration Plan'!L33,'ABHA Migration Plan'!L37,'ABHA Migration Plan'!L38,'ABHA Migration Plan'!L42,'ABHA Migration Plan'!L43)</f>
        <v>0</v>
      </c>
      <c r="K4" s="410">
        <f>'ABHA Migration Plan'!G43</f>
        <v>46292</v>
      </c>
      <c r="L4" s="410">
        <f>'ABHA Migration Plan'!I43</f>
        <v>46292</v>
      </c>
      <c r="M4" s="404">
        <f>L4-K4</f>
        <v>0</v>
      </c>
    </row>
    <row r="5" spans="1:14" ht="15.75">
      <c r="A5" s="422"/>
      <c r="B5" s="399" t="s">
        <v>89</v>
      </c>
      <c r="C5" s="402">
        <f>AVERAGE('MADINAH Migration Plan-'!$L$62:$L$66)</f>
        <v>0</v>
      </c>
      <c r="D5" s="410">
        <f>'MADINAH Migration Plan-'!$G$66</f>
        <v>46296</v>
      </c>
      <c r="E5" s="403">
        <f>'MADINAH Migration Plan-'!$I$66</f>
        <v>46296</v>
      </c>
      <c r="F5" s="404">
        <f t="shared" ref="F5:F11" si="0">E5-D5</f>
        <v>0</v>
      </c>
      <c r="H5" s="422"/>
      <c r="I5" s="399" t="s">
        <v>89</v>
      </c>
      <c r="J5" s="402">
        <f>AVERAGE('ABHA Migration Plan'!L51:L55)</f>
        <v>0</v>
      </c>
      <c r="K5" s="410">
        <f>'ABHA Migration Plan'!G55</f>
        <v>46295</v>
      </c>
      <c r="L5" s="410">
        <f>'ABHA Migration Plan'!I55</f>
        <v>46295</v>
      </c>
      <c r="M5" s="404">
        <f t="shared" ref="M5:M6" si="1">L5-K5</f>
        <v>0</v>
      </c>
    </row>
    <row r="6" spans="1:14" ht="15.75">
      <c r="A6" s="422"/>
      <c r="B6" s="399" t="s">
        <v>90</v>
      </c>
      <c r="C6" s="402">
        <f>'MADINAH Migration Plan-'!$L$60</f>
        <v>0</v>
      </c>
      <c r="D6" s="410">
        <f>'MADINAH Migration Plan-'!$G$60</f>
        <v>46301</v>
      </c>
      <c r="E6" s="403">
        <f>'MADINAH Migration Plan-'!$I$60</f>
        <v>46301</v>
      </c>
      <c r="F6" s="404">
        <f t="shared" si="0"/>
        <v>0</v>
      </c>
      <c r="H6" s="422"/>
      <c r="I6" s="399" t="s">
        <v>90</v>
      </c>
      <c r="J6" s="402">
        <f>'ABHA Migration Plan'!L49</f>
        <v>0</v>
      </c>
      <c r="K6" s="410">
        <f>'ABHA Migration Plan'!G49</f>
        <v>46300</v>
      </c>
      <c r="L6" s="410">
        <f>'ABHA Migration Plan'!I49</f>
        <v>46300</v>
      </c>
      <c r="M6" s="404">
        <f t="shared" si="1"/>
        <v>0</v>
      </c>
    </row>
    <row r="7" spans="1:14" ht="9" customHeight="1">
      <c r="A7" s="416"/>
      <c r="B7" s="417"/>
      <c r="C7" s="417"/>
      <c r="D7" s="417"/>
      <c r="E7" s="417"/>
      <c r="F7" s="418"/>
      <c r="H7" s="416"/>
      <c r="I7" s="417"/>
      <c r="J7" s="417"/>
      <c r="K7" s="417"/>
      <c r="L7" s="417"/>
      <c r="M7" s="418"/>
    </row>
    <row r="8" spans="1:14" ht="15.75">
      <c r="A8" s="422" t="s">
        <v>91</v>
      </c>
      <c r="B8" s="399" t="s">
        <v>87</v>
      </c>
      <c r="C8" s="401">
        <f>AVERAGE('MADINAH Migration Plan-'!$L$75:$L$76)</f>
        <v>0</v>
      </c>
      <c r="D8" s="403">
        <f>'MADINAH Migration Plan-'!$G$76</f>
        <v>46338</v>
      </c>
      <c r="E8" s="403">
        <f>'MADINAH Migration Plan-'!$I$76</f>
        <v>46338</v>
      </c>
      <c r="F8" s="404">
        <f t="shared" si="0"/>
        <v>0</v>
      </c>
      <c r="H8" s="422" t="s">
        <v>91</v>
      </c>
      <c r="I8" s="399" t="s">
        <v>87</v>
      </c>
      <c r="J8" s="401">
        <f>AVERAGE('ABHA Migration Plan'!L64:L65)</f>
        <v>0</v>
      </c>
      <c r="K8" s="403">
        <f>'ABHA Migration Plan'!G65</f>
        <v>46315</v>
      </c>
      <c r="L8" s="403">
        <f>'ABHA Migration Plan'!I65</f>
        <v>46315</v>
      </c>
      <c r="M8" s="404">
        <f t="shared" ref="M8:M11" si="2">L8-K8</f>
        <v>0</v>
      </c>
    </row>
    <row r="9" spans="1:14" ht="15.75">
      <c r="A9" s="422"/>
      <c r="B9" s="399" t="s">
        <v>88</v>
      </c>
      <c r="C9" s="402">
        <f>'MADINAH Migration Plan-'!$L$77</f>
        <v>0</v>
      </c>
      <c r="D9" s="403">
        <f>'MADINAH Migration Plan-'!$G$77</f>
        <v>46357</v>
      </c>
      <c r="E9" s="403">
        <f>'MADINAH Migration Plan-'!$I$77</f>
        <v>46357</v>
      </c>
      <c r="F9" s="404">
        <f t="shared" si="0"/>
        <v>0</v>
      </c>
      <c r="H9" s="422"/>
      <c r="I9" s="399" t="s">
        <v>88</v>
      </c>
      <c r="J9" s="402">
        <f>'ABHA Migration Plan'!L66</f>
        <v>0</v>
      </c>
      <c r="K9" s="403">
        <f>'ABHA Migration Plan'!G66</f>
        <v>46343</v>
      </c>
      <c r="L9" s="403">
        <f>'ABHA Migration Plan'!I66</f>
        <v>46343</v>
      </c>
      <c r="M9" s="404">
        <f t="shared" si="2"/>
        <v>0</v>
      </c>
    </row>
    <row r="10" spans="1:14" ht="15.75">
      <c r="A10" s="422"/>
      <c r="B10" s="399" t="s">
        <v>89</v>
      </c>
      <c r="C10" s="402">
        <f>AVERAGE('MADINAH Migration Plan-'!$L$80:$L$85)</f>
        <v>0</v>
      </c>
      <c r="D10" s="403">
        <f>'MADINAH Migration Plan-'!$G$85</f>
        <v>46378</v>
      </c>
      <c r="E10" s="403">
        <f>'MADINAH Migration Plan-'!$I$85</f>
        <v>46378</v>
      </c>
      <c r="F10" s="404">
        <f t="shared" si="0"/>
        <v>0</v>
      </c>
      <c r="H10" s="422"/>
      <c r="I10" s="399" t="s">
        <v>89</v>
      </c>
      <c r="J10" s="402">
        <f>AVERAGE('ABHA Migration Plan'!L69:L74)</f>
        <v>0</v>
      </c>
      <c r="K10" s="403">
        <f>'ABHA Migration Plan'!G74</f>
        <v>46364</v>
      </c>
      <c r="L10" s="403">
        <f>'ABHA Migration Plan'!I74</f>
        <v>46364</v>
      </c>
      <c r="M10" s="404">
        <f t="shared" si="2"/>
        <v>0</v>
      </c>
    </row>
    <row r="11" spans="1:14" ht="16.5" thickBot="1">
      <c r="A11" s="423"/>
      <c r="B11" s="399" t="s">
        <v>90</v>
      </c>
      <c r="C11" s="405">
        <f>'MADINAH Migration Plan-'!$L$78</f>
        <v>0</v>
      </c>
      <c r="D11" s="406">
        <f>'MADINAH Migration Plan-'!$G$78</f>
        <v>46380</v>
      </c>
      <c r="E11" s="406">
        <f>'MADINAH Migration Plan-'!$I$78</f>
        <v>46380</v>
      </c>
      <c r="F11" s="407">
        <f t="shared" si="0"/>
        <v>0</v>
      </c>
      <c r="H11" s="423"/>
      <c r="I11" s="399" t="s">
        <v>90</v>
      </c>
      <c r="J11" s="405">
        <f>'ABHA Migration Plan'!L67</f>
        <v>0</v>
      </c>
      <c r="K11" s="406">
        <f>'ABHA Migration Plan'!G67</f>
        <v>46366</v>
      </c>
      <c r="L11" s="406">
        <f>'ABHA Migration Plan'!I67</f>
        <v>46366</v>
      </c>
      <c r="M11" s="407">
        <f t="shared" si="2"/>
        <v>0</v>
      </c>
    </row>
    <row r="12" spans="1:14" ht="14.25" thickBot="1"/>
    <row r="13" spans="1:14" ht="18.75">
      <c r="A13" s="419" t="s">
        <v>92</v>
      </c>
      <c r="B13" s="420"/>
      <c r="C13" s="420"/>
      <c r="D13" s="420"/>
      <c r="E13" s="420"/>
      <c r="F13" s="421"/>
      <c r="H13" s="419" t="s">
        <v>93</v>
      </c>
      <c r="I13" s="420"/>
      <c r="J13" s="420"/>
      <c r="K13" s="420"/>
      <c r="L13" s="420"/>
      <c r="M13" s="421"/>
    </row>
    <row r="14" spans="1:14" ht="15.75">
      <c r="A14" s="408"/>
      <c r="B14" s="409"/>
      <c r="C14" s="397" t="s">
        <v>82</v>
      </c>
      <c r="D14" s="409" t="s">
        <v>83</v>
      </c>
      <c r="E14" s="397" t="s">
        <v>84</v>
      </c>
      <c r="F14" s="398" t="s">
        <v>85</v>
      </c>
      <c r="H14" s="408"/>
      <c r="I14" s="409"/>
      <c r="J14" s="397" t="s">
        <v>82</v>
      </c>
      <c r="K14" s="409" t="s">
        <v>83</v>
      </c>
      <c r="L14" s="397" t="s">
        <v>84</v>
      </c>
      <c r="M14" s="398" t="s">
        <v>85</v>
      </c>
    </row>
    <row r="15" spans="1:14" ht="15.75">
      <c r="A15" s="422" t="s">
        <v>86</v>
      </c>
      <c r="B15" s="399" t="s">
        <v>87</v>
      </c>
      <c r="C15" s="402">
        <f>AVERAGE('Jeddah Migration Plan'!L5,'Jeddah Migration Plan'!L8,'Jeddah Migration Plan'!L13,'Jeddah Migration Plan'!L14,'Jeddah Migration Plan'!L18,'Jeddah Migration Plan'!L19,'Jeddah Migration Plan'!L23,'Jeddah Migration Plan'!L24,'Jeddah Migration Plan'!L28,'Jeddah Migration Plan'!L29,'Jeddah Migration Plan'!L33,'Jeddah Migration Plan'!L34,'Jeddah Migration Plan'!L38,'Jeddah Migration Plan'!L39,'Jeddah Migration Plan'!L43,'Jeddah Migration Plan'!L44,'Jeddah Migration Plan'!L48,'Jeddah Migration Plan'!L49,'Jeddah Migration Plan'!L53,'Jeddah Migration Plan'!L54)</f>
        <v>2.5000000000000001E-2</v>
      </c>
      <c r="D15" s="410">
        <f>'Jeddah Migration Plan'!G53</f>
        <v>46335</v>
      </c>
      <c r="E15" s="403">
        <f>'Jeddah Migration Plan'!I53</f>
        <v>46335</v>
      </c>
      <c r="F15" s="404">
        <f>E15-D15</f>
        <v>0</v>
      </c>
      <c r="H15" s="422" t="s">
        <v>86</v>
      </c>
      <c r="I15" s="399" t="s">
        <v>87</v>
      </c>
      <c r="J15" s="402">
        <f>AVERAGE('Jizan Migration Plan'!L5,'Jizan Migration Plan'!L6,'Jizan Migration Plan'!L11,'Jizan Migration Plan'!L12,'Jizan Migration Plan'!L16,'Jizan Migration Plan'!L17,'Jizan Migration Plan'!L21,'Jizan Migration Plan'!L22,'Jizan Migration Plan'!L26,'Jizan Migration Plan'!L27,'Jizan Migration Plan'!L31,'Jizan Migration Plan'!L32,'Jizan Migration Plan'!L36,'Jizan Migration Plan'!L37,'Jizan Migration Plan'!L41,'Jizan Migration Plan'!L42)</f>
        <v>0.24374999999999999</v>
      </c>
      <c r="K15" s="410">
        <f>'Jizan Migration Plan'!G42</f>
        <v>46270</v>
      </c>
      <c r="L15" s="410">
        <f>'Jizan Migration Plan'!I42</f>
        <v>46270</v>
      </c>
      <c r="M15" s="404">
        <f>L15-K15</f>
        <v>0</v>
      </c>
    </row>
    <row r="16" spans="1:14" ht="15.75">
      <c r="A16" s="422"/>
      <c r="B16" s="399" t="s">
        <v>88</v>
      </c>
      <c r="C16" s="402">
        <f>AVERAGE('Jeddah Migration Plan'!L10,'Jeddah Migration Plan'!L11,'Jeddah Migration Plan'!L15,'Jeddah Migration Plan'!L16,'Jeddah Migration Plan'!L20,'Jeddah Migration Plan'!L21,'Jeddah Migration Plan'!L25,'Jeddah Migration Plan'!L26,'Jeddah Migration Plan'!L30,'Jeddah Migration Plan'!L31,'Jeddah Migration Plan'!L35,'Jeddah Migration Plan'!L36,'Jeddah Migration Plan'!L40,'Jeddah Migration Plan'!L41,'Jeddah Migration Plan'!L45,'Jeddah Migration Plan'!L46,'Jeddah Migration Plan'!L50,'Jeddah Migration Plan'!L51,'Jeddah Migration Plan'!L55,'Jeddah Migration Plan'!L56)</f>
        <v>0</v>
      </c>
      <c r="D16" s="410">
        <f>'Jeddah Migration Plan'!G56</f>
        <v>46351</v>
      </c>
      <c r="E16" s="403">
        <f>'Jeddah Migration Plan'!I56</f>
        <v>46351</v>
      </c>
      <c r="F16" s="404">
        <f>E16-D16</f>
        <v>0</v>
      </c>
      <c r="H16" s="422"/>
      <c r="I16" s="399" t="s">
        <v>88</v>
      </c>
      <c r="J16" s="402">
        <f>AVERAGE('Jizan Migration Plan'!L8,'Jizan Migration Plan'!L9,'Jizan Migration Plan'!L13,'Jizan Migration Plan'!L14,'Jizan Migration Plan'!L18,'Jizan Migration Plan'!L19,'Jizan Migration Plan'!L23,'Jizan Migration Plan'!L24,'Jizan Migration Plan'!L28,'Jizan Migration Plan'!L29,'Jizan Migration Plan'!L33,'Jizan Migration Plan'!L34,'Jizan Migration Plan'!L38,'Jizan Migration Plan'!L39,'Jizan Migration Plan'!L43,'Jizan Migration Plan'!L44)</f>
        <v>0</v>
      </c>
      <c r="K16" s="410">
        <f>'Jizan Migration Plan'!G44</f>
        <v>46280</v>
      </c>
      <c r="L16" s="410">
        <f>'Jizan Migration Plan'!I44</f>
        <v>46280</v>
      </c>
      <c r="M16" s="404">
        <f>L16-K16</f>
        <v>0</v>
      </c>
    </row>
    <row r="17" spans="1:13" ht="15.75">
      <c r="A17" s="422"/>
      <c r="B17" s="399" t="s">
        <v>89</v>
      </c>
      <c r="C17" s="402">
        <f>AVERAGE('Jeddah Migration Plan'!L64:L68)</f>
        <v>0</v>
      </c>
      <c r="D17" s="410">
        <f>'Jeddah Migration Plan'!G68</f>
        <v>46356</v>
      </c>
      <c r="E17" s="403">
        <f>'Jeddah Migration Plan'!I68</f>
        <v>46356</v>
      </c>
      <c r="F17" s="404">
        <f t="shared" ref="F17:F18" si="3">E17-D17</f>
        <v>0</v>
      </c>
      <c r="H17" s="422"/>
      <c r="I17" s="399" t="s">
        <v>89</v>
      </c>
      <c r="J17" s="402">
        <f>AVERAGE('Jizan Migration Plan'!L52:L56)</f>
        <v>0</v>
      </c>
      <c r="K17" s="410">
        <f>'Jizan Migration Plan'!G56</f>
        <v>46287</v>
      </c>
      <c r="L17" s="410">
        <f>'Jizan Migration Plan'!I56</f>
        <v>46287</v>
      </c>
      <c r="M17" s="404">
        <f t="shared" ref="M17:M18" si="4">L17-K17</f>
        <v>0</v>
      </c>
    </row>
    <row r="18" spans="1:13" ht="15.75">
      <c r="A18" s="422"/>
      <c r="B18" s="399" t="s">
        <v>90</v>
      </c>
      <c r="C18" s="402">
        <f>'Jeddah Migration Plan'!$L$60</f>
        <v>0</v>
      </c>
      <c r="D18" s="410">
        <f>'Jeddah Migration Plan'!G62</f>
        <v>46359</v>
      </c>
      <c r="E18" s="403">
        <f>'Jeddah Migration Plan'!I62</f>
        <v>46359</v>
      </c>
      <c r="F18" s="404">
        <f t="shared" si="3"/>
        <v>0</v>
      </c>
      <c r="H18" s="422"/>
      <c r="I18" s="399" t="s">
        <v>90</v>
      </c>
      <c r="J18" s="402">
        <f>'Jizan Migration Plan'!L502</f>
        <v>0</v>
      </c>
      <c r="K18" s="410">
        <f>'Jizan Migration Plan'!G50</f>
        <v>46295</v>
      </c>
      <c r="L18" s="410">
        <f>'Jizan Migration Plan'!I50</f>
        <v>46295</v>
      </c>
      <c r="M18" s="404">
        <f t="shared" si="4"/>
        <v>0</v>
      </c>
    </row>
    <row r="19" spans="1:13">
      <c r="A19" s="416"/>
      <c r="B19" s="417"/>
      <c r="C19" s="417"/>
      <c r="D19" s="417"/>
      <c r="E19" s="417"/>
      <c r="F19" s="418"/>
      <c r="H19" s="416"/>
      <c r="I19" s="417"/>
      <c r="J19" s="417"/>
      <c r="K19" s="417"/>
      <c r="L19" s="417"/>
      <c r="M19" s="418"/>
    </row>
    <row r="20" spans="1:13" ht="15.75">
      <c r="A20" s="422" t="s">
        <v>91</v>
      </c>
      <c r="B20" s="399" t="s">
        <v>87</v>
      </c>
      <c r="C20" s="401">
        <f>AVERAGE('Jeddah Migration Plan'!L77:L78)</f>
        <v>0</v>
      </c>
      <c r="D20" s="403">
        <f>'Jeddah Migration Plan'!G78</f>
        <v>46352</v>
      </c>
      <c r="E20" s="403">
        <f>'Jeddah Migration Plan'!I78</f>
        <v>46352</v>
      </c>
      <c r="F20" s="404">
        <f t="shared" ref="F20:F23" si="5">E20-D20</f>
        <v>0</v>
      </c>
      <c r="H20" s="422" t="s">
        <v>91</v>
      </c>
      <c r="I20" s="399" t="s">
        <v>87</v>
      </c>
      <c r="J20" s="401">
        <f>AVERAGE('Jizan Migration Plan'!L65:L66)</f>
        <v>0</v>
      </c>
      <c r="K20" s="403">
        <f>'Jizan Migration Plan'!G66</f>
        <v>46331</v>
      </c>
      <c r="L20" s="403">
        <f>'Jizan Migration Plan'!I66</f>
        <v>46331</v>
      </c>
      <c r="M20" s="404">
        <f t="shared" ref="M20:M23" si="6">L20-K20</f>
        <v>0</v>
      </c>
    </row>
    <row r="21" spans="1:13" ht="15.75">
      <c r="A21" s="422"/>
      <c r="B21" s="399" t="s">
        <v>88</v>
      </c>
      <c r="C21" s="402">
        <f>'Jeddah Migration Plan'!L79</f>
        <v>0</v>
      </c>
      <c r="D21" s="403">
        <f>'Jeddah Migration Plan'!G79</f>
        <v>46357</v>
      </c>
      <c r="E21" s="403">
        <f>'Jeddah Migration Plan'!I79</f>
        <v>46357</v>
      </c>
      <c r="F21" s="404">
        <f t="shared" si="5"/>
        <v>0</v>
      </c>
      <c r="H21" s="422"/>
      <c r="I21" s="399" t="s">
        <v>88</v>
      </c>
      <c r="J21" s="402">
        <f>'Jizan Migration Plan'!L67</f>
        <v>0</v>
      </c>
      <c r="K21" s="403">
        <f>'Jizan Migration Plan'!G67</f>
        <v>46344</v>
      </c>
      <c r="L21" s="403">
        <f>'Jizan Migration Plan'!I67</f>
        <v>46344</v>
      </c>
      <c r="M21" s="404">
        <f t="shared" si="6"/>
        <v>0</v>
      </c>
    </row>
    <row r="22" spans="1:13" ht="15.75">
      <c r="A22" s="422"/>
      <c r="B22" s="399" t="s">
        <v>89</v>
      </c>
      <c r="C22" s="402">
        <f>AVERAGE('Jeddah Migration Plan'!L82:L87)</f>
        <v>0</v>
      </c>
      <c r="D22" s="403">
        <f>'Jeddah Migration Plan'!G87</f>
        <v>46378</v>
      </c>
      <c r="E22" s="403">
        <f>'Jeddah Migration Plan'!I87</f>
        <v>46378</v>
      </c>
      <c r="F22" s="404">
        <f t="shared" si="5"/>
        <v>0</v>
      </c>
      <c r="H22" s="422"/>
      <c r="I22" s="399" t="s">
        <v>89</v>
      </c>
      <c r="J22" s="402">
        <f>AVERAGE('Jizan Migration Plan'!L70:L75)</f>
        <v>0</v>
      </c>
      <c r="K22" s="403">
        <f>'Jizan Migration Plan'!G75</f>
        <v>46365</v>
      </c>
      <c r="L22" s="403">
        <f>'Jizan Migration Plan'!I75</f>
        <v>46365</v>
      </c>
      <c r="M22" s="404">
        <f t="shared" si="6"/>
        <v>0</v>
      </c>
    </row>
    <row r="23" spans="1:13" ht="16.5" thickBot="1">
      <c r="A23" s="423"/>
      <c r="B23" s="399" t="s">
        <v>90</v>
      </c>
      <c r="C23" s="405">
        <f>'Jeddah Migration Plan'!L80</f>
        <v>0</v>
      </c>
      <c r="D23" s="406">
        <f>'Jeddah Migration Plan'!G80</f>
        <v>46380</v>
      </c>
      <c r="E23" s="406">
        <f>'Jeddah Migration Plan'!I80</f>
        <v>46380</v>
      </c>
      <c r="F23" s="407">
        <f t="shared" si="5"/>
        <v>0</v>
      </c>
      <c r="H23" s="423"/>
      <c r="I23" s="399" t="s">
        <v>90</v>
      </c>
      <c r="J23" s="405">
        <f>'Jizan Migration Plan'!L68</f>
        <v>0</v>
      </c>
      <c r="K23" s="406">
        <f>'Jizan Migration Plan'!G68</f>
        <v>46368</v>
      </c>
      <c r="L23" s="406">
        <f>'Jizan Migration Plan'!I68</f>
        <v>46368</v>
      </c>
      <c r="M23" s="407">
        <f t="shared" si="6"/>
        <v>0</v>
      </c>
    </row>
    <row r="24" spans="1:13" ht="14.25" thickBot="1"/>
    <row r="25" spans="1:13" ht="18.75">
      <c r="A25" s="419" t="s">
        <v>94</v>
      </c>
      <c r="B25" s="420"/>
      <c r="C25" s="420"/>
      <c r="D25" s="420"/>
      <c r="E25" s="420"/>
      <c r="F25" s="421"/>
      <c r="H25" s="424"/>
      <c r="I25" s="425"/>
      <c r="J25" s="425"/>
      <c r="K25" s="425"/>
      <c r="L25" s="425"/>
      <c r="M25" s="426"/>
    </row>
    <row r="26" spans="1:13" ht="15.75" customHeight="1">
      <c r="A26" s="408"/>
      <c r="B26" s="409"/>
      <c r="C26" s="397" t="s">
        <v>82</v>
      </c>
      <c r="D26" s="409" t="s">
        <v>83</v>
      </c>
      <c r="E26" s="397" t="s">
        <v>84</v>
      </c>
      <c r="F26" s="398" t="s">
        <v>85</v>
      </c>
      <c r="H26" s="427"/>
      <c r="I26" s="428"/>
      <c r="J26" s="428"/>
      <c r="K26" s="428"/>
      <c r="L26" s="428"/>
      <c r="M26" s="429"/>
    </row>
    <row r="27" spans="1:13" ht="15.75" customHeight="1">
      <c r="A27" s="422" t="s">
        <v>86</v>
      </c>
      <c r="B27" s="399" t="s">
        <v>87</v>
      </c>
      <c r="C27" s="402">
        <f>AVERAGE('Makkah Migration Plan'!L5,'Makkah Migration Plan'!L8,'Makkah Migration Plan'!L13,'Makkah Migration Plan'!L14,'Makkah Migration Plan'!L18,'Makkah Migration Plan'!L19,'Makkah Migration Plan'!L23,'Makkah Migration Plan'!L24,'Makkah Migration Plan'!L28,'Makkah Migration Plan'!L29,'Makkah Migration Plan'!L33,'Makkah Migration Plan'!L34,'Makkah Migration Plan'!L38,'Makkah Migration Plan'!L39,'Makkah Migration Plan'!L43,'Makkah Migration Plan'!L44,'Makkah Migration Plan'!L48,'Makkah Migration Plan'!L49,'Makkah Migration Plan'!L53,'Makkah Migration Plan'!L54)</f>
        <v>0.02</v>
      </c>
      <c r="D27" s="410">
        <f>'Makkah Migration Plan'!$G$54</f>
        <v>46336</v>
      </c>
      <c r="E27" s="410">
        <f>'Makkah Migration Plan'!$I$54</f>
        <v>46336</v>
      </c>
      <c r="F27" s="404">
        <f>E27-D27</f>
        <v>0</v>
      </c>
      <c r="H27" s="427"/>
      <c r="I27" s="428"/>
      <c r="J27" s="428"/>
      <c r="K27" s="428"/>
      <c r="L27" s="428"/>
      <c r="M27" s="429"/>
    </row>
    <row r="28" spans="1:13" ht="15.75" customHeight="1">
      <c r="A28" s="422"/>
      <c r="B28" s="399" t="s">
        <v>88</v>
      </c>
      <c r="C28" s="402">
        <f>AVERAGE('Makkah Migration Plan'!L10,'Makkah Migration Plan'!L11,'Makkah Migration Plan'!L15,'Makkah Migration Plan'!L16,'Makkah Migration Plan'!L20,'Makkah Migration Plan'!L21,'Makkah Migration Plan'!L25,'Makkah Migration Plan'!L26,'Makkah Migration Plan'!L30,'Makkah Migration Plan'!L31,'Makkah Migration Plan'!L35,'Makkah Migration Plan'!L36,'Makkah Migration Plan'!L40,'Makkah Migration Plan'!L41,'Makkah Migration Plan'!L45,'Makkah Migration Plan'!L46,'Makkah Migration Plan'!L50,'Makkah Migration Plan'!L51,'Makkah Migration Plan'!L55,'Makkah Migration Plan'!L56)</f>
        <v>0</v>
      </c>
      <c r="D28" s="410">
        <f>'Makkah Migration Plan'!$G$56</f>
        <v>46345</v>
      </c>
      <c r="E28" s="410">
        <f>'Makkah Migration Plan'!$I$56</f>
        <v>46345</v>
      </c>
      <c r="F28" s="404">
        <f>E28-D28</f>
        <v>0</v>
      </c>
      <c r="H28" s="427"/>
      <c r="I28" s="428"/>
      <c r="J28" s="428"/>
      <c r="K28" s="428"/>
      <c r="L28" s="428"/>
      <c r="M28" s="429"/>
    </row>
    <row r="29" spans="1:13" ht="15.75" customHeight="1">
      <c r="A29" s="422"/>
      <c r="B29" s="399" t="s">
        <v>89</v>
      </c>
      <c r="C29" s="402">
        <f>AVERAGE('Makkah Migration Plan'!L64:L68)</f>
        <v>0</v>
      </c>
      <c r="D29" s="410">
        <f>'Makkah Migration Plan'!$G$68</f>
        <v>46352</v>
      </c>
      <c r="E29" s="410">
        <f>'Makkah Migration Plan'!$I$68</f>
        <v>46352</v>
      </c>
      <c r="F29" s="404">
        <f t="shared" ref="F29:F30" si="7">E29-D29</f>
        <v>0</v>
      </c>
      <c r="H29" s="427"/>
      <c r="I29" s="428"/>
      <c r="J29" s="428"/>
      <c r="K29" s="428"/>
      <c r="L29" s="428"/>
      <c r="M29" s="429"/>
    </row>
    <row r="30" spans="1:13" ht="15.75" customHeight="1">
      <c r="A30" s="422"/>
      <c r="B30" s="399" t="s">
        <v>90</v>
      </c>
      <c r="C30" s="402">
        <f>'Makkah Migration Plan'!L62</f>
        <v>0</v>
      </c>
      <c r="D30" s="410">
        <f>'Makkah Migration Plan'!$G$62</f>
        <v>46357</v>
      </c>
      <c r="E30" s="410">
        <f>'Makkah Migration Plan'!$I$62</f>
        <v>46357</v>
      </c>
      <c r="F30" s="404">
        <f t="shared" si="7"/>
        <v>0</v>
      </c>
      <c r="H30" s="427"/>
      <c r="I30" s="428"/>
      <c r="J30" s="428"/>
      <c r="K30" s="428"/>
      <c r="L30" s="428"/>
      <c r="M30" s="429"/>
    </row>
    <row r="31" spans="1:13" ht="13.5" customHeight="1">
      <c r="A31" s="416"/>
      <c r="B31" s="417"/>
      <c r="C31" s="417"/>
      <c r="D31" s="417"/>
      <c r="E31" s="417"/>
      <c r="F31" s="418"/>
      <c r="H31" s="427"/>
      <c r="I31" s="428"/>
      <c r="J31" s="428"/>
      <c r="K31" s="428"/>
      <c r="L31" s="428"/>
      <c r="M31" s="429"/>
    </row>
    <row r="32" spans="1:13" ht="15.75" customHeight="1">
      <c r="A32" s="422" t="s">
        <v>91</v>
      </c>
      <c r="B32" s="399" t="s">
        <v>87</v>
      </c>
      <c r="C32" s="401">
        <f>AVERAGEA('Makkah Migration Plan'!L77:L78)</f>
        <v>0</v>
      </c>
      <c r="D32" s="403">
        <f>'Makkah Migration Plan'!$G$78</f>
        <v>46347</v>
      </c>
      <c r="E32" s="403">
        <f>'Makkah Migration Plan'!$I$78</f>
        <v>46347</v>
      </c>
      <c r="F32" s="404">
        <f t="shared" ref="F32:F35" si="8">E32-D32</f>
        <v>0</v>
      </c>
      <c r="H32" s="427"/>
      <c r="I32" s="428"/>
      <c r="J32" s="428"/>
      <c r="K32" s="428"/>
      <c r="L32" s="428"/>
      <c r="M32" s="429"/>
    </row>
    <row r="33" spans="1:13" ht="15.75" customHeight="1">
      <c r="A33" s="422"/>
      <c r="B33" s="399" t="s">
        <v>88</v>
      </c>
      <c r="C33" s="402">
        <f>'Makkah Migration Plan'!L79</f>
        <v>0</v>
      </c>
      <c r="D33" s="403">
        <f>'Makkah Migration Plan'!$G$79</f>
        <v>46350</v>
      </c>
      <c r="E33" s="403">
        <f>'Makkah Migration Plan'!$I$79</f>
        <v>46350</v>
      </c>
      <c r="F33" s="404">
        <f t="shared" si="8"/>
        <v>0</v>
      </c>
      <c r="H33" s="427"/>
      <c r="I33" s="428"/>
      <c r="J33" s="428"/>
      <c r="K33" s="428"/>
      <c r="L33" s="428"/>
      <c r="M33" s="429"/>
    </row>
    <row r="34" spans="1:13" ht="15.75" customHeight="1">
      <c r="A34" s="422"/>
      <c r="B34" s="399" t="s">
        <v>89</v>
      </c>
      <c r="C34" s="402">
        <f>AVERAGE('Makkah Migration Plan'!L82:L87)</f>
        <v>0</v>
      </c>
      <c r="D34" s="403">
        <f>'Makkah Migration Plan'!$G$87</f>
        <v>46371</v>
      </c>
      <c r="E34" s="403">
        <f>'Makkah Migration Plan'!$I$87</f>
        <v>46371</v>
      </c>
      <c r="F34" s="404">
        <f t="shared" si="8"/>
        <v>0</v>
      </c>
      <c r="H34" s="427"/>
      <c r="I34" s="428"/>
      <c r="J34" s="428"/>
      <c r="K34" s="428"/>
      <c r="L34" s="428"/>
      <c r="M34" s="429"/>
    </row>
    <row r="35" spans="1:13" ht="16.5" customHeight="1" thickBot="1">
      <c r="A35" s="423"/>
      <c r="B35" s="400" t="s">
        <v>95</v>
      </c>
      <c r="C35" s="405">
        <f>'Makkah Migration Plan'!L80</f>
        <v>0</v>
      </c>
      <c r="D35" s="406">
        <f>'Makkah Migration Plan'!$G$80</f>
        <v>46373</v>
      </c>
      <c r="E35" s="406">
        <f>'Makkah Migration Plan'!$I$80</f>
        <v>46373</v>
      </c>
      <c r="F35" s="407">
        <f t="shared" si="8"/>
        <v>0</v>
      </c>
      <c r="H35" s="430"/>
      <c r="I35" s="431"/>
      <c r="J35" s="431"/>
      <c r="K35" s="431"/>
      <c r="L35" s="431"/>
      <c r="M35" s="432"/>
    </row>
  </sheetData>
  <mergeCells count="21">
    <mergeCell ref="H25:M35"/>
    <mergeCell ref="A32:A35"/>
    <mergeCell ref="H1:M1"/>
    <mergeCell ref="H3:H6"/>
    <mergeCell ref="H7:M7"/>
    <mergeCell ref="H8:H11"/>
    <mergeCell ref="H13:M13"/>
    <mergeCell ref="H15:H18"/>
    <mergeCell ref="H19:M19"/>
    <mergeCell ref="H20:H23"/>
    <mergeCell ref="A15:A18"/>
    <mergeCell ref="A19:F19"/>
    <mergeCell ref="A20:A23"/>
    <mergeCell ref="A25:F25"/>
    <mergeCell ref="A27:A30"/>
    <mergeCell ref="A31:F31"/>
    <mergeCell ref="A7:F7"/>
    <mergeCell ref="A1:F1"/>
    <mergeCell ref="A3:A6"/>
    <mergeCell ref="A8:A11"/>
    <mergeCell ref="A13:F13"/>
  </mergeCells>
  <pageMargins left="0.7" right="0.7" top="0.75" bottom="0.75" header="0.3" footer="0.3"/>
  <ignoredErrors>
    <ignoredError sqref="J5 J8 J10 J17 J20 J22 C29 C32 C34 C17 C20 C22" formulaRange="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6">
    <pageSetUpPr fitToPage="1"/>
  </sheetPr>
  <dimension ref="B1:AE76"/>
  <sheetViews>
    <sheetView showGridLines="0" zoomScale="67" zoomScaleNormal="85" workbookViewId="0">
      <pane ySplit="2" topLeftCell="A47" activePane="bottomLeft" state="frozen"/>
      <selection pane="bottomLeft" activeCell="J61" sqref="J61"/>
    </sheetView>
  </sheetViews>
  <sheetFormatPr defaultColWidth="9" defaultRowHeight="15.75"/>
  <cols>
    <col min="1" max="1" width="0.75" style="230" customWidth="1"/>
    <col min="2" max="2" width="9" style="230" customWidth="1"/>
    <col min="3" max="3" width="16" style="230" hidden="1" customWidth="1"/>
    <col min="4" max="4" width="28.75" style="230" customWidth="1"/>
    <col min="5" max="5" width="17.125" style="229" customWidth="1"/>
    <col min="6" max="6" width="16.75" style="233" customWidth="1"/>
    <col min="7" max="7" width="22" style="233" customWidth="1"/>
    <col min="8" max="8" width="16.75" style="233" hidden="1" customWidth="1"/>
    <col min="9" max="9" width="18.25" style="233" hidden="1" customWidth="1"/>
    <col min="10" max="10" width="28.375" style="233" bestFit="1" customWidth="1"/>
    <col min="11" max="11" width="30.875" style="233" bestFit="1" customWidth="1"/>
    <col min="12" max="12" width="10.875" style="324" customWidth="1"/>
    <col min="13" max="13" width="15.125" style="324" customWidth="1"/>
    <col min="14" max="14" width="20.625" style="324" bestFit="1" customWidth="1"/>
    <col min="15" max="15" width="0.875" style="230" customWidth="1"/>
    <col min="16" max="22" width="9.125" style="230" customWidth="1"/>
    <col min="23" max="23" width="42.75" style="260" customWidth="1"/>
    <col min="24" max="24" width="13.625" style="230" customWidth="1"/>
    <col min="25" max="25" width="9" style="230"/>
    <col min="26" max="26" width="15.25" style="230" customWidth="1"/>
    <col min="27" max="27" width="12.25" style="231" customWidth="1"/>
    <col min="28" max="28" width="10.125" style="231" customWidth="1"/>
    <col min="29" max="30" width="9" style="230"/>
    <col min="31" max="31" width="10.125" style="230" hidden="1" customWidth="1"/>
    <col min="32" max="16384" width="9" style="230"/>
  </cols>
  <sheetData>
    <row r="1" spans="2:31" ht="5.45" customHeight="1">
      <c r="F1" s="257"/>
      <c r="G1" s="257"/>
      <c r="H1" s="257"/>
      <c r="I1" s="257"/>
      <c r="J1" s="257"/>
      <c r="K1" s="257"/>
      <c r="L1" s="258">
        <v>0</v>
      </c>
      <c r="M1" s="258"/>
      <c r="N1" s="258"/>
      <c r="O1" s="259"/>
    </row>
    <row r="2" spans="2:31" ht="24" customHeight="1" thickBot="1">
      <c r="B2" s="261"/>
      <c r="C2" s="261" t="s">
        <v>96</v>
      </c>
      <c r="D2" s="13" t="s">
        <v>1</v>
      </c>
      <c r="E2" s="13" t="s">
        <v>97</v>
      </c>
      <c r="F2" s="14" t="s">
        <v>98</v>
      </c>
      <c r="G2" s="14" t="s">
        <v>83</v>
      </c>
      <c r="H2" s="14" t="s">
        <v>99</v>
      </c>
      <c r="I2" s="14" t="s">
        <v>84</v>
      </c>
      <c r="J2" s="15" t="s">
        <v>100</v>
      </c>
      <c r="K2" s="15" t="s">
        <v>101</v>
      </c>
      <c r="L2" s="16" t="s">
        <v>82</v>
      </c>
      <c r="M2" s="16" t="s">
        <v>102</v>
      </c>
      <c r="N2" s="411" t="s">
        <v>103</v>
      </c>
      <c r="O2" s="17"/>
      <c r="P2" s="18">
        <v>46113</v>
      </c>
      <c r="Q2" s="19">
        <v>46143</v>
      </c>
      <c r="R2" s="19">
        <v>46174</v>
      </c>
      <c r="S2" s="19">
        <v>46204</v>
      </c>
      <c r="T2" s="19">
        <v>46235</v>
      </c>
      <c r="U2" s="19">
        <v>46266</v>
      </c>
      <c r="V2" s="19">
        <v>46296</v>
      </c>
      <c r="W2" s="20" t="s">
        <v>2</v>
      </c>
    </row>
    <row r="3" spans="2:31" s="274" customFormat="1" ht="4.5" customHeight="1" thickBot="1">
      <c r="B3" s="270"/>
      <c r="C3" s="270"/>
      <c r="D3" s="270"/>
      <c r="E3" s="271"/>
      <c r="F3" s="270"/>
      <c r="G3" s="270"/>
      <c r="H3" s="270"/>
      <c r="I3" s="270"/>
      <c r="J3" s="270"/>
      <c r="K3" s="270"/>
      <c r="L3" s="272">
        <v>0</v>
      </c>
      <c r="M3" s="272"/>
      <c r="N3" s="272"/>
      <c r="O3" s="270"/>
      <c r="P3" s="270"/>
      <c r="Q3" s="270"/>
      <c r="R3" s="270"/>
      <c r="S3" s="270"/>
      <c r="T3" s="270"/>
      <c r="U3" s="270"/>
      <c r="V3" s="270"/>
      <c r="W3" s="273"/>
      <c r="AA3" s="275"/>
      <c r="AB3" s="275"/>
    </row>
    <row r="4" spans="2:31" ht="45" customHeight="1">
      <c r="B4" s="456" t="s">
        <v>104</v>
      </c>
      <c r="C4" s="248" t="s">
        <v>86</v>
      </c>
      <c r="D4" s="96" t="s">
        <v>105</v>
      </c>
      <c r="E4" s="70">
        <f>NETWORKDAYS.INTL(F4,G4,"0000100",$AE$4:$AE$10)</f>
        <v>1</v>
      </c>
      <c r="F4" s="71">
        <v>46153</v>
      </c>
      <c r="G4" s="71">
        <v>46153</v>
      </c>
      <c r="H4" s="71">
        <v>46153</v>
      </c>
      <c r="I4" s="71">
        <v>46153</v>
      </c>
      <c r="J4" s="71"/>
      <c r="K4" s="71"/>
      <c r="L4" s="72">
        <v>1</v>
      </c>
      <c r="M4" s="72" t="str">
        <f ca="1">IF(L4=100%,"Completed",IF(AND(OR(L4="",L4=0),F4&gt;TODAY()),"Not Started",IF(AND(OR(L4="",L4=0),F4&lt;=TODAY()),"Delayed",IF(AND(L4&gt;0,L4&lt;100%,G4&lt;TODAY()),"Delayed",IF(AND(L4&gt;0,L4&lt;100%,G4&gt;=TODAY()),"In Progress","")))))</f>
        <v>Completed</v>
      </c>
      <c r="N4" s="72"/>
      <c r="O4" s="227"/>
      <c r="P4" s="96"/>
      <c r="Q4" s="96"/>
      <c r="R4" s="96"/>
      <c r="S4" s="96"/>
      <c r="T4" s="96"/>
      <c r="U4" s="96"/>
      <c r="V4" s="96"/>
      <c r="W4" s="228"/>
      <c r="X4" s="230" t="s">
        <v>106</v>
      </c>
      <c r="Z4" s="23" t="s">
        <v>62</v>
      </c>
      <c r="AA4" s="231" t="s">
        <v>68</v>
      </c>
      <c r="AE4" s="276">
        <v>46166</v>
      </c>
    </row>
    <row r="5" spans="2:31" ht="45" customHeight="1">
      <c r="B5" s="457"/>
      <c r="C5" s="249" t="s">
        <v>86</v>
      </c>
      <c r="D5" s="97" t="s">
        <v>107</v>
      </c>
      <c r="E5" s="94">
        <f>NETWORKDAYS.INTL(F5,G5,"0000100",$AE$4:$AE$10)</f>
        <v>42</v>
      </c>
      <c r="F5" s="23">
        <v>46154</v>
      </c>
      <c r="G5" s="23">
        <f>WORKDAY.INTL(F5,46,"0000100",$AF$4:$AF$8)</f>
        <v>46208</v>
      </c>
      <c r="H5" s="23">
        <v>46154</v>
      </c>
      <c r="I5" s="23">
        <f>WORKDAY.INTL(H5,46,"0000100",$AF$4:$AF$8)</f>
        <v>46208</v>
      </c>
      <c r="J5" s="23"/>
      <c r="K5" s="23"/>
      <c r="L5" s="24">
        <v>0.9</v>
      </c>
      <c r="M5" s="24" t="str">
        <f t="shared" ref="M5:M8" ca="1" si="0">IF(L5=100%,"Completed",IF(AND(OR(L5="",L5=0),F5&gt;TODAY()),"Not Started",IF(AND(OR(L5="",L5=0),F5&lt;=TODAY()),"Delayed",IF(AND(L5&gt;0,L5&lt;100%,G5&lt;TODAY()),"Delayed",IF(AND(L5&gt;0,L5&lt;100%,G5&gt;=TODAY()),"In Progress","")))))</f>
        <v>In Progress</v>
      </c>
      <c r="N5" s="24"/>
      <c r="O5" s="277"/>
      <c r="P5" s="97"/>
      <c r="Q5" s="97"/>
      <c r="R5" s="97"/>
      <c r="S5" s="97"/>
      <c r="T5" s="97"/>
      <c r="U5" s="97"/>
      <c r="V5" s="97"/>
      <c r="W5" s="278" t="s">
        <v>108</v>
      </c>
      <c r="X5" s="230" t="s">
        <v>106</v>
      </c>
      <c r="Z5" s="23" t="s">
        <v>63</v>
      </c>
      <c r="AA5" s="231" t="s">
        <v>68</v>
      </c>
      <c r="AE5" s="276">
        <v>46167</v>
      </c>
    </row>
    <row r="6" spans="2:31" ht="88.5" customHeight="1">
      <c r="B6" s="457"/>
      <c r="C6" s="249" t="s">
        <v>86</v>
      </c>
      <c r="D6" s="97" t="s">
        <v>109</v>
      </c>
      <c r="E6" s="94"/>
      <c r="F6" s="23">
        <v>46125</v>
      </c>
      <c r="G6" s="23">
        <v>46233</v>
      </c>
      <c r="H6" s="23">
        <v>46125</v>
      </c>
      <c r="I6" s="23">
        <v>46233</v>
      </c>
      <c r="J6" s="23"/>
      <c r="K6" s="23"/>
      <c r="L6" s="24">
        <v>0.69</v>
      </c>
      <c r="M6" s="24" t="str">
        <f t="shared" ca="1" si="0"/>
        <v>In Progress</v>
      </c>
      <c r="N6" s="24"/>
      <c r="O6" s="277"/>
      <c r="P6" s="97"/>
      <c r="Q6" s="97"/>
      <c r="R6" s="97"/>
      <c r="S6" s="97"/>
      <c r="T6" s="97"/>
      <c r="U6" s="97"/>
      <c r="V6" s="97"/>
      <c r="W6" s="278" t="s">
        <v>110</v>
      </c>
      <c r="Z6" s="231"/>
      <c r="AE6" s="276">
        <v>46168</v>
      </c>
    </row>
    <row r="7" spans="2:31" ht="45" customHeight="1">
      <c r="B7" s="457"/>
      <c r="C7" s="249" t="s">
        <v>86</v>
      </c>
      <c r="D7" s="93" t="s">
        <v>111</v>
      </c>
      <c r="E7" s="94">
        <f>NETWORKDAYS.INTL(F7,G7,"0000110",$AE$4:$AE$10)</f>
        <v>2</v>
      </c>
      <c r="F7" s="23">
        <f>WORKDAY.INTL(G6,1,"0000110",$AE$4:$AE$8)</f>
        <v>46236</v>
      </c>
      <c r="G7" s="23">
        <f>WORKDAY.INTL(F7,1,"0000110",$AE$4:$AE$9)</f>
        <v>46237</v>
      </c>
      <c r="H7" s="23">
        <f>WORKDAY.INTL(I6,1,"0000110",$AE$4:$AE$8)</f>
        <v>46236</v>
      </c>
      <c r="I7" s="23">
        <f>WORKDAY.INTL(H7,1,"0000110",$AE$4:$AE$9)</f>
        <v>46237</v>
      </c>
      <c r="J7" s="23"/>
      <c r="K7" s="23"/>
      <c r="L7" s="24">
        <v>0</v>
      </c>
      <c r="M7" s="24" t="str">
        <f t="shared" ca="1" si="0"/>
        <v>Not Started</v>
      </c>
      <c r="N7" s="24"/>
      <c r="O7" s="277"/>
      <c r="P7" s="93"/>
      <c r="Q7" s="93"/>
      <c r="R7" s="93"/>
      <c r="S7" s="93"/>
      <c r="T7" s="93"/>
      <c r="U7" s="93"/>
      <c r="V7" s="93"/>
      <c r="W7" s="278" t="s">
        <v>112</v>
      </c>
      <c r="X7" s="230" t="s">
        <v>113</v>
      </c>
      <c r="Z7" s="23" t="s">
        <v>64</v>
      </c>
      <c r="AA7" s="231" t="s">
        <v>68</v>
      </c>
      <c r="AE7" s="276">
        <v>46169</v>
      </c>
    </row>
    <row r="8" spans="2:31" ht="45" customHeight="1">
      <c r="B8" s="458"/>
      <c r="C8" s="252" t="s">
        <v>86</v>
      </c>
      <c r="D8" s="95" t="s">
        <v>114</v>
      </c>
      <c r="E8" s="75">
        <f>NETWORKDAYS.INTL(F8,G8,"0000110",$AE$4:$AE$10)</f>
        <v>2</v>
      </c>
      <c r="F8" s="76">
        <f>WORKDAY.INTL(G7,1,"0000110",$AE$4:$AE$8)</f>
        <v>46238</v>
      </c>
      <c r="G8" s="76">
        <f>WORKDAY.INTL(F8,1,"0000110",$AE$4:$AE$9)</f>
        <v>46239</v>
      </c>
      <c r="H8" s="76">
        <f>WORKDAY.INTL(I7,1,"0000110",$AE$4:$AE$8)</f>
        <v>46238</v>
      </c>
      <c r="I8" s="76">
        <f>WORKDAY.INTL(H8,1,"0000110",$AE$4:$AE$9)</f>
        <v>46239</v>
      </c>
      <c r="J8" s="76"/>
      <c r="K8" s="76"/>
      <c r="L8" s="77">
        <v>0</v>
      </c>
      <c r="M8" s="77" t="str">
        <f t="shared" ca="1" si="0"/>
        <v>Not Started</v>
      </c>
      <c r="N8" s="77"/>
      <c r="O8" s="279"/>
      <c r="P8" s="95"/>
      <c r="Q8" s="95"/>
      <c r="R8" s="95"/>
      <c r="S8" s="95"/>
      <c r="T8" s="95"/>
      <c r="U8" s="95"/>
      <c r="V8" s="95"/>
      <c r="W8" s="280" t="s">
        <v>115</v>
      </c>
      <c r="X8" s="230" t="s">
        <v>113</v>
      </c>
      <c r="Z8" s="23" t="s">
        <v>65</v>
      </c>
      <c r="AA8" s="231" t="s">
        <v>68</v>
      </c>
      <c r="AE8" s="276">
        <v>46170</v>
      </c>
    </row>
    <row r="9" spans="2:31" s="274" customFormat="1" ht="4.5" customHeight="1">
      <c r="B9" s="281"/>
      <c r="C9" s="281"/>
      <c r="D9" s="281"/>
      <c r="E9" s="282"/>
      <c r="F9" s="281"/>
      <c r="G9" s="281"/>
      <c r="H9" s="281"/>
      <c r="I9" s="281"/>
      <c r="J9" s="281"/>
      <c r="K9" s="281"/>
      <c r="L9" s="283"/>
      <c r="M9" s="283"/>
      <c r="N9" s="283"/>
      <c r="O9" s="281"/>
      <c r="P9" s="281"/>
      <c r="Q9" s="281"/>
      <c r="R9" s="281"/>
      <c r="S9" s="281"/>
      <c r="T9" s="281"/>
      <c r="U9" s="281"/>
      <c r="V9" s="281"/>
      <c r="W9" s="284"/>
      <c r="Z9" s="275"/>
      <c r="AA9" s="275"/>
      <c r="AE9" s="276">
        <v>46288</v>
      </c>
    </row>
    <row r="10" spans="2:31" ht="45" customHeight="1">
      <c r="B10" s="459" t="s">
        <v>116</v>
      </c>
      <c r="C10" s="285" t="s">
        <v>86</v>
      </c>
      <c r="D10" s="27" t="s">
        <v>105</v>
      </c>
      <c r="E10" s="28">
        <f>NETWORKDAYS.INTL(F10,G10,"0000100",$AE$4:$AE$10)</f>
        <v>1</v>
      </c>
      <c r="F10" s="29">
        <v>46183</v>
      </c>
      <c r="G10" s="30">
        <v>46183</v>
      </c>
      <c r="H10" s="29">
        <v>46183</v>
      </c>
      <c r="I10" s="30">
        <v>46183</v>
      </c>
      <c r="J10" s="29"/>
      <c r="K10" s="30"/>
      <c r="L10" s="31">
        <v>1</v>
      </c>
      <c r="M10" s="31" t="str">
        <f t="shared" ref="M10:M13" ca="1" si="1">IF(L10=100%,"Completed",IF(AND(OR(L10="",L10=0),F10&gt;TODAY()),"Not Started",IF(AND(OR(L10="",L10=0),F10&lt;=TODAY()),"Delayed",IF(AND(L10&gt;0,L10&lt;100%,G10&lt;TODAY()),"Delayed",IF(AND(L10&gt;0,L10&lt;100%,G10&gt;=TODAY()),"In Progress","")))))</f>
        <v>Completed</v>
      </c>
      <c r="N10" s="412"/>
      <c r="O10" s="57"/>
      <c r="P10" s="286"/>
      <c r="Q10" s="286"/>
      <c r="R10" s="286"/>
      <c r="S10" s="286"/>
      <c r="T10" s="286"/>
      <c r="U10" s="286"/>
      <c r="V10" s="287"/>
      <c r="W10" s="288"/>
      <c r="Z10" s="23" t="s">
        <v>62</v>
      </c>
      <c r="AA10" s="231" t="s">
        <v>69</v>
      </c>
      <c r="AE10" s="276">
        <v>46288</v>
      </c>
    </row>
    <row r="11" spans="2:31" ht="45" customHeight="1">
      <c r="B11" s="460"/>
      <c r="C11" s="285" t="s">
        <v>86</v>
      </c>
      <c r="D11" s="32" t="s">
        <v>107</v>
      </c>
      <c r="E11" s="33">
        <f>NETWORKDAYS.INTL(F11,G11,"0000100",$AE$4:$AE$10)</f>
        <v>13</v>
      </c>
      <c r="F11" s="29">
        <v>46194</v>
      </c>
      <c r="G11" s="30">
        <f>WORKDAY.INTL(G10,21,"0000100",$AF$4:$AF$8)</f>
        <v>46208</v>
      </c>
      <c r="H11" s="29">
        <v>46194</v>
      </c>
      <c r="I11" s="30">
        <f>WORKDAY.INTL(I10,21,"0000100",$AF$4:$AF$8)</f>
        <v>46208</v>
      </c>
      <c r="J11" s="29"/>
      <c r="K11" s="30"/>
      <c r="L11" s="31">
        <v>0.9</v>
      </c>
      <c r="M11" s="31" t="str">
        <f t="shared" ca="1" si="1"/>
        <v>In Progress</v>
      </c>
      <c r="N11" s="412"/>
      <c r="O11" s="57"/>
      <c r="P11" s="289"/>
      <c r="Q11" s="289"/>
      <c r="R11" s="289"/>
      <c r="S11" s="289"/>
      <c r="T11" s="289"/>
      <c r="U11" s="289"/>
      <c r="V11" s="290"/>
      <c r="W11" s="291"/>
      <c r="Z11" s="23" t="s">
        <v>63</v>
      </c>
      <c r="AA11" s="231" t="s">
        <v>69</v>
      </c>
    </row>
    <row r="12" spans="2:31" ht="45" customHeight="1">
      <c r="B12" s="460"/>
      <c r="C12" s="285" t="s">
        <v>86</v>
      </c>
      <c r="D12" s="34" t="s">
        <v>111</v>
      </c>
      <c r="E12" s="33">
        <f>NETWORKDAYS.INTL(F12,G12,"0000110",$AE$4:$AE$10)</f>
        <v>4</v>
      </c>
      <c r="F12" s="29">
        <f>MAX(WORKDAY.INTL(G11,1,"0000100",$AD$4:$AD$9),WORKDAY.INTL(G7,1,"0000100",$AD$4:$AD$9))</f>
        <v>46238</v>
      </c>
      <c r="G12" s="29">
        <f>WORKDAY.INTL(F12,3,"0000110",$AE$4:$AE$9)</f>
        <v>46243</v>
      </c>
      <c r="H12" s="29">
        <f>MAX(WORKDAY.INTL(I11,1,"0000100",$AD$4:$AD$9),WORKDAY.INTL(I7,1,"0000100",$AD$4:$AD$9))</f>
        <v>46238</v>
      </c>
      <c r="I12" s="29">
        <f>WORKDAY.INTL(H12,3,"0000110",$AE$4:$AE$9)</f>
        <v>46243</v>
      </c>
      <c r="J12" s="29"/>
      <c r="K12" s="29"/>
      <c r="L12" s="35">
        <v>0</v>
      </c>
      <c r="M12" s="35" t="str">
        <f t="shared" ca="1" si="1"/>
        <v>Not Started</v>
      </c>
      <c r="N12" s="412"/>
      <c r="O12" s="57"/>
      <c r="P12" s="58"/>
      <c r="Q12" s="58"/>
      <c r="R12" s="58"/>
      <c r="S12" s="58"/>
      <c r="T12" s="58"/>
      <c r="U12" s="58"/>
      <c r="V12" s="59"/>
      <c r="W12" s="291" t="s">
        <v>117</v>
      </c>
      <c r="Z12" s="23" t="s">
        <v>64</v>
      </c>
      <c r="AA12" s="231" t="s">
        <v>69</v>
      </c>
    </row>
    <row r="13" spans="2:31" ht="45" customHeight="1">
      <c r="B13" s="460"/>
      <c r="C13" s="285" t="s">
        <v>86</v>
      </c>
      <c r="D13" s="34" t="s">
        <v>114</v>
      </c>
      <c r="E13" s="33">
        <f>NETWORKDAYS.INTL(F13,G13,"0000110",$AE$4:$AE$10)</f>
        <v>2</v>
      </c>
      <c r="F13" s="29">
        <f>WORKDAY.INTL(G12,1,"0000110",$AE$4:$AE$8)</f>
        <v>46244</v>
      </c>
      <c r="G13" s="29">
        <f>WORKDAY.INTL(F13,1,"0000110",$AE$4:$AE$9)</f>
        <v>46245</v>
      </c>
      <c r="H13" s="29">
        <f>WORKDAY.INTL(I12,1,"0000110",$AE$4:$AE$8)</f>
        <v>46244</v>
      </c>
      <c r="I13" s="29">
        <f>WORKDAY.INTL(H13,1,"0000110",$AE$4:$AE$9)</f>
        <v>46245</v>
      </c>
      <c r="J13" s="29"/>
      <c r="K13" s="29"/>
      <c r="L13" s="35">
        <v>0</v>
      </c>
      <c r="M13" s="35" t="str">
        <f t="shared" ca="1" si="1"/>
        <v>Not Started</v>
      </c>
      <c r="N13" s="412"/>
      <c r="O13" s="57"/>
      <c r="P13" s="58"/>
      <c r="Q13" s="58"/>
      <c r="R13" s="58"/>
      <c r="S13" s="58"/>
      <c r="T13" s="58"/>
      <c r="U13" s="58"/>
      <c r="V13" s="59"/>
      <c r="W13" s="291" t="s">
        <v>115</v>
      </c>
      <c r="Z13" s="23" t="s">
        <v>65</v>
      </c>
      <c r="AA13" s="231" t="s">
        <v>69</v>
      </c>
    </row>
    <row r="14" spans="2:31" s="274" customFormat="1" ht="4.5" customHeight="1">
      <c r="B14" s="292"/>
      <c r="C14" s="292"/>
      <c r="D14" s="292"/>
      <c r="E14" s="293"/>
      <c r="F14" s="292"/>
      <c r="G14" s="292"/>
      <c r="H14" s="292"/>
      <c r="I14" s="292"/>
      <c r="J14" s="292"/>
      <c r="K14" s="292"/>
      <c r="L14" s="294"/>
      <c r="M14" s="294"/>
      <c r="N14" s="294"/>
      <c r="O14" s="292"/>
      <c r="P14" s="292"/>
      <c r="Q14" s="292"/>
      <c r="R14" s="292"/>
      <c r="S14" s="292"/>
      <c r="T14" s="292"/>
      <c r="U14" s="292"/>
      <c r="V14" s="292"/>
      <c r="W14" s="295"/>
      <c r="Z14" s="275"/>
      <c r="AA14" s="275"/>
    </row>
    <row r="15" spans="2:31" ht="45" customHeight="1">
      <c r="B15" s="461" t="s">
        <v>118</v>
      </c>
      <c r="C15" s="296" t="s">
        <v>86</v>
      </c>
      <c r="D15" s="21" t="s">
        <v>105</v>
      </c>
      <c r="E15" s="22">
        <f>NETWORKDAYS.INTL(F15,G15,"0000100",$AE$4:$AE$10)</f>
        <v>7</v>
      </c>
      <c r="F15" s="23">
        <f>WORKDAY.INTL(G11,1,"0000100",$AF$4:$AF$8)</f>
        <v>46209</v>
      </c>
      <c r="G15" s="23">
        <f>WORKDAY.INTL(F15,6,"0000100",$AF$4:$AF$8)</f>
        <v>46216</v>
      </c>
      <c r="H15" s="23">
        <f>WORKDAY.INTL(I11,1,"0000100",$AF$4:$AF$8)</f>
        <v>46209</v>
      </c>
      <c r="I15" s="23">
        <f>WORKDAY.INTL(H15,6,"0000100",$AF$4:$AF$8)</f>
        <v>46216</v>
      </c>
      <c r="J15" s="23"/>
      <c r="K15" s="23"/>
      <c r="L15" s="24">
        <v>0</v>
      </c>
      <c r="M15" s="24" t="str">
        <f t="shared" ref="M15:M18" ca="1" si="2">IF(L15=100%,"Completed",IF(AND(OR(L15="",L15=0),F15&gt;TODAY()),"Not Started",IF(AND(OR(L15="",L15=0),F15&lt;=TODAY()),"Delayed",IF(AND(L15&gt;0,L15&lt;100%,G15&lt;TODAY()),"Delayed",IF(AND(L15&gt;0,L15&lt;100%,G15&gt;=TODAY()),"In Progress","")))))</f>
        <v>Not Started</v>
      </c>
      <c r="N15" s="413"/>
      <c r="O15" s="297"/>
      <c r="P15" s="298"/>
      <c r="Q15" s="298"/>
      <c r="R15" s="298"/>
      <c r="S15" s="298"/>
      <c r="T15" s="298"/>
      <c r="U15" s="298"/>
      <c r="V15" s="299"/>
      <c r="W15" s="300"/>
      <c r="Z15" s="23" t="s">
        <v>62</v>
      </c>
      <c r="AA15" s="231" t="s">
        <v>70</v>
      </c>
    </row>
    <row r="16" spans="2:31" ht="45" customHeight="1">
      <c r="B16" s="462"/>
      <c r="C16" s="296" t="s">
        <v>86</v>
      </c>
      <c r="D16" s="21" t="s">
        <v>107</v>
      </c>
      <c r="E16" s="22">
        <f>NETWORKDAYS.INTL(F16,G16,"0000100",$AE$4:$AE$10)</f>
        <v>3</v>
      </c>
      <c r="F16" s="23">
        <f>WORKDAY.INTL(G15,1,"0000100",$AF$4:$AF$8)</f>
        <v>46217</v>
      </c>
      <c r="G16" s="23">
        <f>WORKDAY.INTL(F16,2,"0000100",$AF$4:$AF$8)</f>
        <v>46219</v>
      </c>
      <c r="H16" s="23">
        <f>WORKDAY.INTL(I15,1,"0000100",$AF$4:$AF$8)</f>
        <v>46217</v>
      </c>
      <c r="I16" s="23">
        <f>WORKDAY.INTL(H16,2,"0000100",$AF$4:$AF$8)</f>
        <v>46219</v>
      </c>
      <c r="J16" s="23"/>
      <c r="K16" s="23"/>
      <c r="L16" s="24">
        <v>0</v>
      </c>
      <c r="M16" s="24" t="str">
        <f t="shared" ca="1" si="2"/>
        <v>Not Started</v>
      </c>
      <c r="N16" s="413"/>
      <c r="O16" s="297"/>
      <c r="P16" s="298"/>
      <c r="Q16" s="298"/>
      <c r="R16" s="298"/>
      <c r="S16" s="298"/>
      <c r="T16" s="298"/>
      <c r="U16" s="298"/>
      <c r="V16" s="299"/>
      <c r="W16" s="300"/>
      <c r="Z16" s="23" t="s">
        <v>63</v>
      </c>
      <c r="AA16" s="231" t="s">
        <v>70</v>
      </c>
    </row>
    <row r="17" spans="2:31" ht="45" customHeight="1">
      <c r="B17" s="462"/>
      <c r="C17" s="296" t="s">
        <v>86</v>
      </c>
      <c r="D17" s="21" t="s">
        <v>111</v>
      </c>
      <c r="E17" s="22">
        <f>NETWORKDAYS.INTL(F17,G17,"0000110",$AE$4:$AE$10)</f>
        <v>5</v>
      </c>
      <c r="F17" s="23">
        <f>MAX(WORKDAY.INTL(G16,1,"0000100",$AD$4:$AD$9),WORKDAY.INTL(G12,1,"0000100",$AD$4:$AD$9))</f>
        <v>46244</v>
      </c>
      <c r="G17" s="23">
        <f>WORKDAY.INTL(F17,4,"0000110",$AE$4:$AE$9)</f>
        <v>46250</v>
      </c>
      <c r="H17" s="23">
        <f>MAX(WORKDAY.INTL(I16,1,"0000100",$AD$4:$AD$9),WORKDAY.INTL(I12,1,"0000100",$AD$4:$AD$9))</f>
        <v>46244</v>
      </c>
      <c r="I17" s="23">
        <f>WORKDAY.INTL(H17,4,"0000110",$AE$4:$AE$9)</f>
        <v>46250</v>
      </c>
      <c r="J17" s="23"/>
      <c r="K17" s="23"/>
      <c r="L17" s="24">
        <v>0</v>
      </c>
      <c r="M17" s="24" t="str">
        <f t="shared" ca="1" si="2"/>
        <v>Not Started</v>
      </c>
      <c r="N17" s="413"/>
      <c r="O17" s="297"/>
      <c r="P17" s="298"/>
      <c r="Q17" s="298"/>
      <c r="R17" s="298"/>
      <c r="S17" s="298"/>
      <c r="T17" s="298"/>
      <c r="U17" s="298"/>
      <c r="V17" s="299"/>
      <c r="W17" s="300" t="s">
        <v>117</v>
      </c>
      <c r="Z17" s="23" t="s">
        <v>64</v>
      </c>
      <c r="AA17" s="231" t="s">
        <v>70</v>
      </c>
    </row>
    <row r="18" spans="2:31" ht="45" customHeight="1">
      <c r="B18" s="462"/>
      <c r="C18" s="296" t="s">
        <v>86</v>
      </c>
      <c r="D18" s="26" t="s">
        <v>114</v>
      </c>
      <c r="E18" s="22">
        <f>NETWORKDAYS.INTL(F18,G18,"0000110",$AE$4:$AE$10)</f>
        <v>2</v>
      </c>
      <c r="F18" s="23">
        <f>WORKDAY.INTL(G17,1,"0000110",$AE$4:$AE$8)</f>
        <v>46251</v>
      </c>
      <c r="G18" s="23">
        <f>WORKDAY.INTL(F18,1,"0000110",$AE$4:$AE$9)</f>
        <v>46252</v>
      </c>
      <c r="H18" s="23">
        <f>WORKDAY.INTL(I17,1,"0000110",$AE$4:$AE$8)</f>
        <v>46251</v>
      </c>
      <c r="I18" s="23">
        <f>WORKDAY.INTL(H18,1,"0000110",$AE$4:$AE$9)</f>
        <v>46252</v>
      </c>
      <c r="J18" s="23"/>
      <c r="K18" s="23"/>
      <c r="L18" s="24">
        <v>0</v>
      </c>
      <c r="M18" s="24" t="str">
        <f t="shared" ca="1" si="2"/>
        <v>Not Started</v>
      </c>
      <c r="N18" s="413"/>
      <c r="O18" s="297"/>
      <c r="P18" s="301"/>
      <c r="Q18" s="301"/>
      <c r="R18" s="301"/>
      <c r="S18" s="301"/>
      <c r="T18" s="301"/>
      <c r="U18" s="301"/>
      <c r="V18" s="302"/>
      <c r="W18" s="300" t="s">
        <v>115</v>
      </c>
      <c r="Z18" s="23" t="s">
        <v>65</v>
      </c>
      <c r="AA18" s="231" t="s">
        <v>70</v>
      </c>
    </row>
    <row r="19" spans="2:31" s="274" customFormat="1" ht="4.5" customHeight="1">
      <c r="B19" s="292"/>
      <c r="C19" s="292"/>
      <c r="D19" s="292"/>
      <c r="E19" s="293"/>
      <c r="F19" s="292"/>
      <c r="G19" s="292"/>
      <c r="H19" s="292"/>
      <c r="I19" s="292"/>
      <c r="J19" s="292"/>
      <c r="K19" s="292"/>
      <c r="L19" s="294"/>
      <c r="M19" s="294"/>
      <c r="N19" s="294"/>
      <c r="O19" s="292"/>
      <c r="P19" s="292"/>
      <c r="Q19" s="292"/>
      <c r="R19" s="292"/>
      <c r="S19" s="292"/>
      <c r="T19" s="292"/>
      <c r="U19" s="292"/>
      <c r="V19" s="292"/>
      <c r="W19" s="295"/>
      <c r="Z19" s="275"/>
      <c r="AA19" s="275"/>
    </row>
    <row r="20" spans="2:31" ht="45" customHeight="1">
      <c r="B20" s="459" t="s">
        <v>119</v>
      </c>
      <c r="C20" s="285" t="s">
        <v>86</v>
      </c>
      <c r="D20" s="27" t="s">
        <v>105</v>
      </c>
      <c r="E20" s="28">
        <f>NETWORKDAYS.INTL(F20,G20,"0000100",$AE$4:$AE$10)</f>
        <v>7</v>
      </c>
      <c r="F20" s="29">
        <f>WORKDAY.INTL(G16,1,"0000100",$AF$4:$AF$8)</f>
        <v>46221</v>
      </c>
      <c r="G20" s="30">
        <f>WORKDAY.INTL(F20,6,"0000100",$AF$4:$AF$8)</f>
        <v>46228</v>
      </c>
      <c r="H20" s="29">
        <f>WORKDAY.INTL(I16,1,"0000100",$AF$4:$AF$8)</f>
        <v>46221</v>
      </c>
      <c r="I20" s="30">
        <f>WORKDAY.INTL(H20,6,"0000100",$AF$4:$AF$8)</f>
        <v>46228</v>
      </c>
      <c r="J20" s="29"/>
      <c r="K20" s="30"/>
      <c r="L20" s="31">
        <v>0</v>
      </c>
      <c r="M20" s="31" t="str">
        <f t="shared" ref="M20:M23" ca="1" si="3">IF(L20=100%,"Completed",IF(AND(OR(L20="",L20=0),F20&gt;TODAY()),"Not Started",IF(AND(OR(L20="",L20=0),F20&lt;=TODAY()),"Delayed",IF(AND(L20&gt;0,L20&lt;100%,G20&lt;TODAY()),"Delayed",IF(AND(L20&gt;0,L20&lt;100%,G20&gt;=TODAY()),"In Progress","")))))</f>
        <v>Not Started</v>
      </c>
      <c r="N20" s="412"/>
      <c r="O20" s="57"/>
      <c r="P20" s="286"/>
      <c r="Q20" s="286"/>
      <c r="R20" s="286"/>
      <c r="S20" s="286"/>
      <c r="T20" s="286"/>
      <c r="U20" s="286"/>
      <c r="V20" s="287"/>
      <c r="W20" s="288"/>
      <c r="Z20" s="23" t="s">
        <v>62</v>
      </c>
      <c r="AA20" s="231" t="s">
        <v>71</v>
      </c>
      <c r="AE20" s="276"/>
    </row>
    <row r="21" spans="2:31" ht="45" customHeight="1">
      <c r="B21" s="460"/>
      <c r="C21" s="285" t="s">
        <v>86</v>
      </c>
      <c r="D21" s="32" t="s">
        <v>107</v>
      </c>
      <c r="E21" s="33">
        <f>NETWORKDAYS.INTL(F21,G21,"0000100",$AE$4:$AE$10)</f>
        <v>3</v>
      </c>
      <c r="F21" s="29">
        <f>WORKDAY.INTL(G20,1,"0000100",$AF$4:$AF$8)</f>
        <v>46229</v>
      </c>
      <c r="G21" s="30">
        <f>WORKDAY.INTL(F21,2,"0000100",$AF$4:$AF$8)</f>
        <v>46231</v>
      </c>
      <c r="H21" s="29">
        <f>WORKDAY.INTL(I20,1,"0000100",$AF$4:$AF$8)</f>
        <v>46229</v>
      </c>
      <c r="I21" s="30">
        <f>WORKDAY.INTL(H21,2,"0000100",$AF$4:$AF$8)</f>
        <v>46231</v>
      </c>
      <c r="J21" s="29"/>
      <c r="K21" s="30"/>
      <c r="L21" s="31">
        <v>0</v>
      </c>
      <c r="M21" s="31" t="str">
        <f t="shared" ca="1" si="3"/>
        <v>Not Started</v>
      </c>
      <c r="N21" s="412"/>
      <c r="O21" s="57"/>
      <c r="P21" s="289"/>
      <c r="Q21" s="289"/>
      <c r="R21" s="289"/>
      <c r="S21" s="289"/>
      <c r="T21" s="289"/>
      <c r="U21" s="289"/>
      <c r="V21" s="290"/>
      <c r="W21" s="291" t="s">
        <v>120</v>
      </c>
      <c r="Z21" s="23" t="s">
        <v>63</v>
      </c>
      <c r="AA21" s="231" t="s">
        <v>71</v>
      </c>
    </row>
    <row r="22" spans="2:31" ht="45" customHeight="1">
      <c r="B22" s="460"/>
      <c r="C22" s="285" t="s">
        <v>86</v>
      </c>
      <c r="D22" s="34" t="s">
        <v>111</v>
      </c>
      <c r="E22" s="33">
        <f>NETWORKDAYS.INTL(F22,G22,"0000110",$AE$4:$AE$10)</f>
        <v>6</v>
      </c>
      <c r="F22" s="29">
        <f>MAX(WORKDAY.INTL(G21,1,"0000100",$AD$4:$AD$9),WORKDAY.INTL(G17,1,"0000100",$AD$4:$AD$9))</f>
        <v>46251</v>
      </c>
      <c r="G22" s="29">
        <f>WORKDAY.INTL(F22,5,"0000110",$AE$4:$AE$9)</f>
        <v>46258</v>
      </c>
      <c r="H22" s="29">
        <f>MAX(WORKDAY.INTL(I21,1,"0000100",$AD$4:$AD$9),WORKDAY.INTL(I17,1,"0000100",$AD$4:$AD$9))</f>
        <v>46251</v>
      </c>
      <c r="I22" s="29">
        <f>WORKDAY.INTL(H22,5,"0000110",$AE$4:$AE$9)</f>
        <v>46258</v>
      </c>
      <c r="J22" s="29"/>
      <c r="K22" s="29"/>
      <c r="L22" s="35">
        <v>0</v>
      </c>
      <c r="M22" s="35" t="str">
        <f t="shared" ca="1" si="3"/>
        <v>Not Started</v>
      </c>
      <c r="N22" s="412"/>
      <c r="O22" s="57"/>
      <c r="P22" s="58"/>
      <c r="Q22" s="58"/>
      <c r="R22" s="58"/>
      <c r="S22" s="58"/>
      <c r="T22" s="58"/>
      <c r="U22" s="58"/>
      <c r="V22" s="59"/>
      <c r="W22" s="291" t="s">
        <v>117</v>
      </c>
      <c r="Z22" s="23" t="s">
        <v>64</v>
      </c>
      <c r="AA22" s="231" t="s">
        <v>71</v>
      </c>
    </row>
    <row r="23" spans="2:31" ht="45" customHeight="1">
      <c r="B23" s="460"/>
      <c r="C23" s="285" t="s">
        <v>86</v>
      </c>
      <c r="D23" s="34" t="s">
        <v>114</v>
      </c>
      <c r="E23" s="33">
        <f>NETWORKDAYS.INTL(F23,G23,"0000110",$AE$4:$AE$10)</f>
        <v>2</v>
      </c>
      <c r="F23" s="29">
        <f>WORKDAY.INTL(G22,1,"0000110",$AE$4:$AE$9)</f>
        <v>46259</v>
      </c>
      <c r="G23" s="29">
        <f>WORKDAY.INTL(F23,1,"0000110",$AE$4:$AE$9)</f>
        <v>46260</v>
      </c>
      <c r="H23" s="29">
        <f>WORKDAY.INTL(I22,1,"0000110",$AE$4:$AE$9)</f>
        <v>46259</v>
      </c>
      <c r="I23" s="29">
        <f>WORKDAY.INTL(H23,1,"0000110",$AE$4:$AE$9)</f>
        <v>46260</v>
      </c>
      <c r="J23" s="29"/>
      <c r="K23" s="29"/>
      <c r="L23" s="35">
        <v>0</v>
      </c>
      <c r="M23" s="35" t="str">
        <f t="shared" ca="1" si="3"/>
        <v>Not Started</v>
      </c>
      <c r="N23" s="412"/>
      <c r="O23" s="57"/>
      <c r="P23" s="58"/>
      <c r="Q23" s="58"/>
      <c r="R23" s="58"/>
      <c r="S23" s="58"/>
      <c r="T23" s="58"/>
      <c r="U23" s="58"/>
      <c r="V23" s="59"/>
      <c r="W23" s="291" t="s">
        <v>115</v>
      </c>
      <c r="Z23" s="23" t="s">
        <v>65</v>
      </c>
      <c r="AA23" s="231" t="s">
        <v>71</v>
      </c>
    </row>
    <row r="24" spans="2:31" s="274" customFormat="1" ht="4.5" customHeight="1">
      <c r="B24" s="292"/>
      <c r="C24" s="292"/>
      <c r="D24" s="292"/>
      <c r="E24" s="293"/>
      <c r="F24" s="292"/>
      <c r="G24" s="292"/>
      <c r="H24" s="292"/>
      <c r="I24" s="292"/>
      <c r="J24" s="292"/>
      <c r="K24" s="292"/>
      <c r="L24" s="294">
        <v>0</v>
      </c>
      <c r="M24" s="294"/>
      <c r="N24" s="294"/>
      <c r="O24" s="292"/>
      <c r="P24" s="292"/>
      <c r="Q24" s="292"/>
      <c r="R24" s="292"/>
      <c r="S24" s="292"/>
      <c r="T24" s="292"/>
      <c r="U24" s="292"/>
      <c r="V24" s="292"/>
      <c r="W24" s="295"/>
      <c r="Z24" s="275"/>
      <c r="AA24" s="275"/>
    </row>
    <row r="25" spans="2:31" ht="45" customHeight="1">
      <c r="B25" s="461" t="s">
        <v>121</v>
      </c>
      <c r="C25" s="296" t="s">
        <v>86</v>
      </c>
      <c r="D25" s="21" t="s">
        <v>105</v>
      </c>
      <c r="E25" s="22">
        <f>NETWORKDAYS.INTL(F25,G25,"0000100",$AE$4:$AE$10)</f>
        <v>7</v>
      </c>
      <c r="F25" s="23">
        <f>WORKDAY.INTL(G21,1,"0000100",$AF$4:$AF$8)</f>
        <v>46232</v>
      </c>
      <c r="G25" s="23">
        <f>WORKDAY.INTL(F25,6,"0000100",$AF$4:$AF$8)</f>
        <v>46239</v>
      </c>
      <c r="H25" s="23">
        <f>WORKDAY.INTL(I21,1,"0000100",$AF$4:$AF$8)</f>
        <v>46232</v>
      </c>
      <c r="I25" s="23">
        <f>WORKDAY.INTL(H25,6,"0000100",$AF$4:$AF$8)</f>
        <v>46239</v>
      </c>
      <c r="J25" s="23"/>
      <c r="K25" s="23"/>
      <c r="L25" s="24">
        <v>0</v>
      </c>
      <c r="M25" s="24" t="str">
        <f t="shared" ref="M25:M28" ca="1" si="4">IF(L25=100%,"Completed",IF(AND(OR(L25="",L25=0),F25&gt;TODAY()),"Not Started",IF(AND(OR(L25="",L25=0),F25&lt;=TODAY()),"Delayed",IF(AND(L25&gt;0,L25&lt;100%,G25&lt;TODAY()),"Delayed",IF(AND(L25&gt;0,L25&lt;100%,G25&gt;=TODAY()),"In Progress","")))))</f>
        <v>Not Started</v>
      </c>
      <c r="N25" s="413"/>
      <c r="O25" s="297"/>
      <c r="P25" s="298"/>
      <c r="Q25" s="298"/>
      <c r="R25" s="298"/>
      <c r="S25" s="298"/>
      <c r="T25" s="298"/>
      <c r="U25" s="298"/>
      <c r="V25" s="299"/>
      <c r="W25" s="300"/>
      <c r="Z25" s="23" t="s">
        <v>62</v>
      </c>
      <c r="AA25" s="231" t="s">
        <v>72</v>
      </c>
    </row>
    <row r="26" spans="2:31" ht="45" customHeight="1">
      <c r="B26" s="462"/>
      <c r="C26" s="296" t="s">
        <v>86</v>
      </c>
      <c r="D26" s="21" t="s">
        <v>107</v>
      </c>
      <c r="E26" s="22">
        <f>NETWORKDAYS.INTL(F26,G26,"0000100",$AE$4:$AE$10)</f>
        <v>3</v>
      </c>
      <c r="F26" s="23">
        <f>WORKDAY.INTL(G25,1,"0000100",$AF$4:$AF$8)</f>
        <v>46240</v>
      </c>
      <c r="G26" s="23">
        <f>WORKDAY.INTL(F26,2,"0000100",$AF$4:$AF$8)</f>
        <v>46243</v>
      </c>
      <c r="H26" s="23">
        <f>WORKDAY.INTL(I25,1,"0000100",$AF$4:$AF$8)</f>
        <v>46240</v>
      </c>
      <c r="I26" s="23">
        <f>WORKDAY.INTL(H26,2,"0000100",$AF$4:$AF$8)</f>
        <v>46243</v>
      </c>
      <c r="J26" s="23"/>
      <c r="K26" s="23"/>
      <c r="L26" s="24">
        <v>0</v>
      </c>
      <c r="M26" s="24" t="str">
        <f t="shared" ca="1" si="4"/>
        <v>Not Started</v>
      </c>
      <c r="N26" s="413"/>
      <c r="O26" s="297"/>
      <c r="P26" s="298"/>
      <c r="Q26" s="298"/>
      <c r="R26" s="298"/>
      <c r="S26" s="298"/>
      <c r="T26" s="298"/>
      <c r="U26" s="298"/>
      <c r="V26" s="299"/>
      <c r="W26" s="300"/>
      <c r="Z26" s="23" t="s">
        <v>63</v>
      </c>
      <c r="AA26" s="231" t="s">
        <v>72</v>
      </c>
    </row>
    <row r="27" spans="2:31" ht="45" customHeight="1">
      <c r="B27" s="462"/>
      <c r="C27" s="296" t="s">
        <v>86</v>
      </c>
      <c r="D27" s="21" t="s">
        <v>111</v>
      </c>
      <c r="E27" s="22">
        <f>NETWORKDAYS.INTL(F27,G27,"0000110",$AE$4:$AE$10)</f>
        <v>6</v>
      </c>
      <c r="F27" s="23">
        <f>MAX(WORKDAY.INTL(G26,1,"0000100",$AD$4:$AD$9),WORKDAY.INTL(G22,1,"0000100",$AD$4:$AD$9))</f>
        <v>46259</v>
      </c>
      <c r="G27" s="23">
        <f t="shared" ref="G27" si="5">WORKDAY.INTL(F27,5,"0000110")</f>
        <v>46266</v>
      </c>
      <c r="H27" s="23">
        <f>MAX(WORKDAY.INTL(I26,1,"0000100",$AD$4:$AD$9),WORKDAY.INTL(I22,1,"0000100",$AD$4:$AD$9))</f>
        <v>46259</v>
      </c>
      <c r="I27" s="23">
        <f t="shared" ref="I27" si="6">WORKDAY.INTL(H27,5,"0000110")</f>
        <v>46266</v>
      </c>
      <c r="J27" s="23"/>
      <c r="K27" s="23"/>
      <c r="L27" s="24">
        <v>0</v>
      </c>
      <c r="M27" s="24" t="str">
        <f t="shared" ca="1" si="4"/>
        <v>Not Started</v>
      </c>
      <c r="N27" s="413"/>
      <c r="O27" s="297"/>
      <c r="P27" s="298"/>
      <c r="Q27" s="298"/>
      <c r="R27" s="298"/>
      <c r="S27" s="298"/>
      <c r="T27" s="298"/>
      <c r="U27" s="298"/>
      <c r="V27" s="299"/>
      <c r="W27" s="300" t="s">
        <v>117</v>
      </c>
      <c r="Z27" s="23" t="s">
        <v>64</v>
      </c>
      <c r="AA27" s="231" t="s">
        <v>72</v>
      </c>
    </row>
    <row r="28" spans="2:31" ht="45" customHeight="1">
      <c r="B28" s="462"/>
      <c r="C28" s="296" t="s">
        <v>86</v>
      </c>
      <c r="D28" s="26" t="s">
        <v>114</v>
      </c>
      <c r="E28" s="22">
        <f>NETWORKDAYS.INTL(F28,G28,"0000110",$AE$4:$AE$10)</f>
        <v>2</v>
      </c>
      <c r="F28" s="23">
        <f t="shared" ref="F28" si="7">WORKDAY.INTL(G27,1,"0000110")</f>
        <v>46267</v>
      </c>
      <c r="G28" s="23">
        <f t="shared" ref="G28" si="8">WORKDAY.INTL(F28,1,"0000110")</f>
        <v>46268</v>
      </c>
      <c r="H28" s="23">
        <f t="shared" ref="H28" si="9">WORKDAY.INTL(I27,1,"0000110")</f>
        <v>46267</v>
      </c>
      <c r="I28" s="23">
        <f t="shared" ref="I28" si="10">WORKDAY.INTL(H28,1,"0000110")</f>
        <v>46268</v>
      </c>
      <c r="J28" s="23"/>
      <c r="K28" s="23"/>
      <c r="L28" s="24">
        <v>0</v>
      </c>
      <c r="M28" s="24" t="str">
        <f t="shared" ca="1" si="4"/>
        <v>Not Started</v>
      </c>
      <c r="N28" s="413"/>
      <c r="O28" s="297"/>
      <c r="P28" s="301"/>
      <c r="Q28" s="301"/>
      <c r="R28" s="301"/>
      <c r="S28" s="301"/>
      <c r="T28" s="301"/>
      <c r="U28" s="301"/>
      <c r="V28" s="302"/>
      <c r="W28" s="300" t="s">
        <v>115</v>
      </c>
      <c r="Z28" s="23" t="s">
        <v>65</v>
      </c>
      <c r="AA28" s="231" t="s">
        <v>72</v>
      </c>
    </row>
    <row r="29" spans="2:31" s="274" customFormat="1" ht="4.5" customHeight="1">
      <c r="B29" s="292"/>
      <c r="C29" s="292"/>
      <c r="D29" s="292"/>
      <c r="E29" s="293"/>
      <c r="F29" s="292"/>
      <c r="G29" s="292"/>
      <c r="H29" s="292"/>
      <c r="I29" s="292"/>
      <c r="J29" s="292"/>
      <c r="K29" s="292"/>
      <c r="L29" s="294"/>
      <c r="M29" s="294"/>
      <c r="N29" s="294"/>
      <c r="O29" s="292"/>
      <c r="P29" s="292"/>
      <c r="Q29" s="292"/>
      <c r="R29" s="292"/>
      <c r="S29" s="292"/>
      <c r="T29" s="292"/>
      <c r="U29" s="292"/>
      <c r="V29" s="292"/>
      <c r="W29" s="295"/>
      <c r="Z29" s="275"/>
      <c r="AA29" s="275"/>
    </row>
    <row r="30" spans="2:31" ht="45" customHeight="1">
      <c r="B30" s="459" t="s">
        <v>122</v>
      </c>
      <c r="C30" s="285" t="s">
        <v>86</v>
      </c>
      <c r="D30" s="27" t="s">
        <v>105</v>
      </c>
      <c r="E30" s="28">
        <f>NETWORKDAYS.INTL(F30,G30,"0000100",$AE$4:$AE$10)</f>
        <v>7</v>
      </c>
      <c r="F30" s="29">
        <f>WORKDAY.INTL(G26,1,"0000100",$AF$4:$AF$8)</f>
        <v>46244</v>
      </c>
      <c r="G30" s="30">
        <f>WORKDAY.INTL(F30,6,"0000100",$AF$4:$AF$8)</f>
        <v>46251</v>
      </c>
      <c r="H30" s="29">
        <f>WORKDAY.INTL(I26,1,"0000100",$AF$4:$AF$8)</f>
        <v>46244</v>
      </c>
      <c r="I30" s="30">
        <f>WORKDAY.INTL(H30,6,"0000100",$AF$4:$AF$8)</f>
        <v>46251</v>
      </c>
      <c r="J30" s="29"/>
      <c r="K30" s="30"/>
      <c r="L30" s="31">
        <v>0</v>
      </c>
      <c r="M30" s="31" t="str">
        <f t="shared" ref="M30:M33" ca="1" si="11">IF(L30=100%,"Completed",IF(AND(OR(L30="",L30=0),F30&gt;TODAY()),"Not Started",IF(AND(OR(L30="",L30=0),F30&lt;=TODAY()),"Delayed",IF(AND(L30&gt;0,L30&lt;100%,G30&lt;TODAY()),"Delayed",IF(AND(L30&gt;0,L30&lt;100%,G30&gt;=TODAY()),"In Progress","")))))</f>
        <v>Not Started</v>
      </c>
      <c r="N30" s="412"/>
      <c r="O30" s="57"/>
      <c r="P30" s="286"/>
      <c r="Q30" s="286"/>
      <c r="R30" s="286"/>
      <c r="S30" s="286"/>
      <c r="T30" s="286"/>
      <c r="U30" s="286"/>
      <c r="V30" s="287"/>
      <c r="W30" s="288"/>
      <c r="Z30" s="23" t="s">
        <v>62</v>
      </c>
      <c r="AA30" s="231" t="s">
        <v>73</v>
      </c>
      <c r="AE30" s="276"/>
    </row>
    <row r="31" spans="2:31" ht="45" customHeight="1">
      <c r="B31" s="460"/>
      <c r="C31" s="285" t="s">
        <v>86</v>
      </c>
      <c r="D31" s="32" t="s">
        <v>107</v>
      </c>
      <c r="E31" s="33">
        <f>NETWORKDAYS.INTL(F31,G31,"0000100",$AE$4:$AE$10)</f>
        <v>3</v>
      </c>
      <c r="F31" s="29">
        <f>WORKDAY.INTL(G30,1,"0000100",$AF$4:$AF$8)</f>
        <v>46252</v>
      </c>
      <c r="G31" s="30">
        <f>WORKDAY.INTL(F31,2,"0000100",$AF$4:$AF$8)</f>
        <v>46254</v>
      </c>
      <c r="H31" s="29">
        <f>WORKDAY.INTL(I30,1,"0000100",$AF$4:$AF$8)</f>
        <v>46252</v>
      </c>
      <c r="I31" s="30">
        <f>WORKDAY.INTL(H31,2,"0000100",$AF$4:$AF$8)</f>
        <v>46254</v>
      </c>
      <c r="J31" s="29"/>
      <c r="K31" s="30"/>
      <c r="L31" s="31">
        <v>0</v>
      </c>
      <c r="M31" s="31" t="str">
        <f t="shared" ca="1" si="11"/>
        <v>Not Started</v>
      </c>
      <c r="N31" s="412"/>
      <c r="O31" s="57"/>
      <c r="P31" s="289"/>
      <c r="Q31" s="289"/>
      <c r="R31" s="289"/>
      <c r="S31" s="289"/>
      <c r="T31" s="289"/>
      <c r="U31" s="289"/>
      <c r="V31" s="290"/>
      <c r="W31" s="291"/>
      <c r="Z31" s="23" t="s">
        <v>63</v>
      </c>
      <c r="AA31" s="231" t="s">
        <v>73</v>
      </c>
    </row>
    <row r="32" spans="2:31" ht="45" customHeight="1">
      <c r="B32" s="460"/>
      <c r="C32" s="285" t="s">
        <v>86</v>
      </c>
      <c r="D32" s="34" t="s">
        <v>111</v>
      </c>
      <c r="E32" s="33">
        <f>NETWORKDAYS.INTL(F32,G32,"0000110",$AE$4:$AE$10)</f>
        <v>5</v>
      </c>
      <c r="F32" s="29">
        <f>MAX(WORKDAY.INTL(G31,1,"0000100",$AD$4:$AD$9),WORKDAY.INTL(G27,1,"0000100",$AD$4:$AD$9))</f>
        <v>46267</v>
      </c>
      <c r="G32" s="29">
        <f>WORKDAY.INTL(F32,4,"0000110",$AE$4:$AE$9)</f>
        <v>46273</v>
      </c>
      <c r="H32" s="29">
        <f>MAX(WORKDAY.INTL(I31,1,"0000100",$AD$4:$AD$9),WORKDAY.INTL(I27,1,"0000100",$AD$4:$AD$9))</f>
        <v>46267</v>
      </c>
      <c r="I32" s="29">
        <f>WORKDAY.INTL(H32,4,"0000110",$AE$4:$AE$9)</f>
        <v>46273</v>
      </c>
      <c r="J32" s="29"/>
      <c r="K32" s="29"/>
      <c r="L32" s="35">
        <v>0</v>
      </c>
      <c r="M32" s="35" t="str">
        <f t="shared" ca="1" si="11"/>
        <v>Not Started</v>
      </c>
      <c r="N32" s="412"/>
      <c r="O32" s="57"/>
      <c r="P32" s="58"/>
      <c r="Q32" s="58"/>
      <c r="R32" s="58"/>
      <c r="S32" s="58"/>
      <c r="T32" s="58"/>
      <c r="U32" s="58"/>
      <c r="V32" s="59"/>
      <c r="W32" s="291" t="s">
        <v>117</v>
      </c>
      <c r="Z32" s="23" t="s">
        <v>64</v>
      </c>
      <c r="AA32" s="231" t="s">
        <v>73</v>
      </c>
    </row>
    <row r="33" spans="2:31" ht="45" customHeight="1">
      <c r="B33" s="460"/>
      <c r="C33" s="285" t="s">
        <v>86</v>
      </c>
      <c r="D33" s="34" t="s">
        <v>114</v>
      </c>
      <c r="E33" s="33">
        <f>NETWORKDAYS.INTL(F33,G33,"0000110",$AE$4:$AE$10)</f>
        <v>2</v>
      </c>
      <c r="F33" s="29">
        <f>WORKDAY.INTL(G32,1,"0000110",$AE$4:$AE$9)</f>
        <v>46274</v>
      </c>
      <c r="G33" s="29">
        <f>WORKDAY.INTL(F33,1,"0000110",$AE$4:$AE$9)</f>
        <v>46275</v>
      </c>
      <c r="H33" s="29">
        <f>WORKDAY.INTL(I32,1,"0000110",$AE$4:$AE$9)</f>
        <v>46274</v>
      </c>
      <c r="I33" s="29">
        <f>WORKDAY.INTL(H33,1,"0000110",$AE$4:$AE$9)</f>
        <v>46275</v>
      </c>
      <c r="J33" s="29"/>
      <c r="K33" s="29"/>
      <c r="L33" s="35">
        <v>0</v>
      </c>
      <c r="M33" s="35" t="str">
        <f t="shared" ca="1" si="11"/>
        <v>Not Started</v>
      </c>
      <c r="N33" s="412"/>
      <c r="O33" s="57"/>
      <c r="P33" s="58"/>
      <c r="Q33" s="58"/>
      <c r="R33" s="58"/>
      <c r="S33" s="58"/>
      <c r="T33" s="58"/>
      <c r="U33" s="58"/>
      <c r="V33" s="59"/>
      <c r="W33" s="291" t="s">
        <v>115</v>
      </c>
      <c r="Z33" s="23" t="s">
        <v>65</v>
      </c>
      <c r="AA33" s="231" t="s">
        <v>73</v>
      </c>
    </row>
    <row r="34" spans="2:31" s="274" customFormat="1" ht="4.5" customHeight="1">
      <c r="B34" s="292"/>
      <c r="C34" s="292"/>
      <c r="D34" s="292"/>
      <c r="E34" s="293"/>
      <c r="F34" s="292"/>
      <c r="G34" s="292"/>
      <c r="H34" s="292"/>
      <c r="I34" s="292"/>
      <c r="J34" s="292"/>
      <c r="K34" s="292"/>
      <c r="L34" s="294"/>
      <c r="M34" s="294"/>
      <c r="N34" s="294"/>
      <c r="O34" s="292"/>
      <c r="P34" s="292"/>
      <c r="Q34" s="292"/>
      <c r="R34" s="292"/>
      <c r="S34" s="292"/>
      <c r="T34" s="292"/>
      <c r="U34" s="292"/>
      <c r="V34" s="292"/>
      <c r="W34" s="295"/>
      <c r="Z34" s="275"/>
      <c r="AA34" s="275"/>
    </row>
    <row r="35" spans="2:31" ht="45" customHeight="1">
      <c r="B35" s="461" t="s">
        <v>123</v>
      </c>
      <c r="C35" s="296" t="s">
        <v>86</v>
      </c>
      <c r="D35" s="21" t="s">
        <v>105</v>
      </c>
      <c r="E35" s="22">
        <f>NETWORKDAYS.INTL(F35,G35,"0000100",$AE$4:$AE$10)</f>
        <v>7</v>
      </c>
      <c r="F35" s="23">
        <f>WORKDAY.INTL(G31,1,"0000100",$AF$4:$AF$8)</f>
        <v>46256</v>
      </c>
      <c r="G35" s="23">
        <f>WORKDAY.INTL(F35,6,"0000100",$AF$4:$AF$8)</f>
        <v>46263</v>
      </c>
      <c r="H35" s="23">
        <f>WORKDAY.INTL(I31,1,"0000100",$AF$4:$AF$8)</f>
        <v>46256</v>
      </c>
      <c r="I35" s="23">
        <f>WORKDAY.INTL(H35,6,"0000100",$AF$4:$AF$8)</f>
        <v>46263</v>
      </c>
      <c r="J35" s="23"/>
      <c r="K35" s="23"/>
      <c r="L35" s="24">
        <v>0</v>
      </c>
      <c r="M35" s="24" t="str">
        <f t="shared" ref="M35:M38" ca="1" si="12">IF(L35=100%,"Completed",IF(AND(OR(L35="",L35=0),F35&gt;TODAY()),"Not Started",IF(AND(OR(L35="",L35=0),F35&lt;=TODAY()),"Delayed",IF(AND(L35&gt;0,L35&lt;100%,G35&lt;TODAY()),"Delayed",IF(AND(L35&gt;0,L35&lt;100%,G35&gt;=TODAY()),"In Progress","")))))</f>
        <v>Not Started</v>
      </c>
      <c r="N35" s="413"/>
      <c r="O35" s="297"/>
      <c r="P35" s="298"/>
      <c r="Q35" s="298"/>
      <c r="R35" s="298"/>
      <c r="S35" s="298"/>
      <c r="T35" s="298"/>
      <c r="U35" s="298"/>
      <c r="V35" s="299"/>
      <c r="W35" s="300"/>
      <c r="Z35" s="23" t="s">
        <v>62</v>
      </c>
      <c r="AA35" s="231" t="s">
        <v>74</v>
      </c>
    </row>
    <row r="36" spans="2:31" ht="45" customHeight="1">
      <c r="B36" s="462"/>
      <c r="C36" s="296" t="s">
        <v>86</v>
      </c>
      <c r="D36" s="21" t="s">
        <v>107</v>
      </c>
      <c r="E36" s="22">
        <f>NETWORKDAYS.INTL(F36,G36,"0000100",$AE$4:$AE$10)</f>
        <v>3</v>
      </c>
      <c r="F36" s="23">
        <f>WORKDAY.INTL(G35,1,"0000100",$AF$4:$AF$8)</f>
        <v>46264</v>
      </c>
      <c r="G36" s="23">
        <f>WORKDAY.INTL(F36,2,"0000100",$AF$4:$AF$8)</f>
        <v>46266</v>
      </c>
      <c r="H36" s="23">
        <f>WORKDAY.INTL(I35,1,"0000100",$AF$4:$AF$8)</f>
        <v>46264</v>
      </c>
      <c r="I36" s="23">
        <f>WORKDAY.INTL(H36,2,"0000100",$AF$4:$AF$8)</f>
        <v>46266</v>
      </c>
      <c r="J36" s="23"/>
      <c r="K36" s="23"/>
      <c r="L36" s="24">
        <v>0</v>
      </c>
      <c r="M36" s="24" t="str">
        <f t="shared" ca="1" si="12"/>
        <v>Not Started</v>
      </c>
      <c r="N36" s="413"/>
      <c r="O36" s="297"/>
      <c r="P36" s="298"/>
      <c r="Q36" s="298"/>
      <c r="R36" s="298"/>
      <c r="S36" s="298"/>
      <c r="T36" s="298"/>
      <c r="U36" s="298"/>
      <c r="V36" s="299"/>
      <c r="W36" s="300"/>
      <c r="Z36" s="23" t="s">
        <v>63</v>
      </c>
      <c r="AA36" s="231" t="s">
        <v>74</v>
      </c>
    </row>
    <row r="37" spans="2:31" ht="45" customHeight="1">
      <c r="B37" s="462"/>
      <c r="C37" s="296" t="s">
        <v>86</v>
      </c>
      <c r="D37" s="21" t="s">
        <v>111</v>
      </c>
      <c r="E37" s="22">
        <f>NETWORKDAYS.INTL(F37,G37,"0000110",$AE$4:$AE$10)</f>
        <v>5</v>
      </c>
      <c r="F37" s="23">
        <f>MAX(WORKDAY.INTL(G36,1,"0000100",$AD$4:$AD$9),WORKDAY.INTL(G32,1,"0000100",$AD$4:$AD$9))</f>
        <v>46274</v>
      </c>
      <c r="G37" s="23">
        <f>WORKDAY.INTL(F37,4,"0000110",$AE$4:$AE$9)</f>
        <v>46280</v>
      </c>
      <c r="H37" s="23">
        <f>MAX(WORKDAY.INTL(I36,1,"0000100",$AD$4:$AD$9),WORKDAY.INTL(I32,1,"0000100",$AD$4:$AD$9))</f>
        <v>46274</v>
      </c>
      <c r="I37" s="23">
        <f>WORKDAY.INTL(H37,4,"0000110",$AE$4:$AE$9)</f>
        <v>46280</v>
      </c>
      <c r="J37" s="23"/>
      <c r="K37" s="23"/>
      <c r="L37" s="24">
        <v>0</v>
      </c>
      <c r="M37" s="24" t="str">
        <f t="shared" ca="1" si="12"/>
        <v>Not Started</v>
      </c>
      <c r="N37" s="413"/>
      <c r="O37" s="297"/>
      <c r="P37" s="298"/>
      <c r="Q37" s="298"/>
      <c r="R37" s="298"/>
      <c r="S37" s="298"/>
      <c r="T37" s="298"/>
      <c r="U37" s="298"/>
      <c r="V37" s="299"/>
      <c r="W37" s="300" t="s">
        <v>117</v>
      </c>
      <c r="Z37" s="23" t="s">
        <v>64</v>
      </c>
      <c r="AA37" s="231" t="s">
        <v>74</v>
      </c>
    </row>
    <row r="38" spans="2:31" ht="45" customHeight="1">
      <c r="B38" s="462"/>
      <c r="C38" s="296" t="s">
        <v>86</v>
      </c>
      <c r="D38" s="26" t="s">
        <v>114</v>
      </c>
      <c r="E38" s="22">
        <f>NETWORKDAYS.INTL(F38,G38,"0000110",$AE$4:$AE$10)</f>
        <v>2</v>
      </c>
      <c r="F38" s="23">
        <f>WORKDAY.INTL(G37,1,"0000110",$AE$4:$AE$9)</f>
        <v>46281</v>
      </c>
      <c r="G38" s="23">
        <f>WORKDAY.INTL(F38,1,"0000110",$AE$4:$AE$9)</f>
        <v>46282</v>
      </c>
      <c r="H38" s="23">
        <f>WORKDAY.INTL(I37,1,"0000110",$AE$4:$AE$9)</f>
        <v>46281</v>
      </c>
      <c r="I38" s="23">
        <f>WORKDAY.INTL(H38,1,"0000110",$AE$4:$AE$9)</f>
        <v>46282</v>
      </c>
      <c r="J38" s="23"/>
      <c r="K38" s="23"/>
      <c r="L38" s="24">
        <v>0</v>
      </c>
      <c r="M38" s="24" t="str">
        <f t="shared" ca="1" si="12"/>
        <v>Not Started</v>
      </c>
      <c r="N38" s="413"/>
      <c r="O38" s="297"/>
      <c r="P38" s="301"/>
      <c r="Q38" s="301"/>
      <c r="R38" s="301"/>
      <c r="S38" s="301"/>
      <c r="T38" s="301"/>
      <c r="U38" s="301"/>
      <c r="V38" s="302"/>
      <c r="W38" s="300" t="s">
        <v>115</v>
      </c>
      <c r="Z38" s="23" t="s">
        <v>65</v>
      </c>
      <c r="AA38" s="231" t="s">
        <v>74</v>
      </c>
    </row>
    <row r="39" spans="2:31" s="274" customFormat="1" ht="4.5" customHeight="1">
      <c r="B39" s="292"/>
      <c r="C39" s="292"/>
      <c r="D39" s="292"/>
      <c r="E39" s="293"/>
      <c r="F39" s="292"/>
      <c r="G39" s="292"/>
      <c r="H39" s="292"/>
      <c r="I39" s="292"/>
      <c r="J39" s="292"/>
      <c r="K39" s="292"/>
      <c r="L39" s="294"/>
      <c r="M39" s="294"/>
      <c r="N39" s="294"/>
      <c r="O39" s="292"/>
      <c r="P39" s="292"/>
      <c r="Q39" s="292"/>
      <c r="R39" s="292"/>
      <c r="S39" s="292"/>
      <c r="T39" s="292"/>
      <c r="U39" s="292"/>
      <c r="V39" s="292"/>
      <c r="W39" s="295"/>
      <c r="Z39" s="275"/>
      <c r="AA39" s="275"/>
    </row>
    <row r="40" spans="2:31" ht="45" customHeight="1">
      <c r="B40" s="459" t="s">
        <v>124</v>
      </c>
      <c r="C40" s="285" t="s">
        <v>86</v>
      </c>
      <c r="D40" s="27" t="s">
        <v>105</v>
      </c>
      <c r="E40" s="28">
        <f>NETWORKDAYS.INTL(F40,G40,"0000100",$AE$4:$AE$10)</f>
        <v>7</v>
      </c>
      <c r="F40" s="29">
        <f>WORKDAY.INTL(G36,1,"0000100",$AF$4:$AF$8)</f>
        <v>46267</v>
      </c>
      <c r="G40" s="30">
        <f>WORKDAY.INTL(F40,6,"0000100",$AF$4:$AF$8)</f>
        <v>46274</v>
      </c>
      <c r="H40" s="29">
        <f>WORKDAY.INTL(I36,1,"0000100",$AF$4:$AF$8)</f>
        <v>46267</v>
      </c>
      <c r="I40" s="30">
        <f>WORKDAY.INTL(H40,6,"0000100",$AF$4:$AF$8)</f>
        <v>46274</v>
      </c>
      <c r="J40" s="29"/>
      <c r="K40" s="30"/>
      <c r="L40" s="31">
        <v>0</v>
      </c>
      <c r="M40" s="31" t="str">
        <f t="shared" ref="M40:M43" ca="1" si="13">IF(L40=100%,"Completed",IF(AND(OR(L40="",L40=0),F40&gt;TODAY()),"Not Started",IF(AND(OR(L40="",L40=0),F40&lt;=TODAY()),"Delayed",IF(AND(L40&gt;0,L40&lt;100%,G40&lt;TODAY()),"Delayed",IF(AND(L40&gt;0,L40&lt;100%,G40&gt;=TODAY()),"In Progress","")))))</f>
        <v>Not Started</v>
      </c>
      <c r="N40" s="412"/>
      <c r="O40" s="57"/>
      <c r="P40" s="286"/>
      <c r="Q40" s="286"/>
      <c r="R40" s="286"/>
      <c r="S40" s="286"/>
      <c r="T40" s="286"/>
      <c r="U40" s="286"/>
      <c r="V40" s="287"/>
      <c r="W40" s="288"/>
      <c r="Z40" s="23" t="s">
        <v>62</v>
      </c>
      <c r="AA40" s="231" t="s">
        <v>75</v>
      </c>
      <c r="AE40" s="276"/>
    </row>
    <row r="41" spans="2:31" ht="45" customHeight="1">
      <c r="B41" s="460"/>
      <c r="C41" s="285" t="s">
        <v>86</v>
      </c>
      <c r="D41" s="32" t="s">
        <v>107</v>
      </c>
      <c r="E41" s="33">
        <f>NETWORKDAYS.INTL(F41,G41,"0000100",$AE$4:$AE$10)</f>
        <v>3</v>
      </c>
      <c r="F41" s="29">
        <f>WORKDAY.INTL(G40,1,"0000100",$AF$4:$AF$8)</f>
        <v>46275</v>
      </c>
      <c r="G41" s="30">
        <f>WORKDAY.INTL(F41,2,"0000100",$AF$4:$AF$8)</f>
        <v>46278</v>
      </c>
      <c r="H41" s="29">
        <f>WORKDAY.INTL(I40,1,"0000100",$AF$4:$AF$8)</f>
        <v>46275</v>
      </c>
      <c r="I41" s="30">
        <f>WORKDAY.INTL(H41,2,"0000100",$AF$4:$AF$8)</f>
        <v>46278</v>
      </c>
      <c r="J41" s="29"/>
      <c r="K41" s="30"/>
      <c r="L41" s="31">
        <v>0</v>
      </c>
      <c r="M41" s="31" t="str">
        <f t="shared" ca="1" si="13"/>
        <v>Not Started</v>
      </c>
      <c r="N41" s="412"/>
      <c r="O41" s="57"/>
      <c r="P41" s="289"/>
      <c r="Q41" s="289"/>
      <c r="R41" s="289"/>
      <c r="S41" s="289"/>
      <c r="T41" s="289"/>
      <c r="U41" s="289"/>
      <c r="V41" s="290"/>
      <c r="W41" s="291"/>
      <c r="Z41" s="23" t="s">
        <v>63</v>
      </c>
      <c r="AA41" s="231" t="s">
        <v>75</v>
      </c>
    </row>
    <row r="42" spans="2:31" ht="45" customHeight="1">
      <c r="B42" s="460"/>
      <c r="C42" s="285" t="s">
        <v>86</v>
      </c>
      <c r="D42" s="34" t="s">
        <v>111</v>
      </c>
      <c r="E42" s="33">
        <f>NETWORKDAYS.INTL(F42,G42,"0000110",$AE$4:$AE$10)</f>
        <v>5</v>
      </c>
      <c r="F42" s="29">
        <f>MAX(WORKDAY.INTL(G41,1,"0000100",$AD$4:$AD$9),WORKDAY.INTL(G37,1,"0000100",$AD$4:$AD$9))</f>
        <v>46281</v>
      </c>
      <c r="G42" s="29">
        <f>WORKDAY.INTL(F42,4,"0000110",$AE$4:$AE$9)</f>
        <v>46287</v>
      </c>
      <c r="H42" s="29">
        <f>MAX(WORKDAY.INTL(I41,1,"0000100",$AD$4:$AD$9),WORKDAY.INTL(I37,1,"0000100",$AD$4:$AD$9))</f>
        <v>46281</v>
      </c>
      <c r="I42" s="29">
        <f>WORKDAY.INTL(H42,4,"0000110",$AE$4:$AE$9)</f>
        <v>46287</v>
      </c>
      <c r="J42" s="29"/>
      <c r="K42" s="29"/>
      <c r="L42" s="35">
        <v>0</v>
      </c>
      <c r="M42" s="35" t="str">
        <f t="shared" ca="1" si="13"/>
        <v>Not Started</v>
      </c>
      <c r="N42" s="412"/>
      <c r="O42" s="57"/>
      <c r="P42" s="58"/>
      <c r="Q42" s="58"/>
      <c r="R42" s="58"/>
      <c r="S42" s="58"/>
      <c r="T42" s="58"/>
      <c r="U42" s="58"/>
      <c r="V42" s="59"/>
      <c r="W42" s="291" t="s">
        <v>117</v>
      </c>
      <c r="Z42" s="23" t="s">
        <v>64</v>
      </c>
      <c r="AA42" s="231" t="s">
        <v>75</v>
      </c>
    </row>
    <row r="43" spans="2:31" ht="45" customHeight="1">
      <c r="B43" s="460"/>
      <c r="C43" s="285" t="s">
        <v>86</v>
      </c>
      <c r="D43" s="34" t="s">
        <v>114</v>
      </c>
      <c r="E43" s="33">
        <f>NETWORKDAYS.INTL(F43,G43,"0000110",$AE$4:$AE$10)</f>
        <v>2</v>
      </c>
      <c r="F43" s="29">
        <f>WORKDAY.INTL(G42,1,"0000110",$AE$4:$AE$9)</f>
        <v>46289</v>
      </c>
      <c r="G43" s="29">
        <f>WORKDAY.INTL(F43,1,"0000110",$AE$4:$AE$9)</f>
        <v>46292</v>
      </c>
      <c r="H43" s="29">
        <f>WORKDAY.INTL(I42,1,"0000110",$AE$4:$AE$9)</f>
        <v>46289</v>
      </c>
      <c r="I43" s="29">
        <f>WORKDAY.INTL(H43,1,"0000110",$AE$4:$AE$9)</f>
        <v>46292</v>
      </c>
      <c r="J43" s="29"/>
      <c r="K43" s="29"/>
      <c r="L43" s="35">
        <v>0</v>
      </c>
      <c r="M43" s="35" t="str">
        <f t="shared" ca="1" si="13"/>
        <v>Not Started</v>
      </c>
      <c r="N43" s="412"/>
      <c r="O43" s="57"/>
      <c r="P43" s="58"/>
      <c r="Q43" s="58"/>
      <c r="R43" s="58"/>
      <c r="S43" s="58"/>
      <c r="T43" s="58"/>
      <c r="U43" s="58"/>
      <c r="V43" s="59"/>
      <c r="W43" s="291" t="s">
        <v>115</v>
      </c>
      <c r="Z43" s="23" t="s">
        <v>65</v>
      </c>
      <c r="AA43" s="231" t="s">
        <v>75</v>
      </c>
    </row>
    <row r="44" spans="2:31" s="274" customFormat="1" ht="4.5" customHeight="1">
      <c r="B44" s="292"/>
      <c r="C44" s="292"/>
      <c r="D44" s="292"/>
      <c r="E44" s="293"/>
      <c r="F44" s="292"/>
      <c r="G44" s="292"/>
      <c r="H44" s="292"/>
      <c r="I44" s="292"/>
      <c r="J44" s="292"/>
      <c r="K44" s="292"/>
      <c r="L44" s="294"/>
      <c r="M44" s="294"/>
      <c r="N44" s="294"/>
      <c r="O44" s="292"/>
      <c r="P44" s="292"/>
      <c r="Q44" s="292"/>
      <c r="R44" s="292"/>
      <c r="S44" s="292"/>
      <c r="T44" s="292"/>
      <c r="U44" s="292"/>
      <c r="V44" s="292"/>
      <c r="W44" s="295"/>
      <c r="Z44" s="275"/>
      <c r="AA44" s="275"/>
    </row>
    <row r="45" spans="2:31" ht="45" customHeight="1">
      <c r="B45" s="461" t="s">
        <v>125</v>
      </c>
      <c r="C45" s="296" t="s">
        <v>125</v>
      </c>
      <c r="D45" s="21" t="s">
        <v>126</v>
      </c>
      <c r="E45" s="22">
        <f>NETWORKDAYS.INTL(F45,G45,"0000100",$AD$4:$AD$10)</f>
        <v>19</v>
      </c>
      <c r="F45" s="23">
        <f>G46+1</f>
        <v>46260</v>
      </c>
      <c r="G45" s="23">
        <f>WORKDAY.INTL(F45,18,"0000100",$AD$4:$AD$9)</f>
        <v>46281</v>
      </c>
      <c r="H45" s="23">
        <f>I46+1</f>
        <v>46260</v>
      </c>
      <c r="I45" s="23">
        <f>WORKDAY.INTL(H45,18,"0000100",$AD$4:$AD$9)</f>
        <v>46281</v>
      </c>
      <c r="J45" s="23"/>
      <c r="K45" s="23"/>
      <c r="L45" s="24">
        <v>0</v>
      </c>
      <c r="M45" s="24" t="str">
        <f t="shared" ref="M45:M47" ca="1" si="14">IF(L45=100%,"Completed",IF(AND(OR(L45="",L45=0),F45&gt;TODAY()),"Not Started",IF(AND(OR(L45="",L45=0),F45&lt;=TODAY()),"Delayed",IF(AND(L45&gt;0,L45&lt;100%,G45&lt;TODAY()),"Delayed",IF(AND(L45&gt;0,L45&lt;100%,G45&gt;=TODAY()),"In Progress","")))))</f>
        <v>Not Started</v>
      </c>
      <c r="N45" s="413"/>
      <c r="O45" s="297"/>
      <c r="P45" s="299"/>
      <c r="Q45" s="97"/>
      <c r="R45" s="97"/>
      <c r="S45" s="97"/>
      <c r="T45" s="97"/>
      <c r="U45" s="97"/>
      <c r="V45" s="97"/>
      <c r="W45" s="300"/>
      <c r="X45" s="229" t="s">
        <v>106</v>
      </c>
      <c r="Z45" s="23" t="s">
        <v>125</v>
      </c>
    </row>
    <row r="46" spans="2:31" ht="43.5" customHeight="1">
      <c r="B46" s="462"/>
      <c r="C46" s="296" t="s">
        <v>125</v>
      </c>
      <c r="D46" s="21" t="s">
        <v>127</v>
      </c>
      <c r="E46" s="22">
        <f>NETWORKDAYS.INTL(F46,G46,"0000100",$AD$4:$AD$10)</f>
        <v>19</v>
      </c>
      <c r="F46" s="23">
        <f>F64+15</f>
        <v>46238</v>
      </c>
      <c r="G46" s="23">
        <f>WORKDAY.INTL(F46,18,"0000100",$AD$4:$AD$9)</f>
        <v>46259</v>
      </c>
      <c r="H46" s="23">
        <f>H64+15</f>
        <v>46238</v>
      </c>
      <c r="I46" s="23">
        <f>WORKDAY.INTL(H46,18,"0000100",$AD$4:$AD$9)</f>
        <v>46259</v>
      </c>
      <c r="J46" s="23"/>
      <c r="K46" s="23"/>
      <c r="L46" s="24">
        <v>0</v>
      </c>
      <c r="M46" s="24" t="str">
        <f t="shared" ca="1" si="14"/>
        <v>Not Started</v>
      </c>
      <c r="N46" s="413"/>
      <c r="O46" s="297"/>
      <c r="P46" s="299"/>
      <c r="Q46" s="97"/>
      <c r="R46" s="97"/>
      <c r="S46" s="97"/>
      <c r="T46" s="97"/>
      <c r="U46" s="97"/>
      <c r="V46" s="97"/>
      <c r="W46" s="300"/>
      <c r="X46" s="229" t="s">
        <v>106</v>
      </c>
      <c r="Z46" s="23" t="s">
        <v>125</v>
      </c>
    </row>
    <row r="47" spans="2:31" ht="58.5">
      <c r="B47" s="470"/>
      <c r="C47" s="296" t="s">
        <v>125</v>
      </c>
      <c r="D47" s="21" t="s">
        <v>128</v>
      </c>
      <c r="E47" s="22">
        <f>NETWORKDAYS.INTL(F47,G47,"0000100",$AD$4:$AD$10)</f>
        <v>66</v>
      </c>
      <c r="F47" s="23">
        <f>F46</f>
        <v>46238</v>
      </c>
      <c r="G47" s="23">
        <f>WORKDAY.INTL(F47,65,"0000100",$AD$4:$AD$9)</f>
        <v>46314</v>
      </c>
      <c r="H47" s="23">
        <f>H46</f>
        <v>46238</v>
      </c>
      <c r="I47" s="23">
        <f>WORKDAY.INTL(H47,65,"0000100",$AD$4:$AD$9)</f>
        <v>46314</v>
      </c>
      <c r="J47" s="23"/>
      <c r="K47" s="23"/>
      <c r="L47" s="24">
        <v>0</v>
      </c>
      <c r="M47" s="24" t="str">
        <f t="shared" ca="1" si="14"/>
        <v>Not Started</v>
      </c>
      <c r="N47" s="413"/>
      <c r="O47" s="297"/>
      <c r="P47" s="298"/>
      <c r="Q47" s="298"/>
      <c r="R47" s="298"/>
      <c r="S47" s="298"/>
      <c r="T47" s="298"/>
      <c r="U47" s="298"/>
      <c r="V47" s="299"/>
      <c r="W47" s="300" t="s">
        <v>129</v>
      </c>
      <c r="X47" s="229" t="s">
        <v>106</v>
      </c>
      <c r="Z47" s="23" t="s">
        <v>125</v>
      </c>
    </row>
    <row r="48" spans="2:31" s="274" customFormat="1" ht="4.5" customHeight="1">
      <c r="B48" s="292"/>
      <c r="C48" s="292"/>
      <c r="D48" s="292"/>
      <c r="E48" s="293"/>
      <c r="F48" s="292"/>
      <c r="G48" s="292"/>
      <c r="H48" s="292"/>
      <c r="I48" s="292"/>
      <c r="J48" s="292"/>
      <c r="K48" s="292"/>
      <c r="L48" s="294"/>
      <c r="M48" s="294"/>
      <c r="N48" s="294"/>
      <c r="O48" s="292"/>
      <c r="P48" s="292"/>
      <c r="Q48" s="292"/>
      <c r="R48" s="292"/>
      <c r="S48" s="292"/>
      <c r="T48" s="292"/>
      <c r="U48" s="292"/>
      <c r="V48" s="292"/>
      <c r="W48" s="295"/>
      <c r="Z48" s="275"/>
      <c r="AA48" s="275"/>
    </row>
    <row r="49" spans="2:28" s="274" customFormat="1" ht="85.5" customHeight="1">
      <c r="B49" s="303" t="s">
        <v>130</v>
      </c>
      <c r="C49" s="304" t="s">
        <v>131</v>
      </c>
      <c r="D49" s="42" t="s">
        <v>132</v>
      </c>
      <c r="E49" s="43">
        <f>NETWORKDAYS.INTL(F49,G49,"0000110",$AD$4:$AD$10)</f>
        <v>3</v>
      </c>
      <c r="F49" s="44">
        <f>MAX(WORKDAY.INTL(G43,1,"0000110"),WORKDAY.INTL(G57,1,"0000110"),WORKDAY.INTL(G55,1,"0000110"))</f>
        <v>46296</v>
      </c>
      <c r="G49" s="44">
        <f>WORKDAY.INTL(F49,2,"0000110")</f>
        <v>46300</v>
      </c>
      <c r="H49" s="44">
        <f>MAX(WORKDAY.INTL(I43,1,"0000110"),WORKDAY.INTL(I57,1,"0000110"),WORKDAY.INTL(I55,1,"0000110"))</f>
        <v>46296</v>
      </c>
      <c r="I49" s="44">
        <f>WORKDAY.INTL(H49,2,"0000110")</f>
        <v>46300</v>
      </c>
      <c r="J49" s="44"/>
      <c r="K49" s="44"/>
      <c r="L49" s="45">
        <v>0</v>
      </c>
      <c r="M49" s="45" t="str">
        <f ca="1">IF(L49=100%,"Completed",IF(AND(OR(L49="",L49=0),F49&gt;TODAY()),"Not Started",IF(AND(OR(L49="",L49=0),F49&lt;=TODAY()),"Delayed",IF(AND(L49&gt;0,L49&lt;100%,G49&lt;TODAY()),"Delayed",IF(AND(L49&gt;0,L49&lt;100%,G49&gt;=TODAY()),"In Progress","")))))</f>
        <v>Not Started</v>
      </c>
      <c r="N49" s="45"/>
      <c r="O49" s="46"/>
      <c r="P49" s="47"/>
      <c r="Q49" s="47"/>
      <c r="R49" s="47"/>
      <c r="S49" s="47"/>
      <c r="T49" s="47"/>
      <c r="U49" s="47"/>
      <c r="V49" s="48"/>
      <c r="W49" s="305" t="s">
        <v>133</v>
      </c>
      <c r="Z49" s="23" t="s">
        <v>134</v>
      </c>
      <c r="AA49" s="275"/>
    </row>
    <row r="50" spans="2:28" s="274" customFormat="1" ht="4.5" customHeight="1">
      <c r="B50" s="270"/>
      <c r="C50" s="270"/>
      <c r="D50" s="270"/>
      <c r="E50" s="271"/>
      <c r="F50" s="270"/>
      <c r="G50" s="270"/>
      <c r="H50" s="270"/>
      <c r="I50" s="270"/>
      <c r="J50" s="270"/>
      <c r="K50" s="270"/>
      <c r="L50" s="272">
        <v>0</v>
      </c>
      <c r="M50" s="272"/>
      <c r="N50" s="272"/>
      <c r="O50" s="270"/>
      <c r="P50" s="270"/>
      <c r="Q50" s="270"/>
      <c r="R50" s="270"/>
      <c r="S50" s="270"/>
      <c r="T50" s="270"/>
      <c r="U50" s="270"/>
      <c r="V50" s="270"/>
      <c r="W50" s="273"/>
      <c r="Z50" s="23"/>
      <c r="AA50" s="231"/>
    </row>
    <row r="51" spans="2:28" ht="28.9" customHeight="1">
      <c r="B51" s="471" t="s">
        <v>34</v>
      </c>
      <c r="C51" s="306" t="s">
        <v>135</v>
      </c>
      <c r="D51" s="49" t="s">
        <v>36</v>
      </c>
      <c r="E51" s="50">
        <f>NETWORKDAYS.INTL(F51,G51,"0000110",$AE$4:$AE$10)</f>
        <v>3</v>
      </c>
      <c r="F51" s="51">
        <f>MAX(WORKDAY.INTL(G41,1,"0000110",$AD$4:$AD$9),WORKDAY.INTL(G46,1,"0000110",$AD$4:$AD$9),WORKDAY.INTL(G33,1,"0000110",$AD$4:$AD$9))</f>
        <v>46279</v>
      </c>
      <c r="G51" s="51">
        <f>WORKDAY.INTL(F51,2,"0000110",$AE$4:$AE$9)</f>
        <v>46281</v>
      </c>
      <c r="H51" s="51">
        <f>MAX(WORKDAY.INTL(I41,1,"0000110",$AD$4:$AD$9),WORKDAY.INTL(I46,1,"0000110",$AD$4:$AD$9),WORKDAY.INTL(I33,1,"0000110",$AD$4:$AD$9))</f>
        <v>46279</v>
      </c>
      <c r="I51" s="51">
        <f>WORKDAY.INTL(H51,2,"0000110",$AE$4:$AE$9)</f>
        <v>46281</v>
      </c>
      <c r="J51" s="51"/>
      <c r="K51" s="51"/>
      <c r="L51" s="52">
        <v>0</v>
      </c>
      <c r="M51" s="52" t="str">
        <f t="shared" ref="M51:M55" ca="1" si="15">IF(L51=100%,"Completed",IF(AND(OR(L51="",L51=0),F51&gt;TODAY()),"Not Started",IF(AND(OR(L51="",L51=0),F51&lt;=TODAY()),"Delayed",IF(AND(L51&gt;0,L51&lt;100%,G51&lt;TODAY()),"Delayed",IF(AND(L51&gt;0,L51&lt;100%,G51&gt;=TODAY()),"In Progress","")))))</f>
        <v>Not Started</v>
      </c>
      <c r="N51" s="414"/>
      <c r="O51" s="53"/>
      <c r="P51" s="54"/>
      <c r="Q51" s="54"/>
      <c r="R51" s="54"/>
      <c r="S51" s="54"/>
      <c r="T51" s="54"/>
      <c r="U51" s="54"/>
      <c r="V51" s="55"/>
      <c r="W51" s="56"/>
      <c r="X51" s="229" t="s">
        <v>113</v>
      </c>
      <c r="Z51" s="23" t="s">
        <v>34</v>
      </c>
    </row>
    <row r="52" spans="2:28" ht="28.9" customHeight="1">
      <c r="B52" s="472"/>
      <c r="C52" s="307" t="s">
        <v>135</v>
      </c>
      <c r="D52" s="34" t="s">
        <v>38</v>
      </c>
      <c r="E52" s="33">
        <f>NETWORKDAYS.INTL(F52,G52,"0000110",$AE$4:$AE$10)</f>
        <v>5</v>
      </c>
      <c r="F52" s="29">
        <f>WORKDAY.INTL(G51,1,"0000110",$AE$4:$AE$9)</f>
        <v>46282</v>
      </c>
      <c r="G52" s="29">
        <f>WORKDAY.INTL(F52,4,"0000110",$AE$4:$AE$9)</f>
        <v>46289</v>
      </c>
      <c r="H52" s="29">
        <f>WORKDAY.INTL(I51,1,"0000110",$AE$4:$AE$9)</f>
        <v>46282</v>
      </c>
      <c r="I52" s="29">
        <f>WORKDAY.INTL(H52,4,"0000110",$AE$4:$AE$9)</f>
        <v>46289</v>
      </c>
      <c r="J52" s="29"/>
      <c r="K52" s="29"/>
      <c r="L52" s="35">
        <v>0</v>
      </c>
      <c r="M52" s="35" t="str">
        <f t="shared" ca="1" si="15"/>
        <v>Not Started</v>
      </c>
      <c r="N52" s="412"/>
      <c r="O52" s="57"/>
      <c r="P52" s="58"/>
      <c r="Q52" s="58"/>
      <c r="R52" s="58"/>
      <c r="S52" s="58"/>
      <c r="T52" s="58"/>
      <c r="U52" s="58"/>
      <c r="V52" s="59"/>
      <c r="W52" s="60"/>
      <c r="X52" s="229" t="s">
        <v>113</v>
      </c>
      <c r="Z52" s="23" t="s">
        <v>34</v>
      </c>
      <c r="AA52" s="274"/>
    </row>
    <row r="53" spans="2:28" ht="28.9" customHeight="1">
      <c r="B53" s="472"/>
      <c r="C53" s="307" t="s">
        <v>135</v>
      </c>
      <c r="D53" s="34" t="s">
        <v>43</v>
      </c>
      <c r="E53" s="33">
        <f>NETWORKDAYS.INTL(F53,G53,"0000110",$AE$4:$AE$10)</f>
        <v>2</v>
      </c>
      <c r="F53" s="29">
        <f>WORKDAY.INTL(G52,1,"0000110",$AE$4:$AE$9)</f>
        <v>46292</v>
      </c>
      <c r="G53" s="29">
        <f>WORKDAY.INTL(F53,1,"0000110",$AE$4:$AE$9)</f>
        <v>46293</v>
      </c>
      <c r="H53" s="29">
        <f>WORKDAY.INTL(I52,1,"0000110",$AE$4:$AE$9)</f>
        <v>46292</v>
      </c>
      <c r="I53" s="29">
        <f>WORKDAY.INTL(H53,1,"0000110",$AE$4:$AE$9)</f>
        <v>46293</v>
      </c>
      <c r="J53" s="29"/>
      <c r="K53" s="29"/>
      <c r="L53" s="35">
        <v>0</v>
      </c>
      <c r="M53" s="35" t="str">
        <f t="shared" ca="1" si="15"/>
        <v>Not Started</v>
      </c>
      <c r="N53" s="412"/>
      <c r="O53" s="57"/>
      <c r="P53" s="58"/>
      <c r="Q53" s="58"/>
      <c r="R53" s="58"/>
      <c r="S53" s="58"/>
      <c r="T53" s="58"/>
      <c r="U53" s="58"/>
      <c r="V53" s="59"/>
      <c r="W53" s="60"/>
      <c r="X53" s="229" t="s">
        <v>113</v>
      </c>
      <c r="Z53" s="23" t="s">
        <v>34</v>
      </c>
    </row>
    <row r="54" spans="2:28" ht="28.9" customHeight="1">
      <c r="B54" s="472"/>
      <c r="C54" s="307" t="s">
        <v>135</v>
      </c>
      <c r="D54" s="34" t="s">
        <v>44</v>
      </c>
      <c r="E54" s="33">
        <f>NETWORKDAYS.INTL(F54,G54,"0000110",$AE$4:$AE$10)</f>
        <v>1</v>
      </c>
      <c r="F54" s="29">
        <f>WORKDAY.INTL(G53,1,"0000110",$AE$4:$AE$9)</f>
        <v>46294</v>
      </c>
      <c r="G54" s="29">
        <f>WORKDAY.INTL(F54,0,"0000110",$AE$4:$AE$9)</f>
        <v>46294</v>
      </c>
      <c r="H54" s="29">
        <f>WORKDAY.INTL(I53,1,"0000110",$AE$4:$AE$9)</f>
        <v>46294</v>
      </c>
      <c r="I54" s="29">
        <f>WORKDAY.INTL(H54,0,"0000110",$AE$4:$AE$9)</f>
        <v>46294</v>
      </c>
      <c r="J54" s="29"/>
      <c r="K54" s="29"/>
      <c r="L54" s="35">
        <v>0</v>
      </c>
      <c r="M54" s="35" t="str">
        <f t="shared" ca="1" si="15"/>
        <v>Not Started</v>
      </c>
      <c r="N54" s="412"/>
      <c r="O54" s="57"/>
      <c r="P54" s="58"/>
      <c r="Q54" s="58"/>
      <c r="R54" s="58"/>
      <c r="S54" s="58"/>
      <c r="T54" s="58"/>
      <c r="U54" s="58"/>
      <c r="V54" s="59"/>
      <c r="W54" s="60"/>
      <c r="X54" s="229" t="s">
        <v>113</v>
      </c>
      <c r="Z54" s="23" t="s">
        <v>34</v>
      </c>
    </row>
    <row r="55" spans="2:28" ht="28.9" customHeight="1">
      <c r="B55" s="473"/>
      <c r="C55" s="308" t="s">
        <v>135</v>
      </c>
      <c r="D55" s="61" t="s">
        <v>46</v>
      </c>
      <c r="E55" s="62">
        <f>NETWORKDAYS.INTL(F55,G55,"0000110",$AE$4:$AE$10)</f>
        <v>1</v>
      </c>
      <c r="F55" s="63">
        <f>WORKDAY.INTL(G54,1,"0000110",$AE$4:$AE$9)</f>
        <v>46295</v>
      </c>
      <c r="G55" s="63">
        <f>WORKDAY.INTL(F55,0,"0000110",$AE$4:$AE$9)</f>
        <v>46295</v>
      </c>
      <c r="H55" s="63">
        <f>WORKDAY.INTL(I54,1,"0000110",$AE$4:$AE$9)</f>
        <v>46295</v>
      </c>
      <c r="I55" s="63">
        <f>WORKDAY.INTL(H55,0,"0000110",$AE$4:$AE$9)</f>
        <v>46295</v>
      </c>
      <c r="J55" s="63"/>
      <c r="K55" s="63"/>
      <c r="L55" s="64">
        <v>0</v>
      </c>
      <c r="M55" s="64" t="str">
        <f t="shared" ca="1" si="15"/>
        <v>Not Started</v>
      </c>
      <c r="N55" s="415"/>
      <c r="O55" s="65"/>
      <c r="P55" s="66"/>
      <c r="Q55" s="66"/>
      <c r="R55" s="66"/>
      <c r="S55" s="66"/>
      <c r="T55" s="66"/>
      <c r="U55" s="66"/>
      <c r="V55" s="67"/>
      <c r="W55" s="68"/>
      <c r="X55" s="229" t="s">
        <v>113</v>
      </c>
      <c r="Z55" s="23" t="s">
        <v>34</v>
      </c>
    </row>
    <row r="56" spans="2:28" s="274" customFormat="1" ht="4.5" customHeight="1">
      <c r="B56" s="292"/>
      <c r="C56" s="292"/>
      <c r="D56" s="292"/>
      <c r="E56" s="293"/>
      <c r="F56" s="292"/>
      <c r="G56" s="292"/>
      <c r="H56" s="292"/>
      <c r="I56" s="292"/>
      <c r="J56" s="292"/>
      <c r="K56" s="292"/>
      <c r="L56" s="294"/>
      <c r="M56" s="294"/>
      <c r="N56" s="294"/>
      <c r="O56" s="292"/>
      <c r="P56" s="292"/>
      <c r="Q56" s="292"/>
      <c r="R56" s="292"/>
      <c r="S56" s="292"/>
      <c r="T56" s="292"/>
      <c r="U56" s="292"/>
      <c r="V56" s="292"/>
      <c r="W56" s="295"/>
    </row>
    <row r="57" spans="2:28" ht="34.5" customHeight="1">
      <c r="B57" s="463" t="s">
        <v>136</v>
      </c>
      <c r="C57" s="244" t="s">
        <v>136</v>
      </c>
      <c r="D57" s="69" t="s">
        <v>47</v>
      </c>
      <c r="E57" s="70">
        <f>NETWORKDAYS.INTL(F57,G57,"0000110",$AE$4:$AE$10)</f>
        <v>30</v>
      </c>
      <c r="F57" s="71">
        <v>46249</v>
      </c>
      <c r="G57" s="71">
        <f>WORKDAY.INTL(F57,31,"0000110",$AD$4:$AD$9)</f>
        <v>46292</v>
      </c>
      <c r="H57" s="71">
        <v>46249</v>
      </c>
      <c r="I57" s="71">
        <f>WORKDAY.INTL(H57,31,"0000110",$AD$4:$AD$9)</f>
        <v>46292</v>
      </c>
      <c r="J57" s="71"/>
      <c r="K57" s="71"/>
      <c r="L57" s="72">
        <v>0</v>
      </c>
      <c r="M57" s="72" t="str">
        <f t="shared" ref="M57:M58" ca="1" si="16">IF(L57=100%,"Completed",IF(AND(OR(L57="",L57=0),F57&gt;TODAY()),"Not Started",IF(AND(OR(L57="",L57=0),F57&lt;=TODAY()),"Delayed",IF(AND(L57&gt;0,L57&lt;100%,G57&lt;TODAY()),"Delayed",IF(AND(L57&gt;0,L57&lt;100%,G57&gt;=TODAY()),"In Progress","")))))</f>
        <v>Not Started</v>
      </c>
      <c r="N57" s="72"/>
      <c r="O57" s="227"/>
      <c r="P57" s="69"/>
      <c r="Q57" s="69"/>
      <c r="R57" s="69"/>
      <c r="S57" s="69"/>
      <c r="T57" s="69"/>
      <c r="U57" s="69"/>
      <c r="V57" s="69"/>
      <c r="W57" s="228" t="s">
        <v>137</v>
      </c>
      <c r="X57" s="229" t="s">
        <v>113</v>
      </c>
      <c r="Z57" s="23" t="s">
        <v>136</v>
      </c>
    </row>
    <row r="58" spans="2:28" ht="45.75" customHeight="1">
      <c r="B58" s="464"/>
      <c r="C58" s="309" t="s">
        <v>136</v>
      </c>
      <c r="D58" s="74" t="s">
        <v>138</v>
      </c>
      <c r="E58" s="75">
        <f>NETWORKDAYS.INTL(F58,G58,"0000110",$AE$4:$AE$10)</f>
        <v>30</v>
      </c>
      <c r="F58" s="76">
        <f t="shared" ref="F58" si="17">G49+7</f>
        <v>46307</v>
      </c>
      <c r="G58" s="76">
        <f>WORKDAY.INTL(F58,29,"0000110",$AD$4:$AD$9)</f>
        <v>46348</v>
      </c>
      <c r="H58" s="76">
        <f t="shared" ref="H58" si="18">I49+7</f>
        <v>46307</v>
      </c>
      <c r="I58" s="76">
        <f>WORKDAY.INTL(H58,29,"0000110",$AD$4:$AD$9)</f>
        <v>46348</v>
      </c>
      <c r="J58" s="76"/>
      <c r="K58" s="76"/>
      <c r="L58" s="77">
        <v>0</v>
      </c>
      <c r="M58" s="77" t="str">
        <f t="shared" ca="1" si="16"/>
        <v>Not Started</v>
      </c>
      <c r="N58" s="77"/>
      <c r="O58" s="279"/>
      <c r="P58" s="95"/>
      <c r="Q58" s="95"/>
      <c r="R58" s="95"/>
      <c r="S58" s="95"/>
      <c r="T58" s="95"/>
      <c r="U58" s="95"/>
      <c r="V58" s="95"/>
      <c r="W58" s="280"/>
      <c r="X58" s="229" t="s">
        <v>113</v>
      </c>
      <c r="Z58" s="23" t="s">
        <v>136</v>
      </c>
    </row>
    <row r="59" spans="2:28" s="274" customFormat="1" ht="4.5" customHeight="1" thickBot="1">
      <c r="B59" s="292"/>
      <c r="C59" s="292"/>
      <c r="D59" s="292"/>
      <c r="E59" s="293"/>
      <c r="F59" s="292"/>
      <c r="G59" s="292"/>
      <c r="H59" s="292"/>
      <c r="I59" s="292"/>
      <c r="J59" s="292"/>
      <c r="K59" s="292"/>
      <c r="L59" s="294"/>
      <c r="M59" s="294"/>
      <c r="N59" s="294"/>
      <c r="O59" s="292"/>
      <c r="P59" s="292"/>
      <c r="Q59" s="292"/>
      <c r="R59" s="292"/>
      <c r="S59" s="292"/>
      <c r="T59" s="292"/>
      <c r="U59" s="292"/>
      <c r="V59" s="292"/>
      <c r="W59" s="295"/>
      <c r="Z59" s="23"/>
      <c r="AA59" s="231"/>
      <c r="AB59" s="231"/>
    </row>
    <row r="60" spans="2:28" ht="36" customHeight="1" thickBot="1">
      <c r="B60" s="465" t="s">
        <v>139</v>
      </c>
      <c r="C60" s="310" t="s">
        <v>139</v>
      </c>
      <c r="D60" s="79" t="s">
        <v>140</v>
      </c>
      <c r="E60" s="80">
        <f>NETWORKDAYS.INTL(F60,G60,"0000100",$AE$4:$AE$10)</f>
        <v>19</v>
      </c>
      <c r="F60" s="81">
        <v>46217</v>
      </c>
      <c r="G60" s="36">
        <f t="shared" ref="G60" si="19">F60+21</f>
        <v>46238</v>
      </c>
      <c r="H60" s="36">
        <v>46217</v>
      </c>
      <c r="I60" s="36">
        <f t="shared" ref="I60" si="20">H60+21</f>
        <v>46238</v>
      </c>
      <c r="J60" s="81"/>
      <c r="K60" s="36"/>
      <c r="L60" s="37">
        <v>0</v>
      </c>
      <c r="M60" s="37" t="str">
        <f t="shared" ref="M60:M61" ca="1" si="21">IF(L60=100%,"Completed",IF(AND(OR(L60="",L60=0),F60&gt;TODAY()),"Not Started",IF(AND(OR(L60="",L60=0),F60&lt;=TODAY()),"Delayed",IF(AND(L60&gt;0,L60&lt;100%,G60&lt;TODAY()),"Delayed",IF(AND(L60&gt;0,L60&lt;100%,G60&gt;=TODAY()),"In Progress","")))))</f>
        <v>Not Started</v>
      </c>
      <c r="N60" s="37"/>
      <c r="O60" s="311"/>
      <c r="P60" s="79"/>
      <c r="Q60" s="79"/>
      <c r="R60" s="79"/>
      <c r="S60" s="79"/>
      <c r="T60" s="79"/>
      <c r="U60" s="79"/>
      <c r="V60" s="79"/>
      <c r="W60" s="312" t="s">
        <v>141</v>
      </c>
      <c r="X60" s="229" t="s">
        <v>106</v>
      </c>
      <c r="Z60" s="23" t="s">
        <v>139</v>
      </c>
      <c r="AA60" s="275"/>
      <c r="AB60" s="275"/>
    </row>
    <row r="61" spans="2:28" ht="36" customHeight="1" thickBot="1">
      <c r="B61" s="466"/>
      <c r="C61" s="313" t="s">
        <v>139</v>
      </c>
      <c r="D61" s="82" t="s">
        <v>51</v>
      </c>
      <c r="E61" s="83">
        <f>NETWORKDAYS.INTL(F61,G61,"0000110",$AE$4:$AE$10)</f>
        <v>11</v>
      </c>
      <c r="F61" s="40">
        <f>F69-15</f>
        <v>46329</v>
      </c>
      <c r="G61" s="40">
        <f t="shared" ref="G61" si="22">F61+14</f>
        <v>46343</v>
      </c>
      <c r="H61" s="40">
        <f>H69-15</f>
        <v>46329</v>
      </c>
      <c r="I61" s="40">
        <f t="shared" ref="I61" si="23">H61+14</f>
        <v>46343</v>
      </c>
      <c r="J61" s="40"/>
      <c r="K61" s="40"/>
      <c r="L61" s="41">
        <v>0</v>
      </c>
      <c r="M61" s="41" t="str">
        <f t="shared" ca="1" si="21"/>
        <v>Not Started</v>
      </c>
      <c r="N61" s="41"/>
      <c r="O61" s="314"/>
      <c r="P61" s="82"/>
      <c r="Q61" s="82"/>
      <c r="R61" s="82"/>
      <c r="S61" s="82"/>
      <c r="T61" s="82"/>
      <c r="U61" s="82"/>
      <c r="V61" s="82"/>
      <c r="W61" s="315" t="s">
        <v>142</v>
      </c>
      <c r="X61" s="229" t="s">
        <v>113</v>
      </c>
      <c r="Z61" s="23" t="s">
        <v>139</v>
      </c>
    </row>
    <row r="62" spans="2:28" s="274" customFormat="1" ht="4.5" customHeight="1" thickBot="1">
      <c r="B62" s="292"/>
      <c r="C62" s="292"/>
      <c r="D62" s="292"/>
      <c r="E62" s="293"/>
      <c r="F62" s="292"/>
      <c r="G62" s="292"/>
      <c r="H62" s="292"/>
      <c r="I62" s="292"/>
      <c r="J62" s="292"/>
      <c r="K62" s="292"/>
      <c r="L62" s="294"/>
      <c r="M62" s="294"/>
      <c r="N62" s="294"/>
      <c r="O62" s="292"/>
      <c r="P62" s="292"/>
      <c r="Q62" s="292"/>
      <c r="R62" s="292"/>
      <c r="S62" s="292"/>
      <c r="T62" s="292"/>
      <c r="U62" s="292"/>
      <c r="V62" s="292"/>
      <c r="W62" s="295"/>
      <c r="Z62" s="23"/>
      <c r="AA62" s="231"/>
      <c r="AB62" s="231"/>
    </row>
    <row r="63" spans="2:28" ht="28.9" customHeight="1">
      <c r="B63" s="456" t="s">
        <v>143</v>
      </c>
      <c r="C63" s="248" t="s">
        <v>91</v>
      </c>
      <c r="D63" s="69" t="s">
        <v>144</v>
      </c>
      <c r="E63" s="70">
        <f>NETWORKDAYS.INTL(F63,G63,"0000100",$AD$4:$AD$10)</f>
        <v>1</v>
      </c>
      <c r="F63" s="84">
        <f>G63</f>
        <v>46212</v>
      </c>
      <c r="G63" s="84">
        <v>46212</v>
      </c>
      <c r="H63" s="71">
        <f>I63</f>
        <v>46212</v>
      </c>
      <c r="I63" s="71">
        <v>46212</v>
      </c>
      <c r="J63" s="84"/>
      <c r="K63" s="84"/>
      <c r="L63" s="72">
        <v>0</v>
      </c>
      <c r="M63" s="72" t="str">
        <f t="shared" ref="M63:M67" ca="1" si="24">IF(L63=100%,"Completed",IF(AND(OR(L63="",L63=0),F63&gt;TODAY()),"Not Started",IF(AND(OR(L63="",L63=0),F63&lt;=TODAY()),"Delayed",IF(AND(L63&gt;0,L63&lt;100%,G63&lt;TODAY()),"Delayed",IF(AND(L63&gt;0,L63&lt;100%,G63&gt;=TODAY()),"In Progress","")))))</f>
        <v>Not Started</v>
      </c>
      <c r="N63" s="72"/>
      <c r="O63" s="227"/>
      <c r="P63" s="69"/>
      <c r="Q63" s="69"/>
      <c r="R63" s="69"/>
      <c r="S63" s="69"/>
      <c r="T63" s="69"/>
      <c r="U63" s="69"/>
      <c r="V63" s="69"/>
      <c r="W63" s="228"/>
      <c r="X63" s="229"/>
      <c r="Z63" s="23" t="s">
        <v>144</v>
      </c>
    </row>
    <row r="64" spans="2:28" ht="28.9" customHeight="1">
      <c r="B64" s="457"/>
      <c r="C64" s="249" t="s">
        <v>91</v>
      </c>
      <c r="D64" s="93" t="s">
        <v>145</v>
      </c>
      <c r="E64" s="94">
        <f>NETWORKDAYS.INTL(F64,G64,"0000100",$AD$4:$AD$10)</f>
        <v>76</v>
      </c>
      <c r="F64" s="86">
        <f>WORKDAY.INTL(F63,9,"0000100",$AD$4:$AD$9)</f>
        <v>46223</v>
      </c>
      <c r="G64" s="86">
        <f>WORKDAY.INTL(F64,75,"0000100",$AD$4:$AD$9)</f>
        <v>46310</v>
      </c>
      <c r="H64" s="23">
        <f>WORKDAY.INTL(H63,9,"0000100",$AD$4:$AD$9)</f>
        <v>46223</v>
      </c>
      <c r="I64" s="23">
        <f>WORKDAY.INTL(H64,75,"0000100",$AD$4:$AD$9)</f>
        <v>46310</v>
      </c>
      <c r="J64" s="86"/>
      <c r="K64" s="86"/>
      <c r="L64" s="24">
        <v>0</v>
      </c>
      <c r="M64" s="24" t="str">
        <f t="shared" ca="1" si="24"/>
        <v>Not Started</v>
      </c>
      <c r="N64" s="24"/>
      <c r="O64" s="277"/>
      <c r="P64" s="93"/>
      <c r="Q64" s="93"/>
      <c r="R64" s="93"/>
      <c r="S64" s="93"/>
      <c r="T64" s="93"/>
      <c r="U64" s="93"/>
      <c r="V64" s="93"/>
      <c r="W64" s="278" t="s">
        <v>146</v>
      </c>
      <c r="X64" s="229"/>
      <c r="Z64" s="23" t="s">
        <v>147</v>
      </c>
    </row>
    <row r="65" spans="2:28" ht="28.9" customHeight="1">
      <c r="B65" s="457"/>
      <c r="C65" s="249" t="s">
        <v>91</v>
      </c>
      <c r="D65" s="93" t="s">
        <v>7</v>
      </c>
      <c r="E65" s="94">
        <f>NETWORKDAYS.INTL(F65,G65,"0000100",$AD$4:$AD$10)</f>
        <v>76</v>
      </c>
      <c r="F65" s="86">
        <f>WORKDAY.INTL(F64,4,"0000100",$AD$4:$AD$9)</f>
        <v>46228</v>
      </c>
      <c r="G65" s="86">
        <f>WORKDAY.INTL(G64,4,"0000100",$AD$4:$AD$9)</f>
        <v>46315</v>
      </c>
      <c r="H65" s="23">
        <f>WORKDAY.INTL(H64,4,"0000100",$AD$4:$AD$9)</f>
        <v>46228</v>
      </c>
      <c r="I65" s="23">
        <f>WORKDAY.INTL(I64,4,"0000100",$AD$4:$AD$9)</f>
        <v>46315</v>
      </c>
      <c r="J65" s="86"/>
      <c r="K65" s="86"/>
      <c r="L65" s="24">
        <v>0</v>
      </c>
      <c r="M65" s="24" t="str">
        <f t="shared" ca="1" si="24"/>
        <v>Not Started</v>
      </c>
      <c r="N65" s="24"/>
      <c r="O65" s="277"/>
      <c r="P65" s="93"/>
      <c r="Q65" s="93"/>
      <c r="R65" s="93"/>
      <c r="S65" s="93"/>
      <c r="T65" s="93"/>
      <c r="U65" s="93"/>
      <c r="V65" s="93"/>
      <c r="W65" s="278"/>
      <c r="X65" s="229"/>
      <c r="Z65" s="23" t="s">
        <v>148</v>
      </c>
    </row>
    <row r="66" spans="2:28" ht="48" customHeight="1">
      <c r="B66" s="457"/>
      <c r="C66" s="249" t="s">
        <v>91</v>
      </c>
      <c r="D66" s="93" t="s">
        <v>149</v>
      </c>
      <c r="E66" s="94">
        <f>NETWORKDAYS.INTL(F66,G66,"0000110",$AD$4:$AD$10)</f>
        <v>79</v>
      </c>
      <c r="F66" s="86">
        <f t="shared" ref="F66:H66" si="25">WORKDAY.INTL(F65,5,"0000110")</f>
        <v>46233</v>
      </c>
      <c r="G66" s="86">
        <f>WORKDAY.INTL(F66,78,"0000110")</f>
        <v>46343</v>
      </c>
      <c r="H66" s="23">
        <f t="shared" si="25"/>
        <v>46233</v>
      </c>
      <c r="I66" s="23">
        <f>WORKDAY.INTL(H66,78,"0000110")</f>
        <v>46343</v>
      </c>
      <c r="J66" s="86"/>
      <c r="K66" s="86"/>
      <c r="L66" s="24">
        <v>0</v>
      </c>
      <c r="M66" s="24" t="str">
        <f t="shared" ca="1" si="24"/>
        <v>Not Started</v>
      </c>
      <c r="N66" s="24"/>
      <c r="O66" s="277"/>
      <c r="P66" s="93"/>
      <c r="Q66" s="93"/>
      <c r="R66" s="93"/>
      <c r="S66" s="93"/>
      <c r="T66" s="93"/>
      <c r="U66" s="93"/>
      <c r="V66" s="93"/>
      <c r="W66" s="278" t="s">
        <v>150</v>
      </c>
      <c r="X66" s="229"/>
      <c r="Z66" s="23" t="s">
        <v>151</v>
      </c>
    </row>
    <row r="67" spans="2:28" ht="28.9" customHeight="1" thickBot="1">
      <c r="B67" s="458"/>
      <c r="C67" s="252" t="s">
        <v>91</v>
      </c>
      <c r="D67" s="95" t="s">
        <v>152</v>
      </c>
      <c r="E67" s="75">
        <f>NETWORKDAYS.INTL(F67,G67,"0000110",$AD$4:$AD$10)</f>
        <v>2</v>
      </c>
      <c r="F67" s="87">
        <f>G74+1</f>
        <v>46365</v>
      </c>
      <c r="G67" s="87">
        <f>WORKDAY.INTL(F67,1,"0000110")</f>
        <v>46366</v>
      </c>
      <c r="H67" s="76">
        <f>I74+1</f>
        <v>46365</v>
      </c>
      <c r="I67" s="76">
        <f>WORKDAY.INTL(H67,1,"0000110")</f>
        <v>46366</v>
      </c>
      <c r="J67" s="87"/>
      <c r="K67" s="87"/>
      <c r="L67" s="77">
        <v>0</v>
      </c>
      <c r="M67" s="77" t="str">
        <f t="shared" ca="1" si="24"/>
        <v>Not Started</v>
      </c>
      <c r="N67" s="77"/>
      <c r="O67" s="279"/>
      <c r="P67" s="95"/>
      <c r="Q67" s="95"/>
      <c r="R67" s="95"/>
      <c r="S67" s="95"/>
      <c r="T67" s="95"/>
      <c r="U67" s="95"/>
      <c r="V67" s="95"/>
      <c r="W67" s="280" t="s">
        <v>153</v>
      </c>
      <c r="X67" s="229"/>
      <c r="Z67" s="23" t="s">
        <v>154</v>
      </c>
    </row>
    <row r="68" spans="2:28" ht="6.75" customHeight="1">
      <c r="L68" s="316"/>
      <c r="M68" s="316"/>
      <c r="N68" s="316"/>
      <c r="Z68" s="231"/>
    </row>
    <row r="69" spans="2:28" ht="30.75" customHeight="1">
      <c r="B69" s="467" t="s">
        <v>155</v>
      </c>
      <c r="C69" s="317" t="s">
        <v>156</v>
      </c>
      <c r="D69" s="88" t="s">
        <v>157</v>
      </c>
      <c r="E69" s="80">
        <f>NETWORKDAYS.INTL(F69,G69,"0000110")</f>
        <v>6</v>
      </c>
      <c r="F69" s="36">
        <f>G66+1</f>
        <v>46344</v>
      </c>
      <c r="G69" s="36">
        <f>WORKDAY.INTL(F69,5,"0000110",$AD$4:$AD$9)</f>
        <v>46351</v>
      </c>
      <c r="H69" s="36">
        <f>I66+1</f>
        <v>46344</v>
      </c>
      <c r="I69" s="36">
        <f>WORKDAY.INTL(H69,5,"0000110",$AD$4:$AD$9)</f>
        <v>46351</v>
      </c>
      <c r="J69" s="36"/>
      <c r="K69" s="36"/>
      <c r="L69" s="37">
        <v>0</v>
      </c>
      <c r="M69" s="37" t="str">
        <f t="shared" ref="M69:M74" ca="1" si="26">IF(L69=100%,"Completed",IF(AND(OR(L69="",L69=0),F69&gt;TODAY()),"Not Started",IF(AND(OR(L69="",L69=0),F69&lt;=TODAY()),"Delayed",IF(AND(L69&gt;0,L69&lt;100%,G69&lt;TODAY()),"Delayed",IF(AND(L69&gt;0,L69&lt;100%,G69&gt;=TODAY()),"In Progress","")))))</f>
        <v>Not Started</v>
      </c>
      <c r="N69" s="37"/>
      <c r="O69" s="311"/>
      <c r="P69" s="88"/>
      <c r="Q69" s="88"/>
      <c r="R69" s="88"/>
      <c r="S69" s="88"/>
      <c r="T69" s="88"/>
      <c r="U69" s="88"/>
      <c r="V69" s="88"/>
      <c r="W69" s="318"/>
      <c r="X69" s="229"/>
      <c r="Z69" s="23" t="s">
        <v>156</v>
      </c>
      <c r="AA69" s="275"/>
      <c r="AB69" s="275"/>
    </row>
    <row r="70" spans="2:28" ht="30.75" customHeight="1">
      <c r="B70" s="468"/>
      <c r="C70" s="319" t="s">
        <v>156</v>
      </c>
      <c r="D70" s="89" t="s">
        <v>158</v>
      </c>
      <c r="E70" s="90">
        <f>NETWORKDAYS.INTL(F70,G70,"0000110",$AD$4:$AD$10)</f>
        <v>6</v>
      </c>
      <c r="F70" s="38">
        <f>F69</f>
        <v>46344</v>
      </c>
      <c r="G70" s="38">
        <f>WORKDAY.INTL(F70,5,"0000110",$AD$4:$AD$9)</f>
        <v>46351</v>
      </c>
      <c r="H70" s="38">
        <f>H69</f>
        <v>46344</v>
      </c>
      <c r="I70" s="38">
        <f>WORKDAY.INTL(H70,5,"0000110",$AD$4:$AD$9)</f>
        <v>46351</v>
      </c>
      <c r="J70" s="38"/>
      <c r="K70" s="38"/>
      <c r="L70" s="39">
        <v>0</v>
      </c>
      <c r="M70" s="39" t="str">
        <f t="shared" ca="1" si="26"/>
        <v>Not Started</v>
      </c>
      <c r="N70" s="39"/>
      <c r="O70" s="320"/>
      <c r="P70" s="89"/>
      <c r="Q70" s="89"/>
      <c r="R70" s="89"/>
      <c r="S70" s="89"/>
      <c r="T70" s="89"/>
      <c r="U70" s="89"/>
      <c r="V70" s="89"/>
      <c r="W70" s="321"/>
      <c r="X70" s="229"/>
      <c r="Z70" s="23" t="s">
        <v>156</v>
      </c>
    </row>
    <row r="71" spans="2:28" ht="30.75" customHeight="1">
      <c r="B71" s="468"/>
      <c r="C71" s="319" t="s">
        <v>156</v>
      </c>
      <c r="D71" s="89" t="s">
        <v>159</v>
      </c>
      <c r="E71" s="90">
        <f>NETWORKDAYS.INTL(F71,G71,"0000110",$AD$4:$AD$10)</f>
        <v>5</v>
      </c>
      <c r="F71" s="38">
        <f>G70</f>
        <v>46351</v>
      </c>
      <c r="G71" s="38">
        <f>WORKDAY.INTL(F71,4,"0000110",$AD$4:$AD$9)</f>
        <v>46357</v>
      </c>
      <c r="H71" s="38">
        <f>I70</f>
        <v>46351</v>
      </c>
      <c r="I71" s="38">
        <f>WORKDAY.INTL(H71,4,"0000110",$AD$4:$AD$9)</f>
        <v>46357</v>
      </c>
      <c r="J71" s="38"/>
      <c r="K71" s="38"/>
      <c r="L71" s="39">
        <v>0</v>
      </c>
      <c r="M71" s="39" t="str">
        <f t="shared" ca="1" si="26"/>
        <v>Not Started</v>
      </c>
      <c r="N71" s="39"/>
      <c r="O71" s="320"/>
      <c r="P71" s="89"/>
      <c r="Q71" s="89"/>
      <c r="R71" s="89"/>
      <c r="S71" s="89"/>
      <c r="T71" s="89"/>
      <c r="U71" s="89"/>
      <c r="V71" s="89"/>
      <c r="W71" s="321"/>
      <c r="X71" s="229"/>
      <c r="Z71" s="23" t="s">
        <v>156</v>
      </c>
      <c r="AA71" s="275"/>
      <c r="AB71" s="275"/>
    </row>
    <row r="72" spans="2:28" ht="30.75" customHeight="1">
      <c r="B72" s="468"/>
      <c r="C72" s="319" t="s">
        <v>156</v>
      </c>
      <c r="D72" s="89" t="s">
        <v>160</v>
      </c>
      <c r="E72" s="90">
        <f>NETWORKDAYS.INTL(F72,G72,"0000110",$AD$4:$AD$10)</f>
        <v>5</v>
      </c>
      <c r="F72" s="38">
        <f>F71</f>
        <v>46351</v>
      </c>
      <c r="G72" s="38">
        <f>WORKDAY.INTL(F72,4,"0000110",$AD$4:$AD$9)</f>
        <v>46357</v>
      </c>
      <c r="H72" s="38">
        <f>H71</f>
        <v>46351</v>
      </c>
      <c r="I72" s="38">
        <f>WORKDAY.INTL(H72,4,"0000110",$AD$4:$AD$9)</f>
        <v>46357</v>
      </c>
      <c r="J72" s="38"/>
      <c r="K72" s="38"/>
      <c r="L72" s="39">
        <v>0</v>
      </c>
      <c r="M72" s="39" t="str">
        <f t="shared" ca="1" si="26"/>
        <v>Not Started</v>
      </c>
      <c r="N72" s="39"/>
      <c r="O72" s="320"/>
      <c r="P72" s="89"/>
      <c r="Q72" s="89"/>
      <c r="R72" s="89"/>
      <c r="S72" s="89"/>
      <c r="T72" s="89"/>
      <c r="U72" s="89"/>
      <c r="V72" s="89"/>
      <c r="W72" s="321"/>
      <c r="X72" s="229"/>
      <c r="Z72" s="23" t="s">
        <v>156</v>
      </c>
    </row>
    <row r="73" spans="2:28" ht="30.75" customHeight="1">
      <c r="B73" s="468"/>
      <c r="C73" s="319" t="s">
        <v>156</v>
      </c>
      <c r="D73" s="89" t="s">
        <v>46</v>
      </c>
      <c r="E73" s="90">
        <f>NETWORKDAYS.INTL(F73,G73,"0000110",$AD$4:$AD$10)</f>
        <v>3</v>
      </c>
      <c r="F73" s="38">
        <f>WORKDAY.INTL(G72,1,"0000110",$AD$4:$AD$9)</f>
        <v>46358</v>
      </c>
      <c r="G73" s="38">
        <f>WORKDAY.INTL(F73,2,"0000110",$AD$4:$AD$9)</f>
        <v>46362</v>
      </c>
      <c r="H73" s="38">
        <f>WORKDAY.INTL(I72,1,"0000110",$AD$4:$AD$9)</f>
        <v>46358</v>
      </c>
      <c r="I73" s="38">
        <f>WORKDAY.INTL(H73,2,"0000110",$AD$4:$AD$9)</f>
        <v>46362</v>
      </c>
      <c r="J73" s="38"/>
      <c r="K73" s="38"/>
      <c r="L73" s="39">
        <v>0</v>
      </c>
      <c r="M73" s="39" t="str">
        <f t="shared" ca="1" si="26"/>
        <v>Not Started</v>
      </c>
      <c r="N73" s="39"/>
      <c r="O73" s="320"/>
      <c r="P73" s="89"/>
      <c r="Q73" s="89"/>
      <c r="R73" s="89"/>
      <c r="S73" s="89"/>
      <c r="T73" s="89"/>
      <c r="U73" s="89"/>
      <c r="V73" s="89"/>
      <c r="W73" s="321"/>
      <c r="X73" s="229"/>
      <c r="Z73" s="23" t="s">
        <v>156</v>
      </c>
    </row>
    <row r="74" spans="2:28" ht="30.75" customHeight="1" thickBot="1">
      <c r="B74" s="469"/>
      <c r="C74" s="322" t="s">
        <v>156</v>
      </c>
      <c r="D74" s="91" t="s">
        <v>161</v>
      </c>
      <c r="E74" s="83">
        <f>NETWORKDAYS.INTL(F74,G74,"0000110",$AD$4:$AD$10)</f>
        <v>2</v>
      </c>
      <c r="F74" s="40">
        <f>WORKDAY.INTL(G73,1,"0000110",$AD$4:$AD$9)</f>
        <v>46363</v>
      </c>
      <c r="G74" s="40">
        <f>WORKDAY.INTL(F74,1,"0000110",$AD$4:$AD$9)</f>
        <v>46364</v>
      </c>
      <c r="H74" s="40">
        <f>WORKDAY.INTL(I73,1,"0000110",$AD$4:$AD$9)</f>
        <v>46363</v>
      </c>
      <c r="I74" s="40">
        <f>WORKDAY.INTL(H74,1,"0000110",$AD$4:$AD$9)</f>
        <v>46364</v>
      </c>
      <c r="J74" s="40"/>
      <c r="K74" s="40"/>
      <c r="L74" s="41">
        <v>0</v>
      </c>
      <c r="M74" s="41" t="str">
        <f t="shared" ca="1" si="26"/>
        <v>Not Started</v>
      </c>
      <c r="N74" s="41"/>
      <c r="O74" s="314"/>
      <c r="P74" s="91"/>
      <c r="Q74" s="91"/>
      <c r="R74" s="91"/>
      <c r="S74" s="91"/>
      <c r="T74" s="91"/>
      <c r="U74" s="91"/>
      <c r="V74" s="91"/>
      <c r="W74" s="323"/>
      <c r="X74" s="229"/>
      <c r="Z74" s="23" t="s">
        <v>156</v>
      </c>
    </row>
    <row r="75" spans="2:28">
      <c r="L75" s="316">
        <v>0</v>
      </c>
      <c r="M75" s="316"/>
      <c r="N75" s="316"/>
    </row>
    <row r="76" spans="2:28">
      <c r="L76" s="316">
        <v>0</v>
      </c>
      <c r="M76" s="316"/>
      <c r="N76" s="316"/>
    </row>
  </sheetData>
  <mergeCells count="14">
    <mergeCell ref="B57:B58"/>
    <mergeCell ref="B60:B61"/>
    <mergeCell ref="B69:B74"/>
    <mergeCell ref="B63:B67"/>
    <mergeCell ref="B30:B33"/>
    <mergeCell ref="B35:B38"/>
    <mergeCell ref="B40:B43"/>
    <mergeCell ref="B45:B47"/>
    <mergeCell ref="B51:B55"/>
    <mergeCell ref="B4:B8"/>
    <mergeCell ref="B10:B13"/>
    <mergeCell ref="B15:B18"/>
    <mergeCell ref="B20:B23"/>
    <mergeCell ref="B25:B28"/>
  </mergeCells>
  <conditionalFormatting sqref="M1:N1048560">
    <cfRule type="cellIs" dxfId="26" priority="1" operator="equal">
      <formula>"Delayed"</formula>
    </cfRule>
    <cfRule type="cellIs" dxfId="25" priority="2" operator="equal">
      <formula>"In Progress"</formula>
    </cfRule>
    <cfRule type="cellIs" dxfId="24" priority="3" operator="equal">
      <formula>"Completed"</formula>
    </cfRule>
  </conditionalFormatting>
  <dataValidations disablePrompts="1" count="2">
    <dataValidation type="list" allowBlank="1" showInputMessage="1" showErrorMessage="1" sqref="X50:X61 X3:X48" xr:uid="{00000000-0002-0000-0100-000000000000}">
      <formula1>$Z$2:$Z$3</formula1>
    </dataValidation>
    <dataValidation type="list" allowBlank="1" showInputMessage="1" showErrorMessage="1" sqref="X63:X67 X69:X74 X49" xr:uid="{00000000-0002-0000-0100-000001000000}">
      <formula1>$Y$2:$Y$4</formula1>
    </dataValidation>
  </dataValidations>
  <pageMargins left="0.7" right="0.7" top="0.75" bottom="0.75" header="0.3" footer="0.3"/>
  <pageSetup paperSize="8" scale="57" fitToHeight="0"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pageSetUpPr fitToPage="1"/>
  </sheetPr>
  <dimension ref="B1:AE85"/>
  <sheetViews>
    <sheetView showGridLines="0" zoomScale="70" zoomScaleNormal="70" workbookViewId="0">
      <pane ySplit="2" topLeftCell="A5" activePane="bottomLeft" state="frozen"/>
      <selection pane="bottomLeft" activeCell="N2" sqref="N2"/>
    </sheetView>
  </sheetViews>
  <sheetFormatPr defaultColWidth="9" defaultRowHeight="15.75"/>
  <cols>
    <col min="1" max="1" width="0.75" style="98" customWidth="1"/>
    <col min="2" max="2" width="16" style="98" customWidth="1"/>
    <col min="3" max="3" width="16" style="98" hidden="1" customWidth="1"/>
    <col min="4" max="4" width="33.625" style="98" customWidth="1"/>
    <col min="5" max="5" width="12.5" style="99" customWidth="1"/>
    <col min="6" max="6" width="14.5" style="242" customWidth="1"/>
    <col min="7" max="7" width="13.125" style="242" customWidth="1"/>
    <col min="8" max="11" width="14.625" style="242" customWidth="1"/>
    <col min="12" max="12" width="11.25" style="243" customWidth="1"/>
    <col min="13" max="13" width="15.375" style="243" customWidth="1"/>
    <col min="14" max="14" width="33.625" style="98" customWidth="1"/>
    <col min="15" max="15" width="1.5" style="98" customWidth="1"/>
    <col min="16" max="22" width="9.125" style="98" customWidth="1"/>
    <col min="23" max="23" width="54" style="103" bestFit="1" customWidth="1"/>
    <col min="24" max="25" width="14.25" style="98" bestFit="1" customWidth="1"/>
    <col min="26" max="26" width="11.75" style="104" bestFit="1" customWidth="1"/>
    <col min="27" max="27" width="8.125" style="104" bestFit="1" customWidth="1"/>
    <col min="28" max="28" width="9.125" style="98" customWidth="1"/>
    <col min="29" max="29" width="9" style="98" customWidth="1"/>
    <col min="30" max="30" width="6.5" style="98" bestFit="1" customWidth="1"/>
    <col min="31" max="16384" width="9" style="98"/>
  </cols>
  <sheetData>
    <row r="1" spans="2:31" ht="5.45" customHeight="1">
      <c r="F1" s="100"/>
      <c r="G1" s="100"/>
      <c r="H1" s="100"/>
      <c r="I1" s="100"/>
      <c r="J1" s="100"/>
      <c r="K1" s="100"/>
      <c r="L1" s="101">
        <v>0</v>
      </c>
      <c r="M1" s="101"/>
      <c r="O1" s="102"/>
    </row>
    <row r="2" spans="2:31" ht="24" customHeight="1" thickBot="1">
      <c r="B2" s="105"/>
      <c r="C2" s="105" t="s">
        <v>96</v>
      </c>
      <c r="D2" s="106" t="s">
        <v>1</v>
      </c>
      <c r="E2" s="106" t="s">
        <v>97</v>
      </c>
      <c r="F2" s="107" t="s">
        <v>98</v>
      </c>
      <c r="G2" s="107" t="s">
        <v>83</v>
      </c>
      <c r="H2" s="107" t="s">
        <v>99</v>
      </c>
      <c r="I2" s="107" t="s">
        <v>84</v>
      </c>
      <c r="J2" s="108" t="s">
        <v>100</v>
      </c>
      <c r="K2" s="108" t="s">
        <v>101</v>
      </c>
      <c r="L2" s="109" t="s">
        <v>82</v>
      </c>
      <c r="M2" s="109" t="s">
        <v>102</v>
      </c>
      <c r="N2" s="109" t="s">
        <v>162</v>
      </c>
      <c r="O2" s="110"/>
      <c r="P2" s="111">
        <v>46113</v>
      </c>
      <c r="Q2" s="112">
        <v>46143</v>
      </c>
      <c r="R2" s="112">
        <v>46174</v>
      </c>
      <c r="S2" s="112">
        <v>46204</v>
      </c>
      <c r="T2" s="112">
        <v>46235</v>
      </c>
      <c r="U2" s="112">
        <v>46266</v>
      </c>
      <c r="V2" s="112">
        <v>46296</v>
      </c>
      <c r="W2" s="113" t="s">
        <v>2</v>
      </c>
      <c r="Y2" s="98" t="s">
        <v>163</v>
      </c>
      <c r="Z2" s="98"/>
      <c r="AB2" s="104"/>
    </row>
    <row r="3" spans="2:31" ht="45" hidden="1" customHeight="1">
      <c r="B3" s="114"/>
      <c r="C3" s="114"/>
      <c r="D3" s="115" t="s">
        <v>164</v>
      </c>
      <c r="E3" s="116"/>
      <c r="F3" s="117"/>
      <c r="G3" s="117" t="s">
        <v>55</v>
      </c>
      <c r="H3" s="117"/>
      <c r="I3" s="117" t="s">
        <v>55</v>
      </c>
      <c r="J3" s="117"/>
      <c r="K3" s="117"/>
      <c r="L3" s="118">
        <v>1</v>
      </c>
      <c r="M3" s="118" t="str">
        <f ca="1">IF(OR(L3=100%,K3&lt;&gt;""),"Completed",IF(AND(OR(L3="",L3=0),F3&gt;TODAY()),"Not Started",IF(AND(OR(L3="",L3=0),F3&lt;=TODAY()),"Delayed",IF(AND(L3&gt;0,L3&lt;100%,G3&lt;TODAY()),"Delayed",IF(AND(L3&gt;0,L3&lt;100%),"In Progress","")))))</f>
        <v>Completed</v>
      </c>
      <c r="N3" s="115"/>
      <c r="O3" s="110"/>
      <c r="P3" s="119"/>
      <c r="Q3" s="120"/>
      <c r="R3" s="120"/>
      <c r="S3" s="120"/>
      <c r="T3" s="120"/>
      <c r="U3" s="120"/>
      <c r="V3" s="120"/>
      <c r="W3" s="121"/>
      <c r="Y3" s="98" t="s">
        <v>106</v>
      </c>
      <c r="Z3" s="98"/>
      <c r="AB3" s="104"/>
    </row>
    <row r="4" spans="2:31" s="126" customFormat="1" ht="4.5" hidden="1" customHeight="1">
      <c r="B4" s="122"/>
      <c r="C4" s="122"/>
      <c r="D4" s="122"/>
      <c r="E4" s="123"/>
      <c r="F4" s="122"/>
      <c r="G4" s="122"/>
      <c r="H4" s="122"/>
      <c r="I4" s="122"/>
      <c r="J4" s="122"/>
      <c r="K4" s="122"/>
      <c r="L4" s="124">
        <v>0</v>
      </c>
      <c r="M4" s="124"/>
      <c r="N4" s="122"/>
      <c r="O4" s="122"/>
      <c r="P4" s="122"/>
      <c r="Q4" s="122"/>
      <c r="R4" s="122"/>
      <c r="S4" s="122"/>
      <c r="T4" s="122"/>
      <c r="U4" s="122"/>
      <c r="V4" s="122"/>
      <c r="W4" s="125"/>
      <c r="AA4" s="127"/>
      <c r="AB4" s="127"/>
    </row>
    <row r="5" spans="2:31" ht="45" customHeight="1">
      <c r="B5" s="474" t="s">
        <v>104</v>
      </c>
      <c r="C5" s="128" t="s">
        <v>86</v>
      </c>
      <c r="D5" s="129" t="s">
        <v>165</v>
      </c>
      <c r="E5" s="130">
        <f>NETWORKDAYS.INTL(F5,G5,"0000100",$AD$5:$AD$11)</f>
        <v>1</v>
      </c>
      <c r="F5" s="71">
        <v>46153</v>
      </c>
      <c r="G5" s="71">
        <v>46153</v>
      </c>
      <c r="H5" s="131">
        <v>46153</v>
      </c>
      <c r="I5" s="131">
        <v>46153</v>
      </c>
      <c r="J5" s="131"/>
      <c r="K5" s="131"/>
      <c r="L5" s="132">
        <v>1</v>
      </c>
      <c r="M5" s="132" t="str">
        <f ca="1">IF(L5=100%,"Completed",IF(AND(OR(L5="",L5=0),F5&gt;TODAY()),"Not Started",IF(AND(OR(L5="",L5=0),F5&lt;=TODAY()),"Delayed",IF(AND(L5&gt;0,L5&lt;100%,G5&lt;TODAY()),"Delayed",IF(AND(L5&gt;0,L5&lt;100%,G5&gt;=TODAY()),"In Progress","")))))</f>
        <v>Completed</v>
      </c>
      <c r="N5" s="129"/>
      <c r="O5" s="133"/>
      <c r="P5" s="134"/>
      <c r="Q5" s="134"/>
      <c r="R5" s="134"/>
      <c r="S5" s="134"/>
      <c r="T5" s="134"/>
      <c r="U5" s="134"/>
      <c r="V5" s="135"/>
      <c r="W5" s="136"/>
      <c r="Y5" s="98" t="s">
        <v>113</v>
      </c>
      <c r="Z5" s="23" t="s">
        <v>62</v>
      </c>
      <c r="AA5" s="104" t="s">
        <v>68</v>
      </c>
      <c r="AB5" s="104"/>
      <c r="AD5" s="98">
        <v>46166</v>
      </c>
      <c r="AE5" s="137"/>
    </row>
    <row r="6" spans="2:31" ht="45" customHeight="1">
      <c r="B6" s="475"/>
      <c r="C6" s="128" t="s">
        <v>86</v>
      </c>
      <c r="D6" s="129" t="s">
        <v>107</v>
      </c>
      <c r="E6" s="130">
        <f>NETWORKDAYS.INTL(F6,G6,"0000100",$AD$5:$AD$11)</f>
        <v>37</v>
      </c>
      <c r="F6" s="131">
        <f>WORKDAY.INTL("12-May-26",0,"0000100")</f>
        <v>46154</v>
      </c>
      <c r="G6" s="131">
        <v>46202</v>
      </c>
      <c r="H6" s="131">
        <f>WORKDAY.INTL("12-May-26",0,"0000100")</f>
        <v>46154</v>
      </c>
      <c r="I6" s="131">
        <v>46202</v>
      </c>
      <c r="J6" s="131"/>
      <c r="K6" s="131"/>
      <c r="L6" s="132">
        <v>1</v>
      </c>
      <c r="M6" s="132" t="str">
        <f ca="1">IF(L6=100%,"Completed",IF(AND(OR(L6="",L6=0),F6&gt;TODAY()),"Not Started",IF(AND(OR(L6="",L6=0),F6&lt;=TODAY()),"Delayed",IF(AND(L6&gt;0,L6&lt;100%,G6&lt;TODAY()),"Delayed",IF(AND(L6&gt;0,L6&lt;100%,G6&gt;=TODAY()),"In Progress","")))))</f>
        <v>Completed</v>
      </c>
      <c r="N6" s="129"/>
      <c r="O6" s="133"/>
      <c r="P6" s="134"/>
      <c r="Q6" s="134"/>
      <c r="R6" s="134"/>
      <c r="S6" s="134"/>
      <c r="T6" s="134"/>
      <c r="U6" s="134"/>
      <c r="V6" s="135"/>
      <c r="W6" s="136" t="s">
        <v>166</v>
      </c>
      <c r="Z6" s="23" t="s">
        <v>63</v>
      </c>
      <c r="AA6" s="104" t="s">
        <v>68</v>
      </c>
      <c r="AB6" s="104"/>
      <c r="AD6" s="98">
        <v>46167</v>
      </c>
      <c r="AE6" s="137"/>
    </row>
    <row r="7" spans="2:31" ht="113.25" customHeight="1">
      <c r="B7" s="475"/>
      <c r="C7" s="128" t="s">
        <v>86</v>
      </c>
      <c r="D7" s="129" t="s">
        <v>109</v>
      </c>
      <c r="E7" s="130"/>
      <c r="F7" s="131">
        <v>46124</v>
      </c>
      <c r="G7" s="131">
        <v>46229</v>
      </c>
      <c r="H7" s="131">
        <v>46124</v>
      </c>
      <c r="I7" s="131">
        <v>46229</v>
      </c>
      <c r="J7" s="131"/>
      <c r="K7" s="131"/>
      <c r="L7" s="132">
        <v>0.72</v>
      </c>
      <c r="M7" s="132" t="str">
        <f ca="1">IF(L7=100%,"Completed",IF(AND(OR(L7="",L7=0),F7&gt;TODAY()),"Not Started",IF(AND(OR(L7="",L7=0),F7&lt;=TODAY()),"Delayed",IF(AND(L7&gt;0,L7&lt;100%,G7&lt;TODAY()),"Delayed",IF(AND(L7&gt;0,L7&lt;100%,G7&gt;=TODAY()),"In Progress","")))))</f>
        <v>In Progress</v>
      </c>
      <c r="N7" s="129"/>
      <c r="O7" s="133"/>
      <c r="P7" s="134"/>
      <c r="Q7" s="134"/>
      <c r="R7" s="134"/>
      <c r="S7" s="134"/>
      <c r="T7" s="134"/>
      <c r="U7" s="134"/>
      <c r="V7" s="135"/>
      <c r="W7" s="245" t="s">
        <v>167</v>
      </c>
      <c r="Z7" s="231"/>
      <c r="AB7" s="104"/>
      <c r="AD7" s="98">
        <v>46168</v>
      </c>
      <c r="AE7" s="137"/>
    </row>
    <row r="8" spans="2:31" ht="45" customHeight="1">
      <c r="B8" s="475"/>
      <c r="C8" s="128" t="s">
        <v>86</v>
      </c>
      <c r="D8" s="138" t="s">
        <v>111</v>
      </c>
      <c r="E8" s="130">
        <f>NETWORKDAYS.INTL(F8,G8,"0000110",$AD$5:$AD$11)</f>
        <v>2</v>
      </c>
      <c r="F8" s="131">
        <f>WORKDAY.INTL(G7,1,"0000110",$AD$5:$AD$9)</f>
        <v>46230</v>
      </c>
      <c r="G8" s="131">
        <f>WORKDAY.INTL(F8,1,"0000110",$AD$5:$AD$10)</f>
        <v>46231</v>
      </c>
      <c r="H8" s="131">
        <f>WORKDAY.INTL(I7,1,"0000110",$AD$5:$AD$9)</f>
        <v>46230</v>
      </c>
      <c r="I8" s="131">
        <f>WORKDAY.INTL(H8,1,"0000110",$AD$5:$AD$10)</f>
        <v>46231</v>
      </c>
      <c r="J8" s="131"/>
      <c r="K8" s="131"/>
      <c r="L8" s="132">
        <v>0</v>
      </c>
      <c r="M8" s="132" t="str">
        <f ca="1">IF(L8=100%,"Completed",IF(AND(OR(L8="",L8=0),F8&gt;TODAY()),"Not Started",IF(AND(OR(L8="",L8=0),F8&lt;=TODAY()),"Delayed",IF(AND(L8&gt;0,L8&lt;100%,G8&lt;TODAY()),"Delayed",IF(AND(L8&gt;0,L8&lt;100%,G8&gt;=TODAY()),"In Progress","")))))</f>
        <v>Not Started</v>
      </c>
      <c r="N8" s="138"/>
      <c r="O8" s="133"/>
      <c r="P8" s="139"/>
      <c r="Q8" s="139"/>
      <c r="R8" s="139"/>
      <c r="S8" s="139"/>
      <c r="T8" s="139"/>
      <c r="U8" s="139"/>
      <c r="V8" s="140"/>
      <c r="W8" s="136" t="s">
        <v>112</v>
      </c>
      <c r="Z8" s="23" t="s">
        <v>64</v>
      </c>
      <c r="AA8" s="104" t="s">
        <v>68</v>
      </c>
      <c r="AB8" s="104"/>
      <c r="AD8" s="98">
        <v>46169</v>
      </c>
      <c r="AE8" s="137"/>
    </row>
    <row r="9" spans="2:31" ht="45" customHeight="1" thickBot="1">
      <c r="B9" s="475"/>
      <c r="C9" s="128" t="s">
        <v>86</v>
      </c>
      <c r="D9" s="138" t="s">
        <v>114</v>
      </c>
      <c r="E9" s="130">
        <f>NETWORKDAYS.INTL(F9,G9,"0000110",$AD$5:$AD$11)</f>
        <v>2</v>
      </c>
      <c r="F9" s="131">
        <f>WORKDAY.INTL(G8,1,"0000110",$AD$5:$AD$9)</f>
        <v>46232</v>
      </c>
      <c r="G9" s="131">
        <f>WORKDAY.INTL(F9,1,"0000110",$AD$5:$AD$10)</f>
        <v>46233</v>
      </c>
      <c r="H9" s="131">
        <f>WORKDAY.INTL(I8,1,"0000110",$AD$5:$AD$9)</f>
        <v>46232</v>
      </c>
      <c r="I9" s="131">
        <f>WORKDAY.INTL(H9,1,"0000110",$AD$5:$AD$10)</f>
        <v>46233</v>
      </c>
      <c r="J9" s="131"/>
      <c r="K9" s="131"/>
      <c r="L9" s="132">
        <v>0</v>
      </c>
      <c r="M9" s="132" t="str">
        <f ca="1">IF(L9=100%,"Completed",IF(AND(OR(L9="",L9=0),F9&gt;TODAY()),"Not Started",IF(AND(OR(L9="",L9=0),F9&lt;=TODAY()),"Delayed",IF(AND(L9&gt;0,L9&lt;100%,G9&lt;TODAY()),"Delayed",IF(AND(L9&gt;0,L9&lt;100%,G9&gt;=TODAY()),"In Progress","")))))</f>
        <v>Not Started</v>
      </c>
      <c r="N9" s="138"/>
      <c r="O9" s="133"/>
      <c r="P9" s="139"/>
      <c r="Q9" s="139"/>
      <c r="R9" s="139"/>
      <c r="S9" s="139"/>
      <c r="T9" s="139"/>
      <c r="U9" s="139"/>
      <c r="V9" s="140"/>
      <c r="W9" s="136" t="s">
        <v>115</v>
      </c>
      <c r="Z9" s="23" t="s">
        <v>65</v>
      </c>
      <c r="AA9" s="104" t="s">
        <v>68</v>
      </c>
      <c r="AB9" s="104"/>
      <c r="AD9" s="98">
        <v>46170</v>
      </c>
      <c r="AE9" s="137"/>
    </row>
    <row r="10" spans="2:31" s="126" customFormat="1" ht="4.5" customHeight="1" thickBot="1">
      <c r="B10" s="122"/>
      <c r="C10" s="122"/>
      <c r="D10" s="122"/>
      <c r="E10" s="123"/>
      <c r="F10" s="122"/>
      <c r="G10" s="122"/>
      <c r="H10" s="122"/>
      <c r="I10" s="122"/>
      <c r="J10" s="122"/>
      <c r="K10" s="122"/>
      <c r="L10" s="124">
        <v>0</v>
      </c>
      <c r="M10" s="124"/>
      <c r="N10" s="122"/>
      <c r="O10" s="122"/>
      <c r="P10" s="122"/>
      <c r="Q10" s="122"/>
      <c r="R10" s="122"/>
      <c r="S10" s="122"/>
      <c r="T10" s="122"/>
      <c r="U10" s="122"/>
      <c r="V10" s="122"/>
      <c r="W10" s="125"/>
      <c r="Z10" s="275"/>
      <c r="AA10" s="127"/>
      <c r="AD10" s="126">
        <v>46288</v>
      </c>
      <c r="AE10" s="137"/>
    </row>
    <row r="11" spans="2:31" ht="45" customHeight="1">
      <c r="B11" s="480" t="s">
        <v>168</v>
      </c>
      <c r="C11" s="141" t="s">
        <v>86</v>
      </c>
      <c r="D11" s="142" t="s">
        <v>165</v>
      </c>
      <c r="E11" s="143">
        <f>NETWORKDAYS.INTL(F11,G11,"0000100",$AD$5:$AD$11)</f>
        <v>1</v>
      </c>
      <c r="F11" s="144">
        <v>46183</v>
      </c>
      <c r="G11" s="144">
        <v>46183</v>
      </c>
      <c r="H11" s="145">
        <v>46183</v>
      </c>
      <c r="I11" s="144">
        <v>46183</v>
      </c>
      <c r="J11" s="144"/>
      <c r="K11" s="144"/>
      <c r="L11" s="146">
        <v>1</v>
      </c>
      <c r="M11" s="146" t="str">
        <f ca="1">IF(L11=100%,"Completed",IF(AND(OR(L11="",L11=0),F11&gt;TODAY()),"Not Started",IF(AND(OR(L11="",L11=0),F11&lt;=TODAY()),"Delayed",IF(AND(L11&gt;0,L11&lt;100%,G11&lt;TODAY()),"Delayed",IF(AND(L11&gt;0,L11&lt;100%,G11&gt;=TODAY()),"In Progress","")))))</f>
        <v>Completed</v>
      </c>
      <c r="N11" s="142"/>
      <c r="O11" s="147"/>
      <c r="P11" s="148"/>
      <c r="Q11" s="148"/>
      <c r="R11" s="148"/>
      <c r="S11" s="148"/>
      <c r="T11" s="148"/>
      <c r="U11" s="148"/>
      <c r="V11" s="149"/>
      <c r="W11" s="150"/>
      <c r="Z11" s="23" t="s">
        <v>62</v>
      </c>
      <c r="AA11" s="104" t="s">
        <v>69</v>
      </c>
      <c r="AB11" s="104"/>
      <c r="AD11" s="98">
        <v>46288</v>
      </c>
      <c r="AE11" s="137"/>
    </row>
    <row r="12" spans="2:31" ht="45" customHeight="1">
      <c r="B12" s="481"/>
      <c r="C12" s="141" t="s">
        <v>86</v>
      </c>
      <c r="D12" s="151" t="s">
        <v>107</v>
      </c>
      <c r="E12" s="152">
        <f>NETWORKDAYS.INTL(F12,G12,"0000100",$AD$5:$AD$11)</f>
        <v>18</v>
      </c>
      <c r="F12" s="145">
        <f>G11+1</f>
        <v>46184</v>
      </c>
      <c r="G12" s="144">
        <v>46204</v>
      </c>
      <c r="H12" s="145">
        <f>I11+1</f>
        <v>46184</v>
      </c>
      <c r="I12" s="144">
        <v>46204</v>
      </c>
      <c r="J12" s="144"/>
      <c r="K12" s="144"/>
      <c r="L12" s="146">
        <v>1</v>
      </c>
      <c r="M12" s="146" t="str">
        <f ca="1">IF(L12=100%,"Completed",IF(AND(OR(L12="",L12=0),F12&gt;TODAY()),"Not Started",IF(AND(OR(L12="",L12=0),F12&lt;=TODAY()),"Delayed",IF(AND(L12&gt;0,L12&lt;100%,G12&lt;TODAY()),"Delayed",IF(AND(L12&gt;0,L12&lt;100%,G12&gt;=TODAY()),"In Progress","")))))</f>
        <v>Completed</v>
      </c>
      <c r="N12" s="151"/>
      <c r="O12" s="147"/>
      <c r="P12" s="153"/>
      <c r="Q12" s="153"/>
      <c r="R12" s="153"/>
      <c r="S12" s="153"/>
      <c r="T12" s="153"/>
      <c r="U12" s="153"/>
      <c r="V12" s="154"/>
      <c r="W12" s="246" t="s">
        <v>169</v>
      </c>
      <c r="Z12" s="23" t="s">
        <v>63</v>
      </c>
      <c r="AA12" s="104" t="s">
        <v>69</v>
      </c>
      <c r="AB12" s="104"/>
    </row>
    <row r="13" spans="2:31" ht="45" customHeight="1">
      <c r="B13" s="481"/>
      <c r="C13" s="141" t="s">
        <v>86</v>
      </c>
      <c r="D13" s="156" t="s">
        <v>111</v>
      </c>
      <c r="E13" s="152">
        <f>NETWORKDAYS.INTL(F13,G13,"0000110",$AD$5:$AD$11)</f>
        <v>3</v>
      </c>
      <c r="F13" s="145">
        <f>WORKDAY.INTL(G8,1,"0000110",$AD$5:$AD$9)</f>
        <v>46232</v>
      </c>
      <c r="G13" s="145">
        <f>WORKDAY.INTL(F13,2,"0000110",$AD$5:$AD$10)</f>
        <v>46236</v>
      </c>
      <c r="H13" s="145">
        <f>WORKDAY.INTL(I8,1,"0000110",$AD$5:$AD$9)</f>
        <v>46232</v>
      </c>
      <c r="I13" s="145">
        <f>WORKDAY.INTL(H13,2,"0000110",$AD$5:$AD$10)</f>
        <v>46236</v>
      </c>
      <c r="J13" s="29"/>
      <c r="K13" s="145"/>
      <c r="L13" s="157">
        <v>0</v>
      </c>
      <c r="M13" s="157" t="str">
        <f ca="1">IF(L13=100%,"Completed",IF(AND(OR(L13="",L13=0),F13&gt;TODAY()),"Not Started",IF(AND(OR(L13="",L13=0),F13&lt;=TODAY()),"Delayed",IF(AND(L13&gt;0,L13&lt;100%,G13&lt;TODAY()),"Delayed",IF(AND(L13&gt;0,L13&lt;100%,G13&gt;=TODAY()),"In Progress","")))))</f>
        <v>Not Started</v>
      </c>
      <c r="N13" s="156"/>
      <c r="O13" s="147"/>
      <c r="P13" s="158"/>
      <c r="Q13" s="158"/>
      <c r="R13" s="158"/>
      <c r="S13" s="158"/>
      <c r="T13" s="158"/>
      <c r="U13" s="158"/>
      <c r="V13" s="159"/>
      <c r="W13" s="155" t="s">
        <v>117</v>
      </c>
      <c r="Z13" s="23" t="s">
        <v>64</v>
      </c>
      <c r="AA13" s="104" t="s">
        <v>69</v>
      </c>
      <c r="AB13" s="104"/>
    </row>
    <row r="14" spans="2:31" ht="45" customHeight="1" thickBot="1">
      <c r="B14" s="481"/>
      <c r="C14" s="141" t="s">
        <v>86</v>
      </c>
      <c r="D14" s="156" t="s">
        <v>114</v>
      </c>
      <c r="E14" s="152">
        <f>NETWORKDAYS.INTL(F14,G14,"0000110",$AD$5:$AD$11)</f>
        <v>2</v>
      </c>
      <c r="F14" s="145">
        <f>WORKDAY.INTL(G13,1,"0000110",$AD$5:$AD$9)</f>
        <v>46237</v>
      </c>
      <c r="G14" s="145">
        <f>WORKDAY.INTL(F14,1,"0000110",$AD$5:$AD$10)</f>
        <v>46238</v>
      </c>
      <c r="H14" s="145">
        <f>WORKDAY.INTL(I13,1,"0000110",$AD$5:$AD$9)</f>
        <v>46237</v>
      </c>
      <c r="I14" s="145">
        <f>WORKDAY.INTL(H14,1,"0000110",$AD$5:$AD$10)</f>
        <v>46238</v>
      </c>
      <c r="J14" s="145"/>
      <c r="K14" s="145"/>
      <c r="L14" s="157">
        <v>0</v>
      </c>
      <c r="M14" s="157" t="str">
        <f ca="1">IF(L14=100%,"Completed",IF(AND(OR(L14="",L14=0),F14&gt;TODAY()),"Not Started",IF(AND(OR(L14="",L14=0),F14&lt;=TODAY()),"Delayed",IF(AND(L14&gt;0,L14&lt;100%,G14&lt;TODAY()),"Delayed",IF(AND(L14&gt;0,L14&lt;100%,G14&gt;=TODAY()),"In Progress","")))))</f>
        <v>Not Started</v>
      </c>
      <c r="N14" s="156"/>
      <c r="O14" s="147"/>
      <c r="P14" s="158"/>
      <c r="Q14" s="158"/>
      <c r="R14" s="158"/>
      <c r="S14" s="158"/>
      <c r="T14" s="158"/>
      <c r="U14" s="158"/>
      <c r="V14" s="159"/>
      <c r="W14" s="155" t="s">
        <v>115</v>
      </c>
      <c r="Z14" s="23" t="s">
        <v>65</v>
      </c>
      <c r="AA14" s="104" t="s">
        <v>69</v>
      </c>
      <c r="AB14" s="104"/>
    </row>
    <row r="15" spans="2:31" s="126" customFormat="1" ht="4.5" customHeight="1" thickBot="1">
      <c r="B15" s="122"/>
      <c r="C15" s="122"/>
      <c r="D15" s="122"/>
      <c r="E15" s="123"/>
      <c r="F15" s="122"/>
      <c r="G15" s="122"/>
      <c r="H15" s="122"/>
      <c r="I15" s="122"/>
      <c r="J15" s="122"/>
      <c r="K15" s="122"/>
      <c r="L15" s="124">
        <v>0</v>
      </c>
      <c r="M15" s="124"/>
      <c r="N15" s="122"/>
      <c r="O15" s="122"/>
      <c r="P15" s="122"/>
      <c r="Q15" s="122"/>
      <c r="R15" s="122"/>
      <c r="S15" s="122"/>
      <c r="T15" s="122"/>
      <c r="U15" s="122"/>
      <c r="V15" s="122"/>
      <c r="W15" s="125"/>
      <c r="Z15" s="275"/>
      <c r="AA15" s="127"/>
    </row>
    <row r="16" spans="2:31" ht="45" customHeight="1">
      <c r="B16" s="474" t="s">
        <v>170</v>
      </c>
      <c r="C16" s="128" t="s">
        <v>86</v>
      </c>
      <c r="D16" s="129" t="s">
        <v>165</v>
      </c>
      <c r="E16" s="130">
        <f>NETWORKDAYS.INTL(F16,G16,"0000100",$AD$5:$AD$11)</f>
        <v>7</v>
      </c>
      <c r="F16" s="131">
        <f>WORKDAY.INTL(G12,1,"0000100",$AD$5:$AD$10)</f>
        <v>46205</v>
      </c>
      <c r="G16" s="131">
        <f>WORKDAY.INTL(F16,6,"0000100",$AD$5:$AD$10)</f>
        <v>46212</v>
      </c>
      <c r="H16" s="131">
        <f>WORKDAY.INTL(I12,1,"0000100",$AD$5:$AD$10)</f>
        <v>46205</v>
      </c>
      <c r="I16" s="131">
        <f>WORKDAY.INTL(H16,6,"0000100",$AD$5:$AD$10)</f>
        <v>46212</v>
      </c>
      <c r="J16" s="131"/>
      <c r="K16" s="131"/>
      <c r="L16" s="132">
        <v>0.65</v>
      </c>
      <c r="M16" s="132" t="str">
        <f ca="1">IF(L16=100%,"Completed",IF(AND(OR(L16="",L16=0),F16&gt;TODAY()),"Not Started",IF(AND(OR(L16="",L16=0),F16&lt;=TODAY()),"Delayed",IF(AND(L16&gt;0,L16&lt;100%,G16&lt;TODAY()),"Delayed",IF(AND(L16&gt;0,L16&lt;100%,G16&gt;=TODAY()),"In Progress","")))))</f>
        <v>In Progress</v>
      </c>
      <c r="N16" s="129"/>
      <c r="O16" s="133"/>
      <c r="P16" s="134"/>
      <c r="Q16" s="134"/>
      <c r="R16" s="134"/>
      <c r="S16" s="134"/>
      <c r="T16" s="134"/>
      <c r="U16" s="134"/>
      <c r="V16" s="135"/>
      <c r="W16" s="136"/>
      <c r="Z16" s="23" t="s">
        <v>62</v>
      </c>
      <c r="AA16" s="104" t="s">
        <v>70</v>
      </c>
      <c r="AB16" s="104"/>
    </row>
    <row r="17" spans="2:31" ht="45" customHeight="1">
      <c r="B17" s="475"/>
      <c r="C17" s="128" t="s">
        <v>86</v>
      </c>
      <c r="D17" s="129" t="s">
        <v>107</v>
      </c>
      <c r="E17" s="130">
        <f>NETWORKDAYS.INTL(F17,G17,"0000100",$AD$5:$AD$11)</f>
        <v>3</v>
      </c>
      <c r="F17" s="131">
        <f>WORKDAY.INTL(G16,1,"0000100",$AD$5:$AD$10)</f>
        <v>46214</v>
      </c>
      <c r="G17" s="131">
        <f>WORKDAY.INTL(F17,2,"0000100",$AD$5:$AD$10)</f>
        <v>46216</v>
      </c>
      <c r="H17" s="131">
        <f>WORKDAY.INTL(I16,1,"0000100",$AD$5:$AD$10)</f>
        <v>46214</v>
      </c>
      <c r="I17" s="131">
        <f>WORKDAY.INTL(H17,2,"0000100",$AD$5:$AD$10)</f>
        <v>46216</v>
      </c>
      <c r="J17" s="131"/>
      <c r="K17" s="131"/>
      <c r="L17" s="132">
        <v>0</v>
      </c>
      <c r="M17" s="132" t="str">
        <f ca="1">IF(L17=100%,"Completed",IF(AND(OR(L17="",L17=0),F17&gt;TODAY()),"Not Started",IF(AND(OR(L17="",L17=0),F17&lt;=TODAY()),"Delayed",IF(AND(L17&gt;0,L17&lt;100%,G17&lt;TODAY()),"Delayed",IF(AND(L17&gt;0,L17&lt;100%,G17&gt;=TODAY()),"In Progress","")))))</f>
        <v>Not Started</v>
      </c>
      <c r="N17" s="129"/>
      <c r="O17" s="133"/>
      <c r="P17" s="134"/>
      <c r="Q17" s="134"/>
      <c r="R17" s="134"/>
      <c r="S17" s="134"/>
      <c r="T17" s="134"/>
      <c r="U17" s="134"/>
      <c r="V17" s="135"/>
      <c r="W17" s="136"/>
      <c r="Z17" s="23" t="s">
        <v>63</v>
      </c>
      <c r="AA17" s="104" t="s">
        <v>70</v>
      </c>
      <c r="AB17" s="104"/>
    </row>
    <row r="18" spans="2:31" ht="45" customHeight="1">
      <c r="B18" s="475"/>
      <c r="C18" s="128" t="s">
        <v>86</v>
      </c>
      <c r="D18" s="129" t="s">
        <v>111</v>
      </c>
      <c r="E18" s="130">
        <f>NETWORKDAYS.INTL(F18,G18,"0000110",$AD$5:$AD$11)</f>
        <v>4</v>
      </c>
      <c r="F18" s="131">
        <f>MAX(WORKDAY.INTL(G17,1,"0000100",$AD$5:$AD$10),WORKDAY.INTL(G13,1,"0000100",$AD$5:$AD$10))</f>
        <v>46237</v>
      </c>
      <c r="G18" s="131">
        <f>WORKDAY.INTL(F18,3,"0000110",$AD$5:$AD$10)</f>
        <v>46240</v>
      </c>
      <c r="H18" s="131">
        <f>MAX(WORKDAY.INTL(I17,1,"0000100",$AD$5:$AD$10),WORKDAY.INTL(I13,1,"0000100",$AD$5:$AD$10))</f>
        <v>46237</v>
      </c>
      <c r="I18" s="131">
        <f>WORKDAY.INTL(H18,3,"0000110",$AD$5:$AD$10)</f>
        <v>46240</v>
      </c>
      <c r="J18" s="131"/>
      <c r="K18" s="131"/>
      <c r="L18" s="132">
        <v>0</v>
      </c>
      <c r="M18" s="132" t="str">
        <f ca="1">IF(L18=100%,"Completed",IF(AND(OR(L18="",L18=0),F18&gt;TODAY()),"Not Started",IF(AND(OR(L18="",L18=0),F18&lt;=TODAY()),"Delayed",IF(AND(L18&gt;0,L18&lt;100%,G18&lt;TODAY()),"Delayed",IF(AND(L18&gt;0,L18&lt;100%,G18&gt;=TODAY()),"In Progress","")))))</f>
        <v>Not Started</v>
      </c>
      <c r="N18" s="129"/>
      <c r="O18" s="133"/>
      <c r="P18" s="134"/>
      <c r="Q18" s="134"/>
      <c r="R18" s="134"/>
      <c r="S18" s="134"/>
      <c r="T18" s="134"/>
      <c r="U18" s="134"/>
      <c r="V18" s="135"/>
      <c r="W18" s="136" t="s">
        <v>117</v>
      </c>
      <c r="Z18" s="23" t="s">
        <v>64</v>
      </c>
      <c r="AA18" s="104" t="s">
        <v>70</v>
      </c>
      <c r="AB18" s="104"/>
    </row>
    <row r="19" spans="2:31" ht="45" customHeight="1" thickBot="1">
      <c r="B19" s="475"/>
      <c r="C19" s="128" t="s">
        <v>86</v>
      </c>
      <c r="D19" s="138" t="s">
        <v>114</v>
      </c>
      <c r="E19" s="130">
        <f>NETWORKDAYS.INTL(F19,G19,"0000110",$AD$5:$AD$11)</f>
        <v>4</v>
      </c>
      <c r="F19" s="131">
        <f>WORKDAY.INTL(G18,1,"0000110",$AD$5:$AD$9)</f>
        <v>46243</v>
      </c>
      <c r="G19" s="131">
        <f>WORKDAY.INTL(F19,3,"0000110",$AD$5:$AD$10)</f>
        <v>46246</v>
      </c>
      <c r="H19" s="131">
        <f>WORKDAY.INTL(I18,1,"0000110",$AD$5:$AD$9)</f>
        <v>46243</v>
      </c>
      <c r="I19" s="131">
        <f>WORKDAY.INTL(H19,3,"0000110",$AD$5:$AD$10)</f>
        <v>46246</v>
      </c>
      <c r="J19" s="131"/>
      <c r="K19" s="131"/>
      <c r="L19" s="132">
        <v>0</v>
      </c>
      <c r="M19" s="132" t="str">
        <f ca="1">IF(L19=100%,"Completed",IF(AND(OR(L19="",L19=0),F19&gt;TODAY()),"Not Started",IF(AND(OR(L19="",L19=0),F19&lt;=TODAY()),"Delayed",IF(AND(L19&gt;0,L19&lt;100%,G19&lt;TODAY()),"Delayed",IF(AND(L19&gt;0,L19&lt;100%,G19&gt;=TODAY()),"In Progress","")))))</f>
        <v>Not Started</v>
      </c>
      <c r="N19" s="138"/>
      <c r="O19" s="133"/>
      <c r="P19" s="139"/>
      <c r="Q19" s="139"/>
      <c r="R19" s="139"/>
      <c r="S19" s="139"/>
      <c r="T19" s="139"/>
      <c r="U19" s="139"/>
      <c r="V19" s="140"/>
      <c r="W19" s="136" t="s">
        <v>115</v>
      </c>
      <c r="Z19" s="23" t="s">
        <v>65</v>
      </c>
      <c r="AA19" s="104" t="s">
        <v>70</v>
      </c>
      <c r="AB19" s="104"/>
    </row>
    <row r="20" spans="2:31" s="126" customFormat="1" ht="4.5" customHeight="1" thickBot="1">
      <c r="B20" s="122"/>
      <c r="C20" s="122"/>
      <c r="D20" s="122"/>
      <c r="E20" s="123"/>
      <c r="F20" s="122"/>
      <c r="G20" s="122"/>
      <c r="H20" s="122"/>
      <c r="I20" s="122"/>
      <c r="J20" s="122"/>
      <c r="K20" s="122"/>
      <c r="L20" s="124">
        <v>0</v>
      </c>
      <c r="M20" s="124"/>
      <c r="N20" s="122"/>
      <c r="O20" s="122"/>
      <c r="P20" s="122"/>
      <c r="Q20" s="122"/>
      <c r="R20" s="122"/>
      <c r="S20" s="122"/>
      <c r="T20" s="122"/>
      <c r="U20" s="122"/>
      <c r="V20" s="122"/>
      <c r="W20" s="125"/>
      <c r="Z20" s="275"/>
      <c r="AA20" s="127"/>
    </row>
    <row r="21" spans="2:31" ht="45" customHeight="1">
      <c r="B21" s="480" t="s">
        <v>171</v>
      </c>
      <c r="C21" s="141" t="s">
        <v>86</v>
      </c>
      <c r="D21" s="142" t="s">
        <v>165</v>
      </c>
      <c r="E21" s="143">
        <f>NETWORKDAYS.INTL(F21,G21,"0000100",$AD$5:$AD$11)</f>
        <v>6</v>
      </c>
      <c r="F21" s="145">
        <f>WORKDAY.INTL(G17,1,"0000100",$AD$5:$AD$10)</f>
        <v>46217</v>
      </c>
      <c r="G21" s="144">
        <f>WORKDAY.INTL(F21,5,"0000100",$AD$5:$AD$10)</f>
        <v>46223</v>
      </c>
      <c r="H21" s="145">
        <f>WORKDAY.INTL(I17,1,"0000100",$AD$5:$AD$10)</f>
        <v>46217</v>
      </c>
      <c r="I21" s="144">
        <f>WORKDAY.INTL(H21,5,"0000100",$AD$5:$AD$10)</f>
        <v>46223</v>
      </c>
      <c r="J21" s="145"/>
      <c r="K21" s="144"/>
      <c r="L21" s="146">
        <v>0</v>
      </c>
      <c r="M21" s="146" t="str">
        <f ca="1">IF(L21=100%,"Completed",IF(AND(OR(L21="",L21=0),F21&gt;TODAY()),"Not Started",IF(AND(OR(L21="",L21=0),F21&lt;=TODAY()),"Delayed",IF(AND(L21&gt;0,L21&lt;100%,G21&lt;TODAY()),"Delayed",IF(AND(L21&gt;0,L21&lt;100%,G21&gt;=TODAY()),"In Progress","")))))</f>
        <v>Not Started</v>
      </c>
      <c r="N21" s="142"/>
      <c r="O21" s="147"/>
      <c r="P21" s="148"/>
      <c r="Q21" s="148"/>
      <c r="R21" s="148"/>
      <c r="S21" s="148"/>
      <c r="T21" s="148"/>
      <c r="U21" s="148"/>
      <c r="V21" s="149"/>
      <c r="W21" s="150"/>
      <c r="Z21" s="23" t="s">
        <v>62</v>
      </c>
      <c r="AA21" s="104" t="s">
        <v>71</v>
      </c>
      <c r="AB21" s="104"/>
      <c r="AE21" s="137"/>
    </row>
    <row r="22" spans="2:31" ht="45" customHeight="1">
      <c r="B22" s="481"/>
      <c r="C22" s="141" t="s">
        <v>86</v>
      </c>
      <c r="D22" s="151" t="s">
        <v>107</v>
      </c>
      <c r="E22" s="152">
        <f>NETWORKDAYS.INTL(F22,G22,"0000100",$AD$5:$AD$11)</f>
        <v>3</v>
      </c>
      <c r="F22" s="145">
        <f>WORKDAY.INTL(G21,1,"0000100",$AD$5:$AD$10)</f>
        <v>46224</v>
      </c>
      <c r="G22" s="144">
        <f>WORKDAY.INTL(F22,2,"0000100",$AD$5:$AD$10)</f>
        <v>46226</v>
      </c>
      <c r="H22" s="145">
        <f>WORKDAY.INTL(I21,1,"0000100",$AD$5:$AD$10)</f>
        <v>46224</v>
      </c>
      <c r="I22" s="144">
        <f>WORKDAY.INTL(H22,2,"0000100",$AD$5:$AD$10)</f>
        <v>46226</v>
      </c>
      <c r="J22" s="145"/>
      <c r="K22" s="144"/>
      <c r="L22" s="146">
        <v>0</v>
      </c>
      <c r="M22" s="146" t="str">
        <f ca="1">IF(L22=100%,"Completed",IF(AND(OR(L22="",L22=0),F22&gt;TODAY()),"Not Started",IF(AND(OR(L22="",L22=0),F22&lt;=TODAY()),"Delayed",IF(AND(L22&gt;0,L22&lt;100%,G22&lt;TODAY()),"Delayed",IF(AND(L22&gt;0,L22&lt;100%,G22&gt;=TODAY()),"In Progress","")))))</f>
        <v>Not Started</v>
      </c>
      <c r="N22" s="151"/>
      <c r="O22" s="147"/>
      <c r="P22" s="153"/>
      <c r="Q22" s="153"/>
      <c r="R22" s="153"/>
      <c r="S22" s="153"/>
      <c r="T22" s="153"/>
      <c r="U22" s="153"/>
      <c r="V22" s="154"/>
      <c r="W22" s="155"/>
      <c r="Z22" s="23" t="s">
        <v>63</v>
      </c>
      <c r="AA22" s="104" t="s">
        <v>71</v>
      </c>
      <c r="AB22" s="104"/>
    </row>
    <row r="23" spans="2:31" ht="45" customHeight="1">
      <c r="B23" s="481"/>
      <c r="C23" s="141" t="s">
        <v>86</v>
      </c>
      <c r="D23" s="156" t="s">
        <v>111</v>
      </c>
      <c r="E23" s="152">
        <f>NETWORKDAYS.INTL(F23,G23,"0000110",$AD$5:$AD$11)</f>
        <v>4</v>
      </c>
      <c r="F23" s="144">
        <f>MAX(WORKDAY.INTL(G22,1,"0000100",$AD$5:$AD$10),WORKDAY.INTL(G18,1,"0000100",$AD$5:$AD$10))</f>
        <v>46242</v>
      </c>
      <c r="G23" s="145">
        <f>WORKDAY.INTL(F23,4,"0000110",$AD$5:$AD$10)</f>
        <v>46246</v>
      </c>
      <c r="H23" s="145">
        <f>MAX(WORKDAY.INTL(I22,1,"0000100",$AD$5:$AD$10),WORKDAY.INTL(I18,1,"0000100",$AD$5:$AD$10))</f>
        <v>46242</v>
      </c>
      <c r="I23" s="145">
        <f>WORKDAY.INTL(H23,4,"0000110",$AD$5:$AD$10)</f>
        <v>46246</v>
      </c>
      <c r="J23" s="145"/>
      <c r="K23" s="145"/>
      <c r="L23" s="157">
        <v>0</v>
      </c>
      <c r="M23" s="157" t="str">
        <f ca="1">IF(L23=100%,"Completed",IF(AND(OR(L23="",L23=0),F23&gt;TODAY()),"Not Started",IF(AND(OR(L23="",L23=0),F23&lt;=TODAY()),"Delayed",IF(AND(L23&gt;0,L23&lt;100%,G23&lt;TODAY()),"Delayed",IF(AND(L23&gt;0,L23&lt;100%,G23&gt;=TODAY()),"In Progress","")))))</f>
        <v>Not Started</v>
      </c>
      <c r="N23" s="156"/>
      <c r="O23" s="147"/>
      <c r="P23" s="158"/>
      <c r="Q23" s="158"/>
      <c r="R23" s="158"/>
      <c r="S23" s="158"/>
      <c r="T23" s="158"/>
      <c r="U23" s="158"/>
      <c r="V23" s="159"/>
      <c r="W23" s="155" t="s">
        <v>117</v>
      </c>
      <c r="Z23" s="23" t="s">
        <v>64</v>
      </c>
      <c r="AA23" s="104" t="s">
        <v>71</v>
      </c>
      <c r="AB23" s="104"/>
    </row>
    <row r="24" spans="2:31" ht="45" customHeight="1" thickBot="1">
      <c r="B24" s="481"/>
      <c r="C24" s="141" t="s">
        <v>86</v>
      </c>
      <c r="D24" s="156" t="s">
        <v>114</v>
      </c>
      <c r="E24" s="152">
        <f>NETWORKDAYS.INTL(F24,G24,"0000110",$AD$5:$AD$11)</f>
        <v>2</v>
      </c>
      <c r="F24" s="145">
        <f>WORKDAY.INTL(G23,1,"0000110",$AD$5:$AD$10)</f>
        <v>46247</v>
      </c>
      <c r="G24" s="145">
        <f>WORKDAY.INTL(F24,1,"0000110",$AD$5:$AD$10)</f>
        <v>46250</v>
      </c>
      <c r="H24" s="145">
        <f>WORKDAY.INTL(I23,1,"0000110",$AD$5:$AD$10)</f>
        <v>46247</v>
      </c>
      <c r="I24" s="145">
        <f>WORKDAY.INTL(H24,1,"0000110",$AD$5:$AD$10)</f>
        <v>46250</v>
      </c>
      <c r="J24" s="145"/>
      <c r="K24" s="145"/>
      <c r="L24" s="157">
        <v>0</v>
      </c>
      <c r="M24" s="157" t="str">
        <f ca="1">IF(L24=100%,"Completed",IF(AND(OR(L24="",L24=0),F24&gt;TODAY()),"Not Started",IF(AND(OR(L24="",L24=0),F24&lt;=TODAY()),"Delayed",IF(AND(L24&gt;0,L24&lt;100%,G24&lt;TODAY()),"Delayed",IF(AND(L24&gt;0,L24&lt;100%,G24&gt;=TODAY()),"In Progress","")))))</f>
        <v>Not Started</v>
      </c>
      <c r="N24" s="156"/>
      <c r="O24" s="147"/>
      <c r="P24" s="158"/>
      <c r="Q24" s="158"/>
      <c r="R24" s="158"/>
      <c r="S24" s="158"/>
      <c r="T24" s="158"/>
      <c r="U24" s="158"/>
      <c r="V24" s="159"/>
      <c r="W24" s="155" t="s">
        <v>115</v>
      </c>
      <c r="Z24" s="23" t="s">
        <v>65</v>
      </c>
      <c r="AA24" s="104" t="s">
        <v>71</v>
      </c>
      <c r="AB24" s="104"/>
    </row>
    <row r="25" spans="2:31" s="126" customFormat="1" ht="4.5" customHeight="1" thickBot="1">
      <c r="B25" s="122"/>
      <c r="C25" s="122"/>
      <c r="D25" s="122"/>
      <c r="E25" s="123"/>
      <c r="F25" s="122"/>
      <c r="G25" s="122"/>
      <c r="H25" s="122"/>
      <c r="I25" s="122"/>
      <c r="J25" s="122"/>
      <c r="K25" s="122"/>
      <c r="L25" s="124">
        <v>0</v>
      </c>
      <c r="M25" s="124"/>
      <c r="N25" s="122"/>
      <c r="O25" s="122"/>
      <c r="P25" s="122"/>
      <c r="Q25" s="122"/>
      <c r="R25" s="122"/>
      <c r="S25" s="122"/>
      <c r="T25" s="122"/>
      <c r="U25" s="122"/>
      <c r="V25" s="122"/>
      <c r="W25" s="125"/>
      <c r="Z25" s="275"/>
      <c r="AA25" s="127"/>
    </row>
    <row r="26" spans="2:31" ht="45" customHeight="1">
      <c r="B26" s="474" t="s">
        <v>172</v>
      </c>
      <c r="C26" s="128" t="s">
        <v>86</v>
      </c>
      <c r="D26" s="129" t="s">
        <v>165</v>
      </c>
      <c r="E26" s="130">
        <f>NETWORKDAYS.INTL(F26,G26,"0000100",$AD$5:$AD$11)</f>
        <v>6</v>
      </c>
      <c r="F26" s="131">
        <f>WORKDAY.INTL(G22,1,"0000100",$AD$5:$AD$10)</f>
        <v>46228</v>
      </c>
      <c r="G26" s="131">
        <f>WORKDAY.INTL(F26,5,"0000100",$AD$5:$AD$10)</f>
        <v>46233</v>
      </c>
      <c r="H26" s="131">
        <f>WORKDAY.INTL(I22,1,"0000100",$AD$5:$AD$10)</f>
        <v>46228</v>
      </c>
      <c r="I26" s="131">
        <f>WORKDAY.INTL(H26,5,"0000100",$AD$5:$AD$10)</f>
        <v>46233</v>
      </c>
      <c r="J26" s="131"/>
      <c r="K26" s="131"/>
      <c r="L26" s="132">
        <v>0</v>
      </c>
      <c r="M26" s="132" t="str">
        <f ca="1">IF(L26=100%,"Completed",IF(AND(OR(L26="",L26=0),F26&gt;TODAY()),"Not Started",IF(AND(OR(L26="",L26=0),F26&lt;=TODAY()),"Delayed",IF(AND(L26&gt;0,L26&lt;100%,G26&lt;TODAY()),"Delayed",IF(AND(L26&gt;0,L26&lt;100%,G26&gt;=TODAY()),"In Progress","")))))</f>
        <v>Not Started</v>
      </c>
      <c r="N26" s="129"/>
      <c r="O26" s="133"/>
      <c r="P26" s="134"/>
      <c r="Q26" s="134"/>
      <c r="R26" s="134"/>
      <c r="S26" s="134"/>
      <c r="T26" s="134"/>
      <c r="U26" s="134"/>
      <c r="V26" s="135"/>
      <c r="W26" s="136"/>
      <c r="Z26" s="23" t="s">
        <v>62</v>
      </c>
      <c r="AA26" s="104" t="s">
        <v>72</v>
      </c>
      <c r="AB26" s="104"/>
    </row>
    <row r="27" spans="2:31" ht="45" customHeight="1">
      <c r="B27" s="475"/>
      <c r="C27" s="128" t="s">
        <v>86</v>
      </c>
      <c r="D27" s="129" t="s">
        <v>107</v>
      </c>
      <c r="E27" s="130">
        <f>NETWORKDAYS.INTL(F27,G27,"0000100",$AD$5:$AD$11)</f>
        <v>3</v>
      </c>
      <c r="F27" s="131">
        <f>WORKDAY.INTL(G26,1,"0000100",$AD$5:$AD$10)</f>
        <v>46235</v>
      </c>
      <c r="G27" s="131">
        <f>WORKDAY.INTL(F27,2,"0000100",$AD$5:$AD$10)</f>
        <v>46237</v>
      </c>
      <c r="H27" s="131">
        <f>WORKDAY.INTL(I26,1,"0000100",$AD$5:$AD$10)</f>
        <v>46235</v>
      </c>
      <c r="I27" s="131">
        <f>WORKDAY.INTL(H27,2,"0000100",$AD$5:$AD$10)</f>
        <v>46237</v>
      </c>
      <c r="J27" s="131"/>
      <c r="K27" s="131"/>
      <c r="L27" s="132">
        <v>0</v>
      </c>
      <c r="M27" s="132" t="str">
        <f ca="1">IF(L27=100%,"Completed",IF(AND(OR(L27="",L27=0),F27&gt;TODAY()),"Not Started",IF(AND(OR(L27="",L27=0),F27&lt;=TODAY()),"Delayed",IF(AND(L27&gt;0,L27&lt;100%,G27&lt;TODAY()),"Delayed",IF(AND(L27&gt;0,L27&lt;100%,G27&gt;=TODAY()),"In Progress","")))))</f>
        <v>Not Started</v>
      </c>
      <c r="N27" s="129"/>
      <c r="O27" s="133"/>
      <c r="P27" s="134"/>
      <c r="Q27" s="134"/>
      <c r="R27" s="134"/>
      <c r="S27" s="134"/>
      <c r="T27" s="134"/>
      <c r="U27" s="134"/>
      <c r="V27" s="135"/>
      <c r="W27" s="136"/>
      <c r="Z27" s="23" t="s">
        <v>63</v>
      </c>
      <c r="AA27" s="104" t="s">
        <v>72</v>
      </c>
      <c r="AB27" s="104"/>
    </row>
    <row r="28" spans="2:31" ht="45" customHeight="1">
      <c r="B28" s="475"/>
      <c r="C28" s="128" t="s">
        <v>86</v>
      </c>
      <c r="D28" s="129" t="s">
        <v>111</v>
      </c>
      <c r="E28" s="130">
        <f>NETWORKDAYS.INTL(F28,G28,"0000110",$AD$5:$AD$11)</f>
        <v>4</v>
      </c>
      <c r="F28" s="131">
        <f>MAX(WORKDAY.INTL(G27,1,"0000100",$AD$5:$AD$10),WORKDAY.INTL(G23,1,"0000100",$AD$5:$AD$10))</f>
        <v>46247</v>
      </c>
      <c r="G28" s="131">
        <f t="shared" ref="G28" si="0">WORKDAY.INTL(F28,3,"0000110")</f>
        <v>46252</v>
      </c>
      <c r="H28" s="131">
        <f>MAX(WORKDAY.INTL(I27,1,"0000100",$AD$5:$AD$10),WORKDAY.INTL(I23,1,"0000100",$AD$5:$AD$10))</f>
        <v>46247</v>
      </c>
      <c r="I28" s="131">
        <f t="shared" ref="I28" si="1">WORKDAY.INTL(H28,3,"0000110")</f>
        <v>46252</v>
      </c>
      <c r="J28" s="131"/>
      <c r="K28" s="131"/>
      <c r="L28" s="132">
        <v>0</v>
      </c>
      <c r="M28" s="132" t="str">
        <f ca="1">IF(L28=100%,"Completed",IF(AND(OR(L28="",L28=0),F28&gt;TODAY()),"Not Started",IF(AND(OR(L28="",L28=0),F28&lt;=TODAY()),"Delayed",IF(AND(L28&gt;0,L28&lt;100%,G28&lt;TODAY()),"Delayed",IF(AND(L28&gt;0,L28&lt;100%,G28&gt;=TODAY()),"In Progress","")))))</f>
        <v>Not Started</v>
      </c>
      <c r="N28" s="129"/>
      <c r="O28" s="133"/>
      <c r="P28" s="134"/>
      <c r="Q28" s="134"/>
      <c r="R28" s="134"/>
      <c r="S28" s="134"/>
      <c r="T28" s="134"/>
      <c r="U28" s="134"/>
      <c r="V28" s="135"/>
      <c r="W28" s="136" t="s">
        <v>117</v>
      </c>
      <c r="Z28" s="23" t="s">
        <v>64</v>
      </c>
      <c r="AA28" s="104" t="s">
        <v>72</v>
      </c>
      <c r="AB28" s="104"/>
    </row>
    <row r="29" spans="2:31" ht="45" customHeight="1" thickBot="1">
      <c r="B29" s="475"/>
      <c r="C29" s="128" t="s">
        <v>86</v>
      </c>
      <c r="D29" s="138" t="s">
        <v>114</v>
      </c>
      <c r="E29" s="130">
        <f>NETWORKDAYS.INTL(F29,G29,"0000110",$AD$5:$AD$11)</f>
        <v>2</v>
      </c>
      <c r="F29" s="131">
        <f t="shared" ref="F29" si="2">WORKDAY.INTL(G28,1,"0000110")</f>
        <v>46253</v>
      </c>
      <c r="G29" s="131">
        <f t="shared" ref="G29" si="3">WORKDAY.INTL(F29,1,"0000110")</f>
        <v>46254</v>
      </c>
      <c r="H29" s="131">
        <f t="shared" ref="H29" si="4">WORKDAY.INTL(I28,1,"0000110")</f>
        <v>46253</v>
      </c>
      <c r="I29" s="131">
        <f t="shared" ref="I29" si="5">WORKDAY.INTL(H29,1,"0000110")</f>
        <v>46254</v>
      </c>
      <c r="J29" s="131"/>
      <c r="K29" s="131"/>
      <c r="L29" s="132">
        <v>0</v>
      </c>
      <c r="M29" s="132" t="str">
        <f ca="1">IF(L29=100%,"Completed",IF(AND(OR(L29="",L29=0),F29&gt;TODAY()),"Not Started",IF(AND(OR(L29="",L29=0),F29&lt;=TODAY()),"Delayed",IF(AND(L29&gt;0,L29&lt;100%,G29&lt;TODAY()),"Delayed",IF(AND(L29&gt;0,L29&lt;100%,G29&gt;=TODAY()),"In Progress","")))))</f>
        <v>Not Started</v>
      </c>
      <c r="N29" s="138"/>
      <c r="O29" s="133"/>
      <c r="P29" s="139"/>
      <c r="Q29" s="139"/>
      <c r="R29" s="139"/>
      <c r="S29" s="139"/>
      <c r="T29" s="139"/>
      <c r="U29" s="139"/>
      <c r="V29" s="140"/>
      <c r="W29" s="136" t="s">
        <v>115</v>
      </c>
      <c r="Z29" s="23" t="s">
        <v>65</v>
      </c>
      <c r="AA29" s="104" t="s">
        <v>72</v>
      </c>
      <c r="AB29" s="104"/>
    </row>
    <row r="30" spans="2:31" s="126" customFormat="1" ht="4.5" customHeight="1" thickBot="1">
      <c r="B30" s="122"/>
      <c r="C30" s="122"/>
      <c r="D30" s="122"/>
      <c r="E30" s="123"/>
      <c r="F30" s="122"/>
      <c r="G30" s="122"/>
      <c r="H30" s="122"/>
      <c r="I30" s="122"/>
      <c r="J30" s="122"/>
      <c r="K30" s="122"/>
      <c r="L30" s="124">
        <v>0</v>
      </c>
      <c r="M30" s="124"/>
      <c r="N30" s="122"/>
      <c r="O30" s="122"/>
      <c r="P30" s="122"/>
      <c r="Q30" s="122"/>
      <c r="R30" s="122"/>
      <c r="S30" s="122"/>
      <c r="T30" s="122"/>
      <c r="U30" s="122"/>
      <c r="V30" s="122"/>
      <c r="W30" s="125"/>
      <c r="Z30" s="275"/>
      <c r="AA30" s="127"/>
    </row>
    <row r="31" spans="2:31" ht="45" customHeight="1">
      <c r="B31" s="480" t="s">
        <v>173</v>
      </c>
      <c r="C31" s="141" t="s">
        <v>86</v>
      </c>
      <c r="D31" s="142" t="s">
        <v>165</v>
      </c>
      <c r="E31" s="143">
        <f>NETWORKDAYS.INTL(F31,G31,"0000100",$AD$5:$AD$11)</f>
        <v>6</v>
      </c>
      <c r="F31" s="145">
        <f>WORKDAY.INTL(G27,1,"0000100",$AD$5:$AD$10)</f>
        <v>46238</v>
      </c>
      <c r="G31" s="247">
        <f>WORKDAY.INTL(F31,5,"0000100",$AD$5:$AD$10)</f>
        <v>46244</v>
      </c>
      <c r="H31" s="145">
        <f>WORKDAY.INTL(I27,1,"0000100",$AD$5:$AD$10)</f>
        <v>46238</v>
      </c>
      <c r="I31" s="144">
        <f>WORKDAY.INTL(H31,5,"0000100",$AD$5:$AD$10)</f>
        <v>46244</v>
      </c>
      <c r="J31" s="145"/>
      <c r="K31" s="144"/>
      <c r="L31" s="146">
        <v>0</v>
      </c>
      <c r="M31" s="146" t="str">
        <f ca="1">IF(L31=100%,"Completed",IF(AND(OR(L31="",L31=0),F31&gt;TODAY()),"Not Started",IF(AND(OR(L31="",L31=0),F31&lt;=TODAY()),"Delayed",IF(AND(L31&gt;0,L31&lt;100%,G31&lt;TODAY()),"Delayed",IF(AND(L31&gt;0,L31&lt;100%,G31&gt;=TODAY()),"In Progress","")))))</f>
        <v>Not Started</v>
      </c>
      <c r="N31" s="142"/>
      <c r="O31" s="147"/>
      <c r="P31" s="148"/>
      <c r="Q31" s="148"/>
      <c r="R31" s="148"/>
      <c r="S31" s="148"/>
      <c r="T31" s="148"/>
      <c r="U31" s="148"/>
      <c r="V31" s="149"/>
      <c r="W31" s="150"/>
      <c r="Z31" s="23" t="s">
        <v>62</v>
      </c>
      <c r="AA31" s="104" t="s">
        <v>73</v>
      </c>
      <c r="AB31" s="104"/>
      <c r="AE31" s="137"/>
    </row>
    <row r="32" spans="2:31" ht="45" customHeight="1">
      <c r="B32" s="481"/>
      <c r="C32" s="141" t="s">
        <v>86</v>
      </c>
      <c r="D32" s="151" t="s">
        <v>107</v>
      </c>
      <c r="E32" s="152">
        <f>NETWORKDAYS.INTL(F32,G32,"0000100",$AD$5:$AD$11)</f>
        <v>3</v>
      </c>
      <c r="F32" s="145">
        <f>WORKDAY.INTL(G31,1,"0000100",$AD$5:$AD$10)</f>
        <v>46245</v>
      </c>
      <c r="G32" s="144">
        <f>WORKDAY.INTL(F32,2,"0000100",$AD$5:$AD$10)</f>
        <v>46247</v>
      </c>
      <c r="H32" s="145">
        <f>WORKDAY.INTL(I31,1,"0000100",$AD$5:$AD$10)</f>
        <v>46245</v>
      </c>
      <c r="I32" s="144">
        <f>WORKDAY.INTL(H32,2,"0000100",$AD$5:$AD$10)</f>
        <v>46247</v>
      </c>
      <c r="J32" s="145"/>
      <c r="K32" s="144"/>
      <c r="L32" s="146">
        <v>0</v>
      </c>
      <c r="M32" s="146" t="str">
        <f ca="1">IF(L32=100%,"Completed",IF(AND(OR(L32="",L32=0),F32&gt;TODAY()),"Not Started",IF(AND(OR(L32="",L32=0),F32&lt;=TODAY()),"Delayed",IF(AND(L32&gt;0,L32&lt;100%,G32&lt;TODAY()),"Delayed",IF(AND(L32&gt;0,L32&lt;100%,G32&gt;=TODAY()),"In Progress","")))))</f>
        <v>Not Started</v>
      </c>
      <c r="N32" s="151"/>
      <c r="O32" s="147"/>
      <c r="P32" s="153"/>
      <c r="Q32" s="153"/>
      <c r="R32" s="153"/>
      <c r="S32" s="153"/>
      <c r="T32" s="153"/>
      <c r="U32" s="153"/>
      <c r="V32" s="154"/>
      <c r="W32" s="155"/>
      <c r="Z32" s="23" t="s">
        <v>63</v>
      </c>
      <c r="AA32" s="104" t="s">
        <v>73</v>
      </c>
      <c r="AB32" s="104"/>
    </row>
    <row r="33" spans="2:31" ht="45" customHeight="1">
      <c r="B33" s="481"/>
      <c r="C33" s="141" t="s">
        <v>86</v>
      </c>
      <c r="D33" s="156" t="s">
        <v>111</v>
      </c>
      <c r="E33" s="152">
        <f>NETWORKDAYS.INTL(F33,G33,"0000110",$AD$5:$AD$11)</f>
        <v>4</v>
      </c>
      <c r="F33" s="145">
        <f>MAX(WORKDAY.INTL(G32,1,"0000100",$AD$5:$AD$10),WORKDAY.INTL(G28,1,"0000100",$AD$5:$AD$10))</f>
        <v>46253</v>
      </c>
      <c r="G33" s="145">
        <f>WORKDAY.INTL(F33,3,"0000110",$AD$5:$AD$10)</f>
        <v>46258</v>
      </c>
      <c r="H33" s="145">
        <f>MAX(WORKDAY.INTL(I32,1,"0000100",$AD$5:$AD$10),WORKDAY.INTL(I28,1,"0000100",$AD$5:$AD$10))</f>
        <v>46253</v>
      </c>
      <c r="I33" s="145">
        <f>WORKDAY.INTL(H33,3,"0000110",$AD$5:$AD$10)</f>
        <v>46258</v>
      </c>
      <c r="J33" s="145"/>
      <c r="K33" s="145"/>
      <c r="L33" s="157">
        <v>0</v>
      </c>
      <c r="M33" s="157" t="str">
        <f ca="1">IF(L33=100%,"Completed",IF(AND(OR(L33="",L33=0),F33&gt;TODAY()),"Not Started",IF(AND(OR(L33="",L33=0),F33&lt;=TODAY()),"Delayed",IF(AND(L33&gt;0,L33&lt;100%,G33&lt;TODAY()),"Delayed",IF(AND(L33&gt;0,L33&lt;100%,G33&gt;=TODAY()),"In Progress","")))))</f>
        <v>Not Started</v>
      </c>
      <c r="N33" s="156"/>
      <c r="O33" s="147"/>
      <c r="P33" s="158"/>
      <c r="Q33" s="158"/>
      <c r="R33" s="158"/>
      <c r="S33" s="158"/>
      <c r="T33" s="158"/>
      <c r="U33" s="158"/>
      <c r="V33" s="159"/>
      <c r="W33" s="155" t="s">
        <v>117</v>
      </c>
      <c r="Z33" s="23" t="s">
        <v>64</v>
      </c>
      <c r="AA33" s="104" t="s">
        <v>73</v>
      </c>
      <c r="AB33" s="104"/>
    </row>
    <row r="34" spans="2:31" ht="45" customHeight="1" thickBot="1">
      <c r="B34" s="481"/>
      <c r="C34" s="141" t="s">
        <v>86</v>
      </c>
      <c r="D34" s="156" t="s">
        <v>114</v>
      </c>
      <c r="E34" s="152">
        <f>NETWORKDAYS.INTL(F34,G34,"0000110",$AD$5:$AD$11)</f>
        <v>2</v>
      </c>
      <c r="F34" s="145">
        <f>WORKDAY.INTL(G33,1,"0000110",$AD$5:$AD$10)</f>
        <v>46259</v>
      </c>
      <c r="G34" s="145">
        <f>WORKDAY.INTL(F34,1,"0000110",$AD$5:$AD$10)</f>
        <v>46260</v>
      </c>
      <c r="H34" s="145">
        <f>WORKDAY.INTL(I33,1,"0000110",$AD$5:$AD$10)</f>
        <v>46259</v>
      </c>
      <c r="I34" s="145">
        <f>WORKDAY.INTL(H34,1,"0000110",$AD$5:$AD$10)</f>
        <v>46260</v>
      </c>
      <c r="J34" s="145"/>
      <c r="K34" s="145"/>
      <c r="L34" s="157">
        <v>0</v>
      </c>
      <c r="M34" s="157" t="str">
        <f ca="1">IF(L34=100%,"Completed",IF(AND(OR(L34="",L34=0),F34&gt;TODAY()),"Not Started",IF(AND(OR(L34="",L34=0),F34&lt;=TODAY()),"Delayed",IF(AND(L34&gt;0,L34&lt;100%,G34&lt;TODAY()),"Delayed",IF(AND(L34&gt;0,L34&lt;100%,G34&gt;=TODAY()),"In Progress","")))))</f>
        <v>Not Started</v>
      </c>
      <c r="N34" s="156"/>
      <c r="O34" s="147"/>
      <c r="P34" s="158"/>
      <c r="Q34" s="158"/>
      <c r="R34" s="158"/>
      <c r="S34" s="158"/>
      <c r="T34" s="158"/>
      <c r="U34" s="158"/>
      <c r="V34" s="159"/>
      <c r="W34" s="155" t="s">
        <v>115</v>
      </c>
      <c r="Z34" s="23" t="s">
        <v>65</v>
      </c>
      <c r="AA34" s="104" t="s">
        <v>73</v>
      </c>
      <c r="AB34" s="104"/>
    </row>
    <row r="35" spans="2:31" s="126" customFormat="1" ht="4.5" customHeight="1" thickBot="1">
      <c r="B35" s="122"/>
      <c r="C35" s="122"/>
      <c r="D35" s="122"/>
      <c r="E35" s="123"/>
      <c r="F35" s="122"/>
      <c r="G35" s="122"/>
      <c r="H35" s="122"/>
      <c r="I35" s="122"/>
      <c r="J35" s="122"/>
      <c r="K35" s="122"/>
      <c r="L35" s="124">
        <v>0</v>
      </c>
      <c r="M35" s="124"/>
      <c r="N35" s="122"/>
      <c r="O35" s="122"/>
      <c r="P35" s="122"/>
      <c r="Q35" s="122"/>
      <c r="R35" s="122"/>
      <c r="S35" s="122"/>
      <c r="T35" s="122"/>
      <c r="U35" s="122"/>
      <c r="V35" s="122"/>
      <c r="W35" s="125"/>
      <c r="Z35" s="275"/>
      <c r="AA35" s="127"/>
    </row>
    <row r="36" spans="2:31" ht="45" customHeight="1">
      <c r="B36" s="474" t="s">
        <v>174</v>
      </c>
      <c r="C36" s="128" t="s">
        <v>86</v>
      </c>
      <c r="D36" s="129" t="s">
        <v>165</v>
      </c>
      <c r="E36" s="130">
        <f>NETWORKDAYS.INTL(F36,G36,"0000100",$AD$5:$AD$11)</f>
        <v>5</v>
      </c>
      <c r="F36" s="131">
        <f>WORKDAY.INTL(G32,1,"0000100",$AD$5:$AD$10)</f>
        <v>46249</v>
      </c>
      <c r="G36" s="131">
        <f>WORKDAY.INTL(F36,4,"0000100",$AD$5:$AD$10)</f>
        <v>46253</v>
      </c>
      <c r="H36" s="131">
        <f>WORKDAY.INTL(I32,1,"0000100",$AD$5:$AD$10)</f>
        <v>46249</v>
      </c>
      <c r="I36" s="131">
        <f>WORKDAY.INTL(H36,4,"0000100",$AD$5:$AD$10)</f>
        <v>46253</v>
      </c>
      <c r="J36" s="131"/>
      <c r="K36" s="131"/>
      <c r="L36" s="132">
        <v>0</v>
      </c>
      <c r="M36" s="132" t="str">
        <f ca="1">IF(L36=100%,"Completed",IF(AND(OR(L36="",L36=0),F36&gt;TODAY()),"Not Started",IF(AND(OR(L36="",L36=0),F36&lt;=TODAY()),"Delayed",IF(AND(L36&gt;0,L36&lt;100%,G36&lt;TODAY()),"Delayed",IF(AND(L36&gt;0,L36&lt;100%,G36&gt;=TODAY()),"In Progress","")))))</f>
        <v>Not Started</v>
      </c>
      <c r="N36" s="129"/>
      <c r="O36" s="133"/>
      <c r="P36" s="134"/>
      <c r="Q36" s="134"/>
      <c r="R36" s="134"/>
      <c r="S36" s="134"/>
      <c r="T36" s="134"/>
      <c r="U36" s="134"/>
      <c r="V36" s="135"/>
      <c r="W36" s="136"/>
      <c r="Z36" s="23" t="s">
        <v>62</v>
      </c>
      <c r="AA36" s="104" t="s">
        <v>74</v>
      </c>
      <c r="AB36" s="104"/>
    </row>
    <row r="37" spans="2:31" ht="45" customHeight="1">
      <c r="B37" s="475"/>
      <c r="C37" s="128" t="s">
        <v>86</v>
      </c>
      <c r="D37" s="129" t="s">
        <v>107</v>
      </c>
      <c r="E37" s="130">
        <f>NETWORKDAYS.INTL(F37,G37,"0000100",$AD$5:$AD$11)</f>
        <v>3</v>
      </c>
      <c r="F37" s="131">
        <f>WORKDAY.INTL(G36,1,"0000100",$AD$5:$AD$10)</f>
        <v>46254</v>
      </c>
      <c r="G37" s="131">
        <f>WORKDAY.INTL(F37,2,"0000100",$AD$5:$AD$10)</f>
        <v>46257</v>
      </c>
      <c r="H37" s="131">
        <f>WORKDAY.INTL(I36,1,"0000100",$AD$5:$AD$10)</f>
        <v>46254</v>
      </c>
      <c r="I37" s="131">
        <f>WORKDAY.INTL(H37,2,"0000100",$AD$5:$AD$10)</f>
        <v>46257</v>
      </c>
      <c r="J37" s="131"/>
      <c r="K37" s="131"/>
      <c r="L37" s="132">
        <v>0</v>
      </c>
      <c r="M37" s="132" t="str">
        <f ca="1">IF(L37=100%,"Completed",IF(AND(OR(L37="",L37=0),F37&gt;TODAY()),"Not Started",IF(AND(OR(L37="",L37=0),F37&lt;=TODAY()),"Delayed",IF(AND(L37&gt;0,L37&lt;100%,G37&lt;TODAY()),"Delayed",IF(AND(L37&gt;0,L37&lt;100%,G37&gt;=TODAY()),"In Progress","")))))</f>
        <v>Not Started</v>
      </c>
      <c r="N37" s="129"/>
      <c r="O37" s="133"/>
      <c r="P37" s="134"/>
      <c r="Q37" s="134"/>
      <c r="R37" s="134"/>
      <c r="S37" s="134"/>
      <c r="T37" s="134"/>
      <c r="U37" s="134"/>
      <c r="V37" s="135"/>
      <c r="W37" s="136"/>
      <c r="Z37" s="23" t="s">
        <v>63</v>
      </c>
      <c r="AA37" s="104" t="s">
        <v>74</v>
      </c>
      <c r="AB37" s="104"/>
    </row>
    <row r="38" spans="2:31" ht="45" customHeight="1">
      <c r="B38" s="475"/>
      <c r="C38" s="128" t="s">
        <v>86</v>
      </c>
      <c r="D38" s="129" t="s">
        <v>111</v>
      </c>
      <c r="E38" s="130">
        <f>NETWORKDAYS.INTL(F38,G38,"0000110",$AD$5:$AD$11)</f>
        <v>4</v>
      </c>
      <c r="F38" s="131">
        <f>MAX(WORKDAY.INTL(G37,1,"0000100",$AD$5:$AD$10),WORKDAY.INTL(G33,1,"0000100",$AD$5:$AD$10))</f>
        <v>46259</v>
      </c>
      <c r="G38" s="131">
        <f>WORKDAY.INTL(F38,3,"0000110",$AD$5:$AD$10)</f>
        <v>46264</v>
      </c>
      <c r="H38" s="131">
        <f>MAX(WORKDAY.INTL(I37,1,"0000100",$AD$5:$AD$10),WORKDAY.INTL(I33,1,"0000100",$AD$5:$AD$10))</f>
        <v>46259</v>
      </c>
      <c r="I38" s="131">
        <f>WORKDAY.INTL(H38,3,"0000110",$AD$5:$AD$10)</f>
        <v>46264</v>
      </c>
      <c r="J38" s="131"/>
      <c r="K38" s="131"/>
      <c r="L38" s="132">
        <v>0</v>
      </c>
      <c r="M38" s="132" t="str">
        <f ca="1">IF(L38=100%,"Completed",IF(AND(OR(L38="",L38=0),F38&gt;TODAY()),"Not Started",IF(AND(OR(L38="",L38=0),F38&lt;=TODAY()),"Delayed",IF(AND(L38&gt;0,L38&lt;100%,G38&lt;TODAY()),"Delayed",IF(AND(L38&gt;0,L38&lt;100%,G38&gt;=TODAY()),"In Progress","")))))</f>
        <v>Not Started</v>
      </c>
      <c r="N38" s="129"/>
      <c r="O38" s="133"/>
      <c r="P38" s="134"/>
      <c r="Q38" s="134"/>
      <c r="R38" s="134"/>
      <c r="S38" s="134"/>
      <c r="T38" s="134"/>
      <c r="U38" s="134"/>
      <c r="V38" s="135"/>
      <c r="W38" s="136" t="s">
        <v>117</v>
      </c>
      <c r="Z38" s="23" t="s">
        <v>64</v>
      </c>
      <c r="AA38" s="104" t="s">
        <v>74</v>
      </c>
      <c r="AB38" s="104"/>
    </row>
    <row r="39" spans="2:31" ht="45" customHeight="1" thickBot="1">
      <c r="B39" s="475"/>
      <c r="C39" s="128" t="s">
        <v>86</v>
      </c>
      <c r="D39" s="138" t="s">
        <v>114</v>
      </c>
      <c r="E39" s="130">
        <f>NETWORKDAYS.INTL(F39,G39,"0000110",$AD$5:$AD$11)</f>
        <v>2</v>
      </c>
      <c r="F39" s="131">
        <f>WORKDAY.INTL(G38,1,"0000110",$AD$5:$AD$10)</f>
        <v>46265</v>
      </c>
      <c r="G39" s="131">
        <f>WORKDAY.INTL(F39,1,"0000110",$AD$5:$AD$10)</f>
        <v>46266</v>
      </c>
      <c r="H39" s="131">
        <f>WORKDAY.INTL(I38,1,"0000110",$AD$5:$AD$10)</f>
        <v>46265</v>
      </c>
      <c r="I39" s="131">
        <f>WORKDAY.INTL(H39,1,"0000110",$AD$5:$AD$10)</f>
        <v>46266</v>
      </c>
      <c r="J39" s="131"/>
      <c r="K39" s="131"/>
      <c r="L39" s="132">
        <v>0</v>
      </c>
      <c r="M39" s="132" t="str">
        <f ca="1">IF(L39=100%,"Completed",IF(AND(OR(L39="",L39=0),F39&gt;TODAY()),"Not Started",IF(AND(OR(L39="",L39=0),F39&lt;=TODAY()),"Delayed",IF(AND(L39&gt;0,L39&lt;100%,G39&lt;TODAY()),"Delayed",IF(AND(L39&gt;0,L39&lt;100%,G39&gt;=TODAY()),"In Progress","")))))</f>
        <v>Not Started</v>
      </c>
      <c r="N39" s="138"/>
      <c r="O39" s="133"/>
      <c r="P39" s="139"/>
      <c r="Q39" s="139"/>
      <c r="R39" s="139"/>
      <c r="S39" s="139"/>
      <c r="T39" s="139"/>
      <c r="U39" s="139"/>
      <c r="V39" s="140"/>
      <c r="W39" s="136" t="s">
        <v>115</v>
      </c>
      <c r="Z39" s="23" t="s">
        <v>65</v>
      </c>
      <c r="AA39" s="104" t="s">
        <v>74</v>
      </c>
      <c r="AB39" s="104"/>
    </row>
    <row r="40" spans="2:31" s="126" customFormat="1" ht="4.5" customHeight="1" thickBot="1">
      <c r="B40" s="122"/>
      <c r="C40" s="122"/>
      <c r="D40" s="122"/>
      <c r="E40" s="123"/>
      <c r="F40" s="122"/>
      <c r="G40" s="122"/>
      <c r="H40" s="122"/>
      <c r="I40" s="122"/>
      <c r="J40" s="122"/>
      <c r="K40" s="122"/>
      <c r="L40" s="124">
        <v>0</v>
      </c>
      <c r="M40" s="124"/>
      <c r="N40" s="122"/>
      <c r="O40" s="122"/>
      <c r="P40" s="122"/>
      <c r="Q40" s="122"/>
      <c r="R40" s="122"/>
      <c r="S40" s="122"/>
      <c r="T40" s="122"/>
      <c r="U40" s="122"/>
      <c r="V40" s="122"/>
      <c r="W40" s="125"/>
      <c r="Z40" s="275"/>
      <c r="AA40" s="127"/>
    </row>
    <row r="41" spans="2:31" ht="45" customHeight="1">
      <c r="B41" s="480" t="s">
        <v>175</v>
      </c>
      <c r="C41" s="141" t="s">
        <v>86</v>
      </c>
      <c r="D41" s="142" t="s">
        <v>165</v>
      </c>
      <c r="E41" s="143">
        <f>NETWORKDAYS.INTL(F41,G41,"0000100",$AD$5:$AD$11)</f>
        <v>4</v>
      </c>
      <c r="F41" s="145">
        <f>WORKDAY.INTL(G37,1,"0000100",$AD$5:$AD$10)</f>
        <v>46258</v>
      </c>
      <c r="G41" s="247">
        <f>WORKDAY.INTL(F41,3,"0000100",$AD$5:$AD$10)</f>
        <v>46261</v>
      </c>
      <c r="H41" s="145">
        <f>WORKDAY.INTL(I37,1,"0000100",$AD$5:$AD$10)</f>
        <v>46258</v>
      </c>
      <c r="I41" s="144">
        <f>WORKDAY.INTL(H41,3,"0000100",$AD$5:$AD$10)</f>
        <v>46261</v>
      </c>
      <c r="J41" s="144"/>
      <c r="K41" s="144"/>
      <c r="L41" s="146">
        <v>0</v>
      </c>
      <c r="M41" s="146" t="str">
        <f ca="1">IF(L41=100%,"Completed",IF(AND(OR(L41="",L41=0),F41&gt;TODAY()),"Not Started",IF(AND(OR(L41="",L41=0),F41&lt;=TODAY()),"Delayed",IF(AND(L41&gt;0,L41&lt;100%,G41&lt;TODAY()),"Delayed",IF(AND(L41&gt;0,L41&lt;100%,G41&gt;=TODAY()),"In Progress","")))))</f>
        <v>Not Started</v>
      </c>
      <c r="N41" s="142"/>
      <c r="O41" s="147"/>
      <c r="P41" s="148"/>
      <c r="Q41" s="148"/>
      <c r="R41" s="148"/>
      <c r="S41" s="148"/>
      <c r="T41" s="148"/>
      <c r="U41" s="148"/>
      <c r="V41" s="149"/>
      <c r="W41" s="150"/>
      <c r="Z41" s="23" t="s">
        <v>62</v>
      </c>
      <c r="AA41" s="104" t="s">
        <v>75</v>
      </c>
      <c r="AB41" s="104"/>
      <c r="AE41" s="137"/>
    </row>
    <row r="42" spans="2:31" ht="45" customHeight="1">
      <c r="B42" s="481"/>
      <c r="C42" s="141" t="s">
        <v>86</v>
      </c>
      <c r="D42" s="151" t="s">
        <v>107</v>
      </c>
      <c r="E42" s="152">
        <f>NETWORKDAYS.INTL(F42,G42,"0000100",$AD$5:$AD$11)</f>
        <v>3</v>
      </c>
      <c r="F42" s="145">
        <f>WORKDAY.INTL(G41,1,"0000100",$AD$5:$AD$10)</f>
        <v>46263</v>
      </c>
      <c r="G42" s="144">
        <f>WORKDAY.INTL(F42,2,"0000100",$AD$5:$AD$10)</f>
        <v>46265</v>
      </c>
      <c r="H42" s="145">
        <f>WORKDAY.INTL(I41,1,"0000100",$AD$5:$AD$10)</f>
        <v>46263</v>
      </c>
      <c r="I42" s="144">
        <f>WORKDAY.INTL(H42,2,"0000100",$AD$5:$AD$10)</f>
        <v>46265</v>
      </c>
      <c r="J42" s="144"/>
      <c r="K42" s="144"/>
      <c r="L42" s="146">
        <v>0</v>
      </c>
      <c r="M42" s="146" t="str">
        <f ca="1">IF(L42=100%,"Completed",IF(AND(OR(L42="",L42=0),F42&gt;TODAY()),"Not Started",IF(AND(OR(L42="",L42=0),F42&lt;=TODAY()),"Delayed",IF(AND(L42&gt;0,L42&lt;100%,G42&lt;TODAY()),"Delayed",IF(AND(L42&gt;0,L42&lt;100%,G42&gt;=TODAY()),"In Progress","")))))</f>
        <v>Not Started</v>
      </c>
      <c r="N42" s="151"/>
      <c r="O42" s="147"/>
      <c r="P42" s="153"/>
      <c r="Q42" s="153"/>
      <c r="R42" s="153"/>
      <c r="S42" s="153"/>
      <c r="T42" s="153"/>
      <c r="U42" s="153"/>
      <c r="V42" s="154"/>
      <c r="W42" s="155"/>
      <c r="Z42" s="23" t="s">
        <v>63</v>
      </c>
      <c r="AA42" s="104" t="s">
        <v>75</v>
      </c>
      <c r="AB42" s="104"/>
    </row>
    <row r="43" spans="2:31" ht="45" customHeight="1">
      <c r="B43" s="481"/>
      <c r="C43" s="141" t="s">
        <v>86</v>
      </c>
      <c r="D43" s="156" t="s">
        <v>111</v>
      </c>
      <c r="E43" s="152">
        <f>NETWORKDAYS.INTL(F43,G43,"0000110",$AD$5:$AD$11)</f>
        <v>4</v>
      </c>
      <c r="F43" s="145">
        <f>MAX(WORKDAY.INTL(G42,1,"0000100",$AD$5:$AD$10),WORKDAY.INTL(G38,1,"0000100",$AD$5:$AD$10))</f>
        <v>46266</v>
      </c>
      <c r="G43" s="145">
        <f>WORKDAY.INTL(F43,3,"0000110",$AD$5:$AD$10)</f>
        <v>46271</v>
      </c>
      <c r="H43" s="145">
        <f>MAX(WORKDAY.INTL(I42,1,"0000100",$AD$5:$AD$10),WORKDAY.INTL(I38,1,"0000100",$AD$5:$AD$10))</f>
        <v>46266</v>
      </c>
      <c r="I43" s="145">
        <f>WORKDAY.INTL(H43,3,"0000110",$AD$5:$AD$10)</f>
        <v>46271</v>
      </c>
      <c r="J43" s="29"/>
      <c r="K43" s="145"/>
      <c r="L43" s="157">
        <v>0</v>
      </c>
      <c r="M43" s="157" t="str">
        <f ca="1">IF(L43=100%,"Completed",IF(AND(OR(L43="",L43=0),F43&gt;TODAY()),"Not Started",IF(AND(OR(L43="",L43=0),F43&lt;=TODAY()),"Delayed",IF(AND(L43&gt;0,L43&lt;100%,G43&lt;TODAY()),"Delayed",IF(AND(L43&gt;0,L43&lt;100%,G43&gt;=TODAY()),"In Progress","")))))</f>
        <v>Not Started</v>
      </c>
      <c r="N43" s="156"/>
      <c r="O43" s="147"/>
      <c r="P43" s="158"/>
      <c r="Q43" s="158"/>
      <c r="R43" s="158"/>
      <c r="S43" s="158"/>
      <c r="T43" s="158"/>
      <c r="U43" s="158"/>
      <c r="V43" s="159"/>
      <c r="W43" s="155" t="s">
        <v>117</v>
      </c>
      <c r="Z43" s="23" t="s">
        <v>64</v>
      </c>
      <c r="AA43" s="104" t="s">
        <v>75</v>
      </c>
      <c r="AB43" s="104"/>
    </row>
    <row r="44" spans="2:31" ht="45" customHeight="1" thickBot="1">
      <c r="B44" s="481"/>
      <c r="C44" s="141" t="s">
        <v>86</v>
      </c>
      <c r="D44" s="156" t="s">
        <v>114</v>
      </c>
      <c r="E44" s="152">
        <f>NETWORKDAYS.INTL(F44,G44,"0000110",$AD$5:$AD$11)</f>
        <v>2</v>
      </c>
      <c r="F44" s="145">
        <f>WORKDAY.INTL(G43,1,"0000110",$AD$5:$AD$10)</f>
        <v>46272</v>
      </c>
      <c r="G44" s="145">
        <f>WORKDAY.INTL(F44,1,"0000110",$AD$5:$AD$10)</f>
        <v>46273</v>
      </c>
      <c r="H44" s="145">
        <f>WORKDAY.INTL(I43,1,"0000110",$AD$5:$AD$10)</f>
        <v>46272</v>
      </c>
      <c r="I44" s="145">
        <f>WORKDAY.INTL(H44,1,"0000110",$AD$5:$AD$10)</f>
        <v>46273</v>
      </c>
      <c r="J44" s="145"/>
      <c r="K44" s="145"/>
      <c r="L44" s="157">
        <v>0</v>
      </c>
      <c r="M44" s="157" t="str">
        <f ca="1">IF(L44=100%,"Completed",IF(AND(OR(L44="",L44=0),F44&gt;TODAY()),"Not Started",IF(AND(OR(L44="",L44=0),F44&lt;=TODAY()),"Delayed",IF(AND(L44&gt;0,L44&lt;100%,G44&lt;TODAY()),"Delayed",IF(AND(L44&gt;0,L44&lt;100%,G44&gt;=TODAY()),"In Progress","")))))</f>
        <v>Not Started</v>
      </c>
      <c r="N44" s="156"/>
      <c r="O44" s="147"/>
      <c r="P44" s="158"/>
      <c r="Q44" s="158"/>
      <c r="R44" s="158"/>
      <c r="S44" s="158"/>
      <c r="T44" s="158"/>
      <c r="U44" s="158"/>
      <c r="V44" s="159"/>
      <c r="W44" s="155" t="s">
        <v>115</v>
      </c>
      <c r="Z44" s="23" t="s">
        <v>65</v>
      </c>
      <c r="AA44" s="104" t="s">
        <v>75</v>
      </c>
      <c r="AB44" s="104"/>
    </row>
    <row r="45" spans="2:31" s="126" customFormat="1" ht="4.5" customHeight="1" thickBot="1">
      <c r="B45" s="122"/>
      <c r="C45" s="122"/>
      <c r="D45" s="122"/>
      <c r="E45" s="123"/>
      <c r="F45" s="122"/>
      <c r="G45" s="122"/>
      <c r="H45" s="122"/>
      <c r="I45" s="122"/>
      <c r="J45" s="122"/>
      <c r="K45" s="122"/>
      <c r="L45" s="124">
        <v>0</v>
      </c>
      <c r="M45" s="124"/>
      <c r="N45" s="122"/>
      <c r="O45" s="122"/>
      <c r="P45" s="122"/>
      <c r="Q45" s="122"/>
      <c r="R45" s="122"/>
      <c r="S45" s="122"/>
      <c r="T45" s="122"/>
      <c r="U45" s="122"/>
      <c r="V45" s="122"/>
      <c r="W45" s="125"/>
      <c r="Z45" s="127"/>
      <c r="AA45" s="127"/>
    </row>
    <row r="46" spans="2:31" ht="45" customHeight="1">
      <c r="B46" s="474" t="s">
        <v>176</v>
      </c>
      <c r="C46" s="128" t="s">
        <v>86</v>
      </c>
      <c r="D46" s="129" t="s">
        <v>165</v>
      </c>
      <c r="E46" s="130">
        <f>NETWORKDAYS.INTL(F46,G46,"0000100",$AD$5:$AD$11)</f>
        <v>3</v>
      </c>
      <c r="F46" s="131">
        <f>WORKDAY.INTL(G42,1,"0000100",$AD$5:$AD$10)</f>
        <v>46266</v>
      </c>
      <c r="G46" s="131">
        <f>WORKDAY.INTL(F46,2,"0000100",$AD$5:$AD$10)</f>
        <v>46268</v>
      </c>
      <c r="H46" s="131">
        <f>WORKDAY.INTL(I42,1,"0000100",$AD$5:$AD$10)</f>
        <v>46266</v>
      </c>
      <c r="I46" s="131">
        <f>WORKDAY.INTL(H46,2,"0000100",$AD$5:$AD$10)</f>
        <v>46268</v>
      </c>
      <c r="J46" s="131"/>
      <c r="K46" s="131"/>
      <c r="L46" s="132">
        <v>0</v>
      </c>
      <c r="M46" s="132" t="str">
        <f ca="1">IF(L46=100%,"Completed",IF(AND(OR(L46="",L46=0),F46&gt;TODAY()),"Not Started",IF(AND(OR(L46="",L46=0),F46&lt;=TODAY()),"Delayed",IF(AND(L46&gt;0,L46&lt;100%,G46&lt;TODAY()),"Delayed",IF(AND(L46&gt;0,L46&lt;100%,G46&gt;=TODAY()),"In Progress","")))))</f>
        <v>Not Started</v>
      </c>
      <c r="N46" s="129"/>
      <c r="O46" s="133"/>
      <c r="P46" s="134"/>
      <c r="Q46" s="134"/>
      <c r="R46" s="134"/>
      <c r="S46" s="134"/>
      <c r="T46" s="134"/>
      <c r="U46" s="134"/>
      <c r="V46" s="135"/>
      <c r="W46" s="136"/>
      <c r="Z46" s="23" t="s">
        <v>62</v>
      </c>
      <c r="AA46" s="104" t="s">
        <v>76</v>
      </c>
      <c r="AB46" s="104"/>
    </row>
    <row r="47" spans="2:31" ht="45" customHeight="1">
      <c r="B47" s="475"/>
      <c r="C47" s="128" t="s">
        <v>86</v>
      </c>
      <c r="D47" s="129" t="s">
        <v>107</v>
      </c>
      <c r="E47" s="130">
        <f>NETWORKDAYS.INTL(F47,G47,"0000100",$AD$5:$AD$11)</f>
        <v>3</v>
      </c>
      <c r="F47" s="131">
        <f>WORKDAY.INTL(G46,1,"0000100",$AD$5:$AD$10)</f>
        <v>46270</v>
      </c>
      <c r="G47" s="131">
        <f>WORKDAY.INTL(F47,2,"0000100",$AD$5:$AD$10)</f>
        <v>46272</v>
      </c>
      <c r="H47" s="131">
        <f>WORKDAY.INTL(I46,1,"0000100",$AD$5:$AD$10)</f>
        <v>46270</v>
      </c>
      <c r="I47" s="131">
        <f>WORKDAY.INTL(H47,2,"0000100",$AD$5:$AD$10)</f>
        <v>46272</v>
      </c>
      <c r="J47" s="131"/>
      <c r="K47" s="131"/>
      <c r="L47" s="132">
        <v>0</v>
      </c>
      <c r="M47" s="132" t="str">
        <f ca="1">IF(L47=100%,"Completed",IF(AND(OR(L47="",L47=0),F47&gt;TODAY()),"Not Started",IF(AND(OR(L47="",L47=0),F47&lt;=TODAY()),"Delayed",IF(AND(L47&gt;0,L47&lt;100%,G47&lt;TODAY()),"Delayed",IF(AND(L47&gt;0,L47&lt;100%,G47&gt;=TODAY()),"In Progress","")))))</f>
        <v>Not Started</v>
      </c>
      <c r="N47" s="129"/>
      <c r="O47" s="133"/>
      <c r="P47" s="134"/>
      <c r="Q47" s="134"/>
      <c r="R47" s="134"/>
      <c r="S47" s="134"/>
      <c r="T47" s="134"/>
      <c r="U47" s="134"/>
      <c r="V47" s="135"/>
      <c r="W47" s="136"/>
      <c r="Z47" s="23" t="s">
        <v>63</v>
      </c>
      <c r="AA47" s="104" t="s">
        <v>76</v>
      </c>
      <c r="AB47" s="104"/>
    </row>
    <row r="48" spans="2:31" ht="45" customHeight="1">
      <c r="B48" s="475"/>
      <c r="C48" s="128" t="s">
        <v>86</v>
      </c>
      <c r="D48" s="129" t="s">
        <v>111</v>
      </c>
      <c r="E48" s="130">
        <f>NETWORKDAYS.INTL(F48,G48,"0000110",$AD$5:$AD$11)</f>
        <v>4</v>
      </c>
      <c r="F48" s="131">
        <f>MAX(WORKDAY.INTL(G47,1,"0000100",$AD$5:$AD$10),WORKDAY.INTL(G43,1,"0000100",$AD$5:$AD$10))</f>
        <v>46273</v>
      </c>
      <c r="G48" s="131">
        <f t="shared" ref="G48" si="6">WORKDAY.INTL(F48,3,"0000110")</f>
        <v>46278</v>
      </c>
      <c r="H48" s="131">
        <f>MAX(WORKDAY.INTL(I47,1,"0000100",$AD$5:$AD$10),WORKDAY.INTL(I43,1,"0000100",$AD$5:$AD$10))</f>
        <v>46273</v>
      </c>
      <c r="I48" s="131">
        <f t="shared" ref="I48" si="7">WORKDAY.INTL(H48,3,"0000110")</f>
        <v>46278</v>
      </c>
      <c r="J48" s="131"/>
      <c r="K48" s="131"/>
      <c r="L48" s="132">
        <v>0</v>
      </c>
      <c r="M48" s="132" t="str">
        <f ca="1">IF(L48=100%,"Completed",IF(AND(OR(L48="",L48=0),F48&gt;TODAY()),"Not Started",IF(AND(OR(L48="",L48=0),F48&lt;=TODAY()),"Delayed",IF(AND(L48&gt;0,L48&lt;100%,G48&lt;TODAY()),"Delayed",IF(AND(L48&gt;0,L48&lt;100%,G48&gt;=TODAY()),"In Progress","")))))</f>
        <v>Not Started</v>
      </c>
      <c r="N48" s="129"/>
      <c r="O48" s="133"/>
      <c r="P48" s="134"/>
      <c r="Q48" s="134"/>
      <c r="R48" s="134"/>
      <c r="S48" s="134"/>
      <c r="T48" s="134"/>
      <c r="U48" s="134"/>
      <c r="V48" s="135"/>
      <c r="W48" s="136" t="s">
        <v>117</v>
      </c>
      <c r="Z48" s="23" t="s">
        <v>64</v>
      </c>
      <c r="AA48" s="104" t="s">
        <v>76</v>
      </c>
      <c r="AB48" s="104"/>
    </row>
    <row r="49" spans="2:31" ht="45" customHeight="1" thickBot="1">
      <c r="B49" s="475"/>
      <c r="C49" s="128" t="s">
        <v>86</v>
      </c>
      <c r="D49" s="138" t="s">
        <v>114</v>
      </c>
      <c r="E49" s="130">
        <f>NETWORKDAYS.INTL(F49,G49,"0000110",$AD$5:$AD$11)</f>
        <v>2</v>
      </c>
      <c r="F49" s="131">
        <f t="shared" ref="F49" si="8">WORKDAY.INTL(G48,1,"0000110")</f>
        <v>46279</v>
      </c>
      <c r="G49" s="131">
        <f t="shared" ref="G49" si="9">WORKDAY.INTL(F49,1,"0000110")</f>
        <v>46280</v>
      </c>
      <c r="H49" s="131">
        <f t="shared" ref="H49" si="10">WORKDAY.INTL(I48,1,"0000110")</f>
        <v>46279</v>
      </c>
      <c r="I49" s="131">
        <f t="shared" ref="I49" si="11">WORKDAY.INTL(H49,1,"0000110")</f>
        <v>46280</v>
      </c>
      <c r="J49" s="131"/>
      <c r="K49" s="131"/>
      <c r="L49" s="132">
        <v>0</v>
      </c>
      <c r="M49" s="132" t="str">
        <f ca="1">IF(L49=100%,"Completed",IF(AND(OR(L49="",L49=0),F49&gt;TODAY()),"Not Started",IF(AND(OR(L49="",L49=0),F49&lt;=TODAY()),"Delayed",IF(AND(L49&gt;0,L49&lt;100%,G49&lt;TODAY()),"Delayed",IF(AND(L49&gt;0,L49&lt;100%,G49&gt;=TODAY()),"In Progress","")))))</f>
        <v>Not Started</v>
      </c>
      <c r="N49" s="138"/>
      <c r="O49" s="133"/>
      <c r="P49" s="139"/>
      <c r="Q49" s="139"/>
      <c r="R49" s="139"/>
      <c r="S49" s="139"/>
      <c r="T49" s="139"/>
      <c r="U49" s="139"/>
      <c r="V49" s="140"/>
      <c r="W49" s="136" t="s">
        <v>115</v>
      </c>
      <c r="Z49" s="23" t="s">
        <v>65</v>
      </c>
      <c r="AA49" s="104" t="s">
        <v>76</v>
      </c>
      <c r="AB49" s="104"/>
    </row>
    <row r="50" spans="2:31" s="126" customFormat="1" ht="4.5" customHeight="1" thickBot="1">
      <c r="B50" s="122"/>
      <c r="C50" s="122"/>
      <c r="D50" s="122"/>
      <c r="E50" s="123"/>
      <c r="F50" s="122"/>
      <c r="G50" s="122"/>
      <c r="H50" s="122"/>
      <c r="I50" s="122"/>
      <c r="J50" s="122"/>
      <c r="K50" s="122"/>
      <c r="L50" s="124">
        <v>0</v>
      </c>
      <c r="M50" s="124"/>
      <c r="N50" s="122"/>
      <c r="O50" s="122"/>
      <c r="P50" s="122"/>
      <c r="Q50" s="122"/>
      <c r="R50" s="122"/>
      <c r="S50" s="122"/>
      <c r="T50" s="122"/>
      <c r="U50" s="122"/>
      <c r="V50" s="122"/>
      <c r="W50" s="125"/>
      <c r="X50" s="160"/>
      <c r="AD50" s="98"/>
    </row>
    <row r="51" spans="2:31" ht="45" customHeight="1">
      <c r="B51" s="480" t="s">
        <v>177</v>
      </c>
      <c r="C51" s="141" t="s">
        <v>86</v>
      </c>
      <c r="D51" s="142" t="s">
        <v>165</v>
      </c>
      <c r="E51" s="143">
        <f>NETWORKDAYS.INTL(F51,G51,"0000100",$AD$5:$AD$11)</f>
        <v>3</v>
      </c>
      <c r="F51" s="145">
        <f>WORKDAY.INTL(G47,1,"0000100",$AD$5:$AD$10)</f>
        <v>46273</v>
      </c>
      <c r="G51" s="247">
        <f>WORKDAY.INTL(F51,2,"0000100",$AD$5:$AD$10)</f>
        <v>46275</v>
      </c>
      <c r="H51" s="145">
        <f>WORKDAY.INTL(I47,1,"0000100",$AD$5:$AD$10)</f>
        <v>46273</v>
      </c>
      <c r="I51" s="144">
        <f>WORKDAY.INTL(H51,2,"0000100",$AD$5:$AD$10)</f>
        <v>46275</v>
      </c>
      <c r="J51" s="145"/>
      <c r="K51" s="144"/>
      <c r="L51" s="146">
        <v>0</v>
      </c>
      <c r="M51" s="146" t="str">
        <f ca="1">IF(L51=100%,"Completed",IF(AND(OR(L51="",L51=0),F51&gt;TODAY()),"Not Started",IF(AND(OR(L51="",L51=0),F51&lt;=TODAY()),"Delayed",IF(AND(L51&gt;0,L51&lt;100%,G51&lt;TODAY()),"Delayed",IF(AND(L51&gt;0,L51&lt;100%,G51&gt;=TODAY()),"In Progress","")))))</f>
        <v>Not Started</v>
      </c>
      <c r="N51" s="142"/>
      <c r="O51" s="147"/>
      <c r="P51" s="148"/>
      <c r="Q51" s="148"/>
      <c r="R51" s="148"/>
      <c r="S51" s="148"/>
      <c r="T51" s="148"/>
      <c r="U51" s="148"/>
      <c r="V51" s="149"/>
      <c r="W51" s="150"/>
      <c r="Z51" s="23" t="s">
        <v>62</v>
      </c>
      <c r="AA51" s="104" t="s">
        <v>77</v>
      </c>
      <c r="AB51" s="104"/>
      <c r="AE51" s="137"/>
    </row>
    <row r="52" spans="2:31" ht="45" customHeight="1">
      <c r="B52" s="481"/>
      <c r="C52" s="141" t="s">
        <v>86</v>
      </c>
      <c r="D52" s="151" t="s">
        <v>107</v>
      </c>
      <c r="E52" s="152">
        <f>NETWORKDAYS.INTL(F52,G52,"0000100",$AD$5:$AD$11)</f>
        <v>3</v>
      </c>
      <c r="F52" s="145">
        <f>WORKDAY.INTL(G51,1,"0000100",$AD$5:$AD$10)</f>
        <v>46277</v>
      </c>
      <c r="G52" s="144">
        <f>WORKDAY.INTL(F52,2,"0000100",$AD$5:$AD$10)</f>
        <v>46279</v>
      </c>
      <c r="H52" s="145">
        <f>WORKDAY.INTL(I51,1,"0000100",$AD$5:$AD$10)</f>
        <v>46277</v>
      </c>
      <c r="I52" s="144">
        <f>WORKDAY.INTL(H52,2,"0000100",$AD$5:$AD$10)</f>
        <v>46279</v>
      </c>
      <c r="J52" s="145"/>
      <c r="K52" s="144"/>
      <c r="L52" s="146">
        <v>0</v>
      </c>
      <c r="M52" s="146" t="str">
        <f ca="1">IF(L52=100%,"Completed",IF(AND(OR(L52="",L52=0),F52&gt;TODAY()),"Not Started",IF(AND(OR(L52="",L52=0),F52&lt;=TODAY()),"Delayed",IF(AND(L52&gt;0,L52&lt;100%,G52&lt;TODAY()),"Delayed",IF(AND(L52&gt;0,L52&lt;100%,G52&gt;=TODAY()),"In Progress","")))))</f>
        <v>Not Started</v>
      </c>
      <c r="N52" s="151"/>
      <c r="O52" s="147"/>
      <c r="P52" s="153"/>
      <c r="Q52" s="153"/>
      <c r="R52" s="153"/>
      <c r="S52" s="153"/>
      <c r="T52" s="153"/>
      <c r="U52" s="153"/>
      <c r="V52" s="154"/>
      <c r="W52" s="155"/>
      <c r="Z52" s="23" t="s">
        <v>63</v>
      </c>
      <c r="AA52" s="104" t="s">
        <v>77</v>
      </c>
      <c r="AB52" s="104"/>
    </row>
    <row r="53" spans="2:31" ht="45" customHeight="1">
      <c r="B53" s="481"/>
      <c r="C53" s="141" t="s">
        <v>86</v>
      </c>
      <c r="D53" s="156" t="s">
        <v>111</v>
      </c>
      <c r="E53" s="152">
        <f>NETWORKDAYS.INTL(F53,G53,"0000110",$AD$5:$AD$11)</f>
        <v>4</v>
      </c>
      <c r="F53" s="145">
        <f>MAX(WORKDAY.INTL(G52,1,"0000100",$AD$5:$AD$10),WORKDAY.INTL(G48,1,"0000100",$AD$5:$AD$10))</f>
        <v>46280</v>
      </c>
      <c r="G53" s="145">
        <f t="shared" ref="G53" si="12">WORKDAY.INTL(F53,3,"0000110")</f>
        <v>46285</v>
      </c>
      <c r="H53" s="145">
        <f>MAX(WORKDAY.INTL(I52,1,"0000100",$AD$5:$AD$10),WORKDAY.INTL(I48,1,"0000100",$AD$5:$AD$10))</f>
        <v>46280</v>
      </c>
      <c r="I53" s="145">
        <f t="shared" ref="I53" si="13">WORKDAY.INTL(H53,3,"0000110")</f>
        <v>46285</v>
      </c>
      <c r="J53" s="145"/>
      <c r="K53" s="145"/>
      <c r="L53" s="157">
        <v>0</v>
      </c>
      <c r="M53" s="157" t="str">
        <f ca="1">IF(L53=100%,"Completed",IF(AND(OR(L53="",L53=0),F53&gt;TODAY()),"Not Started",IF(AND(OR(L53="",L53=0),F53&lt;=TODAY()),"Delayed",IF(AND(L53&gt;0,L53&lt;100%,G53&lt;TODAY()),"Delayed",IF(AND(L53&gt;0,L53&lt;100%,G53&gt;=TODAY()),"In Progress","")))))</f>
        <v>Not Started</v>
      </c>
      <c r="N53" s="156"/>
      <c r="O53" s="147"/>
      <c r="P53" s="158"/>
      <c r="Q53" s="158"/>
      <c r="R53" s="158"/>
      <c r="S53" s="158"/>
      <c r="T53" s="158"/>
      <c r="U53" s="158"/>
      <c r="V53" s="159"/>
      <c r="W53" s="155" t="s">
        <v>117</v>
      </c>
      <c r="Z53" s="23" t="s">
        <v>64</v>
      </c>
      <c r="AA53" s="104" t="s">
        <v>77</v>
      </c>
      <c r="AB53" s="104"/>
    </row>
    <row r="54" spans="2:31" ht="45" customHeight="1" thickBot="1">
      <c r="B54" s="481"/>
      <c r="C54" s="141" t="s">
        <v>86</v>
      </c>
      <c r="D54" s="156" t="s">
        <v>114</v>
      </c>
      <c r="E54" s="152">
        <f>NETWORKDAYS.INTL(F54,G54,"0000110",$AD$5:$AD$11)</f>
        <v>2</v>
      </c>
      <c r="F54" s="145">
        <f t="shared" ref="F54" si="14">WORKDAY.INTL(G53,1,"0000110")</f>
        <v>46286</v>
      </c>
      <c r="G54" s="145">
        <f t="shared" ref="G54" si="15">WORKDAY.INTL(F54,1,"0000110")</f>
        <v>46287</v>
      </c>
      <c r="H54" s="145">
        <f t="shared" ref="H54" si="16">WORKDAY.INTL(I53,1,"0000110")</f>
        <v>46286</v>
      </c>
      <c r="I54" s="145">
        <f t="shared" ref="I54" si="17">WORKDAY.INTL(H54,1,"0000110")</f>
        <v>46287</v>
      </c>
      <c r="J54" s="145"/>
      <c r="K54" s="145"/>
      <c r="L54" s="157">
        <v>0</v>
      </c>
      <c r="M54" s="157" t="str">
        <f ca="1">IF(L54=100%,"Completed",IF(AND(OR(L54="",L54=0),F54&gt;TODAY()),"Not Started",IF(AND(OR(L54="",L54=0),F54&lt;=TODAY()),"Delayed",IF(AND(L54&gt;0,L54&lt;100%,G54&lt;TODAY()),"Delayed",IF(AND(L54&gt;0,L54&lt;100%,G54&gt;=TODAY()),"In Progress","")))))</f>
        <v>Not Started</v>
      </c>
      <c r="N54" s="156"/>
      <c r="O54" s="147"/>
      <c r="P54" s="158"/>
      <c r="Q54" s="158"/>
      <c r="R54" s="158"/>
      <c r="S54" s="158"/>
      <c r="T54" s="158"/>
      <c r="U54" s="158"/>
      <c r="V54" s="159"/>
      <c r="W54" s="155" t="s">
        <v>115</v>
      </c>
      <c r="Z54" s="23" t="s">
        <v>65</v>
      </c>
      <c r="AA54" s="104" t="s">
        <v>77</v>
      </c>
      <c r="AB54" s="104"/>
    </row>
    <row r="55" spans="2:31" s="126" customFormat="1" ht="4.5" customHeight="1" thickBot="1">
      <c r="B55" s="122"/>
      <c r="C55" s="122"/>
      <c r="D55" s="122"/>
      <c r="E55" s="123"/>
      <c r="F55" s="122"/>
      <c r="G55" s="122"/>
      <c r="H55" s="122"/>
      <c r="I55" s="122"/>
      <c r="J55" s="122"/>
      <c r="K55" s="122"/>
      <c r="L55" s="124">
        <v>0</v>
      </c>
      <c r="M55" s="124"/>
      <c r="N55" s="122"/>
      <c r="O55" s="122"/>
      <c r="P55" s="122"/>
      <c r="Q55" s="122"/>
      <c r="R55" s="122"/>
      <c r="S55" s="122"/>
      <c r="T55" s="122"/>
      <c r="U55" s="122"/>
      <c r="V55" s="122"/>
      <c r="W55" s="125"/>
      <c r="X55" s="160"/>
      <c r="AD55" s="98"/>
    </row>
    <row r="56" spans="2:31" ht="45" customHeight="1">
      <c r="B56" s="474" t="s">
        <v>125</v>
      </c>
      <c r="C56" s="128" t="s">
        <v>125</v>
      </c>
      <c r="D56" s="129" t="s">
        <v>126</v>
      </c>
      <c r="E56" s="130">
        <f>NETWORKDAYS.INTL(F56,G56,"0000100",$AD$5:$AD$11)</f>
        <v>19</v>
      </c>
      <c r="F56" s="23">
        <f>WORKDAY.INTL(G32,1,"0000100",$AD$5:$AD$10)</f>
        <v>46249</v>
      </c>
      <c r="G56" s="23">
        <f>WORKDAY.INTL(F56,18,"0000100",$AD$5:$AD$9)</f>
        <v>46270</v>
      </c>
      <c r="H56" s="131">
        <f>WORKDAY.INTL(I32,1,"0000100",$AD$5:$AD$10)</f>
        <v>46249</v>
      </c>
      <c r="I56" s="131">
        <f>WORKDAY.INTL(H56,18,"0000100",$AD$5:$AD$9)</f>
        <v>46270</v>
      </c>
      <c r="J56" s="131"/>
      <c r="K56" s="131"/>
      <c r="L56" s="132">
        <v>0</v>
      </c>
      <c r="M56" s="132" t="str">
        <f ca="1">IF(L56=100%,"Completed",IF(AND(OR(L56="",L56=0),F56&gt;TODAY()),"Not Started",IF(AND(OR(L56="",L56=0),F56&lt;=TODAY()),"Delayed",IF(AND(L56&gt;0,L56&lt;100%,G56&lt;TODAY()),"Delayed",IF(AND(L56&gt;0,L56&lt;100%,G56&gt;=TODAY()),"In Progress","")))))</f>
        <v>Not Started</v>
      </c>
      <c r="N56" s="129"/>
      <c r="O56" s="133"/>
      <c r="P56" s="135"/>
      <c r="Q56" s="161"/>
      <c r="R56" s="161"/>
      <c r="S56" s="161"/>
      <c r="T56" s="161"/>
      <c r="U56" s="161"/>
      <c r="V56" s="161"/>
      <c r="W56" s="136"/>
      <c r="X56" s="99"/>
      <c r="Z56" s="23" t="s">
        <v>125</v>
      </c>
      <c r="AB56" s="104"/>
    </row>
    <row r="57" spans="2:31" ht="43.5" customHeight="1">
      <c r="B57" s="475"/>
      <c r="C57" s="128" t="s">
        <v>125</v>
      </c>
      <c r="D57" s="129" t="s">
        <v>127</v>
      </c>
      <c r="E57" s="130">
        <f>NETWORKDAYS.INTL(F57,G57,"0000100",$AD$5:$AD$11)</f>
        <v>19</v>
      </c>
      <c r="F57" s="23">
        <f>WORKDAY.INTL(G37,1,"0000100",$AD$5:$AD$10)</f>
        <v>46258</v>
      </c>
      <c r="G57" s="23">
        <f>WORKDAY.INTL(F57,18,"0000100",$AD$5:$AD$9)</f>
        <v>46279</v>
      </c>
      <c r="H57" s="131">
        <f>WORKDAY.INTL(I37,1,"0000100",$AD$5:$AD$10)</f>
        <v>46258</v>
      </c>
      <c r="I57" s="131">
        <f>WORKDAY.INTL(H57,18,"0000100",$AD$5:$AD$9)</f>
        <v>46279</v>
      </c>
      <c r="J57" s="131"/>
      <c r="K57" s="131"/>
      <c r="L57" s="132">
        <v>0</v>
      </c>
      <c r="M57" s="132" t="str">
        <f ca="1">IF(L57=100%,"Completed",IF(AND(OR(L57="",L57=0),F57&gt;TODAY()),"Not Started",IF(AND(OR(L57="",L57=0),F57&lt;=TODAY()),"Delayed",IF(AND(L57&gt;0,L57&lt;100%,G57&lt;TODAY()),"Delayed",IF(AND(L57&gt;0,L57&lt;100%,G57&gt;=TODAY()),"In Progress","")))))</f>
        <v>Not Started</v>
      </c>
      <c r="N57" s="129"/>
      <c r="O57" s="133"/>
      <c r="P57" s="135"/>
      <c r="Q57" s="161"/>
      <c r="R57" s="161"/>
      <c r="S57" s="161"/>
      <c r="T57" s="161"/>
      <c r="U57" s="161"/>
      <c r="V57" s="161"/>
      <c r="W57" s="136"/>
      <c r="X57" s="99"/>
      <c r="Z57" s="23" t="s">
        <v>125</v>
      </c>
      <c r="AB57" s="104"/>
    </row>
    <row r="58" spans="2:31" ht="51.75">
      <c r="B58" s="476"/>
      <c r="C58" s="128" t="s">
        <v>125</v>
      </c>
      <c r="D58" s="129" t="s">
        <v>128</v>
      </c>
      <c r="E58" s="130">
        <f>NETWORKDAYS.INTL(F58,G58,"0000100",$AD$5:$AD$11)</f>
        <v>60</v>
      </c>
      <c r="F58" s="23">
        <f>F57</f>
        <v>46258</v>
      </c>
      <c r="G58" s="23">
        <f>WORKDAY.INTL(F58,60,"0000100",$AD$5:$AD$9)</f>
        <v>46328</v>
      </c>
      <c r="H58" s="131">
        <f>H57</f>
        <v>46258</v>
      </c>
      <c r="I58" s="131">
        <f>WORKDAY.INTL(H58,60,"0000100",$AD$5:$AD$9)</f>
        <v>46328</v>
      </c>
      <c r="J58" s="131"/>
      <c r="K58" s="131"/>
      <c r="L58" s="132">
        <v>0</v>
      </c>
      <c r="M58" s="132" t="str">
        <f ca="1">IF(L58=100%,"Completed",IF(AND(OR(L58="",L58=0),F58&gt;TODAY()),"Not Started",IF(AND(OR(L58="",L58=0),F58&lt;=TODAY()),"Delayed",IF(AND(L58&gt;0,L58&lt;100%,G58&lt;TODAY()),"Delayed",IF(AND(L58&gt;0,L58&lt;100%,G58&gt;=TODAY()),"In Progress","")))))</f>
        <v>Not Started</v>
      </c>
      <c r="N58" s="129"/>
      <c r="O58" s="133"/>
      <c r="P58" s="134"/>
      <c r="Q58" s="134"/>
      <c r="R58" s="134"/>
      <c r="S58" s="134"/>
      <c r="T58" s="134"/>
      <c r="U58" s="134"/>
      <c r="V58" s="135"/>
      <c r="W58" s="25" t="s">
        <v>178</v>
      </c>
      <c r="X58" s="99"/>
      <c r="Z58" s="23" t="s">
        <v>125</v>
      </c>
      <c r="AB58" s="104"/>
    </row>
    <row r="59" spans="2:31" s="126" customFormat="1" ht="4.5" customHeight="1" thickBot="1">
      <c r="B59" s="122"/>
      <c r="C59" s="122"/>
      <c r="D59" s="122"/>
      <c r="E59" s="123"/>
      <c r="F59" s="122"/>
      <c r="G59" s="122"/>
      <c r="H59" s="122"/>
      <c r="I59" s="122"/>
      <c r="J59" s="122"/>
      <c r="K59" s="122"/>
      <c r="L59" s="124">
        <v>0</v>
      </c>
      <c r="M59" s="124"/>
      <c r="N59" s="122"/>
      <c r="O59" s="122"/>
      <c r="P59" s="122"/>
      <c r="Q59" s="122"/>
      <c r="R59" s="122"/>
      <c r="S59" s="122"/>
      <c r="T59" s="122"/>
      <c r="U59" s="122"/>
      <c r="V59" s="122"/>
      <c r="W59" s="125"/>
      <c r="Z59" s="275"/>
      <c r="AA59" s="127"/>
    </row>
    <row r="60" spans="2:31" s="126" customFormat="1" ht="85.5" customHeight="1" thickBot="1">
      <c r="B60" s="172" t="s">
        <v>130</v>
      </c>
      <c r="C60" s="173" t="s">
        <v>131</v>
      </c>
      <c r="D60" s="174" t="s">
        <v>179</v>
      </c>
      <c r="E60" s="175">
        <f>NETWORKDAYS.INTL(F60,G60,"0000110",$AD$5:$AD$11)</f>
        <v>3</v>
      </c>
      <c r="F60" s="176">
        <f>MAX(WORKDAY.INTL(G54,1,"0000110"),WORKDAY.INTL(G68,1,"0000110"),WORKDAY.INTL(G66,1,"0000110"))</f>
        <v>46299</v>
      </c>
      <c r="G60" s="176">
        <f t="shared" ref="G60" si="18">WORKDAY.INTL(F60,2,"0000110")</f>
        <v>46301</v>
      </c>
      <c r="H60" s="176">
        <f>MAX(WORKDAY.INTL(I54,1,"0000110"),WORKDAY.INTL(I68,1,"0000110"),WORKDAY.INTL(I66,1,"0000110"))</f>
        <v>46299</v>
      </c>
      <c r="I60" s="176">
        <f t="shared" ref="I60" si="19">WORKDAY.INTL(H60,2,"0000110")</f>
        <v>46301</v>
      </c>
      <c r="J60" s="176"/>
      <c r="K60" s="176"/>
      <c r="L60" s="177">
        <v>0</v>
      </c>
      <c r="M60" s="177" t="str">
        <f ca="1">IF(L60=100%,"Completed",IF(AND(OR(L60="",L60=0),F60&gt;TODAY()),"Not Started",IF(AND(OR(L60="",L60=0),F60&lt;=TODAY()),"Delayed",IF(AND(L60&gt;0,L60&lt;100%,G60&lt;TODAY()),"Delayed",IF(AND(L60&gt;0,L60&lt;100%,G60&gt;=TODAY()),"In Progress","")))))</f>
        <v>Not Started</v>
      </c>
      <c r="N60" s="174"/>
      <c r="O60" s="178"/>
      <c r="P60" s="179"/>
      <c r="Q60" s="179"/>
      <c r="R60" s="179"/>
      <c r="S60" s="179"/>
      <c r="T60" s="179"/>
      <c r="U60" s="179"/>
      <c r="V60" s="180"/>
      <c r="W60" s="181" t="s">
        <v>180</v>
      </c>
      <c r="Z60" s="23" t="s">
        <v>134</v>
      </c>
      <c r="AA60" s="127"/>
    </row>
    <row r="61" spans="2:31" s="126" customFormat="1" ht="4.5" customHeight="1">
      <c r="B61" s="168"/>
      <c r="C61" s="168"/>
      <c r="D61" s="168"/>
      <c r="E61" s="169"/>
      <c r="F61" s="168"/>
      <c r="G61" s="168"/>
      <c r="H61" s="168"/>
      <c r="I61" s="168"/>
      <c r="J61" s="168"/>
      <c r="K61" s="168"/>
      <c r="L61" s="170">
        <v>0</v>
      </c>
      <c r="M61" s="170"/>
      <c r="N61" s="168"/>
      <c r="O61" s="168"/>
      <c r="P61" s="168"/>
      <c r="Q61" s="168"/>
      <c r="R61" s="168"/>
      <c r="S61" s="168"/>
      <c r="T61" s="168"/>
      <c r="U61" s="168"/>
      <c r="V61" s="168"/>
      <c r="W61" s="171"/>
      <c r="Z61" s="23"/>
      <c r="AA61" s="104"/>
    </row>
    <row r="62" spans="2:31" ht="28.9" customHeight="1">
      <c r="B62" s="477" t="s">
        <v>181</v>
      </c>
      <c r="C62" s="182" t="s">
        <v>135</v>
      </c>
      <c r="D62" s="183" t="s">
        <v>182</v>
      </c>
      <c r="E62" s="184">
        <f>NETWORKDAYS.INTL(F62,G62,"0000110",$AD$5:$AD$11)</f>
        <v>3</v>
      </c>
      <c r="F62" s="185">
        <f>MAX(WORKDAY.INTL(G52,1,"0000110",$AD$5:$AD$10),WORKDAY.INTL(G57,1,"0000110",$AD$5:$AD$10),WORKDAY.INTL(G44,1,"0000110",$AD$5:$AD$10))</f>
        <v>46280</v>
      </c>
      <c r="G62" s="185">
        <f>WORKDAY.INTL(F62,2,"0000110",$AD$5:$AD$10)</f>
        <v>46282</v>
      </c>
      <c r="H62" s="185">
        <f>MAX(WORKDAY.INTL(I52,1,"0000110",$AD$5:$AD$10),WORKDAY.INTL(I57,1,"0000110",$AD$5:$AD$10),WORKDAY.INTL(I44,1,"0000110",$AD$5:$AD$10))</f>
        <v>46280</v>
      </c>
      <c r="I62" s="185">
        <f>WORKDAY.INTL(H62,2,"0000110",$AD$5:$AD$10)</f>
        <v>46282</v>
      </c>
      <c r="J62" s="185"/>
      <c r="K62" s="185"/>
      <c r="L62" s="186">
        <v>0</v>
      </c>
      <c r="M62" s="186" t="str">
        <f ca="1">IF(L62=100%,"Completed",IF(AND(OR(L62="",L62=0),F62&gt;TODAY()),"Not Started",IF(AND(OR(L62="",L62=0),F62&lt;=TODAY()),"Delayed",IF(AND(L62&gt;0,L62&lt;100%,G62&lt;TODAY()),"Delayed",IF(AND(L62&gt;0,L62&lt;100%,G62&gt;=TODAY()),"In Progress","")))))</f>
        <v>Not Started</v>
      </c>
      <c r="N62" s="183"/>
      <c r="O62" s="187"/>
      <c r="P62" s="188"/>
      <c r="Q62" s="188"/>
      <c r="R62" s="188"/>
      <c r="S62" s="188"/>
      <c r="T62" s="188"/>
      <c r="U62" s="188"/>
      <c r="V62" s="189"/>
      <c r="W62" s="190"/>
      <c r="X62" s="99"/>
      <c r="Z62" s="23" t="s">
        <v>34</v>
      </c>
      <c r="AB62" s="104"/>
    </row>
    <row r="63" spans="2:31" ht="28.9" customHeight="1">
      <c r="B63" s="478"/>
      <c r="C63" s="191" t="s">
        <v>135</v>
      </c>
      <c r="D63" s="156" t="s">
        <v>183</v>
      </c>
      <c r="E63" s="152">
        <f>NETWORKDAYS.INTL(F63,G63,"0000110",$AD$5:$AD$11)</f>
        <v>5</v>
      </c>
      <c r="F63" s="145">
        <f>WORKDAY.INTL(G62,1,"0000110",$AD$5:$AD$10)</f>
        <v>46285</v>
      </c>
      <c r="G63" s="145">
        <f>WORKDAY.INTL(F63,4,"0000110",$AD$5:$AD$10)</f>
        <v>46292</v>
      </c>
      <c r="H63" s="145">
        <f>WORKDAY.INTL(I62,1,"0000110",$AD$5:$AD$10)</f>
        <v>46285</v>
      </c>
      <c r="I63" s="145">
        <f>WORKDAY.INTL(H63,4,"0000110",$AD$5:$AD$10)</f>
        <v>46292</v>
      </c>
      <c r="J63" s="145"/>
      <c r="K63" s="145"/>
      <c r="L63" s="157">
        <v>0</v>
      </c>
      <c r="M63" s="157" t="str">
        <f ca="1">IF(L63=100%,"Completed",IF(AND(OR(L63="",L63=0),F63&gt;TODAY()),"Not Started",IF(AND(OR(L63="",L63=0),F63&lt;=TODAY()),"Delayed",IF(AND(L63&gt;0,L63&lt;100%,G63&lt;TODAY()),"Delayed",IF(AND(L63&gt;0,L63&lt;100%,G63&gt;=TODAY()),"In Progress","")))))</f>
        <v>Not Started</v>
      </c>
      <c r="N63" s="156"/>
      <c r="O63" s="147"/>
      <c r="P63" s="158"/>
      <c r="Q63" s="158"/>
      <c r="R63" s="158"/>
      <c r="S63" s="158"/>
      <c r="T63" s="158"/>
      <c r="U63" s="158"/>
      <c r="V63" s="159"/>
      <c r="W63" s="192"/>
      <c r="X63" s="99"/>
      <c r="Z63" s="23" t="s">
        <v>34</v>
      </c>
      <c r="AA63" s="126"/>
      <c r="AB63" s="104"/>
    </row>
    <row r="64" spans="2:31" ht="28.9" customHeight="1">
      <c r="B64" s="478"/>
      <c r="C64" s="191" t="s">
        <v>135</v>
      </c>
      <c r="D64" s="156" t="s">
        <v>43</v>
      </c>
      <c r="E64" s="152">
        <f>NETWORKDAYS.INTL(F64,G64,"0000110",$AE$5:$AE$11)</f>
        <v>2</v>
      </c>
      <c r="F64" s="145">
        <f>WORKDAY.INTL(G63,1,"0000110",$AE$5:$AE$10)</f>
        <v>46293</v>
      </c>
      <c r="G64" s="145">
        <f>WORKDAY.INTL(F64,1,"0000110",$AE$5:$AE$10)</f>
        <v>46294</v>
      </c>
      <c r="H64" s="145">
        <f>WORKDAY.INTL(I63,1,"0000110",$AE$5:$AE$10)</f>
        <v>46293</v>
      </c>
      <c r="I64" s="145">
        <f>WORKDAY.INTL(H64,1,"0000110",$AE$5:$AE$10)</f>
        <v>46294</v>
      </c>
      <c r="J64" s="145"/>
      <c r="K64" s="145"/>
      <c r="L64" s="157">
        <v>0</v>
      </c>
      <c r="M64" s="157" t="str">
        <f ca="1">IF(L64=100%,"Completed",IF(AND(OR(L64="",L64=0),F64&gt;TODAY()),"Not Started",IF(AND(OR(L64="",L64=0),F64&lt;=TODAY()),"Delayed",IF(AND(L64&gt;0,L64&lt;100%,G64&lt;TODAY()),"Delayed",IF(AND(L64&gt;0,L64&lt;100%,G64&gt;=TODAY()),"In Progress","")))))</f>
        <v>Not Started</v>
      </c>
      <c r="N64" s="156"/>
      <c r="O64" s="147"/>
      <c r="P64" s="158"/>
      <c r="Q64" s="158"/>
      <c r="R64" s="158"/>
      <c r="S64" s="158"/>
      <c r="T64" s="158"/>
      <c r="U64" s="158"/>
      <c r="V64" s="159"/>
      <c r="W64" s="192"/>
      <c r="X64" s="99" t="s">
        <v>113</v>
      </c>
      <c r="Z64" s="23" t="s">
        <v>34</v>
      </c>
      <c r="AB64" s="104"/>
    </row>
    <row r="65" spans="2:28" ht="28.9" customHeight="1">
      <c r="B65" s="478"/>
      <c r="C65" s="191" t="s">
        <v>135</v>
      </c>
      <c r="D65" s="156" t="s">
        <v>44</v>
      </c>
      <c r="E65" s="152">
        <f>NETWORKDAYS.INTL(F65,G65,"0000110",$AD$5:$AD$11)</f>
        <v>1</v>
      </c>
      <c r="F65" s="145">
        <f>WORKDAY.INTL(G64,1,"0000110",$AD$5:$AD$10)</f>
        <v>46295</v>
      </c>
      <c r="G65" s="145">
        <f>WORKDAY.INTL(F65,0,"0000110",$AD$5:$AD$10)</f>
        <v>46295</v>
      </c>
      <c r="H65" s="145">
        <f>WORKDAY.INTL(I64,1,"0000110",$AD$5:$AD$10)</f>
        <v>46295</v>
      </c>
      <c r="I65" s="145">
        <f>WORKDAY.INTL(H65,0,"0000110",$AD$5:$AD$10)</f>
        <v>46295</v>
      </c>
      <c r="J65" s="145"/>
      <c r="K65" s="145"/>
      <c r="L65" s="157">
        <v>0</v>
      </c>
      <c r="M65" s="157" t="str">
        <f ca="1">IF(L65=100%,"Completed",IF(AND(OR(L65="",L65=0),F65&gt;TODAY()),"Not Started",IF(AND(OR(L65="",L65=0),F65&lt;=TODAY()),"Delayed",IF(AND(L65&gt;0,L65&lt;100%,G65&lt;TODAY()),"Delayed",IF(AND(L65&gt;0,L65&lt;100%,G65&gt;=TODAY()),"In Progress","")))))</f>
        <v>Not Started</v>
      </c>
      <c r="N65" s="156"/>
      <c r="O65" s="147"/>
      <c r="P65" s="158"/>
      <c r="Q65" s="158"/>
      <c r="R65" s="158"/>
      <c r="S65" s="158"/>
      <c r="T65" s="158"/>
      <c r="U65" s="158"/>
      <c r="V65" s="159"/>
      <c r="W65" s="192"/>
      <c r="X65" s="99"/>
      <c r="Z65" s="23" t="s">
        <v>34</v>
      </c>
      <c r="AB65" s="104"/>
    </row>
    <row r="66" spans="2:28" ht="28.9" customHeight="1">
      <c r="B66" s="479"/>
      <c r="C66" s="193" t="s">
        <v>135</v>
      </c>
      <c r="D66" s="194" t="s">
        <v>46</v>
      </c>
      <c r="E66" s="195">
        <f>NETWORKDAYS.INTL(F66,G66,"0000110",$AD$5:$AD$11)</f>
        <v>1</v>
      </c>
      <c r="F66" s="196">
        <f>WORKDAY.INTL(G65,1,"0000110",$AD$5:$AD$10)</f>
        <v>46296</v>
      </c>
      <c r="G66" s="196">
        <f>WORKDAY.INTL(F66,0,"0000110",$AD$5:$AD$10)</f>
        <v>46296</v>
      </c>
      <c r="H66" s="196">
        <f>WORKDAY.INTL(I65,1,"0000110",$AD$5:$AD$10)</f>
        <v>46296</v>
      </c>
      <c r="I66" s="196">
        <f>WORKDAY.INTL(H66,0,"0000110",$AD$5:$AD$10)</f>
        <v>46296</v>
      </c>
      <c r="J66" s="196"/>
      <c r="K66" s="196"/>
      <c r="L66" s="197">
        <v>0</v>
      </c>
      <c r="M66" s="197" t="str">
        <f ca="1">IF(L66=100%,"Completed",IF(AND(OR(L66="",L66=0),F66&gt;TODAY()),"Not Started",IF(AND(OR(L66="",L66=0),F66&lt;=TODAY()),"Delayed",IF(AND(L66&gt;0,L66&lt;100%,G66&lt;TODAY()),"Delayed",IF(AND(L66&gt;0,L66&lt;100%,G66&gt;=TODAY()),"In Progress","")))))</f>
        <v>Not Started</v>
      </c>
      <c r="N66" s="194"/>
      <c r="O66" s="198"/>
      <c r="P66" s="199"/>
      <c r="Q66" s="199"/>
      <c r="R66" s="199"/>
      <c r="S66" s="199"/>
      <c r="T66" s="199"/>
      <c r="U66" s="199"/>
      <c r="V66" s="200"/>
      <c r="W66" s="201"/>
      <c r="X66" s="99"/>
      <c r="Z66" s="23" t="s">
        <v>34</v>
      </c>
      <c r="AB66" s="104"/>
    </row>
    <row r="67" spans="2:28" s="126" customFormat="1" ht="4.5" customHeight="1">
      <c r="B67" s="122"/>
      <c r="C67" s="122"/>
      <c r="D67" s="122"/>
      <c r="E67" s="123"/>
      <c r="F67" s="122"/>
      <c r="G67" s="122"/>
      <c r="H67" s="122"/>
      <c r="I67" s="122"/>
      <c r="J67" s="122"/>
      <c r="K67" s="122"/>
      <c r="L67" s="124">
        <v>0</v>
      </c>
      <c r="M67" s="124"/>
      <c r="N67" s="122"/>
      <c r="O67" s="122"/>
      <c r="P67" s="122"/>
      <c r="Q67" s="122"/>
      <c r="R67" s="122"/>
      <c r="S67" s="122"/>
      <c r="T67" s="122"/>
      <c r="U67" s="122"/>
      <c r="V67" s="122"/>
      <c r="W67" s="125"/>
      <c r="Z67" s="274"/>
    </row>
    <row r="68" spans="2:28" ht="34.5" customHeight="1">
      <c r="B68" s="482" t="s">
        <v>136</v>
      </c>
      <c r="C68" s="202" t="s">
        <v>136</v>
      </c>
      <c r="D68" s="203" t="s">
        <v>47</v>
      </c>
      <c r="E68" s="204">
        <f>NETWORKDAYS.INTL(F68,G68,"0000110",$AD$5:$AD$11)</f>
        <v>30</v>
      </c>
      <c r="F68" s="71">
        <v>46249</v>
      </c>
      <c r="G68" s="71">
        <f>WORKDAY.INTL(F68,31,"0000110",$AD$5:$AD$9)</f>
        <v>46292</v>
      </c>
      <c r="H68" s="205">
        <v>46249</v>
      </c>
      <c r="I68" s="205">
        <f>WORKDAY.INTL(H68,31,"0000110",$AD$5:$AD$9)</f>
        <v>46292</v>
      </c>
      <c r="J68" s="205"/>
      <c r="K68" s="205"/>
      <c r="L68" s="206">
        <v>0</v>
      </c>
      <c r="M68" s="206" t="str">
        <f ca="1">IF(L68=100%,"Completed",IF(AND(OR(L68="",L68=0),F68&gt;TODAY()),"Not Started",IF(AND(OR(L68="",L68=0),F68&lt;=TODAY()),"Delayed",IF(AND(L68&gt;0,L68&lt;100%,G68&lt;TODAY()),"Delayed",IF(AND(L68&gt;0,L68&lt;100%,G68&gt;=TODAY()),"In Progress","")))))</f>
        <v>Not Started</v>
      </c>
      <c r="N68" s="203"/>
      <c r="O68" s="207"/>
      <c r="P68" s="203"/>
      <c r="Q68" s="203"/>
      <c r="R68" s="203"/>
      <c r="S68" s="203"/>
      <c r="T68" s="203"/>
      <c r="U68" s="203"/>
      <c r="V68" s="203"/>
      <c r="W68" s="208" t="s">
        <v>184</v>
      </c>
      <c r="X68" s="99"/>
      <c r="Z68" s="23" t="s">
        <v>136</v>
      </c>
      <c r="AB68" s="104"/>
    </row>
    <row r="69" spans="2:28" ht="45.75" customHeight="1">
      <c r="B69" s="483"/>
      <c r="C69" s="209" t="s">
        <v>136</v>
      </c>
      <c r="D69" s="210" t="s">
        <v>138</v>
      </c>
      <c r="E69" s="211">
        <f>NETWORKDAYS.INTL(F69,G69,"0000110",$AD$5:$AD$11)</f>
        <v>30</v>
      </c>
      <c r="F69" s="212">
        <f t="shared" ref="F69" si="20">G60+7</f>
        <v>46308</v>
      </c>
      <c r="G69" s="212">
        <f>WORKDAY.INTL(F69,29,"0000110",$AD$5:$AD$10)</f>
        <v>46349</v>
      </c>
      <c r="H69" s="212">
        <f t="shared" ref="H69" si="21">I60+7</f>
        <v>46308</v>
      </c>
      <c r="I69" s="212">
        <f>WORKDAY.INTL(H69,29,"0000110",$AD$5:$AD$10)</f>
        <v>46349</v>
      </c>
      <c r="J69" s="212"/>
      <c r="K69" s="212"/>
      <c r="L69" s="213">
        <v>0</v>
      </c>
      <c r="M69" s="213" t="str">
        <f ca="1">IF(L69=100%,"Completed",IF(AND(OR(L69="",L69=0),F69&gt;TODAY()),"Not Started",IF(AND(OR(L69="",L69=0),F69&lt;=TODAY()),"Delayed",IF(AND(L69&gt;0,L69&lt;100%,G69&lt;TODAY()),"Delayed",IF(AND(L69&gt;0,L69&lt;100%,G69&gt;=TODAY()),"In Progress","")))))</f>
        <v>Not Started</v>
      </c>
      <c r="N69" s="210"/>
      <c r="O69" s="214"/>
      <c r="P69" s="215"/>
      <c r="Q69" s="215"/>
      <c r="R69" s="215"/>
      <c r="S69" s="215"/>
      <c r="T69" s="215"/>
      <c r="U69" s="215"/>
      <c r="V69" s="215"/>
      <c r="W69" s="216"/>
      <c r="X69" s="99"/>
      <c r="Z69" s="23" t="s">
        <v>136</v>
      </c>
      <c r="AB69" s="104"/>
    </row>
    <row r="70" spans="2:28" s="126" customFormat="1" ht="4.5" customHeight="1">
      <c r="B70" s="122"/>
      <c r="C70" s="122"/>
      <c r="D70" s="122"/>
      <c r="E70" s="123"/>
      <c r="F70" s="122"/>
      <c r="G70" s="122"/>
      <c r="H70" s="122"/>
      <c r="I70" s="122"/>
      <c r="J70" s="122"/>
      <c r="K70" s="122"/>
      <c r="L70" s="124">
        <v>0</v>
      </c>
      <c r="M70" s="124"/>
      <c r="N70" s="122"/>
      <c r="O70" s="122"/>
      <c r="P70" s="122"/>
      <c r="Q70" s="122"/>
      <c r="R70" s="122"/>
      <c r="S70" s="122"/>
      <c r="T70" s="122"/>
      <c r="U70" s="122"/>
      <c r="V70" s="122"/>
      <c r="W70" s="125"/>
      <c r="Z70" s="23"/>
      <c r="AA70" s="104"/>
      <c r="AB70" s="104"/>
    </row>
    <row r="71" spans="2:28" ht="51.75" customHeight="1">
      <c r="B71" s="484" t="s">
        <v>139</v>
      </c>
      <c r="C71" s="217" t="s">
        <v>139</v>
      </c>
      <c r="D71" s="218" t="s">
        <v>140</v>
      </c>
      <c r="E71" s="219">
        <f>NETWORKDAYS.INTL(F71,G71,"0000100",$AD$5:$AD$11)</f>
        <v>19</v>
      </c>
      <c r="F71" s="162">
        <v>46231</v>
      </c>
      <c r="G71" s="162">
        <f t="shared" ref="G71" si="22">F71+21</f>
        <v>46252</v>
      </c>
      <c r="H71" s="162">
        <v>46231</v>
      </c>
      <c r="I71" s="162">
        <f t="shared" ref="I71" si="23">H71+21</f>
        <v>46252</v>
      </c>
      <c r="J71" s="162"/>
      <c r="K71" s="162"/>
      <c r="L71" s="163">
        <v>0</v>
      </c>
      <c r="M71" s="163" t="str">
        <f ca="1">IF(L71=100%,"Completed",IF(AND(OR(L71="",L71=0),F71&gt;TODAY()),"Not Started",IF(AND(OR(L71="",L71=0),F71&lt;=TODAY()),"Delayed",IF(AND(L71&gt;0,L71&lt;100%,G71&lt;TODAY()),"Delayed",IF(AND(L71&gt;0,L71&lt;100%,G71&gt;=TODAY()),"In Progress","")))))</f>
        <v>Not Started</v>
      </c>
      <c r="N71" s="218"/>
      <c r="O71" s="220"/>
      <c r="P71" s="218"/>
      <c r="Q71" s="218"/>
      <c r="R71" s="218"/>
      <c r="S71" s="218"/>
      <c r="T71" s="218"/>
      <c r="U71" s="218"/>
      <c r="V71" s="218"/>
      <c r="W71" s="221" t="s">
        <v>141</v>
      </c>
      <c r="X71" s="99"/>
      <c r="Z71" s="23" t="s">
        <v>139</v>
      </c>
      <c r="AA71" s="127"/>
      <c r="AB71" s="127"/>
    </row>
    <row r="72" spans="2:28" ht="51" customHeight="1">
      <c r="B72" s="485"/>
      <c r="C72" s="222" t="s">
        <v>139</v>
      </c>
      <c r="D72" s="223" t="s">
        <v>51</v>
      </c>
      <c r="E72" s="224">
        <f>NETWORKDAYS.INTL(F72,G72,"0000110",$AD$5:$AD$11)</f>
        <v>12</v>
      </c>
      <c r="F72" s="166">
        <f t="shared" ref="F72" si="24">F80-23</f>
        <v>46335</v>
      </c>
      <c r="G72" s="166">
        <f t="shared" ref="G72" si="25">F72+15</f>
        <v>46350</v>
      </c>
      <c r="H72" s="166">
        <f t="shared" ref="H72" si="26">H80-23</f>
        <v>46335</v>
      </c>
      <c r="I72" s="166">
        <f t="shared" ref="I72" si="27">H72+15</f>
        <v>46350</v>
      </c>
      <c r="J72" s="166"/>
      <c r="K72" s="166"/>
      <c r="L72" s="167">
        <v>0</v>
      </c>
      <c r="M72" s="167" t="str">
        <f ca="1">IF(L72=100%,"Completed",IF(AND(OR(L72="",L72=0),F72&gt;TODAY()),"Not Started",IF(AND(OR(L72="",L72=0),F72&lt;=TODAY()),"Delayed",IF(AND(L72&gt;0,L72&lt;100%,G72&lt;TODAY()),"Delayed",IF(AND(L72&gt;0,L72&lt;100%,G72&gt;=TODAY()),"In Progress","")))))</f>
        <v>Not Started</v>
      </c>
      <c r="N72" s="223"/>
      <c r="O72" s="225"/>
      <c r="P72" s="223"/>
      <c r="Q72" s="223"/>
      <c r="R72" s="223"/>
      <c r="S72" s="223"/>
      <c r="T72" s="223"/>
      <c r="U72" s="223"/>
      <c r="V72" s="223"/>
      <c r="W72" s="226" t="s">
        <v>142</v>
      </c>
      <c r="X72" s="99"/>
      <c r="Z72" s="23" t="s">
        <v>139</v>
      </c>
      <c r="AB72" s="104"/>
    </row>
    <row r="73" spans="2:28" s="126" customFormat="1" ht="4.5" customHeight="1">
      <c r="B73" s="168"/>
      <c r="C73" s="168"/>
      <c r="D73" s="168"/>
      <c r="E73" s="169"/>
      <c r="F73" s="168"/>
      <c r="G73" s="168"/>
      <c r="H73" s="168"/>
      <c r="I73" s="168"/>
      <c r="J73" s="168"/>
      <c r="K73" s="168"/>
      <c r="L73" s="170">
        <v>0</v>
      </c>
      <c r="M73" s="170"/>
      <c r="N73" s="168"/>
      <c r="O73" s="168"/>
      <c r="P73" s="168"/>
      <c r="Q73" s="168"/>
      <c r="R73" s="168"/>
      <c r="S73" s="168"/>
      <c r="T73" s="168"/>
      <c r="U73" s="168"/>
      <c r="V73" s="168"/>
      <c r="W73" s="171"/>
      <c r="Z73" s="23"/>
      <c r="AA73" s="104"/>
      <c r="AB73" s="104"/>
    </row>
    <row r="74" spans="2:28" s="230" customFormat="1" ht="38.25" customHeight="1">
      <c r="B74" s="486" t="s">
        <v>143</v>
      </c>
      <c r="C74" s="489" t="s">
        <v>91</v>
      </c>
      <c r="D74" s="69" t="s">
        <v>185</v>
      </c>
      <c r="E74" s="70">
        <f>NETWORKDAYS.INTL(F74,G74,"0000100",$AD$5:$AD$10)</f>
        <v>1</v>
      </c>
      <c r="F74" s="71">
        <f>G74</f>
        <v>46212</v>
      </c>
      <c r="G74" s="71">
        <v>46212</v>
      </c>
      <c r="H74" s="71">
        <f>I74</f>
        <v>46212</v>
      </c>
      <c r="I74" s="71">
        <v>46212</v>
      </c>
      <c r="J74" s="71"/>
      <c r="K74" s="71"/>
      <c r="L74" s="72">
        <v>0</v>
      </c>
      <c r="M74" s="72" t="str">
        <f ca="1">IF(L74=100%,"Completed",IF(AND(OR(L74="",L74=0),F74&gt;TODAY()),"Not Started",IF(AND(OR(L74="",L74=0),F74&lt;=TODAY()),"Delayed",IF(AND(L74&gt;0,L74&lt;100%,G74&lt;TODAY()),"Delayed",IF(AND(L74&gt;0,L74&lt;100%,G74&gt;=TODAY()),"In Progress","")))))</f>
        <v>Not Started</v>
      </c>
      <c r="N74" s="69"/>
      <c r="O74" s="227"/>
      <c r="P74" s="69"/>
      <c r="Q74" s="69"/>
      <c r="R74" s="69"/>
      <c r="S74" s="69"/>
      <c r="T74" s="69"/>
      <c r="U74" s="69"/>
      <c r="V74" s="69"/>
      <c r="W74" s="73"/>
      <c r="X74" s="229"/>
      <c r="Z74" s="23" t="s">
        <v>144</v>
      </c>
      <c r="AA74" s="231"/>
      <c r="AB74" s="231"/>
    </row>
    <row r="75" spans="2:28" ht="38.25" customHeight="1">
      <c r="B75" s="487"/>
      <c r="C75" s="490"/>
      <c r="D75" s="232" t="s">
        <v>186</v>
      </c>
      <c r="E75" s="250">
        <f>NETWORKDAYS.INTL(F75,G75,"0000100",$AD$5:$AD$11)</f>
        <v>91</v>
      </c>
      <c r="F75" s="23">
        <f>WORKDAY.INTL(F74,9,"0000100",$AD$5:$AD$9)</f>
        <v>46223</v>
      </c>
      <c r="G75" s="131">
        <f>WORKDAY.INTL(F75,90,"0000100",$AD$5:$AD$10)</f>
        <v>46329</v>
      </c>
      <c r="H75" s="131">
        <f>WORKDAY.INTL(H74,9,"0000100",$AD$5:$AD$9)</f>
        <v>46223</v>
      </c>
      <c r="I75" s="131">
        <f>WORKDAY.INTL(H75,90,"0000100",$AD$5:$AD$10)</f>
        <v>46329</v>
      </c>
      <c r="J75" s="131"/>
      <c r="K75" s="131"/>
      <c r="L75" s="132">
        <v>0</v>
      </c>
      <c r="M75" s="132" t="str">
        <f ca="1">IF(L75=100%,"Completed",IF(AND(OR(L75="",L75=0),F75&gt;TODAY()),"Not Started",IF(AND(OR(L75="",L75=0),F75&lt;=TODAY()),"Delayed",IF(AND(L75&gt;0,L75&lt;100%,G75&lt;TODAY()),"Delayed",IF(AND(L75&gt;0,L75&lt;100%,G75&gt;=TODAY()),"In Progress","")))))</f>
        <v>Not Started</v>
      </c>
      <c r="N75" s="232"/>
      <c r="O75" s="251"/>
      <c r="P75" s="232"/>
      <c r="Q75" s="232"/>
      <c r="R75" s="232"/>
      <c r="S75" s="232"/>
      <c r="T75" s="232"/>
      <c r="U75" s="232"/>
      <c r="V75" s="232"/>
      <c r="W75" s="85" t="s">
        <v>146</v>
      </c>
      <c r="X75" s="99"/>
      <c r="Z75" s="23" t="s">
        <v>147</v>
      </c>
      <c r="AB75" s="104"/>
    </row>
    <row r="76" spans="2:28" ht="38.25" customHeight="1">
      <c r="B76" s="487"/>
      <c r="C76" s="490"/>
      <c r="D76" s="232" t="s">
        <v>7</v>
      </c>
      <c r="E76" s="250">
        <f>NETWORKDAYS.INTL(F76,G76,"0000100",$AD$5:$AD$11)</f>
        <v>93</v>
      </c>
      <c r="F76" s="131">
        <f>WORKDAY.INTL(F75,6,"0000100",$AD$5:$AD$10)</f>
        <v>46230</v>
      </c>
      <c r="G76" s="131">
        <f>WORKDAY.INTL(G75,8,"0000100",$AD$5:$AD$10)</f>
        <v>46338</v>
      </c>
      <c r="H76" s="131">
        <f>WORKDAY.INTL(H75,6,"0000100",$AD$5:$AD$10)</f>
        <v>46230</v>
      </c>
      <c r="I76" s="131">
        <f>WORKDAY.INTL(I75,8,"0000100",$AD$5:$AD$10)</f>
        <v>46338</v>
      </c>
      <c r="J76" s="131"/>
      <c r="K76" s="131"/>
      <c r="L76" s="132">
        <v>0</v>
      </c>
      <c r="M76" s="132" t="str">
        <f ca="1">IF(L76=100%,"Completed",IF(AND(OR(L76="",L76=0),F76&gt;TODAY()),"Not Started",IF(AND(OR(L76="",L76=0),F76&lt;=TODAY()),"Delayed",IF(AND(L76&gt;0,L76&lt;100%,G76&lt;TODAY()),"Delayed",IF(AND(L76&gt;0,L76&lt;100%,G76&gt;=TODAY()),"In Progress","")))))</f>
        <v>Not Started</v>
      </c>
      <c r="N76" s="232"/>
      <c r="O76" s="251"/>
      <c r="P76" s="232"/>
      <c r="Q76" s="232"/>
      <c r="R76" s="232"/>
      <c r="S76" s="232"/>
      <c r="T76" s="232"/>
      <c r="U76" s="232"/>
      <c r="V76" s="232"/>
      <c r="W76" s="85"/>
      <c r="X76" s="99"/>
      <c r="Z76" s="23" t="s">
        <v>148</v>
      </c>
      <c r="AB76" s="104"/>
    </row>
    <row r="77" spans="2:28" ht="66" customHeight="1">
      <c r="B77" s="487"/>
      <c r="C77" s="490"/>
      <c r="D77" s="232" t="s">
        <v>187</v>
      </c>
      <c r="E77" s="250">
        <f>NETWORKDAYS.INTL(F77,G77,"0000110",$AD$5:$AD$11)</f>
        <v>86</v>
      </c>
      <c r="F77" s="131">
        <f t="shared" ref="F77" si="28">WORKDAY.INTL(F76,5,"0000110")</f>
        <v>46237</v>
      </c>
      <c r="G77" s="131">
        <f>WORKDAY.INTL(F77,86,"0000110")</f>
        <v>46357</v>
      </c>
      <c r="H77" s="131">
        <f t="shared" ref="H77" si="29">WORKDAY.INTL(H76,5,"0000110")</f>
        <v>46237</v>
      </c>
      <c r="I77" s="131">
        <f>WORKDAY.INTL(H77,86,"0000110")</f>
        <v>46357</v>
      </c>
      <c r="J77" s="131"/>
      <c r="K77" s="131"/>
      <c r="L77" s="132">
        <v>0</v>
      </c>
      <c r="M77" s="132" t="str">
        <f ca="1">IF(L77=100%,"Completed",IF(AND(OR(L77="",L77=0),F77&gt;TODAY()),"Not Started",IF(AND(OR(L77="",L77=0),F77&lt;=TODAY()),"Delayed",IF(AND(L77&gt;0,L77&lt;100%,G77&lt;TODAY()),"Delayed",IF(AND(L77&gt;0,L77&lt;100%,G77&gt;=TODAY()),"In Progress","")))))</f>
        <v>Not Started</v>
      </c>
      <c r="N77" s="232"/>
      <c r="O77" s="251"/>
      <c r="P77" s="232"/>
      <c r="Q77" s="232"/>
      <c r="R77" s="232"/>
      <c r="S77" s="232"/>
      <c r="T77" s="232"/>
      <c r="U77" s="232"/>
      <c r="V77" s="232"/>
      <c r="W77" s="85" t="s">
        <v>150</v>
      </c>
      <c r="X77" s="99"/>
      <c r="Z77" s="23" t="s">
        <v>151</v>
      </c>
      <c r="AB77" s="104"/>
    </row>
    <row r="78" spans="2:28" ht="38.25" customHeight="1">
      <c r="B78" s="488"/>
      <c r="C78" s="491"/>
      <c r="D78" s="215" t="s">
        <v>152</v>
      </c>
      <c r="E78" s="211">
        <f>NETWORKDAYS.INTL(F78,G78,"0000110",$AD$5:$AD$11)</f>
        <v>2</v>
      </c>
      <c r="F78" s="212">
        <f>MAX(WORKDAY.INTL(G76,1,"0000100"),WORKDAY.INTL(G85,1,"0000100"))</f>
        <v>46379</v>
      </c>
      <c r="G78" s="212">
        <f>WORKDAY.INTL(F78,1,"0000100")</f>
        <v>46380</v>
      </c>
      <c r="H78" s="212">
        <f>MAX(WORKDAY.INTL(I76,1,"0000100"),WORKDAY.INTL(I85,1,"0000100"))</f>
        <v>46379</v>
      </c>
      <c r="I78" s="212">
        <f>WORKDAY.INTL(H78,1,"0000100")</f>
        <v>46380</v>
      </c>
      <c r="J78" s="212"/>
      <c r="K78" s="212"/>
      <c r="L78" s="213">
        <v>0</v>
      </c>
      <c r="M78" s="213" t="str">
        <f ca="1">IF(L78=100%,"Completed",IF(AND(OR(L78="",L78=0),F78&gt;TODAY()),"Not Started",IF(AND(OR(L78="",L78=0),F78&lt;=TODAY()),"Delayed",IF(AND(L78&gt;0,L78&lt;100%,G78&lt;TODAY()),"Delayed",IF(AND(L78&gt;0,L78&lt;100%,G78&gt;=TODAY()),"In Progress","")))))</f>
        <v>Not Started</v>
      </c>
      <c r="N78" s="215"/>
      <c r="O78" s="214"/>
      <c r="P78" s="215"/>
      <c r="Q78" s="215"/>
      <c r="R78" s="215"/>
      <c r="S78" s="215"/>
      <c r="T78" s="215"/>
      <c r="U78" s="215"/>
      <c r="V78" s="215"/>
      <c r="W78" s="78" t="s">
        <v>153</v>
      </c>
      <c r="X78" s="99"/>
      <c r="Z78" s="23" t="s">
        <v>154</v>
      </c>
      <c r="AB78" s="104"/>
    </row>
    <row r="79" spans="2:28" s="126" customFormat="1" ht="4.5" customHeight="1">
      <c r="B79" s="253"/>
      <c r="C79" s="253"/>
      <c r="D79" s="253"/>
      <c r="E79" s="254"/>
      <c r="F79" s="253"/>
      <c r="G79" s="253"/>
      <c r="H79" s="253"/>
      <c r="I79" s="253"/>
      <c r="J79" s="233"/>
      <c r="K79" s="233"/>
      <c r="L79" s="255">
        <v>0</v>
      </c>
      <c r="M79" s="255"/>
      <c r="N79" s="253"/>
      <c r="O79" s="253"/>
      <c r="P79" s="253"/>
      <c r="Q79" s="253"/>
      <c r="R79" s="253"/>
      <c r="S79" s="253"/>
      <c r="T79" s="253"/>
      <c r="U79" s="253"/>
      <c r="V79" s="253"/>
      <c r="W79" s="256"/>
      <c r="Z79" s="231"/>
      <c r="AA79" s="104"/>
      <c r="AB79" s="104"/>
    </row>
    <row r="80" spans="2:28" ht="30.75" customHeight="1">
      <c r="B80" s="484" t="s">
        <v>155</v>
      </c>
      <c r="C80" s="492" t="s">
        <v>156</v>
      </c>
      <c r="D80" s="234" t="s">
        <v>157</v>
      </c>
      <c r="E80" s="219">
        <f t="shared" ref="E80:E85" si="30">NETWORKDAYS.INTL(F80,G80,"0000110",$AD$5:$AD$11)</f>
        <v>6</v>
      </c>
      <c r="F80" s="36">
        <f>G77+1</f>
        <v>46358</v>
      </c>
      <c r="G80" s="36">
        <f>WORKDAY.INTL(F80,5,"0000110",$AD$5:$AD$9)</f>
        <v>46365</v>
      </c>
      <c r="H80" s="162">
        <f>I77+1</f>
        <v>46358</v>
      </c>
      <c r="I80" s="162">
        <f>WORKDAY.INTL(H80,5,"0000110",$AD$5:$AD$9)</f>
        <v>46365</v>
      </c>
      <c r="J80" s="36"/>
      <c r="K80" s="36"/>
      <c r="L80" s="163">
        <v>0</v>
      </c>
      <c r="M80" s="163" t="str">
        <f t="shared" ref="M80:M85" ca="1" si="31">IF(L80=100%,"Completed",IF(AND(OR(L80="",L80=0),F80&gt;TODAY()),"Not Started",IF(AND(OR(L80="",L80=0),F80&lt;=TODAY()),"Delayed",IF(AND(L80&gt;0,L80&lt;100%,G80&lt;TODAY()),"Delayed",IF(AND(L80&gt;0,L80&lt;100%,G80&gt;=TODAY()),"In Progress","")))))</f>
        <v>Not Started</v>
      </c>
      <c r="N80" s="234"/>
      <c r="O80" s="220"/>
      <c r="P80" s="234"/>
      <c r="Q80" s="234"/>
      <c r="R80" s="234"/>
      <c r="S80" s="234"/>
      <c r="T80" s="234"/>
      <c r="U80" s="234"/>
      <c r="V80" s="234"/>
      <c r="W80" s="235"/>
      <c r="X80" s="99"/>
      <c r="Z80" s="23" t="s">
        <v>156</v>
      </c>
      <c r="AA80" s="127"/>
      <c r="AB80" s="127"/>
    </row>
    <row r="81" spans="2:28" ht="30.75" customHeight="1">
      <c r="B81" s="495"/>
      <c r="C81" s="493"/>
      <c r="D81" s="236" t="s">
        <v>158</v>
      </c>
      <c r="E81" s="237">
        <f t="shared" si="30"/>
        <v>6</v>
      </c>
      <c r="F81" s="38">
        <f>F80</f>
        <v>46358</v>
      </c>
      <c r="G81" s="38">
        <f>WORKDAY.INTL(F81,5,"0000110",$AD$5:$AD$9)</f>
        <v>46365</v>
      </c>
      <c r="H81" s="164">
        <f>H80</f>
        <v>46358</v>
      </c>
      <c r="I81" s="164">
        <f>WORKDAY.INTL(H81,5,"0000110",$AD$5:$AD$9)</f>
        <v>46365</v>
      </c>
      <c r="J81" s="36"/>
      <c r="K81" s="36"/>
      <c r="L81" s="165">
        <v>0</v>
      </c>
      <c r="M81" s="165" t="str">
        <f t="shared" ca="1" si="31"/>
        <v>Not Started</v>
      </c>
      <c r="N81" s="236"/>
      <c r="O81" s="238"/>
      <c r="P81" s="236"/>
      <c r="Q81" s="236"/>
      <c r="R81" s="236"/>
      <c r="S81" s="236"/>
      <c r="T81" s="236"/>
      <c r="U81" s="236"/>
      <c r="V81" s="236"/>
      <c r="W81" s="239"/>
      <c r="X81" s="99"/>
      <c r="Z81" s="23" t="s">
        <v>156</v>
      </c>
      <c r="AB81" s="104"/>
    </row>
    <row r="82" spans="2:28" ht="30.75" customHeight="1">
      <c r="B82" s="495"/>
      <c r="C82" s="493"/>
      <c r="D82" s="236" t="s">
        <v>159</v>
      </c>
      <c r="E82" s="237">
        <f t="shared" si="30"/>
        <v>5</v>
      </c>
      <c r="F82" s="38">
        <f>G81</f>
        <v>46365</v>
      </c>
      <c r="G82" s="38">
        <f>WORKDAY.INTL(F82,4,"0000110",$AD$5:$AD$9)</f>
        <v>46371</v>
      </c>
      <c r="H82" s="164">
        <f>I81</f>
        <v>46365</v>
      </c>
      <c r="I82" s="164">
        <f>WORKDAY.INTL(H82,4,"0000110",$AD$5:$AD$9)</f>
        <v>46371</v>
      </c>
      <c r="J82" s="38"/>
      <c r="K82" s="36"/>
      <c r="L82" s="165">
        <v>0</v>
      </c>
      <c r="M82" s="165" t="str">
        <f t="shared" ca="1" si="31"/>
        <v>Not Started</v>
      </c>
      <c r="N82" s="236"/>
      <c r="O82" s="238"/>
      <c r="P82" s="236"/>
      <c r="Q82" s="236"/>
      <c r="R82" s="236"/>
      <c r="S82" s="236"/>
      <c r="T82" s="236"/>
      <c r="U82" s="236"/>
      <c r="V82" s="236"/>
      <c r="W82" s="239"/>
      <c r="X82" s="99"/>
      <c r="Z82" s="23" t="s">
        <v>156</v>
      </c>
      <c r="AA82" s="127"/>
      <c r="AB82" s="127"/>
    </row>
    <row r="83" spans="2:28" ht="30.75" customHeight="1">
      <c r="B83" s="495"/>
      <c r="C83" s="493"/>
      <c r="D83" s="236" t="s">
        <v>160</v>
      </c>
      <c r="E83" s="237">
        <f t="shared" si="30"/>
        <v>5</v>
      </c>
      <c r="F83" s="38">
        <f>F82</f>
        <v>46365</v>
      </c>
      <c r="G83" s="38">
        <f>WORKDAY.INTL(F83,4,"0000110",$AD$5:$AD$9)</f>
        <v>46371</v>
      </c>
      <c r="H83" s="164">
        <f>H82</f>
        <v>46365</v>
      </c>
      <c r="I83" s="164">
        <f>WORKDAY.INTL(H83,4,"0000110",$AD$5:$AD$9)</f>
        <v>46371</v>
      </c>
      <c r="J83" s="38"/>
      <c r="K83" s="36"/>
      <c r="L83" s="165">
        <v>0</v>
      </c>
      <c r="M83" s="165" t="str">
        <f t="shared" ca="1" si="31"/>
        <v>Not Started</v>
      </c>
      <c r="N83" s="236"/>
      <c r="O83" s="238"/>
      <c r="P83" s="236"/>
      <c r="Q83" s="236"/>
      <c r="R83" s="236"/>
      <c r="S83" s="236"/>
      <c r="T83" s="236"/>
      <c r="U83" s="236"/>
      <c r="V83" s="236"/>
      <c r="W83" s="239"/>
      <c r="X83" s="99"/>
      <c r="Z83" s="23" t="s">
        <v>156</v>
      </c>
      <c r="AB83" s="104"/>
    </row>
    <row r="84" spans="2:28" ht="30.75" customHeight="1">
      <c r="B84" s="495"/>
      <c r="C84" s="493"/>
      <c r="D84" s="236" t="s">
        <v>46</v>
      </c>
      <c r="E84" s="237">
        <f t="shared" si="30"/>
        <v>3</v>
      </c>
      <c r="F84" s="38">
        <f>WORKDAY.INTL(G83,1,"0000110",$AD$5:$AD$9)</f>
        <v>46372</v>
      </c>
      <c r="G84" s="38">
        <f>WORKDAY.INTL(F84,2,"0000110",$AD$5:$AD$9)</f>
        <v>46376</v>
      </c>
      <c r="H84" s="164">
        <f>WORKDAY.INTL(I83,1,"0000110",$AD$5:$AD$9)</f>
        <v>46372</v>
      </c>
      <c r="I84" s="164">
        <f>WORKDAY.INTL(H84,2,"0000110",$AD$5:$AD$9)</f>
        <v>46376</v>
      </c>
      <c r="J84" s="38"/>
      <c r="K84" s="36"/>
      <c r="L84" s="165">
        <v>0</v>
      </c>
      <c r="M84" s="165" t="str">
        <f t="shared" ca="1" si="31"/>
        <v>Not Started</v>
      </c>
      <c r="N84" s="236"/>
      <c r="O84" s="238"/>
      <c r="P84" s="236"/>
      <c r="Q84" s="236"/>
      <c r="R84" s="236"/>
      <c r="S84" s="236"/>
      <c r="T84" s="236"/>
      <c r="U84" s="236"/>
      <c r="V84" s="236"/>
      <c r="W84" s="239"/>
      <c r="X84" s="99"/>
      <c r="Z84" s="23" t="s">
        <v>156</v>
      </c>
      <c r="AB84" s="104"/>
    </row>
    <row r="85" spans="2:28" ht="30.75" customHeight="1">
      <c r="B85" s="485"/>
      <c r="C85" s="494"/>
      <c r="D85" s="240" t="s">
        <v>161</v>
      </c>
      <c r="E85" s="224">
        <f t="shared" si="30"/>
        <v>2</v>
      </c>
      <c r="F85" s="40">
        <f>WORKDAY.INTL(G84,1,"0000110",$AD$5:$AD$9)</f>
        <v>46377</v>
      </c>
      <c r="G85" s="40">
        <f>WORKDAY.INTL(F85,1,"0000110",$AD$5:$AD$9)</f>
        <v>46378</v>
      </c>
      <c r="H85" s="166">
        <f>WORKDAY.INTL(I84,1,"0000110",$AD$5:$AD$9)</f>
        <v>46377</v>
      </c>
      <c r="I85" s="166">
        <f>WORKDAY.INTL(H85,1,"0000110",$AD$5:$AD$9)</f>
        <v>46378</v>
      </c>
      <c r="J85" s="40"/>
      <c r="K85" s="92"/>
      <c r="L85" s="167">
        <v>0</v>
      </c>
      <c r="M85" s="167" t="str">
        <f t="shared" ca="1" si="31"/>
        <v>Not Started</v>
      </c>
      <c r="N85" s="240"/>
      <c r="O85" s="225"/>
      <c r="P85" s="240"/>
      <c r="Q85" s="240"/>
      <c r="R85" s="240"/>
      <c r="S85" s="240"/>
      <c r="T85" s="240"/>
      <c r="U85" s="240"/>
      <c r="V85" s="240"/>
      <c r="W85" s="241"/>
      <c r="X85" s="99"/>
      <c r="Z85" s="23" t="s">
        <v>156</v>
      </c>
      <c r="AB85" s="104"/>
    </row>
  </sheetData>
  <mergeCells count="18">
    <mergeCell ref="B68:B69"/>
    <mergeCell ref="B71:B72"/>
    <mergeCell ref="B74:B78"/>
    <mergeCell ref="C74:C78"/>
    <mergeCell ref="C80:C85"/>
    <mergeCell ref="B80:B85"/>
    <mergeCell ref="B5:B9"/>
    <mergeCell ref="B11:B14"/>
    <mergeCell ref="B16:B19"/>
    <mergeCell ref="B21:B24"/>
    <mergeCell ref="B26:B29"/>
    <mergeCell ref="B56:B58"/>
    <mergeCell ref="B62:B66"/>
    <mergeCell ref="B31:B34"/>
    <mergeCell ref="B36:B39"/>
    <mergeCell ref="B41:B44"/>
    <mergeCell ref="B46:B49"/>
    <mergeCell ref="B51:B54"/>
  </mergeCells>
  <conditionalFormatting sqref="M1:M1048574">
    <cfRule type="cellIs" dxfId="23" priority="7" operator="equal">
      <formula>"Delayed"</formula>
    </cfRule>
    <cfRule type="cellIs" dxfId="22" priority="8" operator="equal">
      <formula>"In Progress"</formula>
    </cfRule>
    <cfRule type="cellIs" dxfId="21" priority="9" operator="equal">
      <formula>"Completed"</formula>
    </cfRule>
  </conditionalFormatting>
  <conditionalFormatting sqref="N2">
    <cfRule type="cellIs" dxfId="20" priority="1" operator="equal">
      <formula>"Delayed"</formula>
    </cfRule>
    <cfRule type="cellIs" dxfId="19" priority="2" operator="equal">
      <formula>"In Progress"</formula>
    </cfRule>
    <cfRule type="cellIs" dxfId="18" priority="3" operator="equal">
      <formula>"Completed"</formula>
    </cfRule>
  </conditionalFormatting>
  <dataValidations disablePrompts="1" count="2">
    <dataValidation type="list" allowBlank="1" showInputMessage="1" showErrorMessage="1" sqref="X64" xr:uid="{00000000-0002-0000-0200-000000000000}">
      <formula1>$Z$2:$Z$4</formula1>
    </dataValidation>
    <dataValidation type="list" allowBlank="1" showInputMessage="1" showErrorMessage="1" sqref="X80:X85 X3:X63 X74:X78 X65:X72" xr:uid="{00000000-0002-0000-0200-000001000000}">
      <formula1>$Y$2:$Y$5</formula1>
    </dataValidation>
  </dataValidations>
  <pageMargins left="0.7" right="0.7" top="0.75" bottom="0.75" header="0.3" footer="0.3"/>
  <pageSetup paperSize="8" scale="61" fitToHeight="0"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9"/>
  <dimension ref="A1:AE75"/>
  <sheetViews>
    <sheetView showGridLines="0" zoomScaleNormal="100" workbookViewId="0">
      <pane ySplit="2" topLeftCell="A7" activePane="bottomLeft" state="frozen"/>
      <selection pane="bottomLeft" activeCell="N2" sqref="N2"/>
    </sheetView>
  </sheetViews>
  <sheetFormatPr defaultColWidth="9" defaultRowHeight="15.75"/>
  <cols>
    <col min="1" max="1" width="2.25" style="230" bestFit="1" customWidth="1"/>
    <col min="2" max="2" width="8.875" style="230" bestFit="1" customWidth="1"/>
    <col min="3" max="3" width="6.25" style="230" hidden="1" customWidth="1"/>
    <col min="4" max="4" width="30.5" style="230" bestFit="1" customWidth="1"/>
    <col min="5" max="5" width="13.625" style="229" bestFit="1" customWidth="1"/>
    <col min="6" max="6" width="13.75" style="233" bestFit="1" customWidth="1"/>
    <col min="7" max="7" width="14.5" style="233" bestFit="1" customWidth="1"/>
    <col min="8" max="8" width="14.75" style="233" hidden="1" customWidth="1"/>
    <col min="9" max="9" width="15.5" style="233" hidden="1" customWidth="1"/>
    <col min="10" max="10" width="27.625" style="233" customWidth="1"/>
    <col min="11" max="11" width="29.375" style="233" customWidth="1"/>
    <col min="12" max="12" width="11.25" style="316" bestFit="1" customWidth="1"/>
    <col min="13" max="13" width="11.75" style="316" bestFit="1" customWidth="1"/>
    <col min="14" max="14" width="30.5" style="230" bestFit="1" customWidth="1"/>
    <col min="15" max="15" width="1.75" style="230" customWidth="1"/>
    <col min="16" max="16" width="7.125" style="230" bestFit="1" customWidth="1"/>
    <col min="17" max="17" width="7.75" style="230" bestFit="1" customWidth="1"/>
    <col min="18" max="18" width="7" style="230" bestFit="1" customWidth="1"/>
    <col min="19" max="19" width="6.5" style="230" bestFit="1" customWidth="1"/>
    <col min="20" max="20" width="7.375" style="230" bestFit="1" customWidth="1"/>
    <col min="21" max="21" width="7.5" style="230" bestFit="1" customWidth="1"/>
    <col min="22" max="22" width="7.375" style="230" bestFit="1" customWidth="1"/>
    <col min="23" max="23" width="48.75" style="260" bestFit="1" customWidth="1"/>
    <col min="24" max="24" width="15.5" style="230" bestFit="1" customWidth="1"/>
    <col min="25" max="25" width="9" style="230"/>
    <col min="26" max="26" width="12.875" style="230" bestFit="1" customWidth="1"/>
    <col min="27" max="27" width="8.875" style="231" bestFit="1" customWidth="1"/>
    <col min="28" max="28" width="10.125" style="231" customWidth="1"/>
    <col min="29" max="29" width="6.75" style="230" bestFit="1" customWidth="1"/>
    <col min="30" max="16384" width="9" style="230"/>
  </cols>
  <sheetData>
    <row r="1" spans="1:31" ht="5.45" customHeight="1">
      <c r="A1" s="230" t="s">
        <v>188</v>
      </c>
      <c r="F1" s="257"/>
      <c r="G1" s="257"/>
      <c r="H1" s="257"/>
      <c r="I1" s="257"/>
      <c r="J1" s="257"/>
      <c r="K1" s="257"/>
      <c r="L1" s="258">
        <v>0</v>
      </c>
      <c r="M1" s="258"/>
      <c r="O1" s="259"/>
    </row>
    <row r="2" spans="1:31" ht="24" customHeight="1" thickBot="1">
      <c r="B2" s="261"/>
      <c r="C2" s="261" t="s">
        <v>96</v>
      </c>
      <c r="D2" s="13" t="s">
        <v>1</v>
      </c>
      <c r="E2" s="13" t="s">
        <v>97</v>
      </c>
      <c r="F2" s="14" t="s">
        <v>98</v>
      </c>
      <c r="G2" s="14" t="s">
        <v>83</v>
      </c>
      <c r="H2" s="14" t="s">
        <v>99</v>
      </c>
      <c r="I2" s="14" t="s">
        <v>84</v>
      </c>
      <c r="J2" s="15" t="s">
        <v>100</v>
      </c>
      <c r="K2" s="15" t="s">
        <v>101</v>
      </c>
      <c r="L2" s="16" t="s">
        <v>82</v>
      </c>
      <c r="M2" s="16" t="s">
        <v>102</v>
      </c>
      <c r="N2" s="109" t="s">
        <v>162</v>
      </c>
      <c r="O2" s="17"/>
      <c r="P2" s="18">
        <v>46113</v>
      </c>
      <c r="Q2" s="19">
        <v>46143</v>
      </c>
      <c r="R2" s="19">
        <v>46174</v>
      </c>
      <c r="S2" s="19">
        <v>46204</v>
      </c>
      <c r="T2" s="19">
        <v>46235</v>
      </c>
      <c r="U2" s="19">
        <v>46266</v>
      </c>
      <c r="V2" s="19">
        <v>46296</v>
      </c>
      <c r="W2" s="20" t="s">
        <v>2</v>
      </c>
      <c r="X2" s="230" t="s">
        <v>163</v>
      </c>
    </row>
    <row r="3" spans="1:31" ht="45" hidden="1" customHeight="1">
      <c r="B3" s="262"/>
      <c r="C3" s="262"/>
      <c r="D3" s="263" t="s">
        <v>189</v>
      </c>
      <c r="E3" s="264"/>
      <c r="F3" s="265"/>
      <c r="G3" s="265"/>
      <c r="H3" s="265"/>
      <c r="I3" s="265"/>
      <c r="J3" s="265"/>
      <c r="K3" s="265"/>
      <c r="L3" s="266">
        <v>1</v>
      </c>
      <c r="M3" s="266" t="e">
        <f ca="1">IF(OR(L3=100%,#REF!&lt;&gt;""),"Completed",IF(AND(OR(L3="",L3=0),F3&gt;TODAY()),"Not Started",IF(AND(OR(L3="",L3=0),F3&lt;=TODAY()),"Delayed",IF(AND(L3&gt;0,L3&lt;100%,G3&lt;TODAY()),"Delayed",IF(AND(L3&gt;0,L3&lt;100%),"In Progress","")))))</f>
        <v>#REF!</v>
      </c>
      <c r="N3" s="263"/>
      <c r="O3" s="17"/>
      <c r="P3" s="267"/>
      <c r="Q3" s="268"/>
      <c r="R3" s="268"/>
      <c r="S3" s="268"/>
      <c r="T3" s="268"/>
      <c r="U3" s="268"/>
      <c r="V3" s="268"/>
      <c r="W3" s="269" t="s">
        <v>190</v>
      </c>
      <c r="X3" s="230" t="s">
        <v>106</v>
      </c>
    </row>
    <row r="4" spans="1:31" s="274" customFormat="1" ht="4.5" hidden="1" customHeight="1">
      <c r="B4" s="292"/>
      <c r="C4" s="292"/>
      <c r="D4" s="292"/>
      <c r="E4" s="293"/>
      <c r="F4" s="292"/>
      <c r="G4" s="292"/>
      <c r="H4" s="292"/>
      <c r="I4" s="292"/>
      <c r="J4" s="292"/>
      <c r="K4" s="292"/>
      <c r="L4" s="294">
        <v>0</v>
      </c>
      <c r="M4" s="294"/>
      <c r="N4" s="292"/>
      <c r="O4" s="292"/>
      <c r="P4" s="292"/>
      <c r="Q4" s="292"/>
      <c r="R4" s="292"/>
      <c r="S4" s="292"/>
      <c r="T4" s="292"/>
      <c r="U4" s="292"/>
      <c r="V4" s="292"/>
      <c r="W4" s="295"/>
      <c r="AA4" s="275"/>
      <c r="AB4" s="275"/>
    </row>
    <row r="5" spans="1:31" ht="45" customHeight="1">
      <c r="B5" s="461" t="s">
        <v>191</v>
      </c>
      <c r="C5" s="296" t="s">
        <v>86</v>
      </c>
      <c r="D5" s="21" t="s">
        <v>105</v>
      </c>
      <c r="E5" s="22">
        <f>NETWORKDAYS.INTL(F5,G5,"0000100",$AC$5:$AC$11)</f>
        <v>1</v>
      </c>
      <c r="F5" s="23">
        <v>46153</v>
      </c>
      <c r="G5" s="23">
        <v>46153</v>
      </c>
      <c r="H5" s="23">
        <v>46153</v>
      </c>
      <c r="I5" s="23">
        <v>46153</v>
      </c>
      <c r="J5" s="23"/>
      <c r="K5" s="23"/>
      <c r="L5" s="24">
        <v>1</v>
      </c>
      <c r="M5" s="24" t="str">
        <f ca="1">IF(L5=100%,"Completed",IF(AND(OR(L5="",L5=0),F5&gt;TODAY()),"Not Started",IF(AND(OR(L5="",L5=0),F5&lt;=TODAY()),"Delayed",IF(AND(L5&gt;0,L5&lt;100%,G5&lt;TODAY()),"Delayed",IF(AND(L5&gt;0,L5&lt;100%,G5&gt;=TODAY()),"In Progress","")))))</f>
        <v>Completed</v>
      </c>
      <c r="N5" s="21"/>
      <c r="O5" s="297"/>
      <c r="P5" s="298"/>
      <c r="Q5" s="298"/>
      <c r="R5" s="298"/>
      <c r="S5" s="298"/>
      <c r="T5" s="298"/>
      <c r="U5" s="298"/>
      <c r="V5" s="299"/>
      <c r="W5" s="300"/>
      <c r="X5" s="230" t="s">
        <v>113</v>
      </c>
      <c r="Z5" s="23" t="s">
        <v>62</v>
      </c>
      <c r="AA5" s="231" t="s">
        <v>68</v>
      </c>
      <c r="AC5" s="230">
        <v>46166</v>
      </c>
      <c r="AE5" s="276"/>
    </row>
    <row r="6" spans="1:31" ht="45" customHeight="1">
      <c r="B6" s="462"/>
      <c r="C6" s="296" t="s">
        <v>86</v>
      </c>
      <c r="D6" s="21" t="s">
        <v>107</v>
      </c>
      <c r="E6" s="22">
        <f>NETWORKDAYS.INTL(F6,G6,"0000100",$AC$5:$AC$11)</f>
        <v>38</v>
      </c>
      <c r="F6" s="23">
        <v>46159</v>
      </c>
      <c r="G6" s="23">
        <f>WORKDAY.INTL(F6,37,"0000100",$AC$5:$AC$10)</f>
        <v>46208</v>
      </c>
      <c r="H6" s="23">
        <v>46159</v>
      </c>
      <c r="I6" s="23">
        <f>WORKDAY.INTL(H6,37,"0000100",$AC$5:$AC$10)</f>
        <v>46208</v>
      </c>
      <c r="J6" s="23"/>
      <c r="K6" s="23"/>
      <c r="L6" s="24">
        <v>0.5</v>
      </c>
      <c r="M6" s="24" t="str">
        <f t="shared" ref="M6:M9" ca="1" si="0">IF(L6=100%,"Completed",IF(AND(OR(L6="",L6=0),F6&gt;TODAY()),"Not Started",IF(AND(OR(L6="",L6=0),F6&lt;=TODAY()),"Delayed",IF(AND(L6&gt;0,L6&lt;100%,G6&lt;TODAY()),"Delayed",IF(AND(L6&gt;0,L6&lt;100%,G6&gt;=TODAY()),"In Progress","")))))</f>
        <v>In Progress</v>
      </c>
      <c r="N6" s="21"/>
      <c r="O6" s="297"/>
      <c r="P6" s="298"/>
      <c r="Q6" s="298"/>
      <c r="R6" s="298"/>
      <c r="S6" s="298"/>
      <c r="T6" s="298"/>
      <c r="U6" s="298"/>
      <c r="V6" s="299"/>
      <c r="W6" s="300" t="s">
        <v>108</v>
      </c>
      <c r="Z6" s="23" t="s">
        <v>63</v>
      </c>
      <c r="AA6" s="231" t="s">
        <v>68</v>
      </c>
      <c r="AC6" s="230">
        <v>46167</v>
      </c>
      <c r="AE6" s="276"/>
    </row>
    <row r="7" spans="1:31" ht="111.75" customHeight="1">
      <c r="B7" s="462"/>
      <c r="C7" s="296" t="s">
        <v>86</v>
      </c>
      <c r="D7" s="21" t="s">
        <v>109</v>
      </c>
      <c r="E7" s="22"/>
      <c r="F7" s="23" t="s">
        <v>192</v>
      </c>
      <c r="G7" s="23">
        <v>46229</v>
      </c>
      <c r="H7" s="23" t="s">
        <v>192</v>
      </c>
      <c r="I7" s="23">
        <v>46229</v>
      </c>
      <c r="J7" s="23"/>
      <c r="K7" s="23"/>
      <c r="L7" s="24">
        <v>0.85</v>
      </c>
      <c r="M7" s="24" t="str">
        <f t="shared" ca="1" si="0"/>
        <v>In Progress</v>
      </c>
      <c r="N7" s="21"/>
      <c r="O7" s="297"/>
      <c r="P7" s="298"/>
      <c r="Q7" s="298"/>
      <c r="R7" s="298"/>
      <c r="S7" s="298"/>
      <c r="T7" s="298"/>
      <c r="U7" s="298"/>
      <c r="V7" s="299"/>
      <c r="W7" s="300" t="s">
        <v>193</v>
      </c>
      <c r="Z7" s="231"/>
      <c r="AC7" s="230">
        <v>46168</v>
      </c>
      <c r="AE7" s="276"/>
    </row>
    <row r="8" spans="1:31" ht="45" customHeight="1">
      <c r="B8" s="462"/>
      <c r="C8" s="296" t="s">
        <v>86</v>
      </c>
      <c r="D8" s="26" t="s">
        <v>111</v>
      </c>
      <c r="E8" s="22">
        <f>NETWORKDAYS.INTL(F8,G8,"0000110",$AC$5:$AC$11)</f>
        <v>3</v>
      </c>
      <c r="F8" s="23">
        <f t="shared" ref="F8" si="1">WORKDAY.INTL(G7,1,"0000110")</f>
        <v>46230</v>
      </c>
      <c r="G8" s="23">
        <f t="shared" ref="G8" si="2">WORKDAY.INTL(F8,2,"0000110")</f>
        <v>46232</v>
      </c>
      <c r="H8" s="23">
        <f t="shared" ref="H8:H9" si="3">WORKDAY.INTL(I7,1,"0000110")</f>
        <v>46230</v>
      </c>
      <c r="I8" s="23">
        <f t="shared" ref="I8" si="4">WORKDAY.INTL(H8,2,"0000110")</f>
        <v>46232</v>
      </c>
      <c r="J8" s="23"/>
      <c r="K8" s="23"/>
      <c r="L8" s="24">
        <v>0</v>
      </c>
      <c r="M8" s="24" t="str">
        <f t="shared" ca="1" si="0"/>
        <v>Not Started</v>
      </c>
      <c r="N8" s="26"/>
      <c r="O8" s="297"/>
      <c r="P8" s="301"/>
      <c r="Q8" s="301"/>
      <c r="R8" s="301"/>
      <c r="S8" s="301"/>
      <c r="T8" s="301"/>
      <c r="U8" s="301"/>
      <c r="V8" s="302"/>
      <c r="W8" s="300" t="s">
        <v>194</v>
      </c>
      <c r="Z8" s="23" t="s">
        <v>64</v>
      </c>
      <c r="AA8" s="231" t="s">
        <v>68</v>
      </c>
      <c r="AC8" s="230">
        <v>46169</v>
      </c>
      <c r="AE8" s="276"/>
    </row>
    <row r="9" spans="1:31" ht="45" customHeight="1" thickBot="1">
      <c r="B9" s="462"/>
      <c r="C9" s="296" t="s">
        <v>86</v>
      </c>
      <c r="D9" s="26" t="s">
        <v>114</v>
      </c>
      <c r="E9" s="22">
        <f>NETWORKDAYS.INTL(F9,G9,"0000110",$AC$5:$AC$11)</f>
        <v>2</v>
      </c>
      <c r="F9" s="23">
        <f t="shared" ref="F9" si="5">WORKDAY.INTL(G8,1,"0000110")</f>
        <v>46233</v>
      </c>
      <c r="G9" s="23">
        <f t="shared" ref="G9" si="6">WORKDAY.INTL(F9,1,"0000110")</f>
        <v>46236</v>
      </c>
      <c r="H9" s="23">
        <f t="shared" si="3"/>
        <v>46233</v>
      </c>
      <c r="I9" s="23">
        <f t="shared" ref="I9" si="7">WORKDAY.INTL(H9,1,"0000110")</f>
        <v>46236</v>
      </c>
      <c r="J9" s="23"/>
      <c r="K9" s="23"/>
      <c r="L9" s="24">
        <v>0</v>
      </c>
      <c r="M9" s="24" t="str">
        <f t="shared" ca="1" si="0"/>
        <v>Not Started</v>
      </c>
      <c r="N9" s="26"/>
      <c r="O9" s="297"/>
      <c r="P9" s="301"/>
      <c r="Q9" s="301"/>
      <c r="R9" s="301"/>
      <c r="S9" s="301"/>
      <c r="T9" s="301"/>
      <c r="U9" s="301"/>
      <c r="V9" s="302"/>
      <c r="W9" s="300" t="s">
        <v>115</v>
      </c>
      <c r="Z9" s="23" t="s">
        <v>65</v>
      </c>
      <c r="AA9" s="231" t="s">
        <v>68</v>
      </c>
      <c r="AC9" s="230">
        <v>46170</v>
      </c>
      <c r="AE9" s="276"/>
    </row>
    <row r="10" spans="1:31" s="274" customFormat="1" ht="4.5" customHeight="1" thickBot="1">
      <c r="B10" s="292"/>
      <c r="C10" s="292"/>
      <c r="D10" s="292" t="s">
        <v>195</v>
      </c>
      <c r="E10" s="293"/>
      <c r="F10" s="292"/>
      <c r="G10" s="292"/>
      <c r="H10" s="292"/>
      <c r="I10" s="292"/>
      <c r="J10" s="292"/>
      <c r="K10" s="292"/>
      <c r="L10" s="294">
        <v>0</v>
      </c>
      <c r="M10" s="294"/>
      <c r="N10" s="292"/>
      <c r="O10" s="292"/>
      <c r="P10" s="292"/>
      <c r="Q10" s="292"/>
      <c r="R10" s="292"/>
      <c r="S10" s="292"/>
      <c r="T10" s="292"/>
      <c r="U10" s="292"/>
      <c r="V10" s="292"/>
      <c r="W10" s="295"/>
      <c r="Z10" s="275"/>
      <c r="AA10" s="275"/>
      <c r="AC10" s="274">
        <v>46288</v>
      </c>
      <c r="AE10" s="276"/>
    </row>
    <row r="11" spans="1:31" ht="45" customHeight="1">
      <c r="B11" s="459" t="s">
        <v>196</v>
      </c>
      <c r="C11" s="285" t="s">
        <v>86</v>
      </c>
      <c r="D11" s="27" t="s">
        <v>105</v>
      </c>
      <c r="E11" s="28">
        <f>NETWORKDAYS.INTL(F11,G11,"0000100",$AC$5:$AC$11)</f>
        <v>1</v>
      </c>
      <c r="F11" s="30">
        <v>46184</v>
      </c>
      <c r="G11" s="30">
        <f>WORKDAY.INTL(F11,0,"0000100",$AC$5:$AC$10)</f>
        <v>46184</v>
      </c>
      <c r="H11" s="29">
        <v>46184</v>
      </c>
      <c r="I11" s="30">
        <f>WORKDAY.INTL(H11,0,"0000100",$AC$5:$AC$10)</f>
        <v>46184</v>
      </c>
      <c r="J11" s="30"/>
      <c r="K11" s="30"/>
      <c r="L11" s="31">
        <v>1</v>
      </c>
      <c r="M11" s="31" t="str">
        <f t="shared" ref="M11:M14" ca="1" si="8">IF(L11=100%,"Completed",IF(AND(OR(L11="",L11=0),F11&gt;TODAY()),"Not Started",IF(AND(OR(L11="",L11=0),F11&lt;=TODAY()),"Delayed",IF(AND(L11&gt;0,L11&lt;100%,G11&lt;TODAY()),"Delayed",IF(AND(L11&gt;0,L11&lt;100%,G11&gt;=TODAY()),"In Progress","")))))</f>
        <v>Completed</v>
      </c>
      <c r="N11" s="27"/>
      <c r="O11" s="57"/>
      <c r="P11" s="286"/>
      <c r="Q11" s="286"/>
      <c r="R11" s="286"/>
      <c r="S11" s="286"/>
      <c r="T11" s="286"/>
      <c r="U11" s="286"/>
      <c r="V11" s="287"/>
      <c r="W11" s="288"/>
      <c r="Z11" s="23" t="s">
        <v>62</v>
      </c>
      <c r="AA11" s="231" t="s">
        <v>69</v>
      </c>
      <c r="AC11" s="230">
        <v>46288</v>
      </c>
      <c r="AE11" s="276"/>
    </row>
    <row r="12" spans="1:31" ht="45" customHeight="1">
      <c r="B12" s="460"/>
      <c r="C12" s="285" t="s">
        <v>86</v>
      </c>
      <c r="D12" s="32" t="s">
        <v>107</v>
      </c>
      <c r="E12" s="33">
        <f>NETWORKDAYS.INTL(F12,G12,"0000100",$AC$5:$AC$11)</f>
        <v>20</v>
      </c>
      <c r="F12" s="30">
        <f>WORKDAY.INTL(G11,1,"0000100",$AC$5:$AC$10)</f>
        <v>46186</v>
      </c>
      <c r="G12" s="30">
        <f>WORKDAY.INTL(F12,19,"0000100",$AC$5:$AC$10)</f>
        <v>46208</v>
      </c>
      <c r="H12" s="29">
        <f>WORKDAY.INTL(I11,1,"0000100",$AC$5:$AC$10)</f>
        <v>46186</v>
      </c>
      <c r="I12" s="30">
        <f>WORKDAY.INTL(H12,19,"0000100",$AC$5:$AC$10)</f>
        <v>46208</v>
      </c>
      <c r="J12" s="30"/>
      <c r="K12" s="30"/>
      <c r="L12" s="31">
        <v>0.5</v>
      </c>
      <c r="M12" s="31" t="str">
        <f t="shared" ca="1" si="8"/>
        <v>In Progress</v>
      </c>
      <c r="N12" s="32"/>
      <c r="O12" s="57"/>
      <c r="P12" s="289"/>
      <c r="Q12" s="289"/>
      <c r="R12" s="289"/>
      <c r="S12" s="289"/>
      <c r="T12" s="289"/>
      <c r="U12" s="289"/>
      <c r="V12" s="290"/>
      <c r="W12" s="288" t="s">
        <v>108</v>
      </c>
      <c r="Z12" s="23" t="s">
        <v>63</v>
      </c>
      <c r="AA12" s="231" t="s">
        <v>69</v>
      </c>
    </row>
    <row r="13" spans="1:31" ht="45" customHeight="1">
      <c r="B13" s="460"/>
      <c r="C13" s="285" t="s">
        <v>86</v>
      </c>
      <c r="D13" s="34" t="s">
        <v>111</v>
      </c>
      <c r="E13" s="33">
        <f>NETWORKDAYS.INTL(F13,G13,"0000110",$AC$5:$AC$11)</f>
        <v>2</v>
      </c>
      <c r="F13" s="29">
        <f>MAX(WORKDAY.INTL(G12,1,"0000100",$AF$5:$AF$10),WORKDAY.INTL(G8,1,"0000100",$AF$5:$AF$10))</f>
        <v>46233</v>
      </c>
      <c r="G13" s="29">
        <f t="shared" ref="G13" si="9">WORKDAY.INTL(F13,1,"0000110")</f>
        <v>46236</v>
      </c>
      <c r="H13" s="29">
        <f>MAX(WORKDAY.INTL(I12,1,"0000100",$AF$5:$AF$10),WORKDAY.INTL(I8,1,"0000100",$AF$5:$AF$10))</f>
        <v>46233</v>
      </c>
      <c r="I13" s="29">
        <f t="shared" ref="I13:I14" si="10">WORKDAY.INTL(H13,1,"0000110")</f>
        <v>46236</v>
      </c>
      <c r="J13" s="29"/>
      <c r="K13" s="29"/>
      <c r="L13" s="35">
        <v>0</v>
      </c>
      <c r="M13" s="35" t="str">
        <f t="shared" ca="1" si="8"/>
        <v>Not Started</v>
      </c>
      <c r="N13" s="34"/>
      <c r="O13" s="57"/>
      <c r="P13" s="58"/>
      <c r="Q13" s="58"/>
      <c r="R13" s="58"/>
      <c r="S13" s="58"/>
      <c r="T13" s="58"/>
      <c r="U13" s="58"/>
      <c r="V13" s="59"/>
      <c r="W13" s="291"/>
      <c r="Z13" s="23" t="s">
        <v>64</v>
      </c>
      <c r="AA13" s="231" t="s">
        <v>69</v>
      </c>
    </row>
    <row r="14" spans="1:31" ht="45" customHeight="1" thickBot="1">
      <c r="B14" s="460"/>
      <c r="C14" s="285" t="s">
        <v>86</v>
      </c>
      <c r="D14" s="34" t="s">
        <v>114</v>
      </c>
      <c r="E14" s="33">
        <f>NETWORKDAYS.INTL(F14,G14,"0000110",$AC$5:$AC$11)</f>
        <v>2</v>
      </c>
      <c r="F14" s="29">
        <f t="shared" ref="F14" si="11">WORKDAY.INTL(G13,1,"0000110")</f>
        <v>46237</v>
      </c>
      <c r="G14" s="29">
        <f t="shared" ref="G14" si="12">WORKDAY.INTL(F14,1,"0000110")</f>
        <v>46238</v>
      </c>
      <c r="H14" s="29">
        <f t="shared" ref="H14" si="13">WORKDAY.INTL(I13,1,"0000110")</f>
        <v>46237</v>
      </c>
      <c r="I14" s="29">
        <f t="shared" si="10"/>
        <v>46238</v>
      </c>
      <c r="J14" s="29"/>
      <c r="K14" s="29"/>
      <c r="L14" s="35">
        <v>0</v>
      </c>
      <c r="M14" s="35" t="str">
        <f t="shared" ca="1" si="8"/>
        <v>Not Started</v>
      </c>
      <c r="N14" s="34"/>
      <c r="O14" s="57"/>
      <c r="P14" s="58"/>
      <c r="Q14" s="58"/>
      <c r="R14" s="58"/>
      <c r="S14" s="58"/>
      <c r="T14" s="58"/>
      <c r="U14" s="58"/>
      <c r="V14" s="59"/>
      <c r="W14" s="291"/>
      <c r="Z14" s="23" t="s">
        <v>65</v>
      </c>
      <c r="AA14" s="231" t="s">
        <v>69</v>
      </c>
    </row>
    <row r="15" spans="1:31" s="274" customFormat="1" ht="4.5" customHeight="1" thickBot="1">
      <c r="B15" s="292"/>
      <c r="C15" s="292"/>
      <c r="D15" s="292" t="s">
        <v>195</v>
      </c>
      <c r="E15" s="293"/>
      <c r="F15" s="292"/>
      <c r="G15" s="292"/>
      <c r="H15" s="292"/>
      <c r="I15" s="292"/>
      <c r="J15" s="292"/>
      <c r="K15" s="292"/>
      <c r="L15" s="294">
        <v>0</v>
      </c>
      <c r="M15" s="294"/>
      <c r="N15" s="292"/>
      <c r="O15" s="292"/>
      <c r="P15" s="292"/>
      <c r="Q15" s="292"/>
      <c r="R15" s="292"/>
      <c r="S15" s="292"/>
      <c r="T15" s="292"/>
      <c r="U15" s="292"/>
      <c r="V15" s="292"/>
      <c r="W15" s="295"/>
      <c r="Z15" s="275"/>
      <c r="AA15" s="275"/>
    </row>
    <row r="16" spans="1:31" ht="45" customHeight="1">
      <c r="B16" s="461" t="s">
        <v>118</v>
      </c>
      <c r="C16" s="296" t="s">
        <v>86</v>
      </c>
      <c r="D16" s="21" t="s">
        <v>105</v>
      </c>
      <c r="E16" s="22">
        <f>NETWORKDAYS.INTL(F16,G16,"0000100",$AC$5:$AC$11)</f>
        <v>16</v>
      </c>
      <c r="F16" s="23">
        <f>WORKDAY.INTL(G11,5,"0000100",$AC$5:$AC$10)</f>
        <v>46190</v>
      </c>
      <c r="G16" s="23">
        <f>WORKDAY.INTL(F16,15,"0000100",$AC$5:$AC$10)</f>
        <v>46208</v>
      </c>
      <c r="H16" s="23">
        <f>WORKDAY.INTL(I11,5,"0000100",$AC$5:$AC$10)</f>
        <v>46190</v>
      </c>
      <c r="I16" s="23">
        <f>WORKDAY.INTL(H16,15,"0000100",$AC$5:$AC$10)</f>
        <v>46208</v>
      </c>
      <c r="J16" s="23"/>
      <c r="K16" s="23"/>
      <c r="L16" s="24">
        <v>0.9</v>
      </c>
      <c r="M16" s="24" t="str">
        <f t="shared" ref="M16:M19" ca="1" si="14">IF(L16=100%,"Completed",IF(AND(OR(L16="",L16=0),F16&gt;TODAY()),"Not Started",IF(AND(OR(L16="",L16=0),F16&lt;=TODAY()),"Delayed",IF(AND(L16&gt;0,L16&lt;100%,G16&lt;TODAY()),"Delayed",IF(AND(L16&gt;0,L16&lt;100%,G16&gt;=TODAY()),"In Progress","")))))</f>
        <v>In Progress</v>
      </c>
      <c r="N16" s="21"/>
      <c r="O16" s="297"/>
      <c r="P16" s="298"/>
      <c r="Q16" s="298"/>
      <c r="R16" s="298"/>
      <c r="S16" s="298"/>
      <c r="T16" s="298"/>
      <c r="U16" s="298"/>
      <c r="V16" s="299"/>
      <c r="W16" s="300"/>
      <c r="Z16" s="23" t="s">
        <v>62</v>
      </c>
      <c r="AA16" s="231" t="s">
        <v>70</v>
      </c>
    </row>
    <row r="17" spans="2:31" ht="45" customHeight="1">
      <c r="B17" s="462"/>
      <c r="C17" s="296" t="s">
        <v>86</v>
      </c>
      <c r="D17" s="21" t="s">
        <v>107</v>
      </c>
      <c r="E17" s="22">
        <f>NETWORKDAYS.INTL(F17,G17,"0000100",$AC$5:$AC$11)</f>
        <v>3</v>
      </c>
      <c r="F17" s="23">
        <f>WORKDAY.INTL(G16,1,"0000100",$AC$5:$AC$10)</f>
        <v>46209</v>
      </c>
      <c r="G17" s="23">
        <f>WORKDAY.INTL(F17,2,"0000100",$AC$5:$AC$10)</f>
        <v>46211</v>
      </c>
      <c r="H17" s="23">
        <f>WORKDAY.INTL(I16,1,"0000100",$AC$5:$AC$10)</f>
        <v>46209</v>
      </c>
      <c r="I17" s="23">
        <f>WORKDAY.INTL(H17,2,"0000100",$AC$5:$AC$10)</f>
        <v>46211</v>
      </c>
      <c r="J17" s="23"/>
      <c r="K17" s="23"/>
      <c r="L17" s="24">
        <v>0</v>
      </c>
      <c r="M17" s="24" t="str">
        <f t="shared" ca="1" si="14"/>
        <v>Not Started</v>
      </c>
      <c r="N17" s="21"/>
      <c r="O17" s="297"/>
      <c r="P17" s="298"/>
      <c r="Q17" s="298"/>
      <c r="R17" s="298"/>
      <c r="S17" s="298"/>
      <c r="T17" s="298"/>
      <c r="U17" s="298"/>
      <c r="V17" s="299"/>
      <c r="W17" s="300"/>
      <c r="Z17" s="23" t="s">
        <v>63</v>
      </c>
      <c r="AA17" s="231" t="s">
        <v>70</v>
      </c>
    </row>
    <row r="18" spans="2:31" ht="45" customHeight="1">
      <c r="B18" s="462"/>
      <c r="C18" s="296" t="s">
        <v>86</v>
      </c>
      <c r="D18" s="21" t="s">
        <v>111</v>
      </c>
      <c r="E18" s="22">
        <f>NETWORKDAYS.INTL(F18,G18,"0000110",$AC$5:$AC$11)</f>
        <v>5</v>
      </c>
      <c r="F18" s="23">
        <f>MAX(WORKDAY.INTL(G17,1,"0000100",$AF$5:$AF$10),WORKDAY.INTL(G13,1,"0000100",$AF$5:$AF$10))</f>
        <v>46237</v>
      </c>
      <c r="G18" s="23">
        <f t="shared" ref="G18" si="15">WORKDAY.INTL(F18,4,"0000110")</f>
        <v>46243</v>
      </c>
      <c r="H18" s="23">
        <f>MAX(WORKDAY.INTL(I17,1,"0000100",$AF$5:$AF$10),WORKDAY.INTL(I13,1,"0000100",$AF$5:$AF$10))</f>
        <v>46237</v>
      </c>
      <c r="I18" s="23">
        <f t="shared" ref="I18" si="16">WORKDAY.INTL(H18,4,"0000110")</f>
        <v>46243</v>
      </c>
      <c r="J18" s="23"/>
      <c r="K18" s="23"/>
      <c r="L18" s="24">
        <v>0</v>
      </c>
      <c r="M18" s="24" t="str">
        <f t="shared" ca="1" si="14"/>
        <v>Not Started</v>
      </c>
      <c r="N18" s="21"/>
      <c r="O18" s="297"/>
      <c r="P18" s="298"/>
      <c r="Q18" s="298"/>
      <c r="R18" s="298"/>
      <c r="S18" s="298"/>
      <c r="T18" s="298"/>
      <c r="U18" s="298"/>
      <c r="V18" s="299"/>
      <c r="W18" s="300"/>
      <c r="Z18" s="23" t="s">
        <v>64</v>
      </c>
      <c r="AA18" s="231" t="s">
        <v>70</v>
      </c>
    </row>
    <row r="19" spans="2:31" ht="45" customHeight="1" thickBot="1">
      <c r="B19" s="462"/>
      <c r="C19" s="296" t="s">
        <v>86</v>
      </c>
      <c r="D19" s="26" t="s">
        <v>114</v>
      </c>
      <c r="E19" s="22">
        <f>NETWORKDAYS.INTL(F19,G19,"0000110",$AC$5:$AC$11)</f>
        <v>2</v>
      </c>
      <c r="F19" s="23">
        <f t="shared" ref="F19" si="17">WORKDAY.INTL(G18,1,"0000110")</f>
        <v>46244</v>
      </c>
      <c r="G19" s="23">
        <f t="shared" ref="G19" si="18">WORKDAY.INTL(F19,1,"0000110")</f>
        <v>46245</v>
      </c>
      <c r="H19" s="23">
        <f t="shared" ref="H19" si="19">WORKDAY.INTL(I18,1,"0000110")</f>
        <v>46244</v>
      </c>
      <c r="I19" s="23">
        <f t="shared" ref="I19" si="20">WORKDAY.INTL(H19,1,"0000110")</f>
        <v>46245</v>
      </c>
      <c r="J19" s="23"/>
      <c r="K19" s="23"/>
      <c r="L19" s="24">
        <v>0</v>
      </c>
      <c r="M19" s="24" t="str">
        <f t="shared" ca="1" si="14"/>
        <v>Not Started</v>
      </c>
      <c r="N19" s="26"/>
      <c r="O19" s="297"/>
      <c r="P19" s="301"/>
      <c r="Q19" s="301"/>
      <c r="R19" s="301"/>
      <c r="S19" s="301"/>
      <c r="T19" s="301"/>
      <c r="U19" s="301"/>
      <c r="V19" s="302"/>
      <c r="W19" s="300"/>
      <c r="Z19" s="23" t="s">
        <v>65</v>
      </c>
      <c r="AA19" s="231" t="s">
        <v>70</v>
      </c>
    </row>
    <row r="20" spans="2:31" s="274" customFormat="1" ht="4.5" customHeight="1" thickBot="1">
      <c r="B20" s="292"/>
      <c r="C20" s="292"/>
      <c r="D20" s="292" t="s">
        <v>195</v>
      </c>
      <c r="E20" s="293"/>
      <c r="F20" s="292"/>
      <c r="G20" s="292"/>
      <c r="H20" s="292"/>
      <c r="I20" s="292"/>
      <c r="J20" s="292"/>
      <c r="K20" s="292"/>
      <c r="L20" s="294">
        <v>0</v>
      </c>
      <c r="M20" s="294"/>
      <c r="N20" s="292"/>
      <c r="O20" s="292"/>
      <c r="P20" s="292"/>
      <c r="Q20" s="292"/>
      <c r="R20" s="292"/>
      <c r="S20" s="292"/>
      <c r="T20" s="292"/>
      <c r="U20" s="292"/>
      <c r="V20" s="292"/>
      <c r="W20" s="295"/>
      <c r="Z20" s="275"/>
      <c r="AA20" s="275"/>
    </row>
    <row r="21" spans="2:31" ht="45" customHeight="1">
      <c r="B21" s="459" t="s">
        <v>171</v>
      </c>
      <c r="C21" s="285" t="s">
        <v>86</v>
      </c>
      <c r="D21" s="27" t="s">
        <v>105</v>
      </c>
      <c r="E21" s="28">
        <f>NETWORKDAYS.INTL(F21,G21,"0000100",$AC$5:$AC$11)</f>
        <v>7</v>
      </c>
      <c r="F21" s="29">
        <f>WORKDAY.INTL(G17,1,"0000100",$AC$5:$AC$10)</f>
        <v>46212</v>
      </c>
      <c r="G21" s="30">
        <f>WORKDAY.INTL(F21,6,"0000100",$AC$5:$AC$10)</f>
        <v>46219</v>
      </c>
      <c r="H21" s="29">
        <f>WORKDAY.INTL(I17,1,"0000100",$AC$5:$AC$10)</f>
        <v>46212</v>
      </c>
      <c r="I21" s="30">
        <f>WORKDAY.INTL(H21,6,"0000100",$AC$5:$AC$10)</f>
        <v>46219</v>
      </c>
      <c r="J21" s="30"/>
      <c r="K21" s="30"/>
      <c r="L21" s="31">
        <v>0</v>
      </c>
      <c r="M21" s="35" t="str">
        <f t="shared" ref="M21:M24" ca="1" si="21">IF(L21=100%,"Completed",IF(AND(OR(L21="",L21=0),F21&gt;TODAY()),"Not Started",IF(AND(OR(L21="",L21=0),F21&lt;=TODAY()),"Delayed",IF(AND(L21&gt;0,L21&lt;100%,G21&lt;TODAY()),"Delayed",IF(AND(L21&gt;0,L21&lt;100%,G21&gt;=TODAY()),"In Progress","")))))</f>
        <v>Not Started</v>
      </c>
      <c r="N21" s="27"/>
      <c r="O21" s="57"/>
      <c r="P21" s="286"/>
      <c r="Q21" s="286"/>
      <c r="R21" s="286"/>
      <c r="S21" s="286"/>
      <c r="T21" s="286"/>
      <c r="U21" s="286"/>
      <c r="V21" s="287"/>
      <c r="W21" s="288"/>
      <c r="Z21" s="23" t="s">
        <v>62</v>
      </c>
      <c r="AA21" s="231" t="s">
        <v>71</v>
      </c>
      <c r="AE21" s="276"/>
    </row>
    <row r="22" spans="2:31" ht="45" customHeight="1">
      <c r="B22" s="460"/>
      <c r="C22" s="285" t="s">
        <v>86</v>
      </c>
      <c r="D22" s="32" t="s">
        <v>107</v>
      </c>
      <c r="E22" s="33">
        <f>NETWORKDAYS.INTL(F22,G22,"0000100",$AC$5:$AC$11)</f>
        <v>3</v>
      </c>
      <c r="F22" s="29">
        <f>WORKDAY.INTL(G21,1,"0000100",$AC$5:$AC$10)</f>
        <v>46221</v>
      </c>
      <c r="G22" s="30">
        <f>WORKDAY.INTL(F22,2,"0000100",$AC$5:$AC$10)</f>
        <v>46223</v>
      </c>
      <c r="H22" s="29">
        <f>WORKDAY.INTL(I21,1,"0000100",$AC$5:$AC$10)</f>
        <v>46221</v>
      </c>
      <c r="I22" s="30">
        <f>WORKDAY.INTL(H22,2,"0000100",$AC$5:$AC$10)</f>
        <v>46223</v>
      </c>
      <c r="J22" s="30"/>
      <c r="K22" s="30"/>
      <c r="L22" s="31">
        <v>0</v>
      </c>
      <c r="M22" s="35" t="str">
        <f t="shared" ca="1" si="21"/>
        <v>Not Started</v>
      </c>
      <c r="N22" s="32"/>
      <c r="O22" s="57"/>
      <c r="P22" s="289"/>
      <c r="Q22" s="289"/>
      <c r="R22" s="289"/>
      <c r="S22" s="289"/>
      <c r="T22" s="289"/>
      <c r="U22" s="289"/>
      <c r="V22" s="290"/>
      <c r="W22" s="291"/>
      <c r="Z22" s="23" t="s">
        <v>63</v>
      </c>
      <c r="AA22" s="231" t="s">
        <v>71</v>
      </c>
    </row>
    <row r="23" spans="2:31" ht="45" customHeight="1">
      <c r="B23" s="460"/>
      <c r="C23" s="285" t="s">
        <v>86</v>
      </c>
      <c r="D23" s="34" t="s">
        <v>111</v>
      </c>
      <c r="E23" s="33">
        <f>NETWORKDAYS.INTL(F23,G23,"0000110",$AC$5:$AC$11)</f>
        <v>5</v>
      </c>
      <c r="F23" s="29">
        <f>MAX(WORKDAY.INTL(G22,1,"0000100",$AF$5:$AF$10),WORKDAY.INTL(G18,1,"0000100",$AF$5:$AF$10))</f>
        <v>46244</v>
      </c>
      <c r="G23" s="29">
        <f>WORKDAY.INTL(F23,4,"0000110")</f>
        <v>46250</v>
      </c>
      <c r="H23" s="29">
        <f>MAX(WORKDAY.INTL(I22,1,"0000100",$AF$5:$AF$10),WORKDAY.INTL(I18,1,"0000100",$AF$5:$AF$10))</f>
        <v>46244</v>
      </c>
      <c r="I23" s="29">
        <f>WORKDAY.INTL(H23,4,"0000110")</f>
        <v>46250</v>
      </c>
      <c r="J23" s="29"/>
      <c r="K23" s="29"/>
      <c r="L23" s="35">
        <v>0</v>
      </c>
      <c r="M23" s="35" t="str">
        <f t="shared" ca="1" si="21"/>
        <v>Not Started</v>
      </c>
      <c r="N23" s="34"/>
      <c r="O23" s="57"/>
      <c r="P23" s="58"/>
      <c r="Q23" s="58"/>
      <c r="R23" s="58"/>
      <c r="S23" s="58"/>
      <c r="T23" s="58"/>
      <c r="U23" s="58"/>
      <c r="V23" s="59"/>
      <c r="W23" s="291"/>
      <c r="Z23" s="23" t="s">
        <v>64</v>
      </c>
      <c r="AA23" s="231" t="s">
        <v>71</v>
      </c>
    </row>
    <row r="24" spans="2:31" ht="45" customHeight="1" thickBot="1">
      <c r="B24" s="460"/>
      <c r="C24" s="285" t="s">
        <v>86</v>
      </c>
      <c r="D24" s="34" t="s">
        <v>114</v>
      </c>
      <c r="E24" s="33">
        <f>NETWORKDAYS.INTL(F24,G24,"0000110",$AC$5:$AC$11)</f>
        <v>2</v>
      </c>
      <c r="F24" s="29">
        <f t="shared" ref="F24" si="22">WORKDAY.INTL(G23,1,"0000110")</f>
        <v>46251</v>
      </c>
      <c r="G24" s="29">
        <f t="shared" ref="G24" si="23">WORKDAY.INTL(F24,1,"0000110")</f>
        <v>46252</v>
      </c>
      <c r="H24" s="29">
        <f t="shared" ref="H24" si="24">WORKDAY.INTL(I23,1,"0000110")</f>
        <v>46251</v>
      </c>
      <c r="I24" s="29">
        <f t="shared" ref="I24" si="25">WORKDAY.INTL(H24,1,"0000110")</f>
        <v>46252</v>
      </c>
      <c r="J24" s="29"/>
      <c r="K24" s="29"/>
      <c r="L24" s="35">
        <v>0</v>
      </c>
      <c r="M24" s="35" t="str">
        <f t="shared" ca="1" si="21"/>
        <v>Not Started</v>
      </c>
      <c r="N24" s="34"/>
      <c r="O24" s="57"/>
      <c r="P24" s="58"/>
      <c r="Q24" s="58"/>
      <c r="R24" s="58"/>
      <c r="S24" s="58"/>
      <c r="T24" s="58"/>
      <c r="U24" s="58"/>
      <c r="V24" s="59"/>
      <c r="W24" s="291"/>
      <c r="Z24" s="23" t="s">
        <v>65</v>
      </c>
      <c r="AA24" s="231" t="s">
        <v>71</v>
      </c>
    </row>
    <row r="25" spans="2:31" s="274" customFormat="1" ht="4.5" customHeight="1" thickBot="1">
      <c r="B25" s="292"/>
      <c r="C25" s="292"/>
      <c r="D25" s="292" t="s">
        <v>195</v>
      </c>
      <c r="E25" s="293"/>
      <c r="F25" s="292"/>
      <c r="G25" s="292"/>
      <c r="H25" s="292"/>
      <c r="I25" s="292"/>
      <c r="J25" s="292"/>
      <c r="K25" s="292"/>
      <c r="L25" s="294">
        <v>0</v>
      </c>
      <c r="M25" s="294"/>
      <c r="N25" s="292"/>
      <c r="O25" s="292"/>
      <c r="P25" s="292"/>
      <c r="Q25" s="292"/>
      <c r="R25" s="292"/>
      <c r="S25" s="292"/>
      <c r="T25" s="292"/>
      <c r="U25" s="292"/>
      <c r="V25" s="292"/>
      <c r="W25" s="295"/>
      <c r="Z25" s="275"/>
      <c r="AA25" s="275"/>
    </row>
    <row r="26" spans="2:31" ht="45" customHeight="1">
      <c r="B26" s="461" t="s">
        <v>197</v>
      </c>
      <c r="C26" s="296" t="s">
        <v>86</v>
      </c>
      <c r="D26" s="21" t="s">
        <v>105</v>
      </c>
      <c r="E26" s="22">
        <f>NETWORKDAYS.INTL(F26,G26,"0000100",$AC$5:$AC$11)</f>
        <v>7</v>
      </c>
      <c r="F26" s="23">
        <f>WORKDAY.INTL(G22,1,"0000100",$AC$5:$AC$10)</f>
        <v>46224</v>
      </c>
      <c r="G26" s="23">
        <f>WORKDAY.INTL(F26,6,"0000100",$AC$5:$AC$10)</f>
        <v>46231</v>
      </c>
      <c r="H26" s="23">
        <f>WORKDAY.INTL(I22,1,"0000100",$AC$5:$AC$10)</f>
        <v>46224</v>
      </c>
      <c r="I26" s="23">
        <f>WORKDAY.INTL(H26,6,"0000100",$AC$5:$AC$10)</f>
        <v>46231</v>
      </c>
      <c r="J26" s="23"/>
      <c r="K26" s="23"/>
      <c r="L26" s="24">
        <v>0</v>
      </c>
      <c r="M26" s="24" t="str">
        <f t="shared" ref="M26:M29" ca="1" si="26">IF(L26=100%,"Completed",IF(AND(OR(L26="",L26=0),F26&gt;TODAY()),"Not Started",IF(AND(OR(L26="",L26=0),F26&lt;=TODAY()),"Delayed",IF(AND(L26&gt;0,L26&lt;100%,G26&lt;TODAY()),"Delayed",IF(AND(L26&gt;0,L26&lt;100%,G26&gt;=TODAY()),"In Progress","")))))</f>
        <v>Not Started</v>
      </c>
      <c r="N26" s="21"/>
      <c r="O26" s="297"/>
      <c r="P26" s="298"/>
      <c r="Q26" s="298"/>
      <c r="R26" s="298"/>
      <c r="S26" s="298"/>
      <c r="T26" s="298"/>
      <c r="U26" s="298"/>
      <c r="V26" s="299"/>
      <c r="W26" s="300"/>
      <c r="Z26" s="23" t="s">
        <v>62</v>
      </c>
      <c r="AA26" s="231" t="s">
        <v>72</v>
      </c>
    </row>
    <row r="27" spans="2:31" ht="45" customHeight="1">
      <c r="B27" s="462"/>
      <c r="C27" s="296" t="s">
        <v>86</v>
      </c>
      <c r="D27" s="21" t="s">
        <v>107</v>
      </c>
      <c r="E27" s="22">
        <f>NETWORKDAYS.INTL(F27,G27,"0000100",$AC$5:$AC$11)</f>
        <v>3</v>
      </c>
      <c r="F27" s="23">
        <f>WORKDAY.INTL(G26,1,"0000100",$AC$5:$AC$10)</f>
        <v>46232</v>
      </c>
      <c r="G27" s="23">
        <f>WORKDAY.INTL(F27,2,"0000100",$AC$5:$AC$10)</f>
        <v>46235</v>
      </c>
      <c r="H27" s="23">
        <f>WORKDAY.INTL(I26,1,"0000100",$AC$5:$AC$10)</f>
        <v>46232</v>
      </c>
      <c r="I27" s="23">
        <f>WORKDAY.INTL(H27,2,"0000100",$AC$5:$AC$10)</f>
        <v>46235</v>
      </c>
      <c r="J27" s="23"/>
      <c r="K27" s="23"/>
      <c r="L27" s="24">
        <v>0</v>
      </c>
      <c r="M27" s="24" t="str">
        <f t="shared" ca="1" si="26"/>
        <v>Not Started</v>
      </c>
      <c r="N27" s="21"/>
      <c r="O27" s="297"/>
      <c r="P27" s="298"/>
      <c r="Q27" s="298"/>
      <c r="R27" s="298"/>
      <c r="S27" s="298"/>
      <c r="T27" s="298"/>
      <c r="U27" s="298"/>
      <c r="V27" s="299"/>
      <c r="W27" s="300"/>
      <c r="Z27" s="23" t="s">
        <v>63</v>
      </c>
      <c r="AA27" s="231" t="s">
        <v>72</v>
      </c>
    </row>
    <row r="28" spans="2:31" ht="45" customHeight="1">
      <c r="B28" s="462"/>
      <c r="C28" s="296" t="s">
        <v>86</v>
      </c>
      <c r="D28" s="21" t="s">
        <v>111</v>
      </c>
      <c r="E28" s="22">
        <f>NETWORKDAYS.INTL(F28,G28,"0000110",$AC$5:$AC$11)</f>
        <v>4</v>
      </c>
      <c r="F28" s="23">
        <f>MAX(WORKDAY.INTL(G27,1,"0000100",$AF$5:$AF$10),WORKDAY.INTL(G23,1,"0000100",$AF$5:$AF$10))</f>
        <v>46251</v>
      </c>
      <c r="G28" s="23">
        <f t="shared" ref="G28" si="27">WORKDAY.INTL(F28,3,"0000110")</f>
        <v>46254</v>
      </c>
      <c r="H28" s="23">
        <f>MAX(WORKDAY.INTL(I27,1,"0000100",$AF$5:$AF$10),WORKDAY.INTL(I23,1,"0000100",$AF$5:$AF$10))</f>
        <v>46251</v>
      </c>
      <c r="I28" s="23">
        <f t="shared" ref="I28" si="28">WORKDAY.INTL(H28,3,"0000110")</f>
        <v>46254</v>
      </c>
      <c r="J28" s="23"/>
      <c r="K28" s="23"/>
      <c r="L28" s="24">
        <v>0</v>
      </c>
      <c r="M28" s="24" t="str">
        <f t="shared" ca="1" si="26"/>
        <v>Not Started</v>
      </c>
      <c r="N28" s="21"/>
      <c r="O28" s="297"/>
      <c r="P28" s="298"/>
      <c r="Q28" s="298"/>
      <c r="R28" s="298"/>
      <c r="S28" s="298"/>
      <c r="T28" s="298"/>
      <c r="U28" s="298"/>
      <c r="V28" s="299"/>
      <c r="W28" s="300"/>
      <c r="Z28" s="23" t="s">
        <v>64</v>
      </c>
      <c r="AA28" s="231" t="s">
        <v>72</v>
      </c>
    </row>
    <row r="29" spans="2:31" ht="45" customHeight="1" thickBot="1">
      <c r="B29" s="462"/>
      <c r="C29" s="296" t="s">
        <v>86</v>
      </c>
      <c r="D29" s="26" t="s">
        <v>114</v>
      </c>
      <c r="E29" s="22">
        <f>NETWORKDAYS.INTL(F29,G29,"0000110",$AC$5:$AC$11)</f>
        <v>2</v>
      </c>
      <c r="F29" s="23">
        <f t="shared" ref="F29" si="29">WORKDAY.INTL(G28,1,"0000110")</f>
        <v>46257</v>
      </c>
      <c r="G29" s="23">
        <f t="shared" ref="G29" si="30">WORKDAY.INTL(F29,1,"0000110")</f>
        <v>46258</v>
      </c>
      <c r="H29" s="23">
        <f t="shared" ref="H29" si="31">WORKDAY.INTL(I28,1,"0000110")</f>
        <v>46257</v>
      </c>
      <c r="I29" s="23">
        <f t="shared" ref="I29" si="32">WORKDAY.INTL(H29,1,"0000110")</f>
        <v>46258</v>
      </c>
      <c r="J29" s="23"/>
      <c r="K29" s="23"/>
      <c r="L29" s="24">
        <v>0</v>
      </c>
      <c r="M29" s="24" t="str">
        <f t="shared" ca="1" si="26"/>
        <v>Not Started</v>
      </c>
      <c r="N29" s="26"/>
      <c r="O29" s="297"/>
      <c r="P29" s="301"/>
      <c r="Q29" s="301"/>
      <c r="R29" s="301"/>
      <c r="S29" s="301"/>
      <c r="T29" s="301"/>
      <c r="U29" s="301"/>
      <c r="V29" s="302"/>
      <c r="W29" s="300"/>
      <c r="Z29" s="23" t="s">
        <v>65</v>
      </c>
      <c r="AA29" s="231" t="s">
        <v>72</v>
      </c>
    </row>
    <row r="30" spans="2:31" s="274" customFormat="1" ht="4.5" customHeight="1" thickBot="1">
      <c r="B30" s="292"/>
      <c r="C30" s="292"/>
      <c r="D30" s="292" t="s">
        <v>195</v>
      </c>
      <c r="E30" s="293"/>
      <c r="F30" s="292"/>
      <c r="G30" s="292"/>
      <c r="H30" s="292"/>
      <c r="I30" s="292"/>
      <c r="J30" s="292"/>
      <c r="K30" s="292"/>
      <c r="L30" s="294">
        <v>0</v>
      </c>
      <c r="M30" s="294"/>
      <c r="N30" s="292"/>
      <c r="O30" s="292"/>
      <c r="P30" s="292"/>
      <c r="Q30" s="292"/>
      <c r="R30" s="292"/>
      <c r="S30" s="292"/>
      <c r="T30" s="292"/>
      <c r="U30" s="292"/>
      <c r="V30" s="292"/>
      <c r="W30" s="295"/>
      <c r="Z30" s="275"/>
      <c r="AA30" s="275"/>
    </row>
    <row r="31" spans="2:31" ht="45" customHeight="1">
      <c r="B31" s="459" t="s">
        <v>198</v>
      </c>
      <c r="C31" s="285" t="s">
        <v>86</v>
      </c>
      <c r="D31" s="27" t="s">
        <v>105</v>
      </c>
      <c r="E31" s="28">
        <f>NETWORKDAYS.INTL(F31,G31,"0000100",$AC$5:$AC$11)</f>
        <v>7</v>
      </c>
      <c r="F31" s="29">
        <f>WORKDAY.INTL(G27,1,"0000100",$AC$5:$AC$10)</f>
        <v>46236</v>
      </c>
      <c r="G31" s="29">
        <f>WORKDAY.INTL(F31,6,"0000100",$AC$5:$AC$10)</f>
        <v>46243</v>
      </c>
      <c r="H31" s="29">
        <f>WORKDAY.INTL(I27,1,"0000100",$AC$5:$AC$10)</f>
        <v>46236</v>
      </c>
      <c r="I31" s="30">
        <f>WORKDAY.INTL(H31,6,"0000100",$AC$5:$AC$10)</f>
        <v>46243</v>
      </c>
      <c r="J31" s="30"/>
      <c r="K31" s="30"/>
      <c r="L31" s="31">
        <v>0</v>
      </c>
      <c r="M31" s="35" t="str">
        <f t="shared" ref="M31:M34" ca="1" si="33">IF(L31=100%,"Completed",IF(AND(OR(L31="",L31=0),F31&gt;TODAY()),"Not Started",IF(AND(OR(L31="",L31=0),F31&lt;=TODAY()),"Delayed",IF(AND(L31&gt;0,L31&lt;100%,G31&lt;TODAY()),"Delayed",IF(AND(L31&gt;0,L31&lt;100%,G31&gt;=TODAY()),"In Progress","")))))</f>
        <v>Not Started</v>
      </c>
      <c r="N31" s="27"/>
      <c r="O31" s="57"/>
      <c r="P31" s="286"/>
      <c r="Q31" s="286"/>
      <c r="R31" s="286"/>
      <c r="S31" s="286"/>
      <c r="T31" s="286"/>
      <c r="U31" s="286"/>
      <c r="V31" s="287"/>
      <c r="W31" s="288"/>
      <c r="Z31" s="23" t="s">
        <v>62</v>
      </c>
      <c r="AA31" s="231" t="s">
        <v>73</v>
      </c>
      <c r="AE31" s="276"/>
    </row>
    <row r="32" spans="2:31" ht="45" customHeight="1">
      <c r="B32" s="460"/>
      <c r="C32" s="285" t="s">
        <v>86</v>
      </c>
      <c r="D32" s="32" t="s">
        <v>107</v>
      </c>
      <c r="E32" s="33">
        <f>NETWORKDAYS.INTL(F32,G32,"0000100",$AC$5:$AC$11)</f>
        <v>3</v>
      </c>
      <c r="F32" s="29">
        <f>WORKDAY.INTL(G31,1,"0000100",$AC$5:$AC$10)</f>
        <v>46244</v>
      </c>
      <c r="G32" s="29">
        <f>WORKDAY.INTL(F32,2,"0000100",$AC$5:$AC$10)</f>
        <v>46246</v>
      </c>
      <c r="H32" s="29">
        <f>WORKDAY.INTL(I31,1,"0000100",$AC$5:$AC$10)</f>
        <v>46244</v>
      </c>
      <c r="I32" s="30">
        <f>WORKDAY.INTL(H32,2,"0000100",$AC$5:$AC$10)</f>
        <v>46246</v>
      </c>
      <c r="J32" s="30"/>
      <c r="K32" s="30"/>
      <c r="L32" s="31">
        <v>0</v>
      </c>
      <c r="M32" s="35" t="str">
        <f t="shared" ca="1" si="33"/>
        <v>Not Started</v>
      </c>
      <c r="N32" s="32"/>
      <c r="O32" s="57"/>
      <c r="P32" s="289"/>
      <c r="Q32" s="289"/>
      <c r="R32" s="289"/>
      <c r="S32" s="289"/>
      <c r="T32" s="289"/>
      <c r="U32" s="289"/>
      <c r="V32" s="290"/>
      <c r="W32" s="291"/>
      <c r="Z32" s="23" t="s">
        <v>63</v>
      </c>
      <c r="AA32" s="231" t="s">
        <v>73</v>
      </c>
    </row>
    <row r="33" spans="2:31" ht="45" customHeight="1">
      <c r="B33" s="460"/>
      <c r="C33" s="285" t="s">
        <v>86</v>
      </c>
      <c r="D33" s="34" t="s">
        <v>111</v>
      </c>
      <c r="E33" s="33">
        <f>NETWORKDAYS.INTL(F33,G33,"0000110",$AC$5:$AC$11)</f>
        <v>3</v>
      </c>
      <c r="F33" s="29">
        <f>MAX(WORKDAY.INTL(G32,1,"0000100",$AF$5:$AF$10),WORKDAY.INTL(G28,1,"0000100",$AF$5:$AF$10))</f>
        <v>46256</v>
      </c>
      <c r="G33" s="29">
        <f t="shared" ref="G33" si="34">WORKDAY.INTL(F33,3,"0000110")</f>
        <v>46259</v>
      </c>
      <c r="H33" s="29">
        <f>MAX(WORKDAY.INTL(I32,1,"0000100",$AF$5:$AF$10),WORKDAY.INTL(I28,1,"0000100",$AF$5:$AF$10))</f>
        <v>46256</v>
      </c>
      <c r="I33" s="29">
        <f t="shared" ref="I33" si="35">WORKDAY.INTL(H33,3,"0000110")</f>
        <v>46259</v>
      </c>
      <c r="J33" s="29"/>
      <c r="K33" s="29"/>
      <c r="L33" s="35">
        <v>0</v>
      </c>
      <c r="M33" s="35" t="str">
        <f t="shared" ca="1" si="33"/>
        <v>Not Started</v>
      </c>
      <c r="N33" s="34"/>
      <c r="O33" s="57"/>
      <c r="P33" s="58"/>
      <c r="Q33" s="58"/>
      <c r="R33" s="58"/>
      <c r="S33" s="58"/>
      <c r="T33" s="58"/>
      <c r="U33" s="58"/>
      <c r="V33" s="59"/>
      <c r="W33" s="291"/>
      <c r="Z33" s="23" t="s">
        <v>64</v>
      </c>
      <c r="AA33" s="231" t="s">
        <v>73</v>
      </c>
    </row>
    <row r="34" spans="2:31" ht="45" customHeight="1" thickBot="1">
      <c r="B34" s="460"/>
      <c r="C34" s="285" t="s">
        <v>86</v>
      </c>
      <c r="D34" s="34" t="s">
        <v>114</v>
      </c>
      <c r="E34" s="33">
        <f>NETWORKDAYS.INTL(F34,G34,"0000110",$AC$5:$AC$11)</f>
        <v>2</v>
      </c>
      <c r="F34" s="29">
        <f t="shared" ref="F34" si="36">WORKDAY.INTL(G33,1,"0000110")</f>
        <v>46260</v>
      </c>
      <c r="G34" s="29">
        <f t="shared" ref="G34" si="37">WORKDAY.INTL(F34,1,"0000110")</f>
        <v>46261</v>
      </c>
      <c r="H34" s="29">
        <f t="shared" ref="H34" si="38">WORKDAY.INTL(I33,1,"0000110")</f>
        <v>46260</v>
      </c>
      <c r="I34" s="29">
        <f t="shared" ref="I34" si="39">WORKDAY.INTL(H34,1,"0000110")</f>
        <v>46261</v>
      </c>
      <c r="J34" s="29"/>
      <c r="K34" s="29"/>
      <c r="L34" s="35">
        <v>0</v>
      </c>
      <c r="M34" s="35" t="str">
        <f t="shared" ca="1" si="33"/>
        <v>Not Started</v>
      </c>
      <c r="N34" s="34"/>
      <c r="O34" s="57"/>
      <c r="P34" s="58"/>
      <c r="Q34" s="58"/>
      <c r="R34" s="58"/>
      <c r="S34" s="58"/>
      <c r="T34" s="58"/>
      <c r="U34" s="58"/>
      <c r="V34" s="59"/>
      <c r="W34" s="291"/>
      <c r="Z34" s="23" t="s">
        <v>65</v>
      </c>
      <c r="AA34" s="231" t="s">
        <v>73</v>
      </c>
    </row>
    <row r="35" spans="2:31" s="274" customFormat="1" ht="4.5" customHeight="1" thickBot="1">
      <c r="B35" s="292"/>
      <c r="C35" s="292"/>
      <c r="D35" s="292" t="s">
        <v>195</v>
      </c>
      <c r="E35" s="293"/>
      <c r="F35" s="292"/>
      <c r="G35" s="292"/>
      <c r="H35" s="292"/>
      <c r="I35" s="292"/>
      <c r="J35" s="292"/>
      <c r="K35" s="292"/>
      <c r="L35" s="294">
        <v>0</v>
      </c>
      <c r="M35" s="294"/>
      <c r="N35" s="292"/>
      <c r="O35" s="292"/>
      <c r="P35" s="292"/>
      <c r="Q35" s="292"/>
      <c r="R35" s="292"/>
      <c r="S35" s="292"/>
      <c r="T35" s="292"/>
      <c r="U35" s="292"/>
      <c r="V35" s="292"/>
      <c r="W35" s="295"/>
      <c r="Z35" s="275"/>
      <c r="AA35" s="275"/>
    </row>
    <row r="36" spans="2:31" ht="45" customHeight="1">
      <c r="B36" s="461" t="s">
        <v>199</v>
      </c>
      <c r="C36" s="296" t="s">
        <v>86</v>
      </c>
      <c r="D36" s="21" t="s">
        <v>105</v>
      </c>
      <c r="E36" s="22">
        <f>NETWORKDAYS.INTL(F36,G36,"0000100",$AC$5:$AC$11)</f>
        <v>7</v>
      </c>
      <c r="F36" s="23">
        <f>WORKDAY.INTL(G32,1,"0000100",$AC$5:$AC$10)</f>
        <v>46247</v>
      </c>
      <c r="G36" s="23">
        <f>WORKDAY.INTL(F36,6,"0000100",$AC$5:$AC$10)</f>
        <v>46254</v>
      </c>
      <c r="H36" s="23">
        <f>WORKDAY.INTL(I32,1,"0000100",$AC$5:$AC$10)</f>
        <v>46247</v>
      </c>
      <c r="I36" s="23">
        <f>WORKDAY.INTL(H36,6,"0000100",$AC$5:$AC$10)</f>
        <v>46254</v>
      </c>
      <c r="J36" s="23"/>
      <c r="K36" s="23"/>
      <c r="L36" s="24">
        <v>0</v>
      </c>
      <c r="M36" s="24" t="str">
        <f t="shared" ref="M36:M39" ca="1" si="40">IF(L36=100%,"Completed",IF(AND(OR(L36="",L36=0),F36&gt;TODAY()),"Not Started",IF(AND(OR(L36="",L36=0),F36&lt;=TODAY()),"Delayed",IF(AND(L36&gt;0,L36&lt;100%,G36&lt;TODAY()),"Delayed",IF(AND(L36&gt;0,L36&lt;100%,G36&gt;=TODAY()),"In Progress","")))))</f>
        <v>Not Started</v>
      </c>
      <c r="N36" s="21"/>
      <c r="O36" s="297"/>
      <c r="P36" s="298"/>
      <c r="Q36" s="298"/>
      <c r="R36" s="298"/>
      <c r="S36" s="298"/>
      <c r="T36" s="298"/>
      <c r="U36" s="298"/>
      <c r="V36" s="299"/>
      <c r="W36" s="300"/>
      <c r="Z36" s="23" t="s">
        <v>62</v>
      </c>
      <c r="AA36" s="231" t="s">
        <v>74</v>
      </c>
    </row>
    <row r="37" spans="2:31" ht="45" customHeight="1">
      <c r="B37" s="462"/>
      <c r="C37" s="296" t="s">
        <v>86</v>
      </c>
      <c r="D37" s="21" t="s">
        <v>107</v>
      </c>
      <c r="E37" s="22">
        <f>NETWORKDAYS.INTL(F37,G37,"0000100",$AC$5:$AC$11)</f>
        <v>3</v>
      </c>
      <c r="F37" s="23">
        <f>WORKDAY.INTL(G36,1,"0000100",$AC$5:$AC$10)</f>
        <v>46256</v>
      </c>
      <c r="G37" s="23">
        <f>WORKDAY.INTL(F37,2,"0000100",$AC$5:$AC$10)</f>
        <v>46258</v>
      </c>
      <c r="H37" s="23">
        <f>WORKDAY.INTL(I36,1,"0000100",$AC$5:$AC$10)</f>
        <v>46256</v>
      </c>
      <c r="I37" s="23">
        <f>WORKDAY.INTL(H37,2,"0000100",$AC$5:$AC$10)</f>
        <v>46258</v>
      </c>
      <c r="J37" s="23"/>
      <c r="K37" s="23"/>
      <c r="L37" s="24">
        <v>0</v>
      </c>
      <c r="M37" s="24" t="str">
        <f t="shared" ca="1" si="40"/>
        <v>Not Started</v>
      </c>
      <c r="N37" s="21"/>
      <c r="O37" s="297"/>
      <c r="P37" s="298"/>
      <c r="Q37" s="298"/>
      <c r="R37" s="298"/>
      <c r="S37" s="298"/>
      <c r="T37" s="298"/>
      <c r="U37" s="298"/>
      <c r="V37" s="299"/>
      <c r="W37" s="300"/>
      <c r="Z37" s="23" t="s">
        <v>63</v>
      </c>
      <c r="AA37" s="231" t="s">
        <v>74</v>
      </c>
    </row>
    <row r="38" spans="2:31" ht="45" customHeight="1">
      <c r="B38" s="462"/>
      <c r="C38" s="296" t="s">
        <v>86</v>
      </c>
      <c r="D38" s="21" t="s">
        <v>111</v>
      </c>
      <c r="E38" s="22">
        <f>NETWORKDAYS.INTL(F38,G38,"0000110",$AC$5:$AC$11)</f>
        <v>4</v>
      </c>
      <c r="F38" s="23">
        <f>MAX(WORKDAY.INTL(G37,1,"0000100",$AF$5:$AF$10),WORKDAY.INTL(G33,1,"0000100",$AF$5:$AF$10))</f>
        <v>46260</v>
      </c>
      <c r="G38" s="23">
        <f t="shared" ref="G38" si="41">WORKDAY.INTL(F38,3,"0000110")</f>
        <v>46265</v>
      </c>
      <c r="H38" s="23">
        <f>MAX(WORKDAY.INTL(I37,1,"0000100",$AF$5:$AF$10),WORKDAY.INTL(I33,1,"0000100",$AF$5:$AF$10))</f>
        <v>46260</v>
      </c>
      <c r="I38" s="23">
        <f t="shared" ref="I38" si="42">WORKDAY.INTL(H38,3,"0000110")</f>
        <v>46265</v>
      </c>
      <c r="J38" s="23"/>
      <c r="K38" s="23"/>
      <c r="L38" s="24">
        <v>0</v>
      </c>
      <c r="M38" s="24" t="str">
        <f t="shared" ca="1" si="40"/>
        <v>Not Started</v>
      </c>
      <c r="N38" s="21"/>
      <c r="O38" s="297"/>
      <c r="P38" s="298"/>
      <c r="Q38" s="298"/>
      <c r="R38" s="298"/>
      <c r="S38" s="298"/>
      <c r="T38" s="298"/>
      <c r="U38" s="298"/>
      <c r="V38" s="299"/>
      <c r="W38" s="300"/>
      <c r="Z38" s="23" t="s">
        <v>64</v>
      </c>
      <c r="AA38" s="231" t="s">
        <v>74</v>
      </c>
    </row>
    <row r="39" spans="2:31" ht="45" customHeight="1" thickBot="1">
      <c r="B39" s="462"/>
      <c r="C39" s="296" t="s">
        <v>86</v>
      </c>
      <c r="D39" s="26" t="s">
        <v>114</v>
      </c>
      <c r="E39" s="22">
        <f>NETWORKDAYS.INTL(F39,G39,"0000110",$AC$5:$AC$11)</f>
        <v>2</v>
      </c>
      <c r="F39" s="23">
        <f t="shared" ref="F39" si="43">WORKDAY.INTL(G38,1,"0000110")</f>
        <v>46266</v>
      </c>
      <c r="G39" s="23">
        <f t="shared" ref="G39" si="44">WORKDAY.INTL(F39,1,"0000110")</f>
        <v>46267</v>
      </c>
      <c r="H39" s="23">
        <f t="shared" ref="H39" si="45">WORKDAY.INTL(I38,1,"0000110")</f>
        <v>46266</v>
      </c>
      <c r="I39" s="23">
        <f t="shared" ref="I39" si="46">WORKDAY.INTL(H39,1,"0000110")</f>
        <v>46267</v>
      </c>
      <c r="J39" s="23"/>
      <c r="K39" s="23"/>
      <c r="L39" s="24">
        <v>0</v>
      </c>
      <c r="M39" s="24" t="str">
        <f t="shared" ca="1" si="40"/>
        <v>Not Started</v>
      </c>
      <c r="N39" s="26"/>
      <c r="O39" s="297"/>
      <c r="P39" s="301"/>
      <c r="Q39" s="301"/>
      <c r="R39" s="301"/>
      <c r="S39" s="301"/>
      <c r="T39" s="301"/>
      <c r="U39" s="301"/>
      <c r="V39" s="302"/>
      <c r="W39" s="300"/>
      <c r="Z39" s="23" t="s">
        <v>65</v>
      </c>
      <c r="AA39" s="231" t="s">
        <v>74</v>
      </c>
    </row>
    <row r="40" spans="2:31" s="274" customFormat="1" ht="4.5" customHeight="1" thickBot="1">
      <c r="B40" s="292"/>
      <c r="C40" s="292"/>
      <c r="D40" s="292" t="s">
        <v>195</v>
      </c>
      <c r="E40" s="293"/>
      <c r="F40" s="292"/>
      <c r="G40" s="292"/>
      <c r="H40" s="292"/>
      <c r="I40" s="292"/>
      <c r="J40" s="292"/>
      <c r="K40" s="292"/>
      <c r="L40" s="294">
        <v>0</v>
      </c>
      <c r="M40" s="294"/>
      <c r="N40" s="292"/>
      <c r="O40" s="292"/>
      <c r="P40" s="292"/>
      <c r="Q40" s="292"/>
      <c r="R40" s="292"/>
      <c r="S40" s="292"/>
      <c r="T40" s="292"/>
      <c r="U40" s="292"/>
      <c r="V40" s="292"/>
      <c r="W40" s="295"/>
      <c r="Z40" s="275"/>
      <c r="AA40" s="275"/>
    </row>
    <row r="41" spans="2:31" ht="45" customHeight="1">
      <c r="B41" s="459" t="s">
        <v>200</v>
      </c>
      <c r="C41" s="285" t="s">
        <v>86</v>
      </c>
      <c r="D41" s="27" t="s">
        <v>105</v>
      </c>
      <c r="E41" s="28">
        <f>NETWORKDAYS.INTL(F41,G41,"0000100",$AC$5:$AC$11)</f>
        <v>7</v>
      </c>
      <c r="F41" s="29">
        <f>WORKDAY.INTL(G37,1,"0000100",$AC$5:$AC$10)</f>
        <v>46259</v>
      </c>
      <c r="G41" s="29">
        <f>WORKDAY.INTL(F41,6,"0000100",$AC$5:$AC$10)</f>
        <v>46266</v>
      </c>
      <c r="H41" s="29">
        <f>WORKDAY.INTL(I37,1,"0000100",$AC$5:$AC$10)</f>
        <v>46259</v>
      </c>
      <c r="I41" s="30">
        <f>WORKDAY.INTL(H41,6,"0000100",$AC$5:$AC$10)</f>
        <v>46266</v>
      </c>
      <c r="J41" s="30"/>
      <c r="K41" s="30"/>
      <c r="L41" s="31">
        <v>0</v>
      </c>
      <c r="M41" s="35" t="str">
        <f t="shared" ref="M41:M44" ca="1" si="47">IF(L41=100%,"Completed",IF(AND(OR(L41="",L41=0),F41&gt;TODAY()),"Not Started",IF(AND(OR(L41="",L41=0),F41&lt;=TODAY()),"Delayed",IF(AND(L41&gt;0,L41&lt;100%,G41&lt;TODAY()),"Delayed",IF(AND(L41&gt;0,L41&lt;100%,G41&gt;=TODAY()),"In Progress","")))))</f>
        <v>Not Started</v>
      </c>
      <c r="N41" s="27"/>
      <c r="O41" s="57"/>
      <c r="P41" s="286"/>
      <c r="Q41" s="286"/>
      <c r="R41" s="286"/>
      <c r="S41" s="286"/>
      <c r="T41" s="286"/>
      <c r="U41" s="286"/>
      <c r="V41" s="287"/>
      <c r="W41" s="288"/>
      <c r="Z41" s="23" t="s">
        <v>62</v>
      </c>
      <c r="AA41" s="231" t="s">
        <v>75</v>
      </c>
      <c r="AE41" s="276"/>
    </row>
    <row r="42" spans="2:31" ht="45" customHeight="1">
      <c r="B42" s="460"/>
      <c r="C42" s="285" t="s">
        <v>86</v>
      </c>
      <c r="D42" s="32" t="s">
        <v>107</v>
      </c>
      <c r="E42" s="33">
        <f>NETWORKDAYS.INTL(F42,G42,"0000100",$AC$5:$AC$11)</f>
        <v>3</v>
      </c>
      <c r="F42" s="29">
        <f>WORKDAY.INTL(G41,1,"0000100",$AC$5:$AC$10)</f>
        <v>46267</v>
      </c>
      <c r="G42" s="29">
        <f>WORKDAY.INTL(F42,2,"0000100",$AC$5:$AC$10)</f>
        <v>46270</v>
      </c>
      <c r="H42" s="29">
        <f>WORKDAY.INTL(I41,1,"0000100",$AC$5:$AC$10)</f>
        <v>46267</v>
      </c>
      <c r="I42" s="30">
        <f>WORKDAY.INTL(H42,2,"0000100",$AC$5:$AC$10)</f>
        <v>46270</v>
      </c>
      <c r="J42" s="30"/>
      <c r="K42" s="30"/>
      <c r="L42" s="31">
        <v>0</v>
      </c>
      <c r="M42" s="35" t="str">
        <f t="shared" ca="1" si="47"/>
        <v>Not Started</v>
      </c>
      <c r="N42" s="32"/>
      <c r="O42" s="57"/>
      <c r="P42" s="289"/>
      <c r="Q42" s="289"/>
      <c r="R42" s="289"/>
      <c r="S42" s="289"/>
      <c r="T42" s="289"/>
      <c r="U42" s="289"/>
      <c r="V42" s="290"/>
      <c r="W42" s="291"/>
      <c r="Z42" s="23" t="s">
        <v>63</v>
      </c>
      <c r="AA42" s="231" t="s">
        <v>75</v>
      </c>
    </row>
    <row r="43" spans="2:31" ht="45" customHeight="1">
      <c r="B43" s="460"/>
      <c r="C43" s="285" t="s">
        <v>86</v>
      </c>
      <c r="D43" s="34" t="s">
        <v>111</v>
      </c>
      <c r="E43" s="33">
        <f>NETWORKDAYS.INTL(F43,G43,"0000110",$AC$5:$AC$11)</f>
        <v>6</v>
      </c>
      <c r="F43" s="29">
        <f>MAX(WORKDAY.INTL(G42,1,"0000100",$AF$5:$AF$10),WORKDAY.INTL(G38,1,"0000100",$AF$5:$AF$10))</f>
        <v>46271</v>
      </c>
      <c r="G43" s="29">
        <f t="shared" ref="G43" si="48">WORKDAY.INTL(F43,5,"0000110")</f>
        <v>46278</v>
      </c>
      <c r="H43" s="29">
        <f>MAX(WORKDAY.INTL(I42,1,"0000100",$AF$5:$AF$10),WORKDAY.INTL(I38,1,"0000100",$AF$5:$AF$10))</f>
        <v>46271</v>
      </c>
      <c r="I43" s="29">
        <f t="shared" ref="I43" si="49">WORKDAY.INTL(H43,5,"0000110")</f>
        <v>46278</v>
      </c>
      <c r="J43" s="29"/>
      <c r="K43" s="29"/>
      <c r="L43" s="35">
        <v>0</v>
      </c>
      <c r="M43" s="35" t="str">
        <f t="shared" ca="1" si="47"/>
        <v>Not Started</v>
      </c>
      <c r="N43" s="34"/>
      <c r="O43" s="57"/>
      <c r="P43" s="58"/>
      <c r="Q43" s="58"/>
      <c r="R43" s="58"/>
      <c r="S43" s="58"/>
      <c r="T43" s="58"/>
      <c r="U43" s="58"/>
      <c r="V43" s="59"/>
      <c r="W43" s="291"/>
      <c r="Z43" s="23" t="s">
        <v>64</v>
      </c>
      <c r="AA43" s="231" t="s">
        <v>75</v>
      </c>
    </row>
    <row r="44" spans="2:31" ht="45" customHeight="1" thickBot="1">
      <c r="B44" s="460"/>
      <c r="C44" s="285" t="s">
        <v>86</v>
      </c>
      <c r="D44" s="34" t="s">
        <v>114</v>
      </c>
      <c r="E44" s="33">
        <f>NETWORKDAYS.INTL(F44,G44,"0000110",$AC$5:$AC$11)</f>
        <v>2</v>
      </c>
      <c r="F44" s="29">
        <f t="shared" ref="F44" si="50">WORKDAY.INTL(G43,1,"0000110")</f>
        <v>46279</v>
      </c>
      <c r="G44" s="29">
        <f t="shared" ref="G44" si="51">WORKDAY.INTL(F44,1,"0000110")</f>
        <v>46280</v>
      </c>
      <c r="H44" s="29">
        <f t="shared" ref="H44" si="52">WORKDAY.INTL(I43,1,"0000110")</f>
        <v>46279</v>
      </c>
      <c r="I44" s="29">
        <f t="shared" ref="I44" si="53">WORKDAY.INTL(H44,1,"0000110")</f>
        <v>46280</v>
      </c>
      <c r="J44" s="29"/>
      <c r="K44" s="29"/>
      <c r="L44" s="35">
        <v>0</v>
      </c>
      <c r="M44" s="35" t="str">
        <f t="shared" ca="1" si="47"/>
        <v>Not Started</v>
      </c>
      <c r="N44" s="34"/>
      <c r="O44" s="57"/>
      <c r="P44" s="58"/>
      <c r="Q44" s="58"/>
      <c r="R44" s="58"/>
      <c r="S44" s="58"/>
      <c r="T44" s="58"/>
      <c r="U44" s="58"/>
      <c r="V44" s="59"/>
      <c r="W44" s="291"/>
      <c r="Z44" s="23" t="s">
        <v>65</v>
      </c>
      <c r="AA44" s="231" t="s">
        <v>75</v>
      </c>
    </row>
    <row r="45" spans="2:31" s="274" customFormat="1" ht="4.5" customHeight="1" thickBot="1">
      <c r="B45" s="292"/>
      <c r="C45" s="292"/>
      <c r="D45" s="292"/>
      <c r="E45" s="293"/>
      <c r="F45" s="292"/>
      <c r="G45" s="292"/>
      <c r="H45" s="292"/>
      <c r="I45" s="292"/>
      <c r="J45" s="292"/>
      <c r="K45" s="292"/>
      <c r="L45" s="294">
        <v>0</v>
      </c>
      <c r="M45" s="294"/>
      <c r="N45" s="292"/>
      <c r="O45" s="292"/>
      <c r="P45" s="292"/>
      <c r="Q45" s="292"/>
      <c r="R45" s="292"/>
      <c r="S45" s="292"/>
      <c r="T45" s="292"/>
      <c r="U45" s="292"/>
      <c r="V45" s="292"/>
      <c r="W45" s="295"/>
      <c r="Z45" s="275"/>
      <c r="AA45" s="275"/>
    </row>
    <row r="46" spans="2:31" ht="57.75">
      <c r="B46" s="461" t="s">
        <v>125</v>
      </c>
      <c r="C46" s="296" t="s">
        <v>125</v>
      </c>
      <c r="D46" s="21" t="s">
        <v>126</v>
      </c>
      <c r="E46" s="22">
        <f>NETWORKDAYS.INTL(F46,G46,"0000100",$AD$5:$AD$11)</f>
        <v>19</v>
      </c>
      <c r="F46" s="23">
        <f>G47+1</f>
        <v>46272</v>
      </c>
      <c r="G46" s="23">
        <f>WORKDAY.INTL(F46,18,"0000100",$AD$5:$AD$10)</f>
        <v>46293</v>
      </c>
      <c r="H46" s="23">
        <f>I47+1</f>
        <v>46272</v>
      </c>
      <c r="I46" s="23">
        <f>WORKDAY.INTL(H46,18,"0000100",$AD$5:$AD$10)</f>
        <v>46293</v>
      </c>
      <c r="J46" s="23"/>
      <c r="K46" s="23"/>
      <c r="L46" s="24">
        <v>0</v>
      </c>
      <c r="M46" s="24" t="str">
        <f t="shared" ref="M46:M48" ca="1" si="54">IF(L46=100%,"Completed",IF(AND(OR(L46="",L46=0),F46&gt;TODAY()),"Not Started",IF(AND(OR(L46="",L46=0),F46&lt;=TODAY()),"Delayed",IF(AND(L46&gt;0,L46&lt;100%,G46&lt;TODAY()),"Delayed",IF(AND(L46&gt;0,L46&lt;100%,G46&gt;=TODAY()),"In Progress","")))))</f>
        <v>Not Started</v>
      </c>
      <c r="N46" s="21"/>
      <c r="O46" s="297"/>
      <c r="P46" s="299"/>
      <c r="Q46" s="97"/>
      <c r="R46" s="97"/>
      <c r="S46" s="97"/>
      <c r="T46" s="97"/>
      <c r="U46" s="97"/>
      <c r="V46" s="97"/>
      <c r="W46" s="300"/>
      <c r="X46" s="229"/>
      <c r="Z46" s="23" t="s">
        <v>125</v>
      </c>
    </row>
    <row r="47" spans="2:31" ht="57.75">
      <c r="B47" s="462"/>
      <c r="C47" s="296" t="s">
        <v>125</v>
      </c>
      <c r="D47" s="21" t="s">
        <v>127</v>
      </c>
      <c r="E47" s="22">
        <f>NETWORKDAYS.INTL(F47,G47,"0000100",$AD$5:$AD$11)</f>
        <v>19</v>
      </c>
      <c r="F47" s="23">
        <f>F65+15</f>
        <v>46250</v>
      </c>
      <c r="G47" s="23">
        <f>WORKDAY.INTL(F47,18,"0000100",$AD$5:$AD$10)</f>
        <v>46271</v>
      </c>
      <c r="H47" s="23">
        <f>H65+15</f>
        <v>46250</v>
      </c>
      <c r="I47" s="23">
        <f>WORKDAY.INTL(H47,18,"0000100",$AD$5:$AD$10)</f>
        <v>46271</v>
      </c>
      <c r="J47" s="23"/>
      <c r="K47" s="23"/>
      <c r="L47" s="24">
        <v>0</v>
      </c>
      <c r="M47" s="24" t="str">
        <f t="shared" ca="1" si="54"/>
        <v>Not Started</v>
      </c>
      <c r="N47" s="21"/>
      <c r="O47" s="297"/>
      <c r="P47" s="299"/>
      <c r="Q47" s="97"/>
      <c r="R47" s="97"/>
      <c r="S47" s="97"/>
      <c r="T47" s="97"/>
      <c r="U47" s="97"/>
      <c r="V47" s="97"/>
      <c r="W47" s="300"/>
      <c r="X47" s="229"/>
      <c r="Z47" s="23" t="s">
        <v>125</v>
      </c>
    </row>
    <row r="48" spans="2:31" ht="58.5" thickBot="1">
      <c r="B48" s="470"/>
      <c r="C48" s="296" t="s">
        <v>125</v>
      </c>
      <c r="D48" s="21" t="s">
        <v>128</v>
      </c>
      <c r="E48" s="22">
        <f>NETWORKDAYS.INTL(F48,G48,"0000100",$AD$5:$AD$11)</f>
        <v>66</v>
      </c>
      <c r="F48" s="23">
        <f>F47</f>
        <v>46250</v>
      </c>
      <c r="G48" s="23">
        <f>WORKDAY.INTL(F48,65,"0000100",$AD$5:$AD$10)</f>
        <v>46326</v>
      </c>
      <c r="H48" s="23">
        <f>H47</f>
        <v>46250</v>
      </c>
      <c r="I48" s="23">
        <f>WORKDAY.INTL(H48,65,"0000100",$AD$5:$AD$10)</f>
        <v>46326</v>
      </c>
      <c r="J48" s="23"/>
      <c r="K48" s="23"/>
      <c r="L48" s="24">
        <v>0</v>
      </c>
      <c r="M48" s="24" t="str">
        <f t="shared" ca="1" si="54"/>
        <v>Not Started</v>
      </c>
      <c r="N48" s="21"/>
      <c r="O48" s="297"/>
      <c r="P48" s="298"/>
      <c r="Q48" s="298"/>
      <c r="R48" s="298"/>
      <c r="S48" s="298"/>
      <c r="T48" s="298"/>
      <c r="U48" s="298"/>
      <c r="V48" s="299"/>
      <c r="W48" s="326" t="s">
        <v>201</v>
      </c>
      <c r="X48" s="229"/>
      <c r="Z48" s="23" t="s">
        <v>125</v>
      </c>
    </row>
    <row r="49" spans="2:28" s="274" customFormat="1" ht="4.5" customHeight="1" thickBot="1">
      <c r="B49" s="292"/>
      <c r="C49" s="292"/>
      <c r="D49" s="292"/>
      <c r="E49" s="293"/>
      <c r="F49" s="292"/>
      <c r="G49" s="292"/>
      <c r="H49" s="292"/>
      <c r="I49" s="292"/>
      <c r="J49" s="292"/>
      <c r="K49" s="292"/>
      <c r="L49" s="294">
        <v>0</v>
      </c>
      <c r="M49" s="294"/>
      <c r="N49" s="292"/>
      <c r="O49" s="292"/>
      <c r="P49" s="292"/>
      <c r="Q49" s="292"/>
      <c r="R49" s="292"/>
      <c r="S49" s="292"/>
      <c r="T49" s="292"/>
      <c r="U49" s="292"/>
      <c r="V49" s="292"/>
      <c r="W49" s="295"/>
      <c r="Z49" s="275"/>
      <c r="AA49" s="275"/>
    </row>
    <row r="50" spans="2:28" s="274" customFormat="1" ht="85.5" customHeight="1" thickBot="1">
      <c r="B50" s="303" t="s">
        <v>130</v>
      </c>
      <c r="C50" s="304" t="s">
        <v>131</v>
      </c>
      <c r="D50" s="42" t="s">
        <v>202</v>
      </c>
      <c r="E50" s="43">
        <f>NETWORKDAYS.INTL(F50,G50,"0000110",$AD$5:$AD$11)</f>
        <v>3</v>
      </c>
      <c r="F50" s="44">
        <f>MAX(WORKDAY.INTL(G44,1,"0000110"),WORKDAY.INTL(G58,1,"0000110"),WORKDAY.INTL(G56,1,"0000110"))</f>
        <v>46293</v>
      </c>
      <c r="G50" s="44">
        <f t="shared" ref="G50" si="55">WORKDAY.INTL(F50,2,"0000110")</f>
        <v>46295</v>
      </c>
      <c r="H50" s="44">
        <f>MAX(WORKDAY.INTL(I44,1,"0000110"),WORKDAY.INTL(I58,1,"0000110"),WORKDAY.INTL(I56,1,"0000110"))</f>
        <v>46293</v>
      </c>
      <c r="I50" s="44">
        <f t="shared" ref="I50" si="56">WORKDAY.INTL(H50,2,"0000110")</f>
        <v>46295</v>
      </c>
      <c r="J50" s="44"/>
      <c r="K50" s="44"/>
      <c r="L50" s="45">
        <v>0</v>
      </c>
      <c r="M50" s="45" t="str">
        <f ca="1">IF(L50=100%,"Completed",IF(AND(OR(L50="",L50=0),F50&gt;TODAY()),"Not Started",IF(AND(OR(L50="",L50=0),F50&lt;=TODAY()),"Delayed",IF(AND(L50&gt;0,L50&lt;100%,G50&lt;TODAY()),"Delayed",IF(AND(L50&gt;0,L50&lt;100%,G50&gt;=TODAY()),"In Progress","")))))</f>
        <v>Not Started</v>
      </c>
      <c r="N50" s="42"/>
      <c r="O50" s="46"/>
      <c r="P50" s="47"/>
      <c r="Q50" s="47"/>
      <c r="R50" s="47"/>
      <c r="S50" s="47"/>
      <c r="T50" s="47"/>
      <c r="U50" s="47"/>
      <c r="V50" s="48"/>
      <c r="W50" s="305" t="s">
        <v>180</v>
      </c>
      <c r="Z50" s="23" t="s">
        <v>134</v>
      </c>
      <c r="AA50" s="275"/>
    </row>
    <row r="51" spans="2:28" s="274" customFormat="1" ht="4.5" customHeight="1" thickBot="1">
      <c r="B51" s="270"/>
      <c r="C51" s="270"/>
      <c r="D51" s="270"/>
      <c r="E51" s="271"/>
      <c r="F51" s="270"/>
      <c r="G51" s="270"/>
      <c r="H51" s="270"/>
      <c r="I51" s="270"/>
      <c r="J51" s="270"/>
      <c r="K51" s="270"/>
      <c r="L51" s="272">
        <v>0</v>
      </c>
      <c r="M51" s="272"/>
      <c r="N51" s="270"/>
      <c r="O51" s="270"/>
      <c r="P51" s="270"/>
      <c r="Q51" s="270"/>
      <c r="R51" s="270"/>
      <c r="S51" s="270"/>
      <c r="T51" s="270"/>
      <c r="U51" s="270"/>
      <c r="V51" s="270"/>
      <c r="W51" s="273"/>
      <c r="Z51" s="23"/>
      <c r="AA51" s="231"/>
    </row>
    <row r="52" spans="2:28" ht="28.9" customHeight="1">
      <c r="B52" s="471" t="s">
        <v>34</v>
      </c>
      <c r="C52" s="306" t="s">
        <v>135</v>
      </c>
      <c r="D52" s="49" t="s">
        <v>36</v>
      </c>
      <c r="E52" s="50">
        <f>NETWORKDAYS.INTL(F52,G52,"0000110",$AC$5:$AC$11)</f>
        <v>3</v>
      </c>
      <c r="F52" s="51">
        <f>MAX(WORKDAY.INTL(G42,1,"0000110",$AC$5:$AC$10),WORKDAY.INTL(G47,1,"0000110",$AC$5:$AC$10))</f>
        <v>46272</v>
      </c>
      <c r="G52" s="51">
        <f>WORKDAY.INTL(F52,2,"0000110",$AC$5:$AC$10)</f>
        <v>46274</v>
      </c>
      <c r="H52" s="51">
        <f>MAX(WORKDAY.INTL(I42,1,"0000110",$AC$5:$AC$10),WORKDAY.INTL(I47,1,"0000110",$AC$5:$AC$10))</f>
        <v>46272</v>
      </c>
      <c r="I52" s="51">
        <f>WORKDAY.INTL(H52,2,"0000110",$AC$5:$AC$10)</f>
        <v>46274</v>
      </c>
      <c r="J52" s="51"/>
      <c r="K52" s="51"/>
      <c r="L52" s="52">
        <v>0</v>
      </c>
      <c r="M52" s="52" t="str">
        <f t="shared" ref="M52:M56" ca="1" si="57">IF(L52=100%,"Completed",IF(AND(OR(L52="",L52=0),F52&gt;TODAY()),"Not Started",IF(AND(OR(L52="",L52=0),F52&lt;=TODAY()),"Delayed",IF(AND(L52&gt;0,L52&lt;100%,G52&lt;TODAY()),"Delayed",IF(AND(L52&gt;0,L52&lt;100%,G52&gt;=TODAY()),"In Progress","")))))</f>
        <v>Not Started</v>
      </c>
      <c r="N52" s="49"/>
      <c r="O52" s="53"/>
      <c r="P52" s="54"/>
      <c r="Q52" s="54"/>
      <c r="R52" s="54"/>
      <c r="S52" s="54"/>
      <c r="T52" s="54"/>
      <c r="U52" s="54"/>
      <c r="V52" s="55"/>
      <c r="W52" s="56"/>
      <c r="X52" s="229"/>
      <c r="Z52" s="23" t="s">
        <v>34</v>
      </c>
    </row>
    <row r="53" spans="2:28" ht="28.9" customHeight="1">
      <c r="B53" s="472"/>
      <c r="C53" s="307" t="s">
        <v>135</v>
      </c>
      <c r="D53" s="34" t="s">
        <v>38</v>
      </c>
      <c r="E53" s="33">
        <f>NETWORKDAYS.INTL(F53,G53,"0000110",$AC$5:$AC$11)</f>
        <v>5</v>
      </c>
      <c r="F53" s="29">
        <f>WORKDAY.INTL(G52,1,"0000110",$AC$5:$AC$10)</f>
        <v>46275</v>
      </c>
      <c r="G53" s="29">
        <f>WORKDAY.INTL(F53,4,"0000110",$AC$5:$AC$10)</f>
        <v>46281</v>
      </c>
      <c r="H53" s="29">
        <f>WORKDAY.INTL(I52,1,"0000110",$AC$5:$AC$10)</f>
        <v>46275</v>
      </c>
      <c r="I53" s="29">
        <f>WORKDAY.INTL(H53,4,"0000110",$AC$5:$AC$10)</f>
        <v>46281</v>
      </c>
      <c r="J53" s="29"/>
      <c r="K53" s="29"/>
      <c r="L53" s="35">
        <v>0</v>
      </c>
      <c r="M53" s="35" t="str">
        <f t="shared" ca="1" si="57"/>
        <v>Not Started</v>
      </c>
      <c r="N53" s="34"/>
      <c r="O53" s="57"/>
      <c r="P53" s="58"/>
      <c r="Q53" s="58"/>
      <c r="R53" s="58"/>
      <c r="S53" s="58"/>
      <c r="T53" s="58"/>
      <c r="U53" s="58"/>
      <c r="V53" s="59"/>
      <c r="W53" s="60"/>
      <c r="X53" s="229"/>
      <c r="Z53" s="23" t="s">
        <v>34</v>
      </c>
      <c r="AA53" s="274"/>
    </row>
    <row r="54" spans="2:28" ht="28.9" customHeight="1">
      <c r="B54" s="472"/>
      <c r="C54" s="307" t="s">
        <v>135</v>
      </c>
      <c r="D54" s="34" t="s">
        <v>43</v>
      </c>
      <c r="E54" s="33">
        <f>NETWORKDAYS.INTL(F54,G54,"0000110",$AC$5:$AC$11)</f>
        <v>2</v>
      </c>
      <c r="F54" s="29">
        <f>WORKDAY.INTL(G53,1,"0000110",$AC$5:$AC$10)</f>
        <v>46282</v>
      </c>
      <c r="G54" s="29">
        <f>WORKDAY.INTL(F54,1,"0000110",$AC$5:$AC$10)</f>
        <v>46285</v>
      </c>
      <c r="H54" s="29">
        <f>WORKDAY.INTL(I53,1,"0000110",$AC$5:$AC$10)</f>
        <v>46282</v>
      </c>
      <c r="I54" s="29">
        <f>WORKDAY.INTL(H54,1,"0000110",$AC$5:$AC$10)</f>
        <v>46285</v>
      </c>
      <c r="J54" s="29"/>
      <c r="K54" s="29"/>
      <c r="L54" s="35">
        <v>0</v>
      </c>
      <c r="M54" s="35" t="str">
        <f t="shared" ca="1" si="57"/>
        <v>Not Started</v>
      </c>
      <c r="N54" s="34"/>
      <c r="O54" s="57"/>
      <c r="P54" s="58"/>
      <c r="Q54" s="58"/>
      <c r="R54" s="58"/>
      <c r="S54" s="58"/>
      <c r="T54" s="58"/>
      <c r="U54" s="58"/>
      <c r="V54" s="59"/>
      <c r="W54" s="60"/>
      <c r="X54" s="229"/>
      <c r="Z54" s="23" t="s">
        <v>34</v>
      </c>
    </row>
    <row r="55" spans="2:28" ht="28.9" customHeight="1">
      <c r="B55" s="472"/>
      <c r="C55" s="307" t="s">
        <v>135</v>
      </c>
      <c r="D55" s="34" t="s">
        <v>44</v>
      </c>
      <c r="E55" s="33">
        <f>NETWORKDAYS.INTL(F55,G55,"0000110",$AC$5:$AC$11)</f>
        <v>1</v>
      </c>
      <c r="F55" s="29">
        <f>WORKDAY.INTL(G54,1,"0000110",$AC$5:$AC$10)</f>
        <v>46286</v>
      </c>
      <c r="G55" s="29">
        <f>WORKDAY.INTL(F55,0,"0000110",$AC$5:$AC$10)</f>
        <v>46286</v>
      </c>
      <c r="H55" s="29">
        <f>WORKDAY.INTL(I54,1,"0000110",$AC$5:$AC$10)</f>
        <v>46286</v>
      </c>
      <c r="I55" s="29">
        <f>WORKDAY.INTL(H55,0,"0000110",$AC$5:$AC$10)</f>
        <v>46286</v>
      </c>
      <c r="J55" s="29"/>
      <c r="K55" s="29"/>
      <c r="L55" s="35">
        <v>0</v>
      </c>
      <c r="M55" s="35" t="str">
        <f t="shared" ca="1" si="57"/>
        <v>Not Started</v>
      </c>
      <c r="N55" s="34"/>
      <c r="O55" s="57"/>
      <c r="P55" s="58"/>
      <c r="Q55" s="58"/>
      <c r="R55" s="58"/>
      <c r="S55" s="58"/>
      <c r="T55" s="58"/>
      <c r="U55" s="58"/>
      <c r="V55" s="59"/>
      <c r="W55" s="60"/>
      <c r="X55" s="229"/>
      <c r="Z55" s="23" t="s">
        <v>34</v>
      </c>
    </row>
    <row r="56" spans="2:28" ht="28.9" customHeight="1" thickBot="1">
      <c r="B56" s="473"/>
      <c r="C56" s="308" t="s">
        <v>135</v>
      </c>
      <c r="D56" s="61" t="s">
        <v>46</v>
      </c>
      <c r="E56" s="62">
        <f>NETWORKDAYS.INTL(F56,G56,"0000110",$AC$5:$AC$11)</f>
        <v>1</v>
      </c>
      <c r="F56" s="63">
        <f>WORKDAY.INTL(G55,1,"0000110",$AC$5:$AC$10)</f>
        <v>46287</v>
      </c>
      <c r="G56" s="63">
        <f>WORKDAY.INTL(F56,0,"0000110",$AC$5:$AC$10)</f>
        <v>46287</v>
      </c>
      <c r="H56" s="63">
        <f>WORKDAY.INTL(I55,1,"0000110",$AC$5:$AC$10)</f>
        <v>46287</v>
      </c>
      <c r="I56" s="63">
        <f>WORKDAY.INTL(H56,0,"0000110",$AC$5:$AC$10)</f>
        <v>46287</v>
      </c>
      <c r="J56" s="63"/>
      <c r="K56" s="63"/>
      <c r="L56" s="64">
        <v>0</v>
      </c>
      <c r="M56" s="64" t="str">
        <f t="shared" ca="1" si="57"/>
        <v>Not Started</v>
      </c>
      <c r="N56" s="61"/>
      <c r="O56" s="65"/>
      <c r="P56" s="66"/>
      <c r="Q56" s="66"/>
      <c r="R56" s="66"/>
      <c r="S56" s="66"/>
      <c r="T56" s="66"/>
      <c r="U56" s="66"/>
      <c r="V56" s="67"/>
      <c r="W56" s="68"/>
      <c r="X56" s="229"/>
      <c r="Z56" s="23" t="s">
        <v>34</v>
      </c>
    </row>
    <row r="57" spans="2:28" s="274" customFormat="1" ht="4.5" customHeight="1" thickBot="1">
      <c r="B57" s="292"/>
      <c r="C57" s="292"/>
      <c r="D57" s="292"/>
      <c r="E57" s="293"/>
      <c r="F57" s="292"/>
      <c r="G57" s="292"/>
      <c r="H57" s="292"/>
      <c r="I57" s="292"/>
      <c r="J57" s="292"/>
      <c r="K57" s="292"/>
      <c r="L57" s="294">
        <v>0</v>
      </c>
      <c r="M57" s="294"/>
      <c r="N57" s="292"/>
      <c r="O57" s="292"/>
      <c r="P57" s="292"/>
      <c r="Q57" s="292"/>
      <c r="R57" s="292"/>
      <c r="S57" s="292"/>
      <c r="T57" s="292"/>
      <c r="U57" s="292"/>
      <c r="V57" s="292"/>
      <c r="W57" s="295"/>
    </row>
    <row r="58" spans="2:28" ht="34.5" customHeight="1">
      <c r="B58" s="463" t="s">
        <v>136</v>
      </c>
      <c r="C58" s="244" t="s">
        <v>136</v>
      </c>
      <c r="D58" s="69" t="s">
        <v>47</v>
      </c>
      <c r="E58" s="70">
        <f>NETWORKDAYS.INTL(F58,G58,"0000110",$AC$5:$AC$11)</f>
        <v>30</v>
      </c>
      <c r="F58" s="71">
        <v>46249</v>
      </c>
      <c r="G58" s="71">
        <f>WORKDAY.INTL(F58,31,"0000110",$AF$5:$AF$10)</f>
        <v>46292</v>
      </c>
      <c r="H58" s="71">
        <v>46249</v>
      </c>
      <c r="I58" s="71">
        <f>WORKDAY.INTL(H58,31,"0000110",$AF$5:$AF$10)</f>
        <v>46292</v>
      </c>
      <c r="J58" s="71"/>
      <c r="K58" s="71"/>
      <c r="L58" s="72">
        <v>0</v>
      </c>
      <c r="M58" s="72" t="str">
        <f t="shared" ref="M58:M59" ca="1" si="58">IF(L58=100%,"Completed",IF(AND(OR(L58="",L58=0),F58&gt;TODAY()),"Not Started",IF(AND(OR(L58="",L58=0),F58&lt;=TODAY()),"Delayed",IF(AND(L58&gt;0,L58&lt;100%,G58&lt;TODAY()),"Delayed",IF(AND(L58&gt;0,L58&lt;100%,G58&gt;=TODAY()),"In Progress","")))))</f>
        <v>Not Started</v>
      </c>
      <c r="N58" s="69"/>
      <c r="O58" s="227"/>
      <c r="P58" s="69"/>
      <c r="Q58" s="69"/>
      <c r="R58" s="69"/>
      <c r="S58" s="69"/>
      <c r="T58" s="69"/>
      <c r="U58" s="69"/>
      <c r="V58" s="69"/>
      <c r="W58" s="228"/>
      <c r="X58" s="229"/>
      <c r="Z58" s="23" t="s">
        <v>136</v>
      </c>
    </row>
    <row r="59" spans="2:28" ht="45.75" customHeight="1" thickBot="1">
      <c r="B59" s="464"/>
      <c r="C59" s="309" t="s">
        <v>136</v>
      </c>
      <c r="D59" s="74" t="s">
        <v>138</v>
      </c>
      <c r="E59" s="75">
        <f>NETWORKDAYS.INTL(F59,G59,"0000110",$AC$5:$AC$11)</f>
        <v>30</v>
      </c>
      <c r="F59" s="76">
        <f t="shared" ref="F59" si="59">G50+7</f>
        <v>46302</v>
      </c>
      <c r="G59" s="76">
        <f>WORKDAY.INTL(F59,29,"0000110",$AF$5:$AF$10)</f>
        <v>46343</v>
      </c>
      <c r="H59" s="76">
        <f t="shared" ref="H59" si="60">I50+7</f>
        <v>46302</v>
      </c>
      <c r="I59" s="76">
        <f>WORKDAY.INTL(H59,29,"0000110",$AF$5:$AF$10)</f>
        <v>46343</v>
      </c>
      <c r="J59" s="76"/>
      <c r="K59" s="76"/>
      <c r="L59" s="77">
        <v>0</v>
      </c>
      <c r="M59" s="77" t="str">
        <f t="shared" ca="1" si="58"/>
        <v>Not Started</v>
      </c>
      <c r="N59" s="74"/>
      <c r="O59" s="279"/>
      <c r="P59" s="95"/>
      <c r="Q59" s="95"/>
      <c r="R59" s="95"/>
      <c r="S59" s="95"/>
      <c r="T59" s="95"/>
      <c r="U59" s="95"/>
      <c r="V59" s="95"/>
      <c r="W59" s="280"/>
      <c r="X59" s="229"/>
      <c r="Z59" s="23" t="s">
        <v>136</v>
      </c>
    </row>
    <row r="60" spans="2:28" s="274" customFormat="1" ht="4.5" customHeight="1" thickBot="1">
      <c r="B60" s="292"/>
      <c r="C60" s="292"/>
      <c r="D60" s="292"/>
      <c r="E60" s="293"/>
      <c r="F60" s="292"/>
      <c r="G60" s="292"/>
      <c r="H60" s="292"/>
      <c r="I60" s="292"/>
      <c r="J60" s="292"/>
      <c r="K60" s="292"/>
      <c r="L60" s="294">
        <v>0</v>
      </c>
      <c r="M60" s="294"/>
      <c r="N60" s="292"/>
      <c r="O60" s="292"/>
      <c r="P60" s="292"/>
      <c r="Q60" s="292"/>
      <c r="R60" s="292"/>
      <c r="S60" s="292"/>
      <c r="T60" s="292"/>
      <c r="U60" s="292"/>
      <c r="V60" s="292"/>
      <c r="W60" s="273"/>
      <c r="Z60" s="23"/>
      <c r="AA60" s="231"/>
      <c r="AB60" s="231"/>
    </row>
    <row r="61" spans="2:28" ht="126">
      <c r="B61" s="467" t="s">
        <v>139</v>
      </c>
      <c r="C61" s="317" t="s">
        <v>139</v>
      </c>
      <c r="D61" s="79" t="s">
        <v>140</v>
      </c>
      <c r="E61" s="80">
        <f>NETWORKDAYS.INTL(F61,G61,"0000100",$AC$5:$AC$11)</f>
        <v>37</v>
      </c>
      <c r="F61" s="51">
        <v>46249</v>
      </c>
      <c r="G61" s="51">
        <f>WORKDAY.INTL(F61,31,"0000110",$AF$5:$AF$10)</f>
        <v>46292</v>
      </c>
      <c r="H61" s="36">
        <v>46249</v>
      </c>
      <c r="I61" s="36">
        <f>WORKDAY.INTL(H61,31,"0000110",$AF$5:$AF$10)</f>
        <v>46292</v>
      </c>
      <c r="J61" s="36"/>
      <c r="K61" s="36"/>
      <c r="L61" s="37">
        <v>0</v>
      </c>
      <c r="M61" s="37" t="str">
        <f t="shared" ref="M61:M62" ca="1" si="61">IF(L61=100%,"Completed",IF(AND(OR(L61="",L61=0),F61&gt;TODAY()),"Not Started",IF(AND(OR(L61="",L61=0),F61&lt;=TODAY()),"Delayed",IF(AND(L61&gt;0,L61&lt;100%,G61&lt;TODAY()),"Delayed",IF(AND(L61&gt;0,L61&lt;100%,G61&gt;=TODAY()),"In Progress","")))))</f>
        <v>Not Started</v>
      </c>
      <c r="N61" s="79"/>
      <c r="O61" s="311"/>
      <c r="P61" s="79"/>
      <c r="Q61" s="79"/>
      <c r="R61" s="79"/>
      <c r="S61" s="79"/>
      <c r="T61" s="79"/>
      <c r="U61" s="79"/>
      <c r="V61" s="79"/>
      <c r="W61" s="327" t="s">
        <v>141</v>
      </c>
      <c r="X61" s="229"/>
      <c r="Z61" s="23" t="s">
        <v>139</v>
      </c>
      <c r="AA61" s="275"/>
      <c r="AB61" s="275"/>
    </row>
    <row r="62" spans="2:28" ht="36" customHeight="1" thickBot="1">
      <c r="B62" s="469"/>
      <c r="C62" s="322" t="s">
        <v>139</v>
      </c>
      <c r="D62" s="82" t="s">
        <v>51</v>
      </c>
      <c r="E62" s="83">
        <f>NETWORKDAYS.INTL(F62,G62,"0000110",$AC$5:$AC$11)</f>
        <v>29</v>
      </c>
      <c r="F62" s="63">
        <f>G53+7</f>
        <v>46288</v>
      </c>
      <c r="G62" s="63">
        <f>WORKDAY.INTL(F62,29,"0000110",$AF$5:$AF$10)</f>
        <v>46329</v>
      </c>
      <c r="H62" s="40">
        <f>I53+7</f>
        <v>46288</v>
      </c>
      <c r="I62" s="40">
        <f>WORKDAY.INTL(H62,29,"0000110",$AF$5:$AF$10)</f>
        <v>46329</v>
      </c>
      <c r="J62" s="40"/>
      <c r="K62" s="40"/>
      <c r="L62" s="41">
        <v>0</v>
      </c>
      <c r="M62" s="41" t="str">
        <f t="shared" ca="1" si="61"/>
        <v>Not Started</v>
      </c>
      <c r="N62" s="82"/>
      <c r="O62" s="314"/>
      <c r="P62" s="82"/>
      <c r="Q62" s="82"/>
      <c r="R62" s="82"/>
      <c r="S62" s="82"/>
      <c r="T62" s="82"/>
      <c r="U62" s="82"/>
      <c r="V62" s="82"/>
      <c r="W62" s="328" t="s">
        <v>142</v>
      </c>
      <c r="X62" s="229"/>
      <c r="Z62" s="23" t="s">
        <v>139</v>
      </c>
    </row>
    <row r="63" spans="2:28" s="274" customFormat="1" ht="4.5" customHeight="1" thickBot="1">
      <c r="B63" s="292"/>
      <c r="C63" s="292"/>
      <c r="D63" s="292"/>
      <c r="E63" s="293"/>
      <c r="F63" s="292"/>
      <c r="G63" s="292"/>
      <c r="H63" s="292"/>
      <c r="I63" s="292"/>
      <c r="J63" s="292"/>
      <c r="K63" s="292"/>
      <c r="L63" s="294">
        <v>0</v>
      </c>
      <c r="M63" s="294"/>
      <c r="N63" s="292"/>
      <c r="O63" s="292"/>
      <c r="P63" s="292"/>
      <c r="Q63" s="292"/>
      <c r="R63" s="292"/>
      <c r="S63" s="292"/>
      <c r="T63" s="292"/>
      <c r="U63" s="292"/>
      <c r="V63" s="292"/>
      <c r="W63" s="295"/>
      <c r="Z63" s="23"/>
      <c r="AA63" s="231"/>
      <c r="AB63" s="231"/>
    </row>
    <row r="64" spans="2:28" ht="25.5" customHeight="1">
      <c r="B64" s="456" t="s">
        <v>143</v>
      </c>
      <c r="C64" s="489" t="s">
        <v>91</v>
      </c>
      <c r="D64" s="69" t="s">
        <v>185</v>
      </c>
      <c r="E64" s="70">
        <f>NETWORKDAYS.INTL(F64,G64,"0000100",$AD$5:$AD$10)</f>
        <v>1</v>
      </c>
      <c r="F64" s="71">
        <f>G64</f>
        <v>46212</v>
      </c>
      <c r="G64" s="71">
        <v>46212</v>
      </c>
      <c r="H64" s="71">
        <f>I64</f>
        <v>46212</v>
      </c>
      <c r="I64" s="71">
        <v>46212</v>
      </c>
      <c r="J64" s="71"/>
      <c r="K64" s="71"/>
      <c r="L64" s="72">
        <v>0</v>
      </c>
      <c r="M64" s="72" t="str">
        <f t="shared" ref="M64:M68" ca="1" si="62">IF(L64=100%,"Completed",IF(AND(OR(L64="",L64=0),F64&gt;TODAY()),"Not Started",IF(AND(OR(L64="",L64=0),F64&lt;=TODAY()),"Delayed",IF(AND(L64&gt;0,L64&lt;100%,G64&lt;TODAY()),"Delayed",IF(AND(L64&gt;0,L64&lt;100%,G64&gt;=TODAY()),"In Progress","")))))</f>
        <v>Not Started</v>
      </c>
      <c r="N64" s="69"/>
      <c r="O64" s="227"/>
      <c r="P64" s="69"/>
      <c r="Q64" s="69"/>
      <c r="R64" s="69"/>
      <c r="S64" s="69"/>
      <c r="T64" s="69"/>
      <c r="U64" s="69"/>
      <c r="V64" s="69"/>
      <c r="W64" s="343"/>
      <c r="X64" s="229"/>
      <c r="Z64" s="23" t="s">
        <v>144</v>
      </c>
    </row>
    <row r="65" spans="2:28" ht="28.9" customHeight="1">
      <c r="B65" s="457"/>
      <c r="C65" s="490"/>
      <c r="D65" s="93" t="s">
        <v>203</v>
      </c>
      <c r="E65" s="94">
        <f>NETWORKDAYS.INTL(F65,G65,"0000100",$AD$5:$AD$11)</f>
        <v>76</v>
      </c>
      <c r="F65" s="23">
        <f>WORKDAY.INTL(F64,19,"0000100",$AD$5:$AD$9)</f>
        <v>46235</v>
      </c>
      <c r="G65" s="23">
        <f>WORKDAY.INTL(F65,75,"0000100",$AD$5:$AD$10)</f>
        <v>46322</v>
      </c>
      <c r="H65" s="23">
        <f>WORKDAY.INTL(H64,19,"0000100",$AD$5:$AD$9)</f>
        <v>46235</v>
      </c>
      <c r="I65" s="23">
        <f>WORKDAY.INTL(H65,75,"0000100",$AD$5:$AD$10)</f>
        <v>46322</v>
      </c>
      <c r="J65" s="23"/>
      <c r="K65" s="23"/>
      <c r="L65" s="24">
        <v>0</v>
      </c>
      <c r="M65" s="24" t="str">
        <f t="shared" ca="1" si="62"/>
        <v>Not Started</v>
      </c>
      <c r="N65" s="93"/>
      <c r="O65" s="277"/>
      <c r="P65" s="93"/>
      <c r="Q65" s="93"/>
      <c r="R65" s="93"/>
      <c r="S65" s="93"/>
      <c r="T65" s="93"/>
      <c r="U65" s="93"/>
      <c r="V65" s="93"/>
      <c r="W65" s="344" t="s">
        <v>146</v>
      </c>
      <c r="X65" s="229"/>
      <c r="Z65" s="23" t="s">
        <v>147</v>
      </c>
    </row>
    <row r="66" spans="2:28" ht="28.9" customHeight="1">
      <c r="B66" s="457"/>
      <c r="C66" s="490"/>
      <c r="D66" s="93" t="s">
        <v>7</v>
      </c>
      <c r="E66" s="94">
        <f>NETWORKDAYS.INTL(F66,G66,"0000100",$AD$5:$AD$11)</f>
        <v>74</v>
      </c>
      <c r="F66" s="23">
        <f>WORKDAY.INTL(F65,10,"0000100",$AD$5:$AD$10)</f>
        <v>46246</v>
      </c>
      <c r="G66" s="23">
        <f>WORKDAY.INTL(G65,8,"0000100",$AD$5:$AD$10)</f>
        <v>46331</v>
      </c>
      <c r="H66" s="23">
        <f>WORKDAY.INTL(H65,10,"0000100",$AD$5:$AD$10)</f>
        <v>46246</v>
      </c>
      <c r="I66" s="23">
        <f>WORKDAY.INTL(I65,8,"0000100",$AD$5:$AD$10)</f>
        <v>46331</v>
      </c>
      <c r="J66" s="23"/>
      <c r="K66" s="23"/>
      <c r="L66" s="24">
        <v>0</v>
      </c>
      <c r="M66" s="24" t="str">
        <f t="shared" ca="1" si="62"/>
        <v>Not Started</v>
      </c>
      <c r="N66" s="93"/>
      <c r="O66" s="277"/>
      <c r="P66" s="93"/>
      <c r="Q66" s="93"/>
      <c r="R66" s="93"/>
      <c r="S66" s="93"/>
      <c r="T66" s="93"/>
      <c r="U66" s="93"/>
      <c r="V66" s="93"/>
      <c r="W66" s="344"/>
      <c r="X66" s="229"/>
      <c r="Z66" s="23" t="s">
        <v>148</v>
      </c>
    </row>
    <row r="67" spans="2:28" ht="28.9" customHeight="1">
      <c r="B67" s="457"/>
      <c r="C67" s="490"/>
      <c r="D67" s="93" t="s">
        <v>204</v>
      </c>
      <c r="E67" s="94">
        <f>NETWORKDAYS.INTL(F67,G67,"0000110",$AD$5:$AD$11)</f>
        <v>61</v>
      </c>
      <c r="F67" s="23">
        <f>WORKDAY.INTL(F66,10,"0000110")</f>
        <v>46260</v>
      </c>
      <c r="G67" s="23">
        <f>WORKDAY.INTL(F67,60,"0000110")</f>
        <v>46344</v>
      </c>
      <c r="H67" s="23">
        <f>WORKDAY.INTL(H66,10,"0000110")</f>
        <v>46260</v>
      </c>
      <c r="I67" s="23">
        <f>WORKDAY.INTL(H67,60,"0000110")</f>
        <v>46344</v>
      </c>
      <c r="J67" s="23"/>
      <c r="K67" s="23"/>
      <c r="L67" s="24">
        <v>0</v>
      </c>
      <c r="M67" s="24" t="str">
        <f t="shared" ca="1" si="62"/>
        <v>Not Started</v>
      </c>
      <c r="N67" s="93"/>
      <c r="O67" s="277"/>
      <c r="P67" s="93"/>
      <c r="Q67" s="93"/>
      <c r="R67" s="93"/>
      <c r="S67" s="93"/>
      <c r="T67" s="93"/>
      <c r="U67" s="93"/>
      <c r="V67" s="93"/>
      <c r="W67" s="344" t="s">
        <v>150</v>
      </c>
      <c r="X67" s="229"/>
      <c r="Z67" s="23" t="s">
        <v>151</v>
      </c>
    </row>
    <row r="68" spans="2:28" ht="28.9" customHeight="1" thickBot="1">
      <c r="B68" s="458"/>
      <c r="C68" s="491"/>
      <c r="D68" s="95" t="s">
        <v>205</v>
      </c>
      <c r="E68" s="75">
        <f>NETWORKDAYS.INTL(F68,G68,"0000110",$AD$5:$AD$11)</f>
        <v>1</v>
      </c>
      <c r="F68" s="76">
        <f>MAX(WORKDAY.INTL(G66,1,"0000100"),WORKDAY.INTL(G75,1,"0000100"))</f>
        <v>46366</v>
      </c>
      <c r="G68" s="76">
        <f>WORKDAY.INTL(F68,1,"0000100")</f>
        <v>46368</v>
      </c>
      <c r="H68" s="76">
        <f>MAX(WORKDAY.INTL(I66,1,"0000100"),WORKDAY.INTL(I75,1,"0000100"))</f>
        <v>46366</v>
      </c>
      <c r="I68" s="76">
        <f>WORKDAY.INTL(H68,1,"0000100")</f>
        <v>46368</v>
      </c>
      <c r="J68" s="76"/>
      <c r="K68" s="76"/>
      <c r="L68" s="77">
        <v>0</v>
      </c>
      <c r="M68" s="77" t="str">
        <f t="shared" ca="1" si="62"/>
        <v>Not Started</v>
      </c>
      <c r="N68" s="95"/>
      <c r="O68" s="279"/>
      <c r="P68" s="95"/>
      <c r="Q68" s="95"/>
      <c r="R68" s="95"/>
      <c r="S68" s="95"/>
      <c r="T68" s="95"/>
      <c r="U68" s="95"/>
      <c r="V68" s="95"/>
      <c r="W68" s="345" t="s">
        <v>153</v>
      </c>
      <c r="X68" s="229"/>
      <c r="Z68" s="23" t="s">
        <v>154</v>
      </c>
    </row>
    <row r="69" spans="2:28" s="274" customFormat="1" ht="4.5" customHeight="1" thickBot="1">
      <c r="B69" s="292"/>
      <c r="C69" s="292"/>
      <c r="D69" s="292"/>
      <c r="E69" s="293"/>
      <c r="F69" s="292"/>
      <c r="G69" s="292"/>
      <c r="H69" s="292"/>
      <c r="I69" s="292"/>
      <c r="J69" s="292"/>
      <c r="K69" s="292"/>
      <c r="L69" s="294">
        <v>0</v>
      </c>
      <c r="M69" s="294"/>
      <c r="N69" s="292"/>
      <c r="O69" s="292"/>
      <c r="P69" s="292"/>
      <c r="Q69" s="292"/>
      <c r="R69" s="292"/>
      <c r="S69" s="292"/>
      <c r="T69" s="292"/>
      <c r="U69" s="292"/>
      <c r="V69" s="292"/>
      <c r="W69" s="295"/>
      <c r="Z69" s="231"/>
      <c r="AA69" s="231"/>
      <c r="AB69" s="231"/>
    </row>
    <row r="70" spans="2:28" ht="30.75" customHeight="1">
      <c r="B70" s="465" t="s">
        <v>155</v>
      </c>
      <c r="C70" s="310" t="s">
        <v>156</v>
      </c>
      <c r="D70" s="88" t="s">
        <v>157</v>
      </c>
      <c r="E70" s="80">
        <f t="shared" ref="E70:E75" si="63">NETWORKDAYS.INTL(F70,G70,"0000110",$AD$5:$AD$11)</f>
        <v>6</v>
      </c>
      <c r="F70" s="36">
        <f>G67+1</f>
        <v>46345</v>
      </c>
      <c r="G70" s="36">
        <f>WORKDAY.INTL(F70,5,"0000110",$AD$5:$AD$9)</f>
        <v>46352</v>
      </c>
      <c r="H70" s="36">
        <f>I67+1</f>
        <v>46345</v>
      </c>
      <c r="I70" s="36">
        <f>WORKDAY.INTL(H70,5,"0000110",$AD$5:$AD$9)</f>
        <v>46352</v>
      </c>
      <c r="J70" s="36"/>
      <c r="K70" s="36"/>
      <c r="L70" s="37">
        <v>0</v>
      </c>
      <c r="M70" s="37" t="str">
        <f t="shared" ref="M70:M75" ca="1" si="64">IF(L70=100%,"Completed",IF(AND(OR(L70="",L70=0),F70&gt;TODAY()),"Not Started",IF(AND(OR(L70="",L70=0),F70&lt;=TODAY()),"Delayed",IF(AND(L70&gt;0,L70&lt;100%,G70&lt;TODAY()),"Delayed",IF(AND(L70&gt;0,L70&lt;100%,G70&gt;=TODAY()),"In Progress","")))))</f>
        <v>Not Started</v>
      </c>
      <c r="N70" s="88"/>
      <c r="O70" s="311"/>
      <c r="P70" s="88"/>
      <c r="Q70" s="88"/>
      <c r="R70" s="88"/>
      <c r="S70" s="88"/>
      <c r="T70" s="88"/>
      <c r="U70" s="88"/>
      <c r="V70" s="88"/>
      <c r="W70" s="318"/>
      <c r="X70" s="229"/>
      <c r="Z70" s="23" t="s">
        <v>156</v>
      </c>
      <c r="AA70" s="275"/>
      <c r="AB70" s="275"/>
    </row>
    <row r="71" spans="2:28" ht="30.75" customHeight="1">
      <c r="B71" s="496"/>
      <c r="C71" s="325" t="s">
        <v>156</v>
      </c>
      <c r="D71" s="89" t="s">
        <v>158</v>
      </c>
      <c r="E71" s="90">
        <f t="shared" si="63"/>
        <v>6</v>
      </c>
      <c r="F71" s="38">
        <f>F70</f>
        <v>46345</v>
      </c>
      <c r="G71" s="38">
        <f>WORKDAY.INTL(F71,5,"0000110",$AD$5:$AD$9)</f>
        <v>46352</v>
      </c>
      <c r="H71" s="38">
        <f>H70</f>
        <v>46345</v>
      </c>
      <c r="I71" s="38">
        <f>WORKDAY.INTL(H71,5,"0000110",$AD$5:$AD$9)</f>
        <v>46352</v>
      </c>
      <c r="J71" s="38"/>
      <c r="K71" s="38"/>
      <c r="L71" s="39">
        <v>0</v>
      </c>
      <c r="M71" s="39" t="str">
        <f t="shared" ca="1" si="64"/>
        <v>Not Started</v>
      </c>
      <c r="N71" s="89"/>
      <c r="O71" s="320"/>
      <c r="P71" s="89"/>
      <c r="Q71" s="89"/>
      <c r="R71" s="89"/>
      <c r="S71" s="89"/>
      <c r="T71" s="89"/>
      <c r="U71" s="89"/>
      <c r="V71" s="89"/>
      <c r="W71" s="321"/>
      <c r="X71" s="229"/>
      <c r="Z71" s="23" t="s">
        <v>156</v>
      </c>
    </row>
    <row r="72" spans="2:28" ht="30.75" customHeight="1">
      <c r="B72" s="496"/>
      <c r="C72" s="325" t="s">
        <v>156</v>
      </c>
      <c r="D72" s="89" t="s">
        <v>159</v>
      </c>
      <c r="E72" s="90">
        <f t="shared" si="63"/>
        <v>5</v>
      </c>
      <c r="F72" s="38">
        <f>G71</f>
        <v>46352</v>
      </c>
      <c r="G72" s="38">
        <f>WORKDAY.INTL(F72,4,"0000110",$AD$5:$AD$9)</f>
        <v>46358</v>
      </c>
      <c r="H72" s="38">
        <f>I71</f>
        <v>46352</v>
      </c>
      <c r="I72" s="38">
        <f>WORKDAY.INTL(H72,4,"0000110",$AD$5:$AD$9)</f>
        <v>46358</v>
      </c>
      <c r="J72" s="38"/>
      <c r="K72" s="38"/>
      <c r="L72" s="39">
        <v>0</v>
      </c>
      <c r="M72" s="39" t="str">
        <f t="shared" ca="1" si="64"/>
        <v>Not Started</v>
      </c>
      <c r="N72" s="89"/>
      <c r="O72" s="320"/>
      <c r="P72" s="89"/>
      <c r="Q72" s="89"/>
      <c r="R72" s="89"/>
      <c r="S72" s="89"/>
      <c r="T72" s="89"/>
      <c r="U72" s="89"/>
      <c r="V72" s="89"/>
      <c r="W72" s="321"/>
      <c r="X72" s="229"/>
      <c r="Z72" s="23" t="s">
        <v>156</v>
      </c>
      <c r="AA72" s="275"/>
      <c r="AB72" s="275"/>
    </row>
    <row r="73" spans="2:28" ht="30.75" customHeight="1">
      <c r="B73" s="496"/>
      <c r="C73" s="325" t="s">
        <v>156</v>
      </c>
      <c r="D73" s="89" t="s">
        <v>160</v>
      </c>
      <c r="E73" s="90">
        <f t="shared" si="63"/>
        <v>5</v>
      </c>
      <c r="F73" s="38">
        <f>F72</f>
        <v>46352</v>
      </c>
      <c r="G73" s="38">
        <f>WORKDAY.INTL(F73,4,"0000110",$AD$5:$AD$9)</f>
        <v>46358</v>
      </c>
      <c r="H73" s="38">
        <f>H72</f>
        <v>46352</v>
      </c>
      <c r="I73" s="38">
        <f>WORKDAY.INTL(H73,4,"0000110",$AD$5:$AD$9)</f>
        <v>46358</v>
      </c>
      <c r="J73" s="38"/>
      <c r="K73" s="38"/>
      <c r="L73" s="39">
        <v>0</v>
      </c>
      <c r="M73" s="39" t="str">
        <f t="shared" ca="1" si="64"/>
        <v>Not Started</v>
      </c>
      <c r="N73" s="89"/>
      <c r="O73" s="320"/>
      <c r="P73" s="89"/>
      <c r="Q73" s="89"/>
      <c r="R73" s="89"/>
      <c r="S73" s="89"/>
      <c r="T73" s="89"/>
      <c r="U73" s="89"/>
      <c r="V73" s="89"/>
      <c r="W73" s="321"/>
      <c r="X73" s="229"/>
      <c r="Z73" s="23" t="s">
        <v>156</v>
      </c>
    </row>
    <row r="74" spans="2:28" ht="30.75" customHeight="1">
      <c r="B74" s="496"/>
      <c r="C74" s="325" t="s">
        <v>156</v>
      </c>
      <c r="D74" s="89" t="s">
        <v>46</v>
      </c>
      <c r="E74" s="90">
        <f t="shared" si="63"/>
        <v>3</v>
      </c>
      <c r="F74" s="38">
        <f>WORKDAY.INTL(G73,1,"0000110",$AD$5:$AD$9)</f>
        <v>46359</v>
      </c>
      <c r="G74" s="38">
        <f>WORKDAY.INTL(F74,2,"0000110",$AD$5:$AD$9)</f>
        <v>46363</v>
      </c>
      <c r="H74" s="38">
        <f>WORKDAY.INTL(I73,1,"0000110",$AD$5:$AD$9)</f>
        <v>46359</v>
      </c>
      <c r="I74" s="38">
        <f>WORKDAY.INTL(H74,2,"0000110",$AD$5:$AD$9)</f>
        <v>46363</v>
      </c>
      <c r="J74" s="38"/>
      <c r="K74" s="38"/>
      <c r="L74" s="39">
        <v>0</v>
      </c>
      <c r="M74" s="39" t="str">
        <f t="shared" ca="1" si="64"/>
        <v>Not Started</v>
      </c>
      <c r="N74" s="89"/>
      <c r="O74" s="320"/>
      <c r="P74" s="89"/>
      <c r="Q74" s="89"/>
      <c r="R74" s="89"/>
      <c r="S74" s="89"/>
      <c r="T74" s="89"/>
      <c r="U74" s="89"/>
      <c r="V74" s="89"/>
      <c r="W74" s="321"/>
      <c r="X74" s="229"/>
      <c r="Z74" s="23" t="s">
        <v>156</v>
      </c>
    </row>
    <row r="75" spans="2:28" ht="30.75" customHeight="1" thickBot="1">
      <c r="B75" s="466"/>
      <c r="C75" s="313" t="s">
        <v>156</v>
      </c>
      <c r="D75" s="91" t="s">
        <v>161</v>
      </c>
      <c r="E75" s="83">
        <f t="shared" si="63"/>
        <v>2</v>
      </c>
      <c r="F75" s="40">
        <f>WORKDAY.INTL(G74,1,"0000110",$AD$5:$AD$9)</f>
        <v>46364</v>
      </c>
      <c r="G75" s="40">
        <f>WORKDAY.INTL(F75,1,"0000110",$AD$5:$AD$9)</f>
        <v>46365</v>
      </c>
      <c r="H75" s="40">
        <f>WORKDAY.INTL(I74,1,"0000110",$AD$5:$AD$9)</f>
        <v>46364</v>
      </c>
      <c r="I75" s="40">
        <f>WORKDAY.INTL(H75,1,"0000110",$AD$5:$AD$9)</f>
        <v>46365</v>
      </c>
      <c r="J75" s="40"/>
      <c r="K75" s="40"/>
      <c r="L75" s="41">
        <v>0</v>
      </c>
      <c r="M75" s="41" t="str">
        <f t="shared" ca="1" si="64"/>
        <v>Not Started</v>
      </c>
      <c r="N75" s="91"/>
      <c r="O75" s="314"/>
      <c r="P75" s="91"/>
      <c r="Q75" s="91"/>
      <c r="R75" s="91"/>
      <c r="S75" s="91"/>
      <c r="T75" s="91"/>
      <c r="U75" s="91"/>
      <c r="V75" s="91"/>
      <c r="W75" s="323"/>
      <c r="X75" s="229"/>
      <c r="Z75" s="23" t="s">
        <v>156</v>
      </c>
    </row>
  </sheetData>
  <mergeCells count="15">
    <mergeCell ref="B70:B75"/>
    <mergeCell ref="B64:B68"/>
    <mergeCell ref="C64:C68"/>
    <mergeCell ref="B5:B9"/>
    <mergeCell ref="B11:B14"/>
    <mergeCell ref="B16:B19"/>
    <mergeCell ref="B21:B24"/>
    <mergeCell ref="B26:B29"/>
    <mergeCell ref="B31:B34"/>
    <mergeCell ref="B36:B39"/>
    <mergeCell ref="B41:B44"/>
    <mergeCell ref="B46:B48"/>
    <mergeCell ref="B52:B56"/>
    <mergeCell ref="B58:B59"/>
    <mergeCell ref="B61:B62"/>
  </mergeCells>
  <conditionalFormatting sqref="M1:M1048576">
    <cfRule type="cellIs" dxfId="17" priority="4" operator="equal">
      <formula>"Delayed"</formula>
    </cfRule>
    <cfRule type="cellIs" dxfId="16" priority="5" operator="equal">
      <formula>"In Progress"</formula>
    </cfRule>
    <cfRule type="cellIs" dxfId="15" priority="6" operator="equal">
      <formula>"Completed"</formula>
    </cfRule>
  </conditionalFormatting>
  <conditionalFormatting sqref="N2">
    <cfRule type="cellIs" dxfId="14" priority="1" operator="equal">
      <formula>"Delayed"</formula>
    </cfRule>
    <cfRule type="cellIs" dxfId="13" priority="2" operator="equal">
      <formula>"In Progress"</formula>
    </cfRule>
    <cfRule type="cellIs" dxfId="12" priority="3" operator="equal">
      <formula>"Completed"</formula>
    </cfRule>
  </conditionalFormatting>
  <dataValidations disablePrompts="1" count="1">
    <dataValidation type="list" allowBlank="1" showInputMessage="1" showErrorMessage="1" sqref="X64:X68 X50 X70:X75" xr:uid="{00000000-0002-0000-0300-000000000000}">
      <formula1>$Y$2:$Y$5</formula1>
    </dataValidation>
  </dataValidations>
  <pageMargins left="0.7" right="0.7" top="0.75" bottom="0.75" header="0.3" footer="0.3"/>
  <pageSetup paperSize="9"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8"/>
  <dimension ref="B1:AF88"/>
  <sheetViews>
    <sheetView showGridLines="0" zoomScaleNormal="100" workbookViewId="0">
      <pane ySplit="2" topLeftCell="A5" activePane="bottomLeft" state="frozen"/>
      <selection pane="bottomLeft" activeCell="O2" sqref="O2"/>
    </sheetView>
  </sheetViews>
  <sheetFormatPr defaultColWidth="9" defaultRowHeight="15.75"/>
  <cols>
    <col min="1" max="1" width="0.75" style="230" customWidth="1"/>
    <col min="2" max="2" width="16" style="230" customWidth="1"/>
    <col min="3" max="3" width="16" style="230" hidden="1" customWidth="1"/>
    <col min="4" max="4" width="32.375" style="230" customWidth="1"/>
    <col min="5" max="5" width="14.75" style="229" bestFit="1" customWidth="1"/>
    <col min="6" max="6" width="15.875" style="233" bestFit="1" customWidth="1"/>
    <col min="7" max="7" width="14.25" style="233" customWidth="1"/>
    <col min="8" max="8" width="17" style="233" hidden="1" customWidth="1"/>
    <col min="9" max="9" width="18.25" style="233" hidden="1" customWidth="1"/>
    <col min="10" max="10" width="27.625" style="233" bestFit="1" customWidth="1"/>
    <col min="11" max="11" width="29.125" style="233" bestFit="1" customWidth="1"/>
    <col min="12" max="12" width="12.375" style="316" customWidth="1"/>
    <col min="13" max="13" width="16.25" style="316" customWidth="1"/>
    <col min="14" max="14" width="0.25" style="230" customWidth="1"/>
    <col min="15" max="15" width="32.375" style="230" customWidth="1"/>
    <col min="16" max="16" width="0.875" style="274" customWidth="1"/>
    <col min="17" max="23" width="9.125" style="230" customWidth="1"/>
    <col min="24" max="24" width="42.75" style="260" customWidth="1"/>
    <col min="25" max="25" width="15.5" style="230" bestFit="1" customWidth="1"/>
    <col min="26" max="26" width="9" style="230"/>
    <col min="27" max="27" width="9.125" style="230" customWidth="1"/>
    <col min="28" max="28" width="12.25" style="231" customWidth="1"/>
    <col min="29" max="29" width="10.125" style="231" customWidth="1"/>
    <col min="30" max="30" width="10.125" style="230" customWidth="1"/>
    <col min="31" max="31" width="9.125" style="230" customWidth="1"/>
    <col min="32" max="16384" width="9" style="230"/>
  </cols>
  <sheetData>
    <row r="1" spans="2:32" ht="5.45" customHeight="1">
      <c r="F1" s="257"/>
      <c r="G1" s="257"/>
      <c r="H1" s="257"/>
      <c r="I1" s="257"/>
      <c r="J1" s="257"/>
      <c r="K1" s="257"/>
      <c r="L1" s="258">
        <v>0</v>
      </c>
      <c r="M1" s="258"/>
      <c r="N1" s="259"/>
      <c r="P1" s="346"/>
    </row>
    <row r="2" spans="2:32" ht="24" customHeight="1" thickBot="1">
      <c r="B2" s="261"/>
      <c r="C2" s="261" t="s">
        <v>96</v>
      </c>
      <c r="D2" s="13" t="s">
        <v>1</v>
      </c>
      <c r="E2" s="13" t="s">
        <v>97</v>
      </c>
      <c r="F2" s="14" t="s">
        <v>98</v>
      </c>
      <c r="G2" s="14" t="s">
        <v>83</v>
      </c>
      <c r="H2" s="14" t="s">
        <v>99</v>
      </c>
      <c r="I2" s="14" t="s">
        <v>84</v>
      </c>
      <c r="J2" s="15" t="s">
        <v>100</v>
      </c>
      <c r="K2" s="15" t="s">
        <v>101</v>
      </c>
      <c r="L2" s="16" t="s">
        <v>82</v>
      </c>
      <c r="M2" s="16" t="s">
        <v>102</v>
      </c>
      <c r="N2" s="17"/>
      <c r="O2" s="109" t="s">
        <v>162</v>
      </c>
      <c r="P2" s="347"/>
      <c r="Q2" s="18">
        <v>46113</v>
      </c>
      <c r="R2" s="19">
        <v>46143</v>
      </c>
      <c r="S2" s="19">
        <v>46174</v>
      </c>
      <c r="T2" s="19">
        <v>46204</v>
      </c>
      <c r="U2" s="19">
        <v>46235</v>
      </c>
      <c r="V2" s="19">
        <v>46266</v>
      </c>
      <c r="W2" s="19">
        <v>46296</v>
      </c>
      <c r="X2" s="20" t="s">
        <v>2</v>
      </c>
      <c r="Y2" s="230" t="s">
        <v>163</v>
      </c>
    </row>
    <row r="3" spans="2:32" ht="45" hidden="1" customHeight="1">
      <c r="B3" s="262"/>
      <c r="C3" s="262"/>
      <c r="D3" s="263" t="s">
        <v>206</v>
      </c>
      <c r="E3" s="264"/>
      <c r="F3" s="331">
        <v>46160</v>
      </c>
      <c r="G3" s="331">
        <v>46172</v>
      </c>
      <c r="H3" s="331">
        <v>46160</v>
      </c>
      <c r="I3" s="331">
        <v>46172</v>
      </c>
      <c r="J3" s="331"/>
      <c r="K3" s="331"/>
      <c r="L3" s="266">
        <v>1</v>
      </c>
      <c r="M3" s="266" t="str">
        <f ca="1">IF(OR(L3=100%,K3&lt;&gt;""),"Completed",IF(AND(OR(L3="",L3=0),F3&gt;TODAY()),"Not Started",IF(AND(OR(L3="",L3=0),F3&lt;=TODAY()),"Delayed",IF(AND(L3&gt;0,L3&lt;100%,G3&lt;TODAY()),"Delayed",IF(AND(L3&gt;0,L3&lt;100%),"In Progress","")))))</f>
        <v>Completed</v>
      </c>
      <c r="N3" s="17"/>
      <c r="O3" s="263"/>
      <c r="P3" s="347"/>
      <c r="Q3" s="267"/>
      <c r="R3" s="268"/>
      <c r="S3" s="268"/>
      <c r="T3" s="268"/>
      <c r="U3" s="268"/>
      <c r="V3" s="268"/>
      <c r="W3" s="268"/>
      <c r="X3" s="269" t="s">
        <v>207</v>
      </c>
      <c r="Y3" s="230" t="s">
        <v>106</v>
      </c>
    </row>
    <row r="4" spans="2:32" s="274" customFormat="1" ht="4.5" hidden="1" customHeight="1">
      <c r="B4" s="292"/>
      <c r="C4" s="292"/>
      <c r="D4" s="292"/>
      <c r="E4" s="293"/>
      <c r="F4" s="292"/>
      <c r="G4" s="292"/>
      <c r="H4" s="292"/>
      <c r="I4" s="292"/>
      <c r="J4" s="292"/>
      <c r="K4" s="292"/>
      <c r="L4" s="294">
        <v>0</v>
      </c>
      <c r="M4" s="294"/>
      <c r="N4" s="292"/>
      <c r="O4" s="292"/>
      <c r="P4" s="292"/>
      <c r="Q4" s="292"/>
      <c r="R4" s="292"/>
      <c r="S4" s="292"/>
      <c r="T4" s="292"/>
      <c r="U4" s="292"/>
      <c r="V4" s="292"/>
      <c r="W4" s="292"/>
      <c r="X4" s="295"/>
      <c r="AB4" s="275"/>
      <c r="AC4" s="275"/>
    </row>
    <row r="5" spans="2:32" ht="60.75">
      <c r="B5" s="461" t="s">
        <v>191</v>
      </c>
      <c r="C5" s="332" t="s">
        <v>86</v>
      </c>
      <c r="D5" s="21" t="s">
        <v>105</v>
      </c>
      <c r="E5" s="22">
        <f>NETWORKDAYS.INTL(F5,G5,"0000100",$AD$5:$AD$12)</f>
        <v>8</v>
      </c>
      <c r="F5" s="23">
        <f>WORKDAY.INTL("27-Jun-26",0,"0000100")</f>
        <v>46200</v>
      </c>
      <c r="G5" s="23">
        <f>WORKDAY.INTL(F5,7,"0000100",$AD$5:$AD$11)</f>
        <v>46208</v>
      </c>
      <c r="H5" s="23">
        <f>WORKDAY.INTL("27-Jun-26",0,"0000100")</f>
        <v>46200</v>
      </c>
      <c r="I5" s="23">
        <f>WORKDAY.INTL(H5,7,"0000100",$AD$5:$AD$11)</f>
        <v>46208</v>
      </c>
      <c r="J5" s="23"/>
      <c r="K5" s="23"/>
      <c r="L5" s="24">
        <v>0.5</v>
      </c>
      <c r="M5" s="24" t="str">
        <f t="shared" ref="M5:M11" ca="1" si="0">IF(L5=100%,"Completed",IF(AND(OR(L5="",L5=0),F5&gt;TODAY()),"Not Started",IF(AND(OR(L5="",L5=0),F5&lt;=TODAY()),"Delayed",IF(AND(L5&gt;0,L5&lt;100%,G5&lt;TODAY()),"Delayed",IF(AND(L5&gt;0,L5&lt;100%,G5&gt;=TODAY()),"In Progress","")))))</f>
        <v>In Progress</v>
      </c>
      <c r="N5" s="297"/>
      <c r="O5" s="21"/>
      <c r="P5" s="297"/>
      <c r="Q5" s="298"/>
      <c r="R5" s="298"/>
      <c r="S5" s="298"/>
      <c r="T5" s="298"/>
      <c r="U5" s="298"/>
      <c r="V5" s="298"/>
      <c r="W5" s="299"/>
      <c r="X5" s="300" t="s">
        <v>208</v>
      </c>
      <c r="Y5" s="230" t="s">
        <v>113</v>
      </c>
      <c r="AA5" s="23" t="s">
        <v>62</v>
      </c>
      <c r="AB5" s="231" t="s">
        <v>68</v>
      </c>
      <c r="AD5" s="276">
        <v>46166</v>
      </c>
    </row>
    <row r="6" spans="2:32" ht="60.75">
      <c r="B6" s="462"/>
      <c r="C6" s="296" t="s">
        <v>86</v>
      </c>
      <c r="D6" s="21" t="s">
        <v>209</v>
      </c>
      <c r="E6" s="22">
        <f>NETWORKDAYS.INTL(F6,G6,"0000100",$AD$5:$AD$12)</f>
        <v>12</v>
      </c>
      <c r="F6" s="23">
        <f>WORKDAY.INTL("16-Jun-26",0,"0000100")</f>
        <v>46189</v>
      </c>
      <c r="G6" s="23">
        <f>WORKDAY.INTL(F6,11,"0000100",$AD$5:$AD$11)</f>
        <v>46202</v>
      </c>
      <c r="H6" s="23">
        <f>WORKDAY.INTL("16-Jun-26",0,"0000100")</f>
        <v>46189</v>
      </c>
      <c r="I6" s="23">
        <f>WORKDAY.INTL(H6,11,"0000100",$AD$5:$AD$11)</f>
        <v>46202</v>
      </c>
      <c r="J6" s="23"/>
      <c r="K6" s="23"/>
      <c r="L6" s="24">
        <v>1</v>
      </c>
      <c r="M6" s="24" t="str">
        <f t="shared" ca="1" si="0"/>
        <v>Completed</v>
      </c>
      <c r="N6" s="297"/>
      <c r="O6" s="21"/>
      <c r="P6" s="297"/>
      <c r="Q6" s="298"/>
      <c r="R6" s="298"/>
      <c r="S6" s="298"/>
      <c r="T6" s="298"/>
      <c r="U6" s="298"/>
      <c r="V6" s="298"/>
      <c r="W6" s="299"/>
      <c r="X6" s="300"/>
      <c r="AA6" s="231"/>
      <c r="AD6" s="276">
        <v>46167</v>
      </c>
    </row>
    <row r="7" spans="2:32" ht="60.75">
      <c r="B7" s="462"/>
      <c r="C7" s="296" t="s">
        <v>86</v>
      </c>
      <c r="D7" s="21" t="s">
        <v>210</v>
      </c>
      <c r="E7" s="22">
        <f>NETWORKDAYS.INTL(F7,G7,"0000100",$AD$5:$AD$12)</f>
        <v>11</v>
      </c>
      <c r="F7" s="23">
        <f>WORKDAY.INTL(G6,5,"0000100",$AD$5:$AD$11)</f>
        <v>46208</v>
      </c>
      <c r="G7" s="23">
        <f>WORKDAY.INTL(F7,10,"0000100",$AD$5:$AD$11)</f>
        <v>46219</v>
      </c>
      <c r="H7" s="23">
        <f>WORKDAY.INTL(I6,5,"0000100",$AD$5:$AD$11)</f>
        <v>46208</v>
      </c>
      <c r="I7" s="23">
        <f>WORKDAY.INTL(H7,10,"0000100",$AD$5:$AD$11)</f>
        <v>46219</v>
      </c>
      <c r="J7" s="23"/>
      <c r="K7" s="23"/>
      <c r="L7" s="24">
        <v>0</v>
      </c>
      <c r="M7" s="24" t="str">
        <f t="shared" ca="1" si="0"/>
        <v>Not Started</v>
      </c>
      <c r="N7" s="297"/>
      <c r="O7" s="21"/>
      <c r="P7" s="297"/>
      <c r="Q7" s="298"/>
      <c r="R7" s="298"/>
      <c r="S7" s="298"/>
      <c r="T7" s="298"/>
      <c r="U7" s="298"/>
      <c r="V7" s="298"/>
      <c r="W7" s="299"/>
      <c r="X7" s="300"/>
      <c r="AA7" s="231"/>
      <c r="AD7" s="276"/>
    </row>
    <row r="8" spans="2:32" ht="60.75">
      <c r="B8" s="462"/>
      <c r="C8" s="296" t="s">
        <v>86</v>
      </c>
      <c r="D8" s="21" t="s">
        <v>107</v>
      </c>
      <c r="E8" s="22">
        <f>NETWORKDAYS.INTL(F8,G8,"0000100",$AD$5:$AD$12)</f>
        <v>3</v>
      </c>
      <c r="F8" s="23">
        <f>WORKDAY.INTL(G5,1,"0000100",$AD$5:$AD$12)</f>
        <v>46209</v>
      </c>
      <c r="G8" s="23">
        <f>WORKDAY.INTL(F8,2,"0000100",$AF$5:$AF$11)</f>
        <v>46211</v>
      </c>
      <c r="H8" s="23">
        <f>WORKDAY.INTL(I5,1,"0000100",$AD$5:$AD$12)</f>
        <v>46209</v>
      </c>
      <c r="I8" s="23">
        <f>WORKDAY.INTL(H8,2,"0000100",$AF$5:$AF$11)</f>
        <v>46211</v>
      </c>
      <c r="J8" s="23"/>
      <c r="K8" s="23"/>
      <c r="L8" s="24">
        <v>0</v>
      </c>
      <c r="M8" s="24" t="str">
        <f t="shared" ca="1" si="0"/>
        <v>Not Started</v>
      </c>
      <c r="N8" s="297"/>
      <c r="O8" s="21"/>
      <c r="P8" s="297"/>
      <c r="Q8" s="298"/>
      <c r="R8" s="298"/>
      <c r="S8" s="298"/>
      <c r="T8" s="298"/>
      <c r="U8" s="298"/>
      <c r="V8" s="298"/>
      <c r="W8" s="299"/>
      <c r="X8" s="300"/>
      <c r="AA8" s="23" t="s">
        <v>63</v>
      </c>
      <c r="AB8" s="231" t="s">
        <v>68</v>
      </c>
      <c r="AD8" s="276">
        <v>46168</v>
      </c>
    </row>
    <row r="9" spans="2:32" ht="63">
      <c r="B9" s="462"/>
      <c r="C9" s="296" t="s">
        <v>86</v>
      </c>
      <c r="D9" s="21" t="s">
        <v>109</v>
      </c>
      <c r="E9" s="22"/>
      <c r="F9" s="23" t="s">
        <v>192</v>
      </c>
      <c r="G9" s="23">
        <v>46229</v>
      </c>
      <c r="H9" s="23" t="s">
        <v>192</v>
      </c>
      <c r="I9" s="23">
        <v>46229</v>
      </c>
      <c r="J9" s="23"/>
      <c r="K9" s="23"/>
      <c r="L9" s="24">
        <v>0.92</v>
      </c>
      <c r="M9" s="24" t="str">
        <f t="shared" ca="1" si="0"/>
        <v>In Progress</v>
      </c>
      <c r="N9" s="297"/>
      <c r="O9" s="21"/>
      <c r="P9" s="297"/>
      <c r="Q9" s="298"/>
      <c r="R9" s="298"/>
      <c r="S9" s="298"/>
      <c r="T9" s="298"/>
      <c r="U9" s="298"/>
      <c r="V9" s="298"/>
      <c r="W9" s="299"/>
      <c r="X9" s="300" t="s">
        <v>211</v>
      </c>
      <c r="AA9" s="231"/>
      <c r="AD9" s="276">
        <v>46169</v>
      </c>
    </row>
    <row r="10" spans="2:32" ht="45" customHeight="1">
      <c r="B10" s="462"/>
      <c r="C10" s="296" t="s">
        <v>86</v>
      </c>
      <c r="D10" s="26" t="s">
        <v>111</v>
      </c>
      <c r="E10" s="22">
        <f>NETWORKDAYS.INTL(F10,G10,"0000110",$AD$5:$AD$12)</f>
        <v>3</v>
      </c>
      <c r="F10" s="23">
        <f t="shared" ref="F10" si="1">MAX(WORKDAY.INTL(G7,1,"0000110"),WORKDAY.INTL(G8,1,"0000110"),WORKDAY.INTL(G9,1,"0000110"))</f>
        <v>46230</v>
      </c>
      <c r="G10" s="23">
        <f t="shared" ref="G10" si="2">WORKDAY.INTL(F10,2,"0000110")</f>
        <v>46232</v>
      </c>
      <c r="H10" s="23">
        <f t="shared" ref="H10" si="3">MAX(WORKDAY.INTL(I7,1,"0000110"),WORKDAY.INTL(I8,1,"0000110"),WORKDAY.INTL(I9,1,"0000110"))</f>
        <v>46230</v>
      </c>
      <c r="I10" s="23">
        <f t="shared" ref="I10" si="4">WORKDAY.INTL(H10,2,"0000110")</f>
        <v>46232</v>
      </c>
      <c r="J10" s="23"/>
      <c r="K10" s="23"/>
      <c r="L10" s="24">
        <v>0</v>
      </c>
      <c r="M10" s="24" t="str">
        <f t="shared" ca="1" si="0"/>
        <v>Not Started</v>
      </c>
      <c r="N10" s="297"/>
      <c r="O10" s="26"/>
      <c r="P10" s="297"/>
      <c r="Q10" s="301"/>
      <c r="R10" s="301"/>
      <c r="S10" s="301"/>
      <c r="T10" s="301"/>
      <c r="U10" s="301"/>
      <c r="V10" s="301"/>
      <c r="W10" s="302"/>
      <c r="X10" s="333" t="s">
        <v>212</v>
      </c>
      <c r="AA10" s="23" t="s">
        <v>64</v>
      </c>
      <c r="AB10" s="231" t="s">
        <v>68</v>
      </c>
      <c r="AD10" s="276">
        <v>46170</v>
      </c>
    </row>
    <row r="11" spans="2:32" ht="61.5" thickBot="1">
      <c r="B11" s="470"/>
      <c r="C11" s="296" t="s">
        <v>86</v>
      </c>
      <c r="D11" s="26" t="s">
        <v>114</v>
      </c>
      <c r="E11" s="22">
        <f>NETWORKDAYS.INTL(F11,G11,"0000110",$AD$5:$AD$12)</f>
        <v>2</v>
      </c>
      <c r="F11" s="23">
        <f t="shared" ref="F11" si="5">WORKDAY.INTL(G10,1,"0000110")</f>
        <v>46233</v>
      </c>
      <c r="G11" s="23">
        <f t="shared" ref="G11" si="6">WORKDAY.INTL(F11,1,"0000110")</f>
        <v>46236</v>
      </c>
      <c r="H11" s="23">
        <f t="shared" ref="H11" si="7">WORKDAY.INTL(I10,1,"0000110")</f>
        <v>46233</v>
      </c>
      <c r="I11" s="23">
        <f t="shared" ref="I11" si="8">WORKDAY.INTL(H11,1,"0000110")</f>
        <v>46236</v>
      </c>
      <c r="J11" s="23"/>
      <c r="K11" s="23"/>
      <c r="L11" s="24">
        <v>0</v>
      </c>
      <c r="M11" s="24" t="str">
        <f t="shared" ca="1" si="0"/>
        <v>Not Started</v>
      </c>
      <c r="N11" s="297"/>
      <c r="O11" s="26"/>
      <c r="P11" s="297"/>
      <c r="Q11" s="301"/>
      <c r="R11" s="301"/>
      <c r="S11" s="301"/>
      <c r="T11" s="301"/>
      <c r="U11" s="301"/>
      <c r="V11" s="301"/>
      <c r="W11" s="302"/>
      <c r="X11" s="300" t="s">
        <v>115</v>
      </c>
      <c r="AA11" s="23" t="s">
        <v>65</v>
      </c>
      <c r="AB11" s="231" t="s">
        <v>68</v>
      </c>
      <c r="AD11" s="276">
        <v>46171</v>
      </c>
    </row>
    <row r="12" spans="2:32" s="274" customFormat="1" ht="6.75" customHeight="1" thickBot="1">
      <c r="B12" s="292"/>
      <c r="C12" s="292"/>
      <c r="D12" s="292"/>
      <c r="E12" s="293"/>
      <c r="F12" s="292"/>
      <c r="G12" s="292"/>
      <c r="H12" s="292"/>
      <c r="I12" s="292"/>
      <c r="J12" s="292"/>
      <c r="K12" s="292"/>
      <c r="L12" s="294">
        <v>0</v>
      </c>
      <c r="M12" s="294"/>
      <c r="N12" s="292"/>
      <c r="O12" s="292"/>
      <c r="P12" s="292"/>
      <c r="Q12" s="292"/>
      <c r="R12" s="292"/>
      <c r="S12" s="292"/>
      <c r="T12" s="292"/>
      <c r="U12" s="292"/>
      <c r="V12" s="292"/>
      <c r="W12" s="292"/>
      <c r="X12" s="295"/>
      <c r="Z12" s="230"/>
      <c r="AB12" s="231" t="s">
        <v>69</v>
      </c>
      <c r="AD12" s="276">
        <v>46288</v>
      </c>
    </row>
    <row r="13" spans="2:32" ht="60.75">
      <c r="B13" s="459" t="s">
        <v>213</v>
      </c>
      <c r="C13" s="285" t="s">
        <v>86</v>
      </c>
      <c r="D13" s="27" t="s">
        <v>105</v>
      </c>
      <c r="E13" s="28">
        <f>NETWORKDAYS.INTL(F13,G13,"0000100",$AD$5:$AD$12)</f>
        <v>9</v>
      </c>
      <c r="F13" s="30">
        <f>WORKDAY.INTL(G8,1,"0000100")</f>
        <v>46212</v>
      </c>
      <c r="G13" s="30">
        <f>WORKDAY.INTL(F13,8,"0000100",$AD$5:$AD$11)</f>
        <v>46222</v>
      </c>
      <c r="H13" s="29">
        <f>WORKDAY.INTL(I8,1,"0000100")</f>
        <v>46212</v>
      </c>
      <c r="I13" s="30">
        <f>WORKDAY.INTL(H13,8,"0000100",$AD$5:$AD$11)</f>
        <v>46222</v>
      </c>
      <c r="J13" s="29"/>
      <c r="K13" s="29"/>
      <c r="L13" s="31">
        <v>0</v>
      </c>
      <c r="M13" s="31" t="str">
        <f ca="1">IF(L13=100%,"Completed",IF(AND(OR(L13="",L13=0),F13&gt;TODAY()),"Not Started",IF(AND(OR(L13="",L13=0),F13&lt;=TODAY()),"Delayed",IF(AND(L13&gt;0,L13&lt;100%,G13&lt;TODAY()),"Delayed",IF(AND(L13&gt;0,L13&lt;100%,G13&gt;=TODAY()),"In Progress","")))))</f>
        <v>Not Started</v>
      </c>
      <c r="N13" s="57"/>
      <c r="O13" s="27"/>
      <c r="P13" s="57"/>
      <c r="Q13" s="286"/>
      <c r="R13" s="286"/>
      <c r="S13" s="286"/>
      <c r="T13" s="286"/>
      <c r="U13" s="286"/>
      <c r="V13" s="286"/>
      <c r="W13" s="287"/>
      <c r="X13" s="288"/>
      <c r="AA13" s="23" t="s">
        <v>62</v>
      </c>
      <c r="AB13" s="231" t="s">
        <v>69</v>
      </c>
      <c r="AF13" s="276"/>
    </row>
    <row r="14" spans="2:32" ht="60.75">
      <c r="B14" s="460"/>
      <c r="C14" s="285" t="s">
        <v>86</v>
      </c>
      <c r="D14" s="32" t="s">
        <v>107</v>
      </c>
      <c r="E14" s="33">
        <f>NETWORKDAYS.INTL(F14,G14,"0000100",$AD$5:$AD$12)</f>
        <v>3</v>
      </c>
      <c r="F14" s="29">
        <f>WORKDAY.INTL(G13,1,"0000100",$AD$5:$AD$11)</f>
        <v>46223</v>
      </c>
      <c r="G14" s="30">
        <f>WORKDAY.INTL(F14,2,"0000100",$AD$5:$AD$11)</f>
        <v>46225</v>
      </c>
      <c r="H14" s="29">
        <f>WORKDAY.INTL(I13,1,"0000100",$AD$5:$AD$11)</f>
        <v>46223</v>
      </c>
      <c r="I14" s="30">
        <f>WORKDAY.INTL(H14,2,"0000100",$AD$5:$AD$11)</f>
        <v>46225</v>
      </c>
      <c r="J14" s="29"/>
      <c r="K14" s="29"/>
      <c r="L14" s="31">
        <v>0</v>
      </c>
      <c r="M14" s="31" t="str">
        <f ca="1">IF(L14=100%,"Completed",IF(AND(OR(L14="",L14=0),F14&gt;TODAY()),"Not Started",IF(AND(OR(L14="",L14=0),F14&lt;=TODAY()),"Delayed",IF(AND(L14&gt;0,L14&lt;100%,G14&lt;TODAY()),"Delayed",IF(AND(L14&gt;0,L14&lt;100%,G14&gt;=TODAY()),"In Progress","")))))</f>
        <v>Not Started</v>
      </c>
      <c r="N14" s="57"/>
      <c r="O14" s="32"/>
      <c r="P14" s="57"/>
      <c r="Q14" s="289"/>
      <c r="R14" s="289"/>
      <c r="S14" s="289"/>
      <c r="T14" s="289"/>
      <c r="U14" s="289"/>
      <c r="V14" s="289"/>
      <c r="W14" s="290"/>
      <c r="X14" s="291"/>
      <c r="AA14" s="23" t="s">
        <v>63</v>
      </c>
      <c r="AB14" s="231" t="s">
        <v>69</v>
      </c>
    </row>
    <row r="15" spans="2:32" ht="45" customHeight="1">
      <c r="B15" s="460"/>
      <c r="C15" s="285" t="s">
        <v>86</v>
      </c>
      <c r="D15" s="34" t="s">
        <v>111</v>
      </c>
      <c r="E15" s="33">
        <f>NETWORKDAYS.INTL(F15,G15,"0000110",$AD$5:$AD$12)</f>
        <v>5</v>
      </c>
      <c r="F15" s="29">
        <f>MAX(WORKDAY.INTL(G14,1,"0000100",$AG$5:$AG$10),WORKDAY.INTL(G10,1,"0000100",$AG$5:$AG$10))</f>
        <v>46233</v>
      </c>
      <c r="G15" s="29">
        <f t="shared" ref="G15" si="9">WORKDAY.INTL(F15,4,"0000110")</f>
        <v>46239</v>
      </c>
      <c r="H15" s="29">
        <f>MAX(WORKDAY.INTL(I14,1,"0000100",$AG$5:$AG$10),WORKDAY.INTL(I10,1,"0000100",$AG$5:$AG$10))</f>
        <v>46233</v>
      </c>
      <c r="I15" s="29">
        <f t="shared" ref="I15" si="10">WORKDAY.INTL(H15,4,"0000110")</f>
        <v>46239</v>
      </c>
      <c r="J15" s="29"/>
      <c r="K15" s="29"/>
      <c r="L15" s="35">
        <v>0</v>
      </c>
      <c r="M15" s="35" t="str">
        <f ca="1">IF(L15=100%,"Completed",IF(AND(OR(L15="",L15=0),F15&gt;TODAY()),"Not Started",IF(AND(OR(L15="",L15=0),F15&lt;=TODAY()),"Delayed",IF(AND(L15&gt;0,L15&lt;100%,G15&lt;TODAY()),"Delayed",IF(AND(L15&gt;0,L15&lt;100%,G15&gt;=TODAY()),"In Progress","")))))</f>
        <v>Not Started</v>
      </c>
      <c r="N15" s="57"/>
      <c r="O15" s="34"/>
      <c r="P15" s="57"/>
      <c r="Q15" s="58"/>
      <c r="R15" s="58"/>
      <c r="S15" s="58"/>
      <c r="T15" s="58"/>
      <c r="U15" s="58"/>
      <c r="V15" s="58"/>
      <c r="W15" s="59"/>
      <c r="X15" s="291" t="s">
        <v>212</v>
      </c>
      <c r="AA15" s="23" t="s">
        <v>64</v>
      </c>
      <c r="AB15" s="231" t="s">
        <v>69</v>
      </c>
    </row>
    <row r="16" spans="2:32" ht="61.5" thickBot="1">
      <c r="B16" s="497"/>
      <c r="C16" s="285" t="s">
        <v>86</v>
      </c>
      <c r="D16" s="34" t="s">
        <v>114</v>
      </c>
      <c r="E16" s="33">
        <f>NETWORKDAYS.INTL(F16,G16,"0000110",$AD$5:$AD$12)</f>
        <v>2</v>
      </c>
      <c r="F16" s="29">
        <f t="shared" ref="F16" si="11">WORKDAY.INTL(G15,1,"0000110")</f>
        <v>46240</v>
      </c>
      <c r="G16" s="29">
        <f t="shared" ref="G16" si="12">WORKDAY.INTL(F16,1,"0000110")</f>
        <v>46243</v>
      </c>
      <c r="H16" s="29">
        <f t="shared" ref="H16" si="13">WORKDAY.INTL(I15,1,"0000110")</f>
        <v>46240</v>
      </c>
      <c r="I16" s="29">
        <f t="shared" ref="I16" si="14">WORKDAY.INTL(H16,1,"0000110")</f>
        <v>46243</v>
      </c>
      <c r="J16" s="29"/>
      <c r="K16" s="29"/>
      <c r="L16" s="35">
        <v>0</v>
      </c>
      <c r="M16" s="35" t="str">
        <f ca="1">IF(L16=100%,"Completed",IF(AND(OR(L16="",L16=0),F16&gt;TODAY()),"Not Started",IF(AND(OR(L16="",L16=0),F16&lt;=TODAY()),"Delayed",IF(AND(L16&gt;0,L16&lt;100%,G16&lt;TODAY()),"Delayed",IF(AND(L16&gt;0,L16&lt;100%,G16&gt;=TODAY()),"In Progress","")))))</f>
        <v>Not Started</v>
      </c>
      <c r="N16" s="57"/>
      <c r="O16" s="34"/>
      <c r="P16" s="57"/>
      <c r="Q16" s="58"/>
      <c r="R16" s="58"/>
      <c r="S16" s="58"/>
      <c r="T16" s="58"/>
      <c r="U16" s="58"/>
      <c r="V16" s="58"/>
      <c r="W16" s="59"/>
      <c r="X16" s="291" t="s">
        <v>115</v>
      </c>
      <c r="AA16" s="23" t="s">
        <v>65</v>
      </c>
      <c r="AB16" s="231" t="s">
        <v>69</v>
      </c>
    </row>
    <row r="17" spans="2:32" s="274" customFormat="1" ht="8.25" customHeight="1" thickBot="1">
      <c r="B17" s="292"/>
      <c r="C17" s="292"/>
      <c r="D17" s="292"/>
      <c r="E17" s="293"/>
      <c r="F17" s="292"/>
      <c r="G17" s="292"/>
      <c r="H17" s="292"/>
      <c r="I17" s="292"/>
      <c r="J17" s="292"/>
      <c r="K17" s="292"/>
      <c r="L17" s="294">
        <v>0</v>
      </c>
      <c r="M17" s="294"/>
      <c r="N17" s="292"/>
      <c r="O17" s="292"/>
      <c r="P17" s="292"/>
      <c r="Q17" s="292"/>
      <c r="R17" s="292"/>
      <c r="S17" s="292"/>
      <c r="T17" s="292"/>
      <c r="U17" s="292"/>
      <c r="V17" s="292"/>
      <c r="W17" s="292"/>
      <c r="X17" s="295"/>
      <c r="AA17" s="275"/>
      <c r="AB17" s="275" t="s">
        <v>70</v>
      </c>
    </row>
    <row r="18" spans="2:32" ht="60.75">
      <c r="B18" s="461" t="s">
        <v>214</v>
      </c>
      <c r="C18" s="296" t="s">
        <v>86</v>
      </c>
      <c r="D18" s="21" t="s">
        <v>105</v>
      </c>
      <c r="E18" s="22">
        <f>NETWORKDAYS.INTL(F18,G18,"0000100",$AD$5:$AD$12)</f>
        <v>9</v>
      </c>
      <c r="F18" s="23">
        <f>WORKDAY.INTL(G14,1,"0000100")</f>
        <v>46226</v>
      </c>
      <c r="G18" s="23">
        <f>WORKDAY.INTL(F18,8,"0000100",$AD$5:$AD$11)</f>
        <v>46236</v>
      </c>
      <c r="H18" s="23">
        <f>WORKDAY.INTL(I14,1,"0000100")</f>
        <v>46226</v>
      </c>
      <c r="I18" s="23">
        <f>WORKDAY.INTL(H18,8,"0000100",$AD$5:$AD$11)</f>
        <v>46236</v>
      </c>
      <c r="J18" s="23"/>
      <c r="K18" s="23"/>
      <c r="L18" s="24">
        <v>0</v>
      </c>
      <c r="M18" s="24" t="str">
        <f ca="1">IF(L18=100%,"Completed",IF(AND(OR(L18="",L18=0),F18&gt;TODAY()),"Not Started",IF(AND(OR(L18="",L18=0),F18&lt;=TODAY()),"Delayed",IF(AND(L18&gt;0,L18&lt;100%,G18&lt;TODAY()),"Delayed",IF(AND(L18&gt;0,L18&lt;100%,G18&gt;=TODAY()),"In Progress","")))))</f>
        <v>Not Started</v>
      </c>
      <c r="N18" s="297"/>
      <c r="O18" s="21"/>
      <c r="P18" s="297"/>
      <c r="Q18" s="298"/>
      <c r="R18" s="298"/>
      <c r="S18" s="298"/>
      <c r="T18" s="298"/>
      <c r="U18" s="298"/>
      <c r="V18" s="298"/>
      <c r="W18" s="299"/>
      <c r="X18" s="300"/>
      <c r="AA18" s="23" t="s">
        <v>62</v>
      </c>
      <c r="AB18" s="231" t="s">
        <v>70</v>
      </c>
    </row>
    <row r="19" spans="2:32" ht="60.75">
      <c r="B19" s="462"/>
      <c r="C19" s="296" t="s">
        <v>86</v>
      </c>
      <c r="D19" s="21" t="s">
        <v>107</v>
      </c>
      <c r="E19" s="22">
        <f>NETWORKDAYS.INTL(F19,G19,"0000100",$AD$5:$AD$12)</f>
        <v>3</v>
      </c>
      <c r="F19" s="23">
        <f>WORKDAY.INTL(G18,1,"0000100",$AD$5:$AD$11)</f>
        <v>46237</v>
      </c>
      <c r="G19" s="23">
        <f>WORKDAY.INTL(F19,2,"0000100",$AD$5:$AD$11)</f>
        <v>46239</v>
      </c>
      <c r="H19" s="23">
        <f>WORKDAY.INTL(I18,1,"0000100",$AD$5:$AD$11)</f>
        <v>46237</v>
      </c>
      <c r="I19" s="23">
        <f>WORKDAY.INTL(H19,2,"0000100",$AD$5:$AD$11)</f>
        <v>46239</v>
      </c>
      <c r="J19" s="23"/>
      <c r="K19" s="23"/>
      <c r="L19" s="24">
        <v>0</v>
      </c>
      <c r="M19" s="24" t="str">
        <f ca="1">IF(L19=100%,"Completed",IF(AND(OR(L19="",L19=0),F19&gt;TODAY()),"Not Started",IF(AND(OR(L19="",L19=0),F19&lt;=TODAY()),"Delayed",IF(AND(L19&gt;0,L19&lt;100%,G19&lt;TODAY()),"Delayed",IF(AND(L19&gt;0,L19&lt;100%,G19&gt;=TODAY()),"In Progress","")))))</f>
        <v>Not Started</v>
      </c>
      <c r="N19" s="297"/>
      <c r="O19" s="21"/>
      <c r="P19" s="297"/>
      <c r="Q19" s="298"/>
      <c r="R19" s="298"/>
      <c r="S19" s="298"/>
      <c r="T19" s="298"/>
      <c r="U19" s="298"/>
      <c r="V19" s="298"/>
      <c r="W19" s="299"/>
      <c r="X19" s="300"/>
      <c r="AA19" s="23" t="s">
        <v>63</v>
      </c>
      <c r="AB19" s="231" t="s">
        <v>70</v>
      </c>
    </row>
    <row r="20" spans="2:32" ht="45" customHeight="1">
      <c r="B20" s="462"/>
      <c r="C20" s="296" t="s">
        <v>86</v>
      </c>
      <c r="D20" s="21" t="s">
        <v>111</v>
      </c>
      <c r="E20" s="22">
        <f>NETWORKDAYS.INTL(F20,G20,"0000110",$AD$5:$AD$12)</f>
        <v>7</v>
      </c>
      <c r="F20" s="23">
        <f>MAX(WORKDAY.INTL(G19,1,"0000100",$AG$5:$AG$10),WORKDAY.INTL(G15,1,"0000100",$AG$5:$AG$10))</f>
        <v>46240</v>
      </c>
      <c r="G20" s="23">
        <f t="shared" ref="G20" si="15">WORKDAY.INTL(F20,6,"0000110")</f>
        <v>46250</v>
      </c>
      <c r="H20" s="23">
        <f>MAX(WORKDAY.INTL(I19,1,"0000100",$AG$5:$AG$10),WORKDAY.INTL(I15,1,"0000100",$AG$5:$AG$10))</f>
        <v>46240</v>
      </c>
      <c r="I20" s="23">
        <f t="shared" ref="I20" si="16">WORKDAY.INTL(H20,6,"0000110")</f>
        <v>46250</v>
      </c>
      <c r="J20" s="23"/>
      <c r="K20" s="23"/>
      <c r="L20" s="24">
        <v>0</v>
      </c>
      <c r="M20" s="24" t="str">
        <f ca="1">IF(L20=100%,"Completed",IF(AND(OR(L20="",L20=0),F20&gt;TODAY()),"Not Started",IF(AND(OR(L20="",L20=0),F20&lt;=TODAY()),"Delayed",IF(AND(L20&gt;0,L20&lt;100%,G20&lt;TODAY()),"Delayed",IF(AND(L20&gt;0,L20&lt;100%,G20&gt;=TODAY()),"In Progress","")))))</f>
        <v>Not Started</v>
      </c>
      <c r="N20" s="297"/>
      <c r="O20" s="21"/>
      <c r="P20" s="297"/>
      <c r="Q20" s="298"/>
      <c r="R20" s="298"/>
      <c r="S20" s="298"/>
      <c r="T20" s="298"/>
      <c r="U20" s="298"/>
      <c r="V20" s="298"/>
      <c r="W20" s="299"/>
      <c r="X20" s="300" t="s">
        <v>212</v>
      </c>
      <c r="AA20" s="23" t="s">
        <v>64</v>
      </c>
      <c r="AB20" s="231" t="s">
        <v>70</v>
      </c>
    </row>
    <row r="21" spans="2:32" ht="61.5" thickBot="1">
      <c r="B21" s="470"/>
      <c r="C21" s="296" t="s">
        <v>86</v>
      </c>
      <c r="D21" s="26" t="s">
        <v>114</v>
      </c>
      <c r="E21" s="22">
        <f>NETWORKDAYS.INTL(F21,G21,"0000110",$AD$5:$AD$12)</f>
        <v>2</v>
      </c>
      <c r="F21" s="23">
        <f t="shared" ref="F21" si="17">WORKDAY.INTL(G20,1,"0000110")</f>
        <v>46251</v>
      </c>
      <c r="G21" s="23">
        <f t="shared" ref="G21" si="18">WORKDAY.INTL(F21,1,"0000110")</f>
        <v>46252</v>
      </c>
      <c r="H21" s="23">
        <f t="shared" ref="H21" si="19">WORKDAY.INTL(I20,1,"0000110")</f>
        <v>46251</v>
      </c>
      <c r="I21" s="23">
        <f t="shared" ref="I21" si="20">WORKDAY.INTL(H21,1,"0000110")</f>
        <v>46252</v>
      </c>
      <c r="J21" s="23"/>
      <c r="K21" s="23"/>
      <c r="L21" s="24">
        <v>0</v>
      </c>
      <c r="M21" s="24" t="str">
        <f ca="1">IF(L21=100%,"Completed",IF(AND(OR(L21="",L21=0),F21&gt;TODAY()),"Not Started",IF(AND(OR(L21="",L21=0),F21&lt;=TODAY()),"Delayed",IF(AND(L21&gt;0,L21&lt;100%,G21&lt;TODAY()),"Delayed",IF(AND(L21&gt;0,L21&lt;100%,G21&gt;=TODAY()),"In Progress","")))))</f>
        <v>Not Started</v>
      </c>
      <c r="N21" s="297"/>
      <c r="O21" s="26"/>
      <c r="P21" s="297"/>
      <c r="Q21" s="301"/>
      <c r="R21" s="301"/>
      <c r="S21" s="301"/>
      <c r="T21" s="301"/>
      <c r="U21" s="301"/>
      <c r="V21" s="301"/>
      <c r="W21" s="302"/>
      <c r="X21" s="300" t="s">
        <v>115</v>
      </c>
      <c r="AA21" s="23" t="s">
        <v>65</v>
      </c>
      <c r="AB21" s="231" t="s">
        <v>70</v>
      </c>
    </row>
    <row r="22" spans="2:32" s="274" customFormat="1" ht="6.75" customHeight="1" thickBot="1">
      <c r="B22" s="292"/>
      <c r="C22" s="292"/>
      <c r="D22" s="292"/>
      <c r="E22" s="293"/>
      <c r="F22" s="292"/>
      <c r="G22" s="292"/>
      <c r="H22" s="292"/>
      <c r="I22" s="292"/>
      <c r="J22" s="292"/>
      <c r="K22" s="292"/>
      <c r="L22" s="294"/>
      <c r="M22" s="294"/>
      <c r="N22" s="292"/>
      <c r="O22" s="292"/>
      <c r="P22" s="292"/>
      <c r="Q22" s="292"/>
      <c r="R22" s="292"/>
      <c r="S22" s="292"/>
      <c r="T22" s="292"/>
      <c r="U22" s="292"/>
      <c r="V22" s="292"/>
      <c r="W22" s="292"/>
      <c r="X22" s="295"/>
      <c r="AA22" s="275"/>
      <c r="AB22" s="275" t="s">
        <v>71</v>
      </c>
    </row>
    <row r="23" spans="2:32" ht="60.75">
      <c r="B23" s="459" t="s">
        <v>215</v>
      </c>
      <c r="C23" s="285" t="s">
        <v>86</v>
      </c>
      <c r="D23" s="27" t="s">
        <v>105</v>
      </c>
      <c r="E23" s="28">
        <f>NETWORKDAYS.INTL(F23,G23,"0000100",$AD$5:$AD$12)</f>
        <v>9</v>
      </c>
      <c r="F23" s="29">
        <f>WORKDAY.INTL(G19,1,"0000100",$AD$5:$AD$11)</f>
        <v>46240</v>
      </c>
      <c r="G23" s="30">
        <f>WORKDAY.INTL(F23,8,"0000100",$AD$5:$AD$11)</f>
        <v>46250</v>
      </c>
      <c r="H23" s="29">
        <f>WORKDAY.INTL(I19,1,"0000100",$AD$5:$AD$11)</f>
        <v>46240</v>
      </c>
      <c r="I23" s="30">
        <f>WORKDAY.INTL(H23,8,"0000100",$AD$5:$AD$11)</f>
        <v>46250</v>
      </c>
      <c r="J23" s="29"/>
      <c r="K23" s="29"/>
      <c r="L23" s="31">
        <v>0</v>
      </c>
      <c r="M23" s="31" t="str">
        <f ca="1">IF(L23=100%,"Completed",IF(AND(OR(L23="",L23=0),F23&gt;TODAY()),"Not Started",IF(AND(OR(L23="",L23=0),F23&lt;=TODAY()),"Delayed",IF(AND(L23&gt;0,L23&lt;100%,G23&lt;TODAY()),"Delayed",IF(AND(L23&gt;0,L23&lt;100%,G23&gt;=TODAY()),"In Progress","")))))</f>
        <v>Not Started</v>
      </c>
      <c r="N23" s="57"/>
      <c r="O23" s="27"/>
      <c r="P23" s="57"/>
      <c r="Q23" s="286"/>
      <c r="R23" s="286"/>
      <c r="S23" s="286"/>
      <c r="T23" s="286"/>
      <c r="U23" s="286"/>
      <c r="V23" s="286"/>
      <c r="W23" s="287"/>
      <c r="X23" s="288"/>
      <c r="AA23" s="23" t="s">
        <v>62</v>
      </c>
      <c r="AB23" s="231" t="s">
        <v>71</v>
      </c>
      <c r="AF23" s="276"/>
    </row>
    <row r="24" spans="2:32" ht="60.75">
      <c r="B24" s="460"/>
      <c r="C24" s="285" t="s">
        <v>86</v>
      </c>
      <c r="D24" s="32" t="s">
        <v>107</v>
      </c>
      <c r="E24" s="33">
        <f>NETWORKDAYS.INTL(F24,G24,"0000100",$AD$5:$AD$12)</f>
        <v>3</v>
      </c>
      <c r="F24" s="29">
        <f>WORKDAY.INTL(G23,1,"0000100",$AD$5:$AD$11)</f>
        <v>46251</v>
      </c>
      <c r="G24" s="30">
        <f>WORKDAY.INTL(F24,2,"0000100",$AD$5:$AD$11)</f>
        <v>46253</v>
      </c>
      <c r="H24" s="29">
        <f>WORKDAY.INTL(I23,1,"0000100",$AD$5:$AD$11)</f>
        <v>46251</v>
      </c>
      <c r="I24" s="30">
        <f>WORKDAY.INTL(H24,2,"0000100",$AD$5:$AD$11)</f>
        <v>46253</v>
      </c>
      <c r="J24" s="29"/>
      <c r="K24" s="29"/>
      <c r="L24" s="31">
        <v>0</v>
      </c>
      <c r="M24" s="31" t="str">
        <f ca="1">IF(L24=100%,"Completed",IF(AND(OR(L24="",L24=0),F24&gt;TODAY()),"Not Started",IF(AND(OR(L24="",L24=0),F24&lt;=TODAY()),"Delayed",IF(AND(L24&gt;0,L24&lt;100%,G24&lt;TODAY()),"Delayed",IF(AND(L24&gt;0,L24&lt;100%,G24&gt;=TODAY()),"In Progress","")))))</f>
        <v>Not Started</v>
      </c>
      <c r="N24" s="57"/>
      <c r="O24" s="32"/>
      <c r="P24" s="57"/>
      <c r="Q24" s="289"/>
      <c r="R24" s="289"/>
      <c r="S24" s="289"/>
      <c r="T24" s="289"/>
      <c r="U24" s="289"/>
      <c r="V24" s="289"/>
      <c r="W24" s="290"/>
      <c r="X24" s="291"/>
      <c r="AA24" s="23" t="s">
        <v>63</v>
      </c>
      <c r="AB24" s="231" t="s">
        <v>71</v>
      </c>
    </row>
    <row r="25" spans="2:32" ht="45" customHeight="1">
      <c r="B25" s="460"/>
      <c r="C25" s="285" t="s">
        <v>86</v>
      </c>
      <c r="D25" s="34" t="s">
        <v>111</v>
      </c>
      <c r="E25" s="33">
        <f>NETWORKDAYS.INTL(F25,G25,"0000110",$AD$5:$AD$12)</f>
        <v>7</v>
      </c>
      <c r="F25" s="29">
        <f>MAX(WORKDAY.INTL(G24,1,"0000100",$AG$5:$AG$10),WORKDAY.INTL(G20,1,"0000100",$AG$5:$AG$10))</f>
        <v>46254</v>
      </c>
      <c r="G25" s="29">
        <f t="shared" ref="G25" si="21">WORKDAY.INTL(F25,6,"0000110")</f>
        <v>46264</v>
      </c>
      <c r="H25" s="29">
        <f>MAX(WORKDAY.INTL(I24,1,"0000100",$AG$5:$AG$10),WORKDAY.INTL(I20,1,"0000100",$AG$5:$AG$10))</f>
        <v>46254</v>
      </c>
      <c r="I25" s="29">
        <f t="shared" ref="I25" si="22">WORKDAY.INTL(H25,6,"0000110")</f>
        <v>46264</v>
      </c>
      <c r="J25" s="29"/>
      <c r="K25" s="29"/>
      <c r="L25" s="35">
        <v>0</v>
      </c>
      <c r="M25" s="35" t="str">
        <f ca="1">IF(L25=100%,"Completed",IF(AND(OR(L25="",L25=0),F25&gt;TODAY()),"Not Started",IF(AND(OR(L25="",L25=0),F25&lt;=TODAY()),"Delayed",IF(AND(L25&gt;0,L25&lt;100%,G25&lt;TODAY()),"Delayed",IF(AND(L25&gt;0,L25&lt;100%,G25&gt;=TODAY()),"In Progress","")))))</f>
        <v>Not Started</v>
      </c>
      <c r="N25" s="57"/>
      <c r="O25" s="34"/>
      <c r="P25" s="57"/>
      <c r="Q25" s="58"/>
      <c r="R25" s="58"/>
      <c r="S25" s="58"/>
      <c r="T25" s="58"/>
      <c r="U25" s="58"/>
      <c r="V25" s="58"/>
      <c r="W25" s="59"/>
      <c r="X25" s="291" t="s">
        <v>212</v>
      </c>
      <c r="AA25" s="23" t="s">
        <v>64</v>
      </c>
      <c r="AB25" s="231" t="s">
        <v>71</v>
      </c>
    </row>
    <row r="26" spans="2:32" ht="61.5" thickBot="1">
      <c r="B26" s="497"/>
      <c r="C26" s="285" t="s">
        <v>86</v>
      </c>
      <c r="D26" s="34" t="s">
        <v>114</v>
      </c>
      <c r="E26" s="33">
        <f>NETWORKDAYS.INTL(F26,G26,"0000110",$AD$5:$AD$12)</f>
        <v>2</v>
      </c>
      <c r="F26" s="29">
        <f t="shared" ref="F26" si="23">WORKDAY.INTL(G25,1,"0000110")</f>
        <v>46265</v>
      </c>
      <c r="G26" s="29">
        <f t="shared" ref="G26" si="24">WORKDAY.INTL(F26,1,"0000110")</f>
        <v>46266</v>
      </c>
      <c r="H26" s="29">
        <f t="shared" ref="H26" si="25">WORKDAY.INTL(I25,1,"0000110")</f>
        <v>46265</v>
      </c>
      <c r="I26" s="29">
        <f t="shared" ref="I26" si="26">WORKDAY.INTL(H26,1,"0000110")</f>
        <v>46266</v>
      </c>
      <c r="J26" s="29"/>
      <c r="K26" s="29"/>
      <c r="L26" s="35">
        <v>0</v>
      </c>
      <c r="M26" s="35" t="str">
        <f ca="1">IF(L26=100%,"Completed",IF(AND(OR(L26="",L26=0),F26&gt;TODAY()),"Not Started",IF(AND(OR(L26="",L26=0),F26&lt;=TODAY()),"Delayed",IF(AND(L26&gt;0,L26&lt;100%,G26&lt;TODAY()),"Delayed",IF(AND(L26&gt;0,L26&lt;100%,G26&gt;=TODAY()),"In Progress","")))))</f>
        <v>Not Started</v>
      </c>
      <c r="N26" s="57"/>
      <c r="O26" s="34"/>
      <c r="P26" s="57"/>
      <c r="Q26" s="58"/>
      <c r="R26" s="58"/>
      <c r="S26" s="58"/>
      <c r="T26" s="58"/>
      <c r="U26" s="58"/>
      <c r="V26" s="58"/>
      <c r="W26" s="59"/>
      <c r="X26" s="291" t="s">
        <v>115</v>
      </c>
      <c r="AA26" s="23" t="s">
        <v>65</v>
      </c>
      <c r="AB26" s="231" t="s">
        <v>71</v>
      </c>
    </row>
    <row r="27" spans="2:32" s="274" customFormat="1" ht="7.5" customHeight="1" thickBot="1">
      <c r="B27" s="292"/>
      <c r="C27" s="292"/>
      <c r="D27" s="292"/>
      <c r="E27" s="293"/>
      <c r="F27" s="292"/>
      <c r="G27" s="292"/>
      <c r="H27" s="292"/>
      <c r="I27" s="292"/>
      <c r="J27" s="292"/>
      <c r="K27" s="292"/>
      <c r="L27" s="294"/>
      <c r="M27" s="294"/>
      <c r="N27" s="292"/>
      <c r="O27" s="292"/>
      <c r="P27" s="292"/>
      <c r="Q27" s="292"/>
      <c r="R27" s="292"/>
      <c r="S27" s="292"/>
      <c r="T27" s="292"/>
      <c r="U27" s="292"/>
      <c r="V27" s="292"/>
      <c r="W27" s="292"/>
      <c r="X27" s="295"/>
      <c r="AA27" s="275"/>
      <c r="AB27" s="275" t="s">
        <v>72</v>
      </c>
    </row>
    <row r="28" spans="2:32" ht="60.75">
      <c r="B28" s="461" t="s">
        <v>216</v>
      </c>
      <c r="C28" s="296" t="s">
        <v>86</v>
      </c>
      <c r="D28" s="21" t="s">
        <v>105</v>
      </c>
      <c r="E28" s="22">
        <f>NETWORKDAYS.INTL(F28,G28,"0000100",$AD$5:$AD$12)</f>
        <v>9</v>
      </c>
      <c r="F28" s="23">
        <f>WORKDAY.INTL(G24,1,"0000100",$AD$5:$AD$11)</f>
        <v>46254</v>
      </c>
      <c r="G28" s="23">
        <f>WORKDAY.INTL(F28,8,"0000100",$AD$5:$AD$11)</f>
        <v>46264</v>
      </c>
      <c r="H28" s="23">
        <f>WORKDAY.INTL(I24,1,"0000100",$AD$5:$AD$11)</f>
        <v>46254</v>
      </c>
      <c r="I28" s="23">
        <f>WORKDAY.INTL(H28,8,"0000100",$AD$5:$AD$11)</f>
        <v>46264</v>
      </c>
      <c r="J28" s="23"/>
      <c r="K28" s="23"/>
      <c r="L28" s="24">
        <v>0</v>
      </c>
      <c r="M28" s="24" t="str">
        <f ca="1">IF(L28=100%,"Completed",IF(AND(OR(L28="",L28=0),F28&gt;TODAY()),"Not Started",IF(AND(OR(L28="",L28=0),F28&lt;=TODAY()),"Delayed",IF(AND(L28&gt;0,L28&lt;100%,G28&lt;TODAY()),"Delayed",IF(AND(L28&gt;0,L28&lt;100%,G28&gt;=TODAY()),"In Progress","")))))</f>
        <v>Not Started</v>
      </c>
      <c r="N28" s="297"/>
      <c r="O28" s="21"/>
      <c r="P28" s="297"/>
      <c r="Q28" s="298"/>
      <c r="R28" s="298"/>
      <c r="S28" s="298"/>
      <c r="T28" s="298"/>
      <c r="U28" s="298"/>
      <c r="V28" s="298"/>
      <c r="W28" s="299"/>
      <c r="X28" s="300"/>
      <c r="AA28" s="23" t="s">
        <v>62</v>
      </c>
      <c r="AB28" s="231" t="s">
        <v>72</v>
      </c>
    </row>
    <row r="29" spans="2:32" ht="60.75">
      <c r="B29" s="462"/>
      <c r="C29" s="296" t="s">
        <v>86</v>
      </c>
      <c r="D29" s="21" t="s">
        <v>107</v>
      </c>
      <c r="E29" s="22">
        <f>NETWORKDAYS.INTL(F29,G29,"0000100",$AD$5:$AD$12)</f>
        <v>3</v>
      </c>
      <c r="F29" s="23">
        <f>WORKDAY.INTL(G28,1,"0000100",$AD$5:$AD$11)</f>
        <v>46265</v>
      </c>
      <c r="G29" s="23">
        <f>WORKDAY.INTL(F29,2,"0000100",$AD$5:$AD$11)</f>
        <v>46267</v>
      </c>
      <c r="H29" s="23">
        <f>WORKDAY.INTL(I28,1,"0000100",$AD$5:$AD$11)</f>
        <v>46265</v>
      </c>
      <c r="I29" s="23">
        <f>WORKDAY.INTL(H29,2,"0000100",$AD$5:$AD$11)</f>
        <v>46267</v>
      </c>
      <c r="J29" s="23"/>
      <c r="K29" s="23"/>
      <c r="L29" s="24">
        <v>0</v>
      </c>
      <c r="M29" s="24" t="str">
        <f ca="1">IF(L29=100%,"Completed",IF(AND(OR(L29="",L29=0),F29&gt;TODAY()),"Not Started",IF(AND(OR(L29="",L29=0),F29&lt;=TODAY()),"Delayed",IF(AND(L29&gt;0,L29&lt;100%,G29&lt;TODAY()),"Delayed",IF(AND(L29&gt;0,L29&lt;100%,G29&gt;=TODAY()),"In Progress","")))))</f>
        <v>Not Started</v>
      </c>
      <c r="N29" s="297"/>
      <c r="O29" s="21"/>
      <c r="P29" s="297"/>
      <c r="Q29" s="298"/>
      <c r="R29" s="298"/>
      <c r="S29" s="298"/>
      <c r="T29" s="298"/>
      <c r="U29" s="298"/>
      <c r="V29" s="298"/>
      <c r="W29" s="299"/>
      <c r="X29" s="300"/>
      <c r="AA29" s="23" t="s">
        <v>63</v>
      </c>
      <c r="AB29" s="231" t="s">
        <v>72</v>
      </c>
    </row>
    <row r="30" spans="2:32" ht="45" customHeight="1">
      <c r="B30" s="462"/>
      <c r="C30" s="296" t="s">
        <v>86</v>
      </c>
      <c r="D30" s="21" t="s">
        <v>111</v>
      </c>
      <c r="E30" s="22">
        <f>NETWORKDAYS.INTL(F30,G30,"0000110",$AD$5:$AD$12)</f>
        <v>7</v>
      </c>
      <c r="F30" s="23">
        <f>MAX(WORKDAY.INTL(G29,1,"0000100",$AG$5:$AG$10),WORKDAY.INTL(G25,1,"0000100",$AG$5:$AG$10))</f>
        <v>46268</v>
      </c>
      <c r="G30" s="23">
        <f t="shared" ref="G30" si="27">WORKDAY.INTL(F30,6,"0000110")</f>
        <v>46278</v>
      </c>
      <c r="H30" s="23">
        <f>MAX(WORKDAY.INTL(I29,1,"0000100",$AG$5:$AG$10),WORKDAY.INTL(I25,1,"0000100",$AG$5:$AG$10))</f>
        <v>46268</v>
      </c>
      <c r="I30" s="23">
        <f t="shared" ref="I30" si="28">WORKDAY.INTL(H30,6,"0000110")</f>
        <v>46278</v>
      </c>
      <c r="J30" s="23"/>
      <c r="K30" s="23"/>
      <c r="L30" s="24">
        <v>0</v>
      </c>
      <c r="M30" s="24" t="str">
        <f ca="1">IF(L30=100%,"Completed",IF(AND(OR(L30="",L30=0),F30&gt;TODAY()),"Not Started",IF(AND(OR(L30="",L30=0),F30&lt;=TODAY()),"Delayed",IF(AND(L30&gt;0,L30&lt;100%,G30&lt;TODAY()),"Delayed",IF(AND(L30&gt;0,L30&lt;100%,G30&gt;=TODAY()),"In Progress","")))))</f>
        <v>Not Started</v>
      </c>
      <c r="N30" s="297"/>
      <c r="O30" s="21"/>
      <c r="P30" s="297"/>
      <c r="Q30" s="298"/>
      <c r="R30" s="298"/>
      <c r="S30" s="298"/>
      <c r="T30" s="298"/>
      <c r="U30" s="298"/>
      <c r="V30" s="298"/>
      <c r="W30" s="299"/>
      <c r="X30" s="300" t="s">
        <v>212</v>
      </c>
      <c r="AA30" s="23" t="s">
        <v>64</v>
      </c>
      <c r="AB30" s="231" t="s">
        <v>72</v>
      </c>
    </row>
    <row r="31" spans="2:32" ht="61.5" thickBot="1">
      <c r="B31" s="470"/>
      <c r="C31" s="296" t="s">
        <v>86</v>
      </c>
      <c r="D31" s="26" t="s">
        <v>114</v>
      </c>
      <c r="E31" s="22">
        <f>NETWORKDAYS.INTL(F31,G31,"0000110",$AD$5:$AD$12)</f>
        <v>2</v>
      </c>
      <c r="F31" s="23">
        <f t="shared" ref="F31" si="29">WORKDAY.INTL(G30,1,"0000110")</f>
        <v>46279</v>
      </c>
      <c r="G31" s="23">
        <f t="shared" ref="G31" si="30">WORKDAY.INTL(F31,1,"0000110")</f>
        <v>46280</v>
      </c>
      <c r="H31" s="23">
        <f t="shared" ref="H31" si="31">WORKDAY.INTL(I30,1,"0000110")</f>
        <v>46279</v>
      </c>
      <c r="I31" s="23">
        <f t="shared" ref="I31" si="32">WORKDAY.INTL(H31,1,"0000110")</f>
        <v>46280</v>
      </c>
      <c r="J31" s="23"/>
      <c r="K31" s="23"/>
      <c r="L31" s="24">
        <v>0</v>
      </c>
      <c r="M31" s="24" t="str">
        <f ca="1">IF(L31=100%,"Completed",IF(AND(OR(L31="",L31=0),F31&gt;TODAY()),"Not Started",IF(AND(OR(L31="",L31=0),F31&lt;=TODAY()),"Delayed",IF(AND(L31&gt;0,L31&lt;100%,G31&lt;TODAY()),"Delayed",IF(AND(L31&gt;0,L31&lt;100%,G31&gt;=TODAY()),"In Progress","")))))</f>
        <v>Not Started</v>
      </c>
      <c r="N31" s="297"/>
      <c r="O31" s="26"/>
      <c r="P31" s="297"/>
      <c r="Q31" s="301"/>
      <c r="R31" s="301"/>
      <c r="S31" s="301"/>
      <c r="T31" s="301"/>
      <c r="U31" s="301"/>
      <c r="V31" s="301"/>
      <c r="W31" s="302"/>
      <c r="X31" s="300" t="s">
        <v>115</v>
      </c>
      <c r="AA31" s="23" t="s">
        <v>65</v>
      </c>
      <c r="AB31" s="231" t="s">
        <v>72</v>
      </c>
    </row>
    <row r="32" spans="2:32" s="274" customFormat="1" ht="9" customHeight="1" thickBot="1">
      <c r="B32" s="292"/>
      <c r="C32" s="292"/>
      <c r="D32" s="292"/>
      <c r="E32" s="293"/>
      <c r="F32" s="292"/>
      <c r="G32" s="292"/>
      <c r="H32" s="292"/>
      <c r="I32" s="292"/>
      <c r="J32" s="292"/>
      <c r="K32" s="292"/>
      <c r="L32" s="294"/>
      <c r="M32" s="294"/>
      <c r="N32" s="292"/>
      <c r="O32" s="292"/>
      <c r="P32" s="292"/>
      <c r="Q32" s="292"/>
      <c r="R32" s="292"/>
      <c r="S32" s="292"/>
      <c r="T32" s="292"/>
      <c r="U32" s="292"/>
      <c r="V32" s="292"/>
      <c r="W32" s="292"/>
      <c r="X32" s="295"/>
      <c r="AA32" s="275"/>
      <c r="AB32" s="275" t="s">
        <v>73</v>
      </c>
    </row>
    <row r="33" spans="2:32" ht="60.75">
      <c r="B33" s="459" t="s">
        <v>217</v>
      </c>
      <c r="C33" s="285" t="s">
        <v>86</v>
      </c>
      <c r="D33" s="27" t="s">
        <v>105</v>
      </c>
      <c r="E33" s="28">
        <f>NETWORKDAYS.INTL(F33,G33,"0000100",$AD$5:$AD$12)</f>
        <v>9</v>
      </c>
      <c r="F33" s="29">
        <f>WORKDAY.INTL(G29,1,"0000100",$AD$5:$AD$11)</f>
        <v>46268</v>
      </c>
      <c r="G33" s="30">
        <f>WORKDAY.INTL(F33,8,"0000100",$AD$5:$AD$11)</f>
        <v>46278</v>
      </c>
      <c r="H33" s="29">
        <f>WORKDAY.INTL(I29,1,"0000100",$AD$5:$AD$11)</f>
        <v>46268</v>
      </c>
      <c r="I33" s="30">
        <f>WORKDAY.INTL(H33,8,"0000100",$AD$5:$AD$11)</f>
        <v>46278</v>
      </c>
      <c r="J33" s="29"/>
      <c r="K33" s="29"/>
      <c r="L33" s="31">
        <v>0</v>
      </c>
      <c r="M33" s="31" t="str">
        <f ca="1">IF(L33=100%,"Completed",IF(AND(OR(L33="",L33=0),F33&gt;TODAY()),"Not Started",IF(AND(OR(L33="",L33=0),F33&lt;=TODAY()),"Delayed",IF(AND(L33&gt;0,L33&lt;100%,G33&lt;TODAY()),"Delayed",IF(AND(L33&gt;0,L33&lt;100%,G33&gt;=TODAY()),"In Progress","")))))</f>
        <v>Not Started</v>
      </c>
      <c r="N33" s="57"/>
      <c r="O33" s="27"/>
      <c r="P33" s="57"/>
      <c r="Q33" s="286"/>
      <c r="R33" s="286"/>
      <c r="S33" s="286"/>
      <c r="T33" s="286"/>
      <c r="U33" s="286"/>
      <c r="V33" s="286"/>
      <c r="W33" s="287"/>
      <c r="X33" s="288"/>
      <c r="AA33" s="23" t="s">
        <v>62</v>
      </c>
      <c r="AB33" s="231" t="s">
        <v>73</v>
      </c>
      <c r="AF33" s="276"/>
    </row>
    <row r="34" spans="2:32" ht="60.75">
      <c r="B34" s="460"/>
      <c r="C34" s="285" t="s">
        <v>86</v>
      </c>
      <c r="D34" s="32" t="s">
        <v>107</v>
      </c>
      <c r="E34" s="33">
        <f>NETWORKDAYS.INTL(F34,G34,"0000100",$AD$5:$AD$12)</f>
        <v>3</v>
      </c>
      <c r="F34" s="29">
        <f>WORKDAY.INTL(G33,1,"0000100",$AD$5:$AD$11)</f>
        <v>46279</v>
      </c>
      <c r="G34" s="30">
        <f>WORKDAY.INTL(F34,2,"0000100",$AD$5:$AD$11)</f>
        <v>46281</v>
      </c>
      <c r="H34" s="29">
        <f>WORKDAY.INTL(I33,1,"0000100",$AD$5:$AD$11)</f>
        <v>46279</v>
      </c>
      <c r="I34" s="30">
        <f>WORKDAY.INTL(H34,2,"0000100",$AD$5:$AD$11)</f>
        <v>46281</v>
      </c>
      <c r="J34" s="29"/>
      <c r="K34" s="29"/>
      <c r="L34" s="31">
        <v>0</v>
      </c>
      <c r="M34" s="31" t="str">
        <f ca="1">IF(L34=100%,"Completed",IF(AND(OR(L34="",L34=0),F34&gt;TODAY()),"Not Started",IF(AND(OR(L34="",L34=0),F34&lt;=TODAY()),"Delayed",IF(AND(L34&gt;0,L34&lt;100%,G34&lt;TODAY()),"Delayed",IF(AND(L34&gt;0,L34&lt;100%,G34&gt;=TODAY()),"In Progress","")))))</f>
        <v>Not Started</v>
      </c>
      <c r="N34" s="57"/>
      <c r="O34" s="32"/>
      <c r="P34" s="57"/>
      <c r="Q34" s="289"/>
      <c r="R34" s="289"/>
      <c r="S34" s="289"/>
      <c r="T34" s="289"/>
      <c r="U34" s="289"/>
      <c r="V34" s="289"/>
      <c r="W34" s="290"/>
      <c r="X34" s="291"/>
      <c r="AA34" s="23" t="s">
        <v>63</v>
      </c>
      <c r="AB34" s="231" t="s">
        <v>73</v>
      </c>
    </row>
    <row r="35" spans="2:32" ht="45" customHeight="1">
      <c r="B35" s="460"/>
      <c r="C35" s="285" t="s">
        <v>86</v>
      </c>
      <c r="D35" s="34" t="s">
        <v>111</v>
      </c>
      <c r="E35" s="33">
        <f>NETWORKDAYS.INTL(F35,G35,"0000110",$AD$5:$AD$12)</f>
        <v>7</v>
      </c>
      <c r="F35" s="29">
        <f>MAX(WORKDAY.INTL(G34,1,"0000100",$AG$5:$AG$10),WORKDAY.INTL(G30,1,"0000100",$AG$5:$AG$10))</f>
        <v>46282</v>
      </c>
      <c r="G35" s="29">
        <f t="shared" ref="G35" si="33">WORKDAY.INTL(F35,7,"0000110")</f>
        <v>46293</v>
      </c>
      <c r="H35" s="29">
        <f>MAX(WORKDAY.INTL(I34,1,"0000100",$AG$5:$AG$10),WORKDAY.INTL(I30,1,"0000100",$AG$5:$AG$10))</f>
        <v>46282</v>
      </c>
      <c r="I35" s="29">
        <f t="shared" ref="I35" si="34">WORKDAY.INTL(H35,7,"0000110")</f>
        <v>46293</v>
      </c>
      <c r="J35" s="29"/>
      <c r="K35" s="29"/>
      <c r="L35" s="35">
        <v>0</v>
      </c>
      <c r="M35" s="35" t="str">
        <f ca="1">IF(L35=100%,"Completed",IF(AND(OR(L35="",L35=0),F35&gt;TODAY()),"Not Started",IF(AND(OR(L35="",L35=0),F35&lt;=TODAY()),"Delayed",IF(AND(L35&gt;0,L35&lt;100%,G35&lt;TODAY()),"Delayed",IF(AND(L35&gt;0,L35&lt;100%,G35&gt;=TODAY()),"In Progress","")))))</f>
        <v>Not Started</v>
      </c>
      <c r="N35" s="57"/>
      <c r="O35" s="34"/>
      <c r="P35" s="57"/>
      <c r="Q35" s="58"/>
      <c r="R35" s="58"/>
      <c r="S35" s="58"/>
      <c r="T35" s="58"/>
      <c r="U35" s="58"/>
      <c r="V35" s="58"/>
      <c r="W35" s="59"/>
      <c r="X35" s="291" t="s">
        <v>212</v>
      </c>
      <c r="AA35" s="23" t="s">
        <v>64</v>
      </c>
      <c r="AB35" s="231" t="s">
        <v>73</v>
      </c>
    </row>
    <row r="36" spans="2:32" ht="61.5" thickBot="1">
      <c r="B36" s="497"/>
      <c r="C36" s="285" t="s">
        <v>86</v>
      </c>
      <c r="D36" s="34" t="s">
        <v>114</v>
      </c>
      <c r="E36" s="33">
        <f>NETWORKDAYS.INTL(F36,G36,"0000110",$AD$5:$AD$12)</f>
        <v>2</v>
      </c>
      <c r="F36" s="29">
        <f t="shared" ref="F36" si="35">WORKDAY.INTL(G35,1,"0000110")</f>
        <v>46294</v>
      </c>
      <c r="G36" s="29">
        <f t="shared" ref="G36" si="36">WORKDAY.INTL(F36,1,"0000110")</f>
        <v>46295</v>
      </c>
      <c r="H36" s="29">
        <f t="shared" ref="H36" si="37">WORKDAY.INTL(I35,1,"0000110")</f>
        <v>46294</v>
      </c>
      <c r="I36" s="29">
        <f t="shared" ref="I36" si="38">WORKDAY.INTL(H36,1,"0000110")</f>
        <v>46295</v>
      </c>
      <c r="J36" s="29"/>
      <c r="K36" s="29"/>
      <c r="L36" s="35">
        <v>0</v>
      </c>
      <c r="M36" s="35" t="str">
        <f ca="1">IF(L36=100%,"Completed",IF(AND(OR(L36="",L36=0),F36&gt;TODAY()),"Not Started",IF(AND(OR(L36="",L36=0),F36&lt;=TODAY()),"Delayed",IF(AND(L36&gt;0,L36&lt;100%,G36&lt;TODAY()),"Delayed",IF(AND(L36&gt;0,L36&lt;100%,G36&gt;=TODAY()),"In Progress","")))))</f>
        <v>Not Started</v>
      </c>
      <c r="N36" s="57"/>
      <c r="O36" s="34"/>
      <c r="P36" s="57"/>
      <c r="Q36" s="58"/>
      <c r="R36" s="58"/>
      <c r="S36" s="58"/>
      <c r="T36" s="58"/>
      <c r="U36" s="58"/>
      <c r="V36" s="58"/>
      <c r="W36" s="59"/>
      <c r="X36" s="291" t="s">
        <v>115</v>
      </c>
      <c r="AA36" s="23" t="s">
        <v>65</v>
      </c>
      <c r="AB36" s="231" t="s">
        <v>73</v>
      </c>
    </row>
    <row r="37" spans="2:32" s="274" customFormat="1" ht="8.25" customHeight="1" thickBot="1">
      <c r="B37" s="292"/>
      <c r="C37" s="292"/>
      <c r="D37" s="292"/>
      <c r="E37" s="293"/>
      <c r="F37" s="292"/>
      <c r="G37" s="292"/>
      <c r="H37" s="292"/>
      <c r="I37" s="292"/>
      <c r="J37" s="292"/>
      <c r="K37" s="292"/>
      <c r="L37" s="294"/>
      <c r="M37" s="294"/>
      <c r="N37" s="292"/>
      <c r="O37" s="292"/>
      <c r="P37" s="292"/>
      <c r="Q37" s="292"/>
      <c r="R37" s="292"/>
      <c r="S37" s="292"/>
      <c r="T37" s="292"/>
      <c r="U37" s="292"/>
      <c r="V37" s="292"/>
      <c r="W37" s="292"/>
      <c r="X37" s="295"/>
      <c r="AA37" s="275"/>
      <c r="AB37" s="275" t="s">
        <v>74</v>
      </c>
    </row>
    <row r="38" spans="2:32" ht="60.75">
      <c r="B38" s="461" t="s">
        <v>218</v>
      </c>
      <c r="C38" s="296" t="s">
        <v>86</v>
      </c>
      <c r="D38" s="21" t="s">
        <v>105</v>
      </c>
      <c r="E38" s="22">
        <f>NETWORKDAYS.INTL(F38,G38,"0000100",$AD$5:$AD$12)</f>
        <v>9</v>
      </c>
      <c r="F38" s="23">
        <f>WORKDAY.INTL(G34,1,"0000100",$AD$5:$AD$11)</f>
        <v>46282</v>
      </c>
      <c r="G38" s="23">
        <f>WORKDAY.INTL(F38,9,"0000100",$AD$5:$AD$11)</f>
        <v>46293</v>
      </c>
      <c r="H38" s="23">
        <f>WORKDAY.INTL(I34,1,"0000100",$AD$5:$AD$11)</f>
        <v>46282</v>
      </c>
      <c r="I38" s="23">
        <f>WORKDAY.INTL(H38,9,"0000100",$AD$5:$AD$11)</f>
        <v>46293</v>
      </c>
      <c r="J38" s="23"/>
      <c r="K38" s="23"/>
      <c r="L38" s="24">
        <v>0</v>
      </c>
      <c r="M38" s="24" t="str">
        <f ca="1">IF(L38=100%,"Completed",IF(AND(OR(L38="",L38=0),F38&gt;TODAY()),"Not Started",IF(AND(OR(L38="",L38=0),F38&lt;=TODAY()),"Delayed",IF(AND(L38&gt;0,L38&lt;100%,G38&lt;TODAY()),"Delayed",IF(AND(L38&gt;0,L38&lt;100%,G38&gt;=TODAY()),"In Progress","")))))</f>
        <v>Not Started</v>
      </c>
      <c r="N38" s="297"/>
      <c r="O38" s="21"/>
      <c r="P38" s="297"/>
      <c r="Q38" s="298"/>
      <c r="R38" s="298"/>
      <c r="S38" s="298"/>
      <c r="T38" s="298"/>
      <c r="U38" s="298"/>
      <c r="V38" s="298"/>
      <c r="W38" s="299"/>
      <c r="X38" s="300"/>
      <c r="AA38" s="23" t="s">
        <v>62</v>
      </c>
      <c r="AB38" s="231" t="s">
        <v>74</v>
      </c>
    </row>
    <row r="39" spans="2:32" ht="60.75">
      <c r="B39" s="462"/>
      <c r="C39" s="296" t="s">
        <v>86</v>
      </c>
      <c r="D39" s="21" t="s">
        <v>107</v>
      </c>
      <c r="E39" s="22">
        <f>NETWORKDAYS.INTL(F39,G39,"0000100",$AD$5:$AD$12)</f>
        <v>3</v>
      </c>
      <c r="F39" s="23">
        <f>WORKDAY.INTL(G38,1,"0000100",$AD$5:$AD$11)</f>
        <v>46294</v>
      </c>
      <c r="G39" s="23">
        <f>WORKDAY.INTL(F39,2,"0000100",$AD$5:$AD$11)</f>
        <v>46296</v>
      </c>
      <c r="H39" s="23">
        <f>WORKDAY.INTL(I38,1,"0000100",$AD$5:$AD$11)</f>
        <v>46294</v>
      </c>
      <c r="I39" s="23">
        <f>WORKDAY.INTL(H39,2,"0000100",$AD$5:$AD$11)</f>
        <v>46296</v>
      </c>
      <c r="J39" s="23"/>
      <c r="K39" s="23"/>
      <c r="L39" s="24">
        <v>0</v>
      </c>
      <c r="M39" s="24" t="str">
        <f ca="1">IF(L39=100%,"Completed",IF(AND(OR(L39="",L39=0),F39&gt;TODAY()),"Not Started",IF(AND(OR(L39="",L39=0),F39&lt;=TODAY()),"Delayed",IF(AND(L39&gt;0,L39&lt;100%,G39&lt;TODAY()),"Delayed",IF(AND(L39&gt;0,L39&lt;100%,G39&gt;=TODAY()),"In Progress","")))))</f>
        <v>Not Started</v>
      </c>
      <c r="N39" s="297"/>
      <c r="O39" s="21"/>
      <c r="P39" s="297"/>
      <c r="Q39" s="298"/>
      <c r="R39" s="298"/>
      <c r="S39" s="298"/>
      <c r="T39" s="298"/>
      <c r="U39" s="298"/>
      <c r="V39" s="298"/>
      <c r="W39" s="299"/>
      <c r="X39" s="300"/>
      <c r="AA39" s="23" t="s">
        <v>63</v>
      </c>
      <c r="AB39" s="231" t="s">
        <v>74</v>
      </c>
    </row>
    <row r="40" spans="2:32" ht="45" customHeight="1">
      <c r="B40" s="462"/>
      <c r="C40" s="296" t="s">
        <v>86</v>
      </c>
      <c r="D40" s="21" t="s">
        <v>111</v>
      </c>
      <c r="E40" s="22">
        <f>NETWORKDAYS.INTL(F40,G40,"0000110",$AD$5:$AD$12)</f>
        <v>5</v>
      </c>
      <c r="F40" s="23">
        <f>MAX(WORKDAY.INTL(G39,1,"0000100",$AG$5:$AG$10),WORKDAY.INTL(G35,1,"0000100",$AG$5:$AG$10))</f>
        <v>46298</v>
      </c>
      <c r="G40" s="23">
        <f t="shared" ref="G40" si="39">WORKDAY.INTL(F40,5,"0000110")</f>
        <v>46303</v>
      </c>
      <c r="H40" s="23">
        <f>MAX(WORKDAY.INTL(I39,1,"0000100",$AG$5:$AG$10),WORKDAY.INTL(I35,1,"0000100",$AG$5:$AG$10))</f>
        <v>46298</v>
      </c>
      <c r="I40" s="23">
        <f t="shared" ref="I40" si="40">WORKDAY.INTL(H40,5,"0000110")</f>
        <v>46303</v>
      </c>
      <c r="J40" s="23"/>
      <c r="K40" s="23"/>
      <c r="L40" s="24">
        <v>0</v>
      </c>
      <c r="M40" s="24" t="str">
        <f ca="1">IF(L40=100%,"Completed",IF(AND(OR(L40="",L40=0),F40&gt;TODAY()),"Not Started",IF(AND(OR(L40="",L40=0),F40&lt;=TODAY()),"Delayed",IF(AND(L40&gt;0,L40&lt;100%,G40&lt;TODAY()),"Delayed",IF(AND(L40&gt;0,L40&lt;100%,G40&gt;=TODAY()),"In Progress","")))))</f>
        <v>Not Started</v>
      </c>
      <c r="N40" s="297"/>
      <c r="O40" s="21"/>
      <c r="P40" s="297"/>
      <c r="Q40" s="298"/>
      <c r="R40" s="298"/>
      <c r="S40" s="298"/>
      <c r="T40" s="298"/>
      <c r="U40" s="298"/>
      <c r="V40" s="298"/>
      <c r="W40" s="299"/>
      <c r="X40" s="300" t="s">
        <v>212</v>
      </c>
      <c r="AA40" s="23" t="s">
        <v>64</v>
      </c>
      <c r="AB40" s="231" t="s">
        <v>74</v>
      </c>
    </row>
    <row r="41" spans="2:32" ht="61.5" thickBot="1">
      <c r="B41" s="470"/>
      <c r="C41" s="296" t="s">
        <v>86</v>
      </c>
      <c r="D41" s="26" t="s">
        <v>114</v>
      </c>
      <c r="E41" s="22">
        <f>NETWORKDAYS.INTL(F41,G41,"0000110",$AD$5:$AD$12)</f>
        <v>2</v>
      </c>
      <c r="F41" s="23">
        <f t="shared" ref="F41" si="41">WORKDAY.INTL(G40,1,"0000110")</f>
        <v>46306</v>
      </c>
      <c r="G41" s="23">
        <f t="shared" ref="G41" si="42">WORKDAY.INTL(F41,1,"0000110")</f>
        <v>46307</v>
      </c>
      <c r="H41" s="23">
        <f t="shared" ref="H41" si="43">WORKDAY.INTL(I40,1,"0000110")</f>
        <v>46306</v>
      </c>
      <c r="I41" s="23">
        <f t="shared" ref="I41" si="44">WORKDAY.INTL(H41,1,"0000110")</f>
        <v>46307</v>
      </c>
      <c r="J41" s="23"/>
      <c r="K41" s="23"/>
      <c r="L41" s="24">
        <v>0</v>
      </c>
      <c r="M41" s="24" t="str">
        <f ca="1">IF(L41=100%,"Completed",IF(AND(OR(L41="",L41=0),F41&gt;TODAY()),"Not Started",IF(AND(OR(L41="",L41=0),F41&lt;=TODAY()),"Delayed",IF(AND(L41&gt;0,L41&lt;100%,G41&lt;TODAY()),"Delayed",IF(AND(L41&gt;0,L41&lt;100%,G41&gt;=TODAY()),"In Progress","")))))</f>
        <v>Not Started</v>
      </c>
      <c r="N41" s="297"/>
      <c r="O41" s="26"/>
      <c r="P41" s="297"/>
      <c r="Q41" s="301"/>
      <c r="R41" s="301"/>
      <c r="S41" s="301"/>
      <c r="T41" s="301"/>
      <c r="U41" s="301"/>
      <c r="V41" s="301"/>
      <c r="W41" s="302"/>
      <c r="X41" s="300" t="s">
        <v>115</v>
      </c>
      <c r="AA41" s="23" t="s">
        <v>65</v>
      </c>
      <c r="AB41" s="231" t="s">
        <v>74</v>
      </c>
    </row>
    <row r="42" spans="2:32" s="274" customFormat="1" ht="6.75" customHeight="1" thickBot="1">
      <c r="B42" s="292"/>
      <c r="C42" s="292"/>
      <c r="D42" s="292"/>
      <c r="E42" s="293"/>
      <c r="F42" s="292"/>
      <c r="G42" s="292"/>
      <c r="H42" s="292"/>
      <c r="I42" s="292"/>
      <c r="J42" s="292"/>
      <c r="K42" s="292"/>
      <c r="L42" s="294"/>
      <c r="M42" s="294"/>
      <c r="N42" s="292"/>
      <c r="O42" s="292"/>
      <c r="P42" s="292"/>
      <c r="Q42" s="292"/>
      <c r="R42" s="292"/>
      <c r="S42" s="292"/>
      <c r="T42" s="292"/>
      <c r="U42" s="292"/>
      <c r="V42" s="292"/>
      <c r="W42" s="292"/>
      <c r="X42" s="295"/>
      <c r="AA42" s="275"/>
      <c r="AB42" s="275" t="s">
        <v>75</v>
      </c>
    </row>
    <row r="43" spans="2:32" ht="60.75">
      <c r="B43" s="459" t="s">
        <v>219</v>
      </c>
      <c r="C43" s="285" t="s">
        <v>86</v>
      </c>
      <c r="D43" s="27" t="s">
        <v>105</v>
      </c>
      <c r="E43" s="28">
        <f>NETWORKDAYS.INTL(F43,G43,"0000100",$AD$5:$AD$12)</f>
        <v>9</v>
      </c>
      <c r="F43" s="29">
        <f>WORKDAY.INTL(G39,1,"0000100",$AD$5:$AD$11)</f>
        <v>46298</v>
      </c>
      <c r="G43" s="30">
        <f>WORKDAY.INTL(F43,8,"0000100",$AD$5:$AD$11)</f>
        <v>46307</v>
      </c>
      <c r="H43" s="29">
        <f>WORKDAY.INTL(I39,1,"0000100",$AD$5:$AD$11)</f>
        <v>46298</v>
      </c>
      <c r="I43" s="30">
        <f>WORKDAY.INTL(H43,8,"0000100",$AD$5:$AD$11)</f>
        <v>46307</v>
      </c>
      <c r="J43" s="29"/>
      <c r="K43" s="29"/>
      <c r="L43" s="31">
        <v>0</v>
      </c>
      <c r="M43" s="31" t="str">
        <f ca="1">IF(L43=100%,"Completed",IF(AND(OR(L43="",L43=0),F43&gt;TODAY()),"Not Started",IF(AND(OR(L43="",L43=0),F43&lt;=TODAY()),"Delayed",IF(AND(L43&gt;0,L43&lt;100%,G43&lt;TODAY()),"Delayed",IF(AND(L43&gt;0,L43&lt;100%,G43&gt;=TODAY()),"In Progress","")))))</f>
        <v>Not Started</v>
      </c>
      <c r="N43" s="57"/>
      <c r="O43" s="27"/>
      <c r="P43" s="57"/>
      <c r="Q43" s="286"/>
      <c r="R43" s="286"/>
      <c r="S43" s="286"/>
      <c r="T43" s="286"/>
      <c r="U43" s="286"/>
      <c r="V43" s="286"/>
      <c r="W43" s="287"/>
      <c r="X43" s="288"/>
      <c r="AA43" s="23" t="s">
        <v>62</v>
      </c>
      <c r="AB43" s="231" t="s">
        <v>75</v>
      </c>
      <c r="AF43" s="276"/>
    </row>
    <row r="44" spans="2:32" ht="60.75">
      <c r="B44" s="460"/>
      <c r="C44" s="285" t="s">
        <v>86</v>
      </c>
      <c r="D44" s="32" t="s">
        <v>107</v>
      </c>
      <c r="E44" s="33">
        <f>NETWORKDAYS.INTL(F44,G44,"0000100",$AD$5:$AD$12)</f>
        <v>3</v>
      </c>
      <c r="F44" s="29">
        <f>WORKDAY.INTL(G43,1,"0000100",$AD$5:$AD$11)</f>
        <v>46308</v>
      </c>
      <c r="G44" s="30">
        <f>WORKDAY.INTL(F44,2,"0000100",$AD$5:$AD$11)</f>
        <v>46310</v>
      </c>
      <c r="H44" s="29">
        <f>WORKDAY.INTL(I43,1,"0000100",$AD$5:$AD$11)</f>
        <v>46308</v>
      </c>
      <c r="I44" s="30">
        <f>WORKDAY.INTL(H44,2,"0000100",$AD$5:$AD$11)</f>
        <v>46310</v>
      </c>
      <c r="J44" s="29"/>
      <c r="K44" s="29"/>
      <c r="L44" s="31">
        <v>0</v>
      </c>
      <c r="M44" s="31" t="str">
        <f ca="1">IF(L44=100%,"Completed",IF(AND(OR(L44="",L44=0),F44&gt;TODAY()),"Not Started",IF(AND(OR(L44="",L44=0),F44&lt;=TODAY()),"Delayed",IF(AND(L44&gt;0,L44&lt;100%,G44&lt;TODAY()),"Delayed",IF(AND(L44&gt;0,L44&lt;100%,G44&gt;=TODAY()),"In Progress","")))))</f>
        <v>Not Started</v>
      </c>
      <c r="N44" s="57"/>
      <c r="O44" s="32"/>
      <c r="P44" s="57"/>
      <c r="Q44" s="289"/>
      <c r="R44" s="289"/>
      <c r="S44" s="289"/>
      <c r="T44" s="289"/>
      <c r="U44" s="289"/>
      <c r="V44" s="289"/>
      <c r="W44" s="290"/>
      <c r="X44" s="291"/>
      <c r="AA44" s="23" t="s">
        <v>63</v>
      </c>
      <c r="AB44" s="231" t="s">
        <v>75</v>
      </c>
    </row>
    <row r="45" spans="2:32" ht="45" customHeight="1">
      <c r="B45" s="460"/>
      <c r="C45" s="285" t="s">
        <v>86</v>
      </c>
      <c r="D45" s="34" t="s">
        <v>111</v>
      </c>
      <c r="E45" s="33">
        <f>NETWORKDAYS.INTL(F45,G45,"0000110",$AD$5:$AD$12)</f>
        <v>6</v>
      </c>
      <c r="F45" s="29">
        <f>MAX(WORKDAY.INTL(G44,1,"0000100",$AG$5:$AG$10),WORKDAY.INTL(G40,1,"0000100",$AG$5:$AG$10))</f>
        <v>46312</v>
      </c>
      <c r="G45" s="29">
        <f t="shared" ref="G45" si="45">WORKDAY.INTL(F45,6,"0000110")</f>
        <v>46320</v>
      </c>
      <c r="H45" s="29">
        <f>MAX(WORKDAY.INTL(I44,1,"0000100",$AG$5:$AG$10),WORKDAY.INTL(I40,1,"0000100",$AG$5:$AG$10))</f>
        <v>46312</v>
      </c>
      <c r="I45" s="29">
        <f t="shared" ref="I45" si="46">WORKDAY.INTL(H45,6,"0000110")</f>
        <v>46320</v>
      </c>
      <c r="J45" s="29"/>
      <c r="K45" s="29"/>
      <c r="L45" s="35">
        <v>0</v>
      </c>
      <c r="M45" s="35" t="str">
        <f ca="1">IF(L45=100%,"Completed",IF(AND(OR(L45="",L45=0),F45&gt;TODAY()),"Not Started",IF(AND(OR(L45="",L45=0),F45&lt;=TODAY()),"Delayed",IF(AND(L45&gt;0,L45&lt;100%,G45&lt;TODAY()),"Delayed",IF(AND(L45&gt;0,L45&lt;100%,G45&gt;=TODAY()),"In Progress","")))))</f>
        <v>Not Started</v>
      </c>
      <c r="N45" s="57"/>
      <c r="O45" s="34"/>
      <c r="P45" s="57"/>
      <c r="Q45" s="58"/>
      <c r="R45" s="58"/>
      <c r="S45" s="58"/>
      <c r="T45" s="58"/>
      <c r="U45" s="58"/>
      <c r="V45" s="58"/>
      <c r="W45" s="59"/>
      <c r="X45" s="291" t="s">
        <v>212</v>
      </c>
      <c r="AA45" s="23" t="s">
        <v>64</v>
      </c>
      <c r="AB45" s="231" t="s">
        <v>75</v>
      </c>
    </row>
    <row r="46" spans="2:32" ht="61.5" thickBot="1">
      <c r="B46" s="497"/>
      <c r="C46" s="285" t="s">
        <v>86</v>
      </c>
      <c r="D46" s="34" t="s">
        <v>114</v>
      </c>
      <c r="E46" s="33">
        <f>NETWORKDAYS.INTL(F46,G46,"0000110",$AD$5:$AD$12)</f>
        <v>2</v>
      </c>
      <c r="F46" s="29">
        <f t="shared" ref="F46" si="47">WORKDAY.INTL(G45,1,"0000110")</f>
        <v>46321</v>
      </c>
      <c r="G46" s="29">
        <f t="shared" ref="G46" si="48">WORKDAY.INTL(F46,1,"0000110")</f>
        <v>46322</v>
      </c>
      <c r="H46" s="29">
        <f t="shared" ref="H46" si="49">WORKDAY.INTL(I45,1,"0000110")</f>
        <v>46321</v>
      </c>
      <c r="I46" s="29">
        <f t="shared" ref="I46" si="50">WORKDAY.INTL(H46,1,"0000110")</f>
        <v>46322</v>
      </c>
      <c r="J46" s="29"/>
      <c r="K46" s="29"/>
      <c r="L46" s="35">
        <v>0</v>
      </c>
      <c r="M46" s="35" t="str">
        <f ca="1">IF(L46=100%,"Completed",IF(AND(OR(L46="",L46=0),F46&gt;TODAY()),"Not Started",IF(AND(OR(L46="",L46=0),F46&lt;=TODAY()),"Delayed",IF(AND(L46&gt;0,L46&lt;100%,G46&lt;TODAY()),"Delayed",IF(AND(L46&gt;0,L46&lt;100%,G46&gt;=TODAY()),"In Progress","")))))</f>
        <v>Not Started</v>
      </c>
      <c r="N46" s="57"/>
      <c r="O46" s="34"/>
      <c r="P46" s="57"/>
      <c r="Q46" s="58"/>
      <c r="R46" s="58"/>
      <c r="S46" s="58"/>
      <c r="T46" s="58"/>
      <c r="U46" s="58"/>
      <c r="V46" s="58"/>
      <c r="W46" s="59"/>
      <c r="X46" s="291" t="s">
        <v>115</v>
      </c>
      <c r="AA46" s="23" t="s">
        <v>65</v>
      </c>
      <c r="AB46" s="231" t="s">
        <v>75</v>
      </c>
    </row>
    <row r="47" spans="2:32" s="274" customFormat="1" ht="6" customHeight="1" thickBot="1">
      <c r="B47" s="292"/>
      <c r="C47" s="292"/>
      <c r="D47" s="292"/>
      <c r="E47" s="293"/>
      <c r="F47" s="292"/>
      <c r="G47" s="292"/>
      <c r="H47" s="292"/>
      <c r="I47" s="292"/>
      <c r="J47" s="292"/>
      <c r="K47" s="292"/>
      <c r="L47" s="294"/>
      <c r="M47" s="294"/>
      <c r="N47" s="292"/>
      <c r="O47" s="292"/>
      <c r="P47" s="292"/>
      <c r="Q47" s="292"/>
      <c r="R47" s="292"/>
      <c r="S47" s="292"/>
      <c r="T47" s="292"/>
      <c r="U47" s="292"/>
      <c r="V47" s="292"/>
      <c r="W47" s="292"/>
      <c r="X47" s="295"/>
      <c r="AA47" s="127"/>
      <c r="AB47" s="275" t="s">
        <v>76</v>
      </c>
    </row>
    <row r="48" spans="2:32" ht="60.75">
      <c r="B48" s="461" t="s">
        <v>220</v>
      </c>
      <c r="C48" s="296" t="s">
        <v>86</v>
      </c>
      <c r="D48" s="21" t="s">
        <v>105</v>
      </c>
      <c r="E48" s="22">
        <f>NETWORKDAYS.INTL(F48,G48,"0000100",$AD$5:$AD$12)</f>
        <v>9</v>
      </c>
      <c r="F48" s="23">
        <f>WORKDAY.INTL(G44,1,"0000100",$AD$5:$AD$11)</f>
        <v>46312</v>
      </c>
      <c r="G48" s="23">
        <f>WORKDAY.INTL(F48,8,"0000100",$AD$5:$AD$11)</f>
        <v>46321</v>
      </c>
      <c r="H48" s="23">
        <f>WORKDAY.INTL(I44,1,"0000100",$AD$5:$AD$11)</f>
        <v>46312</v>
      </c>
      <c r="I48" s="23">
        <f>WORKDAY.INTL(H48,8,"0000100",$AD$5:$AD$11)</f>
        <v>46321</v>
      </c>
      <c r="J48" s="23"/>
      <c r="K48" s="23"/>
      <c r="L48" s="24">
        <v>0</v>
      </c>
      <c r="M48" s="24" t="str">
        <f ca="1">IF(L48=100%,"Completed",IF(AND(OR(L48="",L48=0),F48&gt;TODAY()),"Not Started",IF(AND(OR(L48="",L48=0),F48&lt;=TODAY()),"Delayed",IF(AND(L48&gt;0,L48&lt;100%,G48&lt;TODAY()),"Delayed",IF(AND(L48&gt;0,L48&lt;100%,G48&gt;=TODAY()),"In Progress","")))))</f>
        <v>Not Started</v>
      </c>
      <c r="N48" s="297"/>
      <c r="O48" s="21"/>
      <c r="P48" s="297"/>
      <c r="Q48" s="298"/>
      <c r="R48" s="298"/>
      <c r="S48" s="298"/>
      <c r="T48" s="298"/>
      <c r="U48" s="298"/>
      <c r="V48" s="298"/>
      <c r="W48" s="299"/>
      <c r="X48" s="300"/>
      <c r="AA48" s="23" t="s">
        <v>62</v>
      </c>
      <c r="AB48" s="231" t="s">
        <v>76</v>
      </c>
    </row>
    <row r="49" spans="2:32" ht="45" customHeight="1">
      <c r="B49" s="462"/>
      <c r="C49" s="296" t="s">
        <v>86</v>
      </c>
      <c r="D49" s="21" t="s">
        <v>107</v>
      </c>
      <c r="E49" s="22">
        <f>NETWORKDAYS.INTL(F49,G49,"0000100",$AD$5:$AD$12)</f>
        <v>3</v>
      </c>
      <c r="F49" s="23">
        <f>WORKDAY.INTL(G48,1,"0000100",$AD$5:$AD$11)</f>
        <v>46322</v>
      </c>
      <c r="G49" s="23">
        <f>WORKDAY.INTL(F49,2,"0000100",$AD$5:$AD$11)</f>
        <v>46324</v>
      </c>
      <c r="H49" s="23">
        <f>WORKDAY.INTL(I48,1,"0000100",$AD$5:$AD$11)</f>
        <v>46322</v>
      </c>
      <c r="I49" s="23">
        <f>WORKDAY.INTL(H49,2,"0000100",$AD$5:$AD$11)</f>
        <v>46324</v>
      </c>
      <c r="J49" s="23"/>
      <c r="K49" s="23"/>
      <c r="L49" s="24">
        <v>0</v>
      </c>
      <c r="M49" s="24" t="str">
        <f ca="1">IF(L49=100%,"Completed",IF(AND(OR(L49="",L49=0),F49&gt;TODAY()),"Not Started",IF(AND(OR(L49="",L49=0),F49&lt;=TODAY()),"Delayed",IF(AND(L49&gt;0,L49&lt;100%,G49&lt;TODAY()),"Delayed",IF(AND(L49&gt;0,L49&lt;100%,G49&gt;=TODAY()),"In Progress","")))))</f>
        <v>Not Started</v>
      </c>
      <c r="N49" s="297"/>
      <c r="O49" s="21"/>
      <c r="P49" s="297"/>
      <c r="Q49" s="298"/>
      <c r="R49" s="298"/>
      <c r="S49" s="298"/>
      <c r="T49" s="298"/>
      <c r="U49" s="298"/>
      <c r="V49" s="298"/>
      <c r="W49" s="299"/>
      <c r="X49" s="300"/>
      <c r="AA49" s="23" t="s">
        <v>63</v>
      </c>
      <c r="AB49" s="231" t="s">
        <v>76</v>
      </c>
    </row>
    <row r="50" spans="2:32" ht="45" customHeight="1">
      <c r="B50" s="462"/>
      <c r="C50" s="296" t="s">
        <v>86</v>
      </c>
      <c r="D50" s="21" t="s">
        <v>111</v>
      </c>
      <c r="E50" s="22">
        <f>NETWORKDAYS.INTL(F50,G50,"0000110",$AD$5:$AD$12)</f>
        <v>6</v>
      </c>
      <c r="F50" s="23">
        <f>MAX(WORKDAY.INTL(G49,1,"0000100",$AG$5:$AG$10),WORKDAY.INTL(G45,1,"0000100",$AG$5:$AG$10))</f>
        <v>46326</v>
      </c>
      <c r="G50" s="23">
        <f t="shared" ref="G50" si="51">WORKDAY.INTL(F50,6,"0000110")</f>
        <v>46334</v>
      </c>
      <c r="H50" s="23">
        <f>MAX(WORKDAY.INTL(I49,1,"0000100",$AG$5:$AG$10),WORKDAY.INTL(I45,1,"0000100",$AG$5:$AG$10))</f>
        <v>46326</v>
      </c>
      <c r="I50" s="23">
        <f t="shared" ref="I50" si="52">WORKDAY.INTL(H50,6,"0000110")</f>
        <v>46334</v>
      </c>
      <c r="J50" s="23"/>
      <c r="K50" s="23"/>
      <c r="L50" s="24">
        <v>0</v>
      </c>
      <c r="M50" s="24" t="str">
        <f ca="1">IF(L50=100%,"Completed",IF(AND(OR(L50="",L50=0),F50&gt;TODAY()),"Not Started",IF(AND(OR(L50="",L50=0),F50&lt;=TODAY()),"Delayed",IF(AND(L50&gt;0,L50&lt;100%,G50&lt;TODAY()),"Delayed",IF(AND(L50&gt;0,L50&lt;100%,G50&gt;=TODAY()),"In Progress","")))))</f>
        <v>Not Started</v>
      </c>
      <c r="N50" s="297"/>
      <c r="O50" s="21"/>
      <c r="P50" s="297"/>
      <c r="Q50" s="298"/>
      <c r="R50" s="298"/>
      <c r="S50" s="298"/>
      <c r="T50" s="298"/>
      <c r="U50" s="298"/>
      <c r="V50" s="298"/>
      <c r="W50" s="299"/>
      <c r="X50" s="300" t="s">
        <v>212</v>
      </c>
      <c r="AA50" s="23" t="s">
        <v>64</v>
      </c>
      <c r="AB50" s="231" t="s">
        <v>76</v>
      </c>
    </row>
    <row r="51" spans="2:32" ht="45" customHeight="1" thickBot="1">
      <c r="B51" s="470"/>
      <c r="C51" s="296" t="s">
        <v>86</v>
      </c>
      <c r="D51" s="26" t="s">
        <v>114</v>
      </c>
      <c r="E51" s="22">
        <f>NETWORKDAYS.INTL(F51,G51,"0000110",$AD$5:$AD$12)</f>
        <v>2</v>
      </c>
      <c r="F51" s="23">
        <f t="shared" ref="F51" si="53">WORKDAY.INTL(G50,1,"0000110")</f>
        <v>46335</v>
      </c>
      <c r="G51" s="23">
        <f t="shared" ref="G51" si="54">WORKDAY.INTL(F51,1,"0000110")</f>
        <v>46336</v>
      </c>
      <c r="H51" s="23">
        <f t="shared" ref="H51" si="55">WORKDAY.INTL(I50,1,"0000110")</f>
        <v>46335</v>
      </c>
      <c r="I51" s="23">
        <f t="shared" ref="I51" si="56">WORKDAY.INTL(H51,1,"0000110")</f>
        <v>46336</v>
      </c>
      <c r="J51" s="23"/>
      <c r="K51" s="23"/>
      <c r="L51" s="24">
        <v>0</v>
      </c>
      <c r="M51" s="24" t="str">
        <f ca="1">IF(L51=100%,"Completed",IF(AND(OR(L51="",L51=0),F51&gt;TODAY()),"Not Started",IF(AND(OR(L51="",L51=0),F51&lt;=TODAY()),"Delayed",IF(AND(L51&gt;0,L51&lt;100%,G51&lt;TODAY()),"Delayed",IF(AND(L51&gt;0,L51&lt;100%,G51&gt;=TODAY()),"In Progress","")))))</f>
        <v>Not Started</v>
      </c>
      <c r="N51" s="297"/>
      <c r="O51" s="26"/>
      <c r="P51" s="297"/>
      <c r="Q51" s="301"/>
      <c r="R51" s="301"/>
      <c r="S51" s="301"/>
      <c r="T51" s="301"/>
      <c r="U51" s="301"/>
      <c r="V51" s="301"/>
      <c r="W51" s="302"/>
      <c r="X51" s="300" t="s">
        <v>115</v>
      </c>
      <c r="AA51" s="23" t="s">
        <v>65</v>
      </c>
      <c r="AB51" s="231" t="s">
        <v>76</v>
      </c>
    </row>
    <row r="52" spans="2:32" s="274" customFormat="1" ht="4.5" customHeight="1" thickBot="1">
      <c r="B52" s="292"/>
      <c r="C52" s="292"/>
      <c r="D52" s="292" t="s">
        <v>195</v>
      </c>
      <c r="E52" s="293"/>
      <c r="F52" s="292"/>
      <c r="G52" s="292"/>
      <c r="H52" s="292"/>
      <c r="I52" s="292"/>
      <c r="J52" s="292"/>
      <c r="K52" s="292"/>
      <c r="L52" s="294"/>
      <c r="M52" s="294"/>
      <c r="N52" s="292"/>
      <c r="O52" s="292"/>
      <c r="P52" s="292"/>
      <c r="Q52" s="292"/>
      <c r="R52" s="292"/>
      <c r="S52" s="292"/>
      <c r="T52" s="292"/>
      <c r="U52" s="292"/>
      <c r="V52" s="292"/>
      <c r="W52" s="292"/>
      <c r="X52" s="295"/>
      <c r="Y52" s="334"/>
      <c r="AA52" s="126"/>
      <c r="AB52" s="274" t="s">
        <v>77</v>
      </c>
      <c r="AE52" s="230"/>
    </row>
    <row r="53" spans="2:32" ht="60.75">
      <c r="B53" s="459" t="s">
        <v>221</v>
      </c>
      <c r="C53" s="285" t="s">
        <v>86</v>
      </c>
      <c r="D53" s="27" t="s">
        <v>105</v>
      </c>
      <c r="E53" s="28">
        <f>NETWORKDAYS.INTL(F53,G53,"0000100",$AD$5:$AD$12)</f>
        <v>9</v>
      </c>
      <c r="F53" s="29">
        <f>WORKDAY.INTL(G49,1,"0000100",$AD$5:$AD$11)</f>
        <v>46326</v>
      </c>
      <c r="G53" s="30">
        <f>WORKDAY.INTL(F53,8,"0000100",$AD$5:$AD$11)</f>
        <v>46335</v>
      </c>
      <c r="H53" s="29">
        <f>WORKDAY.INTL(I49,1,"0000100",$AD$5:$AD$11)</f>
        <v>46326</v>
      </c>
      <c r="I53" s="30">
        <f>WORKDAY.INTL(H53,8,"0000100",$AD$5:$AD$11)</f>
        <v>46335</v>
      </c>
      <c r="J53" s="30"/>
      <c r="K53" s="30"/>
      <c r="L53" s="31">
        <v>0</v>
      </c>
      <c r="M53" s="31" t="str">
        <f ca="1">IF(L53=100%,"Completed",IF(AND(OR(L53="",L53=0),F53&gt;TODAY()),"Not Started",IF(AND(OR(L53="",L53=0),F53&lt;=TODAY()),"Delayed",IF(AND(L53&gt;0,L53&lt;100%,G53&lt;TODAY()),"Delayed",IF(AND(L53&gt;0,L53&lt;100%,G53&gt;=TODAY()),"In Progress","")))))</f>
        <v>Not Started</v>
      </c>
      <c r="N53" s="57"/>
      <c r="O53" s="27"/>
      <c r="P53" s="57"/>
      <c r="Q53" s="286"/>
      <c r="R53" s="286"/>
      <c r="S53" s="286"/>
      <c r="T53" s="286"/>
      <c r="U53" s="286"/>
      <c r="V53" s="286"/>
      <c r="W53" s="287"/>
      <c r="X53" s="288"/>
      <c r="AA53" s="23" t="s">
        <v>62</v>
      </c>
      <c r="AB53" s="231" t="s">
        <v>77</v>
      </c>
      <c r="AF53" s="276"/>
    </row>
    <row r="54" spans="2:32" ht="60.75">
      <c r="B54" s="460"/>
      <c r="C54" s="285" t="s">
        <v>86</v>
      </c>
      <c r="D54" s="32" t="s">
        <v>107</v>
      </c>
      <c r="E54" s="33">
        <f>NETWORKDAYS.INTL(F54,G54,"0000100",$AD$5:$AD$12)</f>
        <v>3</v>
      </c>
      <c r="F54" s="29">
        <f>WORKDAY.INTL(G53,1,"0000100",$AD$5:$AD$11)</f>
        <v>46336</v>
      </c>
      <c r="G54" s="30">
        <f>WORKDAY.INTL(F54,2,"0000100",$AD$5:$AD$11)</f>
        <v>46338</v>
      </c>
      <c r="H54" s="29">
        <f>WORKDAY.INTL(I53,1,"0000100",$AD$5:$AD$11)</f>
        <v>46336</v>
      </c>
      <c r="I54" s="30">
        <f>WORKDAY.INTL(H54,2,"0000100",$AD$5:$AD$11)</f>
        <v>46338</v>
      </c>
      <c r="J54" s="30"/>
      <c r="K54" s="30"/>
      <c r="L54" s="31">
        <v>0</v>
      </c>
      <c r="M54" s="31" t="str">
        <f ca="1">IF(L54=100%,"Completed",IF(AND(OR(L54="",L54=0),F54&gt;TODAY()),"Not Started",IF(AND(OR(L54="",L54=0),F54&lt;=TODAY()),"Delayed",IF(AND(L54&gt;0,L54&lt;100%,G54&lt;TODAY()),"Delayed",IF(AND(L54&gt;0,L54&lt;100%,G54&gt;=TODAY()),"In Progress","")))))</f>
        <v>Not Started</v>
      </c>
      <c r="N54" s="57"/>
      <c r="O54" s="32"/>
      <c r="P54" s="57"/>
      <c r="Q54" s="289"/>
      <c r="R54" s="289"/>
      <c r="S54" s="289"/>
      <c r="T54" s="289"/>
      <c r="U54" s="289"/>
      <c r="V54" s="289"/>
      <c r="W54" s="290"/>
      <c r="X54" s="291"/>
      <c r="AA54" s="23" t="s">
        <v>63</v>
      </c>
      <c r="AB54" s="231" t="s">
        <v>77</v>
      </c>
    </row>
    <row r="55" spans="2:32" ht="60.75">
      <c r="B55" s="460"/>
      <c r="C55" s="285" t="s">
        <v>86</v>
      </c>
      <c r="D55" s="34" t="s">
        <v>111</v>
      </c>
      <c r="E55" s="33">
        <f>NETWORKDAYS.INTL(F55,G55,"0000110",$AD$5:$AD$12)</f>
        <v>7</v>
      </c>
      <c r="F55" s="29">
        <f>MAX(WORKDAY.INTL(G54,1,"0000100",$AG$5:$AG$10),WORKDAY.INTL(G50,1,"0000100",$AG$5:$AG$10))</f>
        <v>46340</v>
      </c>
      <c r="G55" s="29">
        <f t="shared" ref="G55" si="57">WORKDAY.INTL(F55,7,"0000110")</f>
        <v>46349</v>
      </c>
      <c r="H55" s="29">
        <f>MAX(WORKDAY.INTL(I54,1,"0000100",$AG$5:$AG$10),WORKDAY.INTL(I50,1,"0000100",$AG$5:$AG$10))</f>
        <v>46340</v>
      </c>
      <c r="I55" s="29">
        <f t="shared" ref="I55" si="58">WORKDAY.INTL(H55,7,"0000110")</f>
        <v>46349</v>
      </c>
      <c r="J55" s="29"/>
      <c r="K55" s="29"/>
      <c r="L55" s="35">
        <v>0</v>
      </c>
      <c r="M55" s="35" t="str">
        <f ca="1">IF(L55=100%,"Completed",IF(AND(OR(L55="",L55=0),F55&gt;TODAY()),"Not Started",IF(AND(OR(L55="",L55=0),F55&lt;=TODAY()),"Delayed",IF(AND(L55&gt;0,L55&lt;100%,G55&lt;TODAY()),"Delayed",IF(AND(L55&gt;0,L55&lt;100%,G55&gt;=TODAY()),"In Progress","")))))</f>
        <v>Not Started</v>
      </c>
      <c r="N55" s="57"/>
      <c r="O55" s="34"/>
      <c r="P55" s="57"/>
      <c r="Q55" s="58"/>
      <c r="R55" s="58"/>
      <c r="S55" s="58"/>
      <c r="T55" s="58"/>
      <c r="U55" s="58"/>
      <c r="V55" s="58"/>
      <c r="W55" s="59"/>
      <c r="X55" s="291" t="s">
        <v>212</v>
      </c>
      <c r="AA55" s="23" t="s">
        <v>64</v>
      </c>
      <c r="AB55" s="231" t="s">
        <v>77</v>
      </c>
    </row>
    <row r="56" spans="2:32" ht="61.5" thickBot="1">
      <c r="B56" s="497"/>
      <c r="C56" s="285" t="s">
        <v>86</v>
      </c>
      <c r="D56" s="34" t="s">
        <v>114</v>
      </c>
      <c r="E56" s="33">
        <f>NETWORKDAYS.INTL(F56,G56,"0000110",$AD$5:$AD$12)</f>
        <v>2</v>
      </c>
      <c r="F56" s="29">
        <f t="shared" ref="F56" si="59">WORKDAY.INTL(G55,1,"0000110")</f>
        <v>46350</v>
      </c>
      <c r="G56" s="29">
        <f t="shared" ref="G56" si="60">WORKDAY.INTL(F56,1,"0000110")</f>
        <v>46351</v>
      </c>
      <c r="H56" s="29">
        <f t="shared" ref="H56" si="61">WORKDAY.INTL(I55,1,"0000110")</f>
        <v>46350</v>
      </c>
      <c r="I56" s="29">
        <f t="shared" ref="I56" si="62">WORKDAY.INTL(H56,1,"0000110")</f>
        <v>46351</v>
      </c>
      <c r="J56" s="29"/>
      <c r="K56" s="29"/>
      <c r="L56" s="35">
        <v>0</v>
      </c>
      <c r="M56" s="35" t="str">
        <f ca="1">IF(L56=100%,"Completed",IF(AND(OR(L56="",L56=0),F56&gt;TODAY()),"Not Started",IF(AND(OR(L56="",L56=0),F56&lt;=TODAY()),"Delayed",IF(AND(L56&gt;0,L56&lt;100%,G56&lt;TODAY()),"Delayed",IF(AND(L56&gt;0,L56&lt;100%,G56&gt;=TODAY()),"In Progress","")))))</f>
        <v>Not Started</v>
      </c>
      <c r="N56" s="57"/>
      <c r="O56" s="34"/>
      <c r="P56" s="57"/>
      <c r="Q56" s="58"/>
      <c r="R56" s="58"/>
      <c r="S56" s="58"/>
      <c r="T56" s="58"/>
      <c r="U56" s="58"/>
      <c r="V56" s="58"/>
      <c r="W56" s="59"/>
      <c r="X56" s="291" t="s">
        <v>115</v>
      </c>
      <c r="AA56" s="23" t="s">
        <v>65</v>
      </c>
      <c r="AB56" s="231" t="s">
        <v>77</v>
      </c>
    </row>
    <row r="57" spans="2:32" s="274" customFormat="1" ht="6" customHeight="1" thickBot="1">
      <c r="B57" s="292"/>
      <c r="C57" s="292"/>
      <c r="D57" s="292"/>
      <c r="E57" s="293"/>
      <c r="F57" s="292"/>
      <c r="G57" s="292"/>
      <c r="H57" s="292"/>
      <c r="I57" s="292"/>
      <c r="J57" s="292"/>
      <c r="K57" s="292"/>
      <c r="L57" s="294"/>
      <c r="M57" s="294"/>
      <c r="N57" s="292"/>
      <c r="O57" s="292"/>
      <c r="P57" s="292"/>
      <c r="Q57" s="292"/>
      <c r="R57" s="292"/>
      <c r="S57" s="292"/>
      <c r="T57" s="292"/>
      <c r="U57" s="292"/>
      <c r="V57" s="292"/>
      <c r="W57" s="292"/>
      <c r="X57" s="295"/>
      <c r="Y57" s="334"/>
      <c r="AA57" s="126"/>
      <c r="AE57" s="230"/>
    </row>
    <row r="58" spans="2:32" ht="45" customHeight="1">
      <c r="B58" s="461" t="s">
        <v>125</v>
      </c>
      <c r="C58" s="296" t="s">
        <v>125</v>
      </c>
      <c r="D58" s="21" t="s">
        <v>126</v>
      </c>
      <c r="E58" s="22">
        <f>NETWORKDAYS.INTL(F58,G58,"0000100",$AE$5:$AE$11)</f>
        <v>19</v>
      </c>
      <c r="F58" s="23">
        <f>WORKDAY.INTL(G59,25,"0000100",$AE$5:$AE$10)</f>
        <v>46303</v>
      </c>
      <c r="G58" s="23">
        <f>WORKDAY.INTL(F58,18,"0000100",$AE$5:$AE$10)</f>
        <v>46324</v>
      </c>
      <c r="H58" s="23">
        <f>WORKDAY.INTL(I59,25,"0000100",$AE$5:$AE$10)</f>
        <v>46303</v>
      </c>
      <c r="I58" s="23">
        <f>WORKDAY.INTL(H58,18,"0000100",$AE$5:$AE$10)</f>
        <v>46324</v>
      </c>
      <c r="J58" s="23"/>
      <c r="K58" s="23"/>
      <c r="L58" s="24">
        <v>0</v>
      </c>
      <c r="M58" s="24" t="str">
        <f ca="1">IF(L58=100%,"Completed",IF(AND(OR(L58="",L58=0),F58&gt;TODAY()),"Not Started",IF(AND(OR(L58="",L58=0),F58&lt;=TODAY()),"Delayed",IF(AND(L58&gt;0,L58&lt;100%,G58&lt;TODAY()),"Delayed",IF(AND(L58&gt;0,L58&lt;100%,G58&gt;=TODAY()),"In Progress","")))))</f>
        <v>Not Started</v>
      </c>
      <c r="N58" s="297"/>
      <c r="O58" s="21"/>
      <c r="P58" s="297"/>
      <c r="Q58" s="299"/>
      <c r="R58" s="97"/>
      <c r="S58" s="97"/>
      <c r="T58" s="97"/>
      <c r="U58" s="97"/>
      <c r="V58" s="97"/>
      <c r="W58" s="97"/>
      <c r="X58" s="300" t="s">
        <v>222</v>
      </c>
      <c r="Y58" s="229"/>
      <c r="AA58" s="23" t="s">
        <v>125</v>
      </c>
    </row>
    <row r="59" spans="2:32" ht="57.75">
      <c r="B59" s="462"/>
      <c r="C59" s="296" t="s">
        <v>125</v>
      </c>
      <c r="D59" s="21" t="s">
        <v>127</v>
      </c>
      <c r="E59" s="22">
        <f>NETWORKDAYS.INTL(F59,G59,"0000100",$AE$5:$AE$11)</f>
        <v>19</v>
      </c>
      <c r="F59" s="23">
        <f>WORKDAY.INTL(F77,25,"0000100",$AE$5:$AE$10)</f>
        <v>46253</v>
      </c>
      <c r="G59" s="23">
        <f>WORKDAY.INTL(F59,18,"0000100",$AE$5:$AE$10)</f>
        <v>46274</v>
      </c>
      <c r="H59" s="23">
        <f>WORKDAY.INTL(H77,25,"0000100",$AE$5:$AE$10)</f>
        <v>46253</v>
      </c>
      <c r="I59" s="23">
        <f>WORKDAY.INTL(H59,18,"0000100",$AE$5:$AE$10)</f>
        <v>46274</v>
      </c>
      <c r="J59" s="23"/>
      <c r="K59" s="23"/>
      <c r="L59" s="24">
        <v>0</v>
      </c>
      <c r="M59" s="24" t="str">
        <f ca="1">IF(L59=100%,"Completed",IF(AND(OR(L59="",L59=0),F59&gt;TODAY()),"Not Started",IF(AND(OR(L59="",L59=0),F59&lt;=TODAY()),"Delayed",IF(AND(L59&gt;0,L59&lt;100%,G59&lt;TODAY()),"Delayed",IF(AND(L59&gt;0,L59&lt;100%,G59&gt;=TODAY()),"In Progress","")))))</f>
        <v>Not Started</v>
      </c>
      <c r="N59" s="297"/>
      <c r="O59" s="21"/>
      <c r="P59" s="297"/>
      <c r="Q59" s="299"/>
      <c r="R59" s="97"/>
      <c r="S59" s="97"/>
      <c r="T59" s="97"/>
      <c r="U59" s="97"/>
      <c r="V59" s="97"/>
      <c r="W59" s="97"/>
      <c r="X59" s="300" t="s">
        <v>30</v>
      </c>
      <c r="Y59" s="229"/>
      <c r="AA59" s="23" t="s">
        <v>125</v>
      </c>
    </row>
    <row r="60" spans="2:32" ht="58.5" thickBot="1">
      <c r="B60" s="470"/>
      <c r="C60" s="296" t="s">
        <v>125</v>
      </c>
      <c r="D60" s="21" t="s">
        <v>128</v>
      </c>
      <c r="E60" s="22">
        <f>NETWORKDAYS.INTL(F60,G60,"0000100",$AE$5:$AE$11)</f>
        <v>66</v>
      </c>
      <c r="F60" s="23">
        <f>F59</f>
        <v>46253</v>
      </c>
      <c r="G60" s="23">
        <f>WORKDAY.INTL(F60,65,"0000100",$AE$5:$AE$10)</f>
        <v>46329</v>
      </c>
      <c r="H60" s="23">
        <f>H59</f>
        <v>46253</v>
      </c>
      <c r="I60" s="23">
        <f>WORKDAY.INTL(H60,65,"0000100",$AE$5:$AE$10)</f>
        <v>46329</v>
      </c>
      <c r="J60" s="23"/>
      <c r="K60" s="23"/>
      <c r="L60" s="24">
        <v>0</v>
      </c>
      <c r="M60" s="24" t="str">
        <f ca="1">IF(L60=100%,"Completed",IF(AND(OR(L60="",L60=0),F60&gt;TODAY()),"Not Started",IF(AND(OR(L60="",L60=0),F60&lt;=TODAY()),"Delayed",IF(AND(L60&gt;0,L60&lt;100%,G60&lt;TODAY()),"Delayed",IF(AND(L60&gt;0,L60&lt;100%,G60&gt;=TODAY()),"In Progress","")))))</f>
        <v>Not Started</v>
      </c>
      <c r="N60" s="297"/>
      <c r="O60" s="21"/>
      <c r="P60" s="297"/>
      <c r="Q60" s="298"/>
      <c r="R60" s="298"/>
      <c r="S60" s="298"/>
      <c r="T60" s="298"/>
      <c r="U60" s="298"/>
      <c r="V60" s="298"/>
      <c r="W60" s="299"/>
      <c r="X60" s="300" t="s">
        <v>223</v>
      </c>
      <c r="Y60" s="229"/>
      <c r="AA60" s="23" t="s">
        <v>125</v>
      </c>
    </row>
    <row r="61" spans="2:32" s="274" customFormat="1" ht="4.5" customHeight="1" thickBot="1">
      <c r="B61" s="292"/>
      <c r="C61" s="292"/>
      <c r="D61" s="292"/>
      <c r="E61" s="293"/>
      <c r="F61" s="292"/>
      <c r="G61" s="292"/>
      <c r="H61" s="292"/>
      <c r="I61" s="292"/>
      <c r="J61" s="292"/>
      <c r="K61" s="292"/>
      <c r="L61" s="294"/>
      <c r="M61" s="294"/>
      <c r="N61" s="292"/>
      <c r="O61" s="292"/>
      <c r="P61" s="292"/>
      <c r="Q61" s="292"/>
      <c r="R61" s="292"/>
      <c r="S61" s="292"/>
      <c r="T61" s="292"/>
      <c r="U61" s="292"/>
      <c r="V61" s="292"/>
      <c r="W61" s="292"/>
      <c r="X61" s="295"/>
      <c r="AA61" s="275"/>
      <c r="AB61" s="275"/>
    </row>
    <row r="62" spans="2:32" s="274" customFormat="1" ht="171.75" thickBot="1">
      <c r="B62" s="303" t="s">
        <v>130</v>
      </c>
      <c r="C62" s="304" t="s">
        <v>131</v>
      </c>
      <c r="D62" s="42" t="s">
        <v>224</v>
      </c>
      <c r="E62" s="43">
        <f>NETWORKDAYS.INTL(F62,G62,"0000110",$AE$5:$AE$11)</f>
        <v>3</v>
      </c>
      <c r="F62" s="44">
        <f>MAX(WORKDAY.INTL(G56,1,"0000110"),WORKDAY.INTL(G70,1,"0000110"),WORKDAY.INTL(G68,1,"0000110"))</f>
        <v>46357</v>
      </c>
      <c r="G62" s="44">
        <f t="shared" ref="G62" si="63">WORKDAY.INTL(F62,2,"0000110")</f>
        <v>46359</v>
      </c>
      <c r="H62" s="44">
        <f>MAX(WORKDAY.INTL(I56,1,"0000110"),WORKDAY.INTL(I70,1,"0000110"),WORKDAY.INTL(I68,1,"0000110"))</f>
        <v>46357</v>
      </c>
      <c r="I62" s="44">
        <f t="shared" ref="I62" si="64">WORKDAY.INTL(H62,2,"0000110")</f>
        <v>46359</v>
      </c>
      <c r="J62" s="44"/>
      <c r="K62" s="44"/>
      <c r="L62" s="45">
        <v>0</v>
      </c>
      <c r="M62" s="45" t="str">
        <f ca="1">IF(L62=100%,"Completed",IF(AND(OR(L62="",L62=0),F62&gt;TODAY()),"Not Started",IF(AND(OR(L62="",L62=0),F62&lt;=TODAY()),"Delayed",IF(AND(L62&gt;0,L62&lt;100%,G62&lt;TODAY()),"Delayed",IF(AND(L62&gt;0,L62&lt;100%,G62&gt;=TODAY()),"In Progress","")))))</f>
        <v>Not Started</v>
      </c>
      <c r="N62" s="46"/>
      <c r="O62" s="42"/>
      <c r="P62" s="46"/>
      <c r="Q62" s="47"/>
      <c r="R62" s="47"/>
      <c r="S62" s="47"/>
      <c r="T62" s="47"/>
      <c r="U62" s="47"/>
      <c r="V62" s="47"/>
      <c r="W62" s="48"/>
      <c r="X62" s="305" t="s">
        <v>180</v>
      </c>
      <c r="AA62" s="23" t="s">
        <v>134</v>
      </c>
      <c r="AB62" s="275"/>
    </row>
    <row r="63" spans="2:32" s="274" customFormat="1" ht="8.25" customHeight="1" thickBot="1">
      <c r="B63" s="270"/>
      <c r="C63" s="270"/>
      <c r="D63" s="270"/>
      <c r="E63" s="271"/>
      <c r="F63" s="270"/>
      <c r="G63" s="270"/>
      <c r="H63" s="270"/>
      <c r="I63" s="270"/>
      <c r="J63" s="270"/>
      <c r="K63" s="270"/>
      <c r="L63" s="272"/>
      <c r="M63" s="272"/>
      <c r="N63" s="270"/>
      <c r="O63" s="270"/>
      <c r="P63" s="270"/>
      <c r="Q63" s="270"/>
      <c r="R63" s="270"/>
      <c r="S63" s="270"/>
      <c r="T63" s="270"/>
      <c r="U63" s="270"/>
      <c r="V63" s="270"/>
      <c r="W63" s="270"/>
      <c r="X63" s="273"/>
      <c r="AA63" s="23"/>
      <c r="AB63" s="231"/>
    </row>
    <row r="64" spans="2:32" ht="28.9" customHeight="1">
      <c r="B64" s="471" t="s">
        <v>135</v>
      </c>
      <c r="C64" s="306" t="s">
        <v>135</v>
      </c>
      <c r="D64" s="49" t="s">
        <v>36</v>
      </c>
      <c r="E64" s="50">
        <f>NETWORKDAYS.INTL(F64,G64,"0000110",$AD$5:$AD$12)</f>
        <v>3</v>
      </c>
      <c r="F64" s="51">
        <f>MAX(WORKDAY.INTL(G54,1,"0000110",$AD$5:$AD$11),WORKDAY.INTL(G59,1,"0000110",$AD$5:$AD$11))</f>
        <v>46341</v>
      </c>
      <c r="G64" s="51">
        <f>WORKDAY.INTL(F64,2,"0000110",$AD$5:$AD$11)</f>
        <v>46343</v>
      </c>
      <c r="H64" s="51">
        <f>MAX(WORKDAY.INTL(I54,1,"0000110",$AD$5:$AD$11),WORKDAY.INTL(I59,1,"0000110",$AD$5:$AD$11))</f>
        <v>46341</v>
      </c>
      <c r="I64" s="51">
        <f>WORKDAY.INTL(H64,2,"0000110",$AD$5:$AD$11)</f>
        <v>46343</v>
      </c>
      <c r="J64" s="51"/>
      <c r="K64" s="51"/>
      <c r="L64" s="52">
        <v>0</v>
      </c>
      <c r="M64" s="52" t="str">
        <f ca="1">IF(L64=100%,"Completed",IF(AND(OR(L64="",L64=0),F64&gt;TODAY()),"Not Started",IF(AND(OR(L64="",L64=0),F64&lt;=TODAY()),"Delayed",IF(AND(L64&gt;0,L64&lt;100%,G64&lt;TODAY()),"Delayed",IF(AND(L64&gt;0,L64&lt;100%,G64&gt;=TODAY()),"In Progress","")))))</f>
        <v>Not Started</v>
      </c>
      <c r="N64" s="53"/>
      <c r="O64" s="49"/>
      <c r="P64" s="53"/>
      <c r="Q64" s="54"/>
      <c r="R64" s="54"/>
      <c r="S64" s="54"/>
      <c r="T64" s="54"/>
      <c r="U64" s="54"/>
      <c r="V64" s="54"/>
      <c r="W64" s="55"/>
      <c r="X64" s="56"/>
      <c r="Y64" s="229"/>
      <c r="AA64" s="23" t="s">
        <v>34</v>
      </c>
    </row>
    <row r="65" spans="2:29" ht="28.9" customHeight="1">
      <c r="B65" s="472"/>
      <c r="C65" s="307" t="s">
        <v>135</v>
      </c>
      <c r="D65" s="34" t="s">
        <v>38</v>
      </c>
      <c r="E65" s="33">
        <f>NETWORKDAYS.INTL(F65,G65,"0000110",$AD$5:$AD$12)</f>
        <v>5</v>
      </c>
      <c r="F65" s="29">
        <f>WORKDAY.INTL(G64,1,"0000110",$AD$5:$AD$11)</f>
        <v>46344</v>
      </c>
      <c r="G65" s="29">
        <f>WORKDAY.INTL(F65,4,"0000110",$AD$5:$AD$11)</f>
        <v>46350</v>
      </c>
      <c r="H65" s="29">
        <f>WORKDAY.INTL(I64,1,"0000110",$AD$5:$AD$11)</f>
        <v>46344</v>
      </c>
      <c r="I65" s="29">
        <f>WORKDAY.INTL(H65,4,"0000110",$AD$5:$AD$11)</f>
        <v>46350</v>
      </c>
      <c r="J65" s="29"/>
      <c r="K65" s="29"/>
      <c r="L65" s="35">
        <v>0</v>
      </c>
      <c r="M65" s="35" t="str">
        <f ca="1">IF(L65=100%,"Completed",IF(AND(OR(L65="",L65=0),F65&gt;TODAY()),"Not Started",IF(AND(OR(L65="",L65=0),F65&lt;=TODAY()),"Delayed",IF(AND(L65&gt;0,L65&lt;100%,G65&lt;TODAY()),"Delayed",IF(AND(L65&gt;0,L65&lt;100%,G65&gt;=TODAY()),"In Progress","")))))</f>
        <v>Not Started</v>
      </c>
      <c r="N65" s="57"/>
      <c r="O65" s="34"/>
      <c r="P65" s="57"/>
      <c r="Q65" s="58"/>
      <c r="R65" s="58"/>
      <c r="S65" s="58"/>
      <c r="T65" s="58"/>
      <c r="U65" s="58"/>
      <c r="V65" s="58"/>
      <c r="W65" s="59"/>
      <c r="X65" s="60"/>
      <c r="Y65" s="229"/>
      <c r="AA65" s="23" t="s">
        <v>34</v>
      </c>
      <c r="AB65" s="274"/>
    </row>
    <row r="66" spans="2:29" ht="28.9" customHeight="1">
      <c r="B66" s="472"/>
      <c r="C66" s="307" t="s">
        <v>135</v>
      </c>
      <c r="D66" s="34" t="s">
        <v>43</v>
      </c>
      <c r="E66" s="33">
        <f>NETWORKDAYS.INTL(F66,G66,"0000110",$AD$5:$AD$12)</f>
        <v>2</v>
      </c>
      <c r="F66" s="29">
        <f>WORKDAY.INTL(G65,1,"0000110",$AD$5:$AD$11)</f>
        <v>46351</v>
      </c>
      <c r="G66" s="29">
        <f>WORKDAY.INTL(F66,1,"0000110",$AD$5:$AD$11)</f>
        <v>46352</v>
      </c>
      <c r="H66" s="29">
        <f>WORKDAY.INTL(I65,1,"0000110",$AD$5:$AD$11)</f>
        <v>46351</v>
      </c>
      <c r="I66" s="29">
        <f>WORKDAY.INTL(H66,1,"0000110",$AD$5:$AD$11)</f>
        <v>46352</v>
      </c>
      <c r="J66" s="29"/>
      <c r="K66" s="29"/>
      <c r="L66" s="35">
        <v>0</v>
      </c>
      <c r="M66" s="35" t="str">
        <f ca="1">IF(L66=100%,"Completed",IF(AND(OR(L66="",L66=0),F66&gt;TODAY()),"Not Started",IF(AND(OR(L66="",L66=0),F66&lt;=TODAY()),"Delayed",IF(AND(L66&gt;0,L66&lt;100%,G66&lt;TODAY()),"Delayed",IF(AND(L66&gt;0,L66&lt;100%,G66&gt;=TODAY()),"In Progress","")))))</f>
        <v>Not Started</v>
      </c>
      <c r="N66" s="57"/>
      <c r="O66" s="34"/>
      <c r="P66" s="57"/>
      <c r="Q66" s="58"/>
      <c r="R66" s="58"/>
      <c r="S66" s="58"/>
      <c r="T66" s="58"/>
      <c r="U66" s="58"/>
      <c r="V66" s="58"/>
      <c r="W66" s="59"/>
      <c r="X66" s="60"/>
      <c r="Y66" s="229"/>
      <c r="AA66" s="23" t="s">
        <v>34</v>
      </c>
    </row>
    <row r="67" spans="2:29" ht="28.9" customHeight="1">
      <c r="B67" s="472"/>
      <c r="C67" s="307" t="s">
        <v>135</v>
      </c>
      <c r="D67" s="34" t="s">
        <v>44</v>
      </c>
      <c r="E67" s="33">
        <f>NETWORKDAYS.INTL(F67,G67,"0000110",$AD$5:$AD$12)</f>
        <v>1</v>
      </c>
      <c r="F67" s="29">
        <f>WORKDAY.INTL(G66,1,"0000110",$AD$5:$AD$11)</f>
        <v>46355</v>
      </c>
      <c r="G67" s="29">
        <f>WORKDAY.INTL(F67,0,"0000110",$AD$5:$AD$11)</f>
        <v>46355</v>
      </c>
      <c r="H67" s="29">
        <f>WORKDAY.INTL(I66,1,"0000110",$AD$5:$AD$11)</f>
        <v>46355</v>
      </c>
      <c r="I67" s="29">
        <f>WORKDAY.INTL(H67,0,"0000110",$AD$5:$AD$11)</f>
        <v>46355</v>
      </c>
      <c r="J67" s="29"/>
      <c r="K67" s="29"/>
      <c r="L67" s="35">
        <v>0</v>
      </c>
      <c r="M67" s="35" t="str">
        <f ca="1">IF(L67=100%,"Completed",IF(AND(OR(L67="",L67=0),F67&gt;TODAY()),"Not Started",IF(AND(OR(L67="",L67=0),F67&lt;=TODAY()),"Delayed",IF(AND(L67&gt;0,L67&lt;100%,G67&lt;TODAY()),"Delayed",IF(AND(L67&gt;0,L67&lt;100%,G67&gt;=TODAY()),"In Progress","")))))</f>
        <v>Not Started</v>
      </c>
      <c r="N67" s="57"/>
      <c r="O67" s="34"/>
      <c r="P67" s="57"/>
      <c r="Q67" s="58"/>
      <c r="R67" s="58"/>
      <c r="S67" s="58"/>
      <c r="T67" s="58"/>
      <c r="U67" s="58"/>
      <c r="V67" s="58"/>
      <c r="W67" s="59"/>
      <c r="X67" s="60"/>
      <c r="Y67" s="229"/>
      <c r="AA67" s="23" t="s">
        <v>34</v>
      </c>
    </row>
    <row r="68" spans="2:29" ht="28.9" customHeight="1" thickBot="1">
      <c r="B68" s="473"/>
      <c r="C68" s="308" t="s">
        <v>135</v>
      </c>
      <c r="D68" s="61" t="s">
        <v>46</v>
      </c>
      <c r="E68" s="62">
        <f>NETWORKDAYS.INTL(F68,G68,"0000110",$AD$5:$AD$12)</f>
        <v>1</v>
      </c>
      <c r="F68" s="63">
        <f>WORKDAY.INTL(G67,1,"0000110",$AD$5:$AD$11)</f>
        <v>46356</v>
      </c>
      <c r="G68" s="63">
        <f>WORKDAY.INTL(F68,0,"0000110",$AD$5:$AD$11)</f>
        <v>46356</v>
      </c>
      <c r="H68" s="63">
        <f>WORKDAY.INTL(I67,1,"0000110",$AD$5:$AD$11)</f>
        <v>46356</v>
      </c>
      <c r="I68" s="63">
        <f>WORKDAY.INTL(H68,0,"0000110",$AD$5:$AD$11)</f>
        <v>46356</v>
      </c>
      <c r="J68" s="63"/>
      <c r="K68" s="63"/>
      <c r="L68" s="64">
        <v>0</v>
      </c>
      <c r="M68" s="64" t="str">
        <f ca="1">IF(L68=100%,"Completed",IF(AND(OR(L68="",L68=0),F68&gt;TODAY()),"Not Started",IF(AND(OR(L68="",L68=0),F68&lt;=TODAY()),"Delayed",IF(AND(L68&gt;0,L68&lt;100%,G68&lt;TODAY()),"Delayed",IF(AND(L68&gt;0,L68&lt;100%,G68&gt;=TODAY()),"In Progress","")))))</f>
        <v>Not Started</v>
      </c>
      <c r="N68" s="65"/>
      <c r="O68" s="61"/>
      <c r="P68" s="65"/>
      <c r="Q68" s="66"/>
      <c r="R68" s="66"/>
      <c r="S68" s="66"/>
      <c r="T68" s="66"/>
      <c r="U68" s="66"/>
      <c r="V68" s="66"/>
      <c r="W68" s="67"/>
      <c r="X68" s="68"/>
      <c r="Y68" s="229"/>
      <c r="AA68" s="23" t="s">
        <v>34</v>
      </c>
    </row>
    <row r="69" spans="2:29" s="274" customFormat="1" ht="4.5" customHeight="1" thickBot="1">
      <c r="B69" s="292"/>
      <c r="C69" s="292"/>
      <c r="D69" s="292"/>
      <c r="E69" s="293"/>
      <c r="F69" s="292"/>
      <c r="G69" s="292"/>
      <c r="H69" s="292"/>
      <c r="I69" s="292"/>
      <c r="J69" s="292"/>
      <c r="K69" s="292"/>
      <c r="L69" s="294"/>
      <c r="M69" s="294"/>
      <c r="N69" s="292"/>
      <c r="O69" s="292"/>
      <c r="P69" s="292"/>
      <c r="Q69" s="292"/>
      <c r="R69" s="292"/>
      <c r="S69" s="292"/>
      <c r="T69" s="292"/>
      <c r="U69" s="292"/>
      <c r="V69" s="292"/>
      <c r="W69" s="292"/>
      <c r="X69" s="295"/>
    </row>
    <row r="70" spans="2:29" ht="49.5">
      <c r="B70" s="463" t="s">
        <v>136</v>
      </c>
      <c r="C70" s="244" t="s">
        <v>136</v>
      </c>
      <c r="D70" s="69" t="s">
        <v>47</v>
      </c>
      <c r="E70" s="70">
        <f>NETWORKDAYS.INTL(F70,G70,"0000110",$AE$5:$AE$11)</f>
        <v>31</v>
      </c>
      <c r="F70" s="71">
        <v>46249</v>
      </c>
      <c r="G70" s="71">
        <f>WORKDAY.INTL(F70,31,"0000110",$AE$5:$AE$10)</f>
        <v>46292</v>
      </c>
      <c r="H70" s="71">
        <v>46249</v>
      </c>
      <c r="I70" s="71">
        <f>WORKDAY.INTL(H70,31,"0000110",$AE$5:$AE$10)</f>
        <v>46292</v>
      </c>
      <c r="J70" s="71"/>
      <c r="K70" s="71"/>
      <c r="L70" s="72">
        <v>0</v>
      </c>
      <c r="M70" s="72" t="str">
        <f ca="1">IF(L70=100%,"Completed",IF(AND(OR(L70="",L70=0),F70&gt;TODAY()),"Not Started",IF(AND(OR(L70="",L70=0),F70&lt;=TODAY()),"Delayed",IF(AND(L70&gt;0,L70&lt;100%,G70&lt;TODAY()),"Delayed",IF(AND(L70&gt;0,L70&lt;100%,G70&gt;=TODAY()),"In Progress","")))))</f>
        <v>Not Started</v>
      </c>
      <c r="N70" s="227"/>
      <c r="O70" s="69"/>
      <c r="P70" s="227"/>
      <c r="Q70" s="69"/>
      <c r="R70" s="69"/>
      <c r="S70" s="69"/>
      <c r="T70" s="69"/>
      <c r="U70" s="69"/>
      <c r="V70" s="69"/>
      <c r="W70" s="69"/>
      <c r="X70" s="228" t="s">
        <v>225</v>
      </c>
      <c r="Y70" s="229"/>
      <c r="AA70" s="23" t="s">
        <v>136</v>
      </c>
    </row>
    <row r="71" spans="2:29" ht="50.25" thickBot="1">
      <c r="B71" s="464"/>
      <c r="C71" s="309" t="s">
        <v>136</v>
      </c>
      <c r="D71" s="74" t="s">
        <v>138</v>
      </c>
      <c r="E71" s="75">
        <f>NETWORKDAYS.INTL(F71,G71,"0000110",$AE$5:$AE$11)</f>
        <v>30</v>
      </c>
      <c r="F71" s="76">
        <f t="shared" ref="F71" si="65">G62+7</f>
        <v>46366</v>
      </c>
      <c r="G71" s="76">
        <f>WORKDAY.INTL(F71,29,"0000110",$AE$5:$AE$10)</f>
        <v>46407</v>
      </c>
      <c r="H71" s="76">
        <f t="shared" ref="H71" si="66">I62+7</f>
        <v>46366</v>
      </c>
      <c r="I71" s="76">
        <f>WORKDAY.INTL(H71,29,"0000110",$AE$5:$AE$10)</f>
        <v>46407</v>
      </c>
      <c r="J71" s="76"/>
      <c r="K71" s="76"/>
      <c r="L71" s="77">
        <v>0</v>
      </c>
      <c r="M71" s="77" t="str">
        <f ca="1">IF(L71=100%,"Completed",IF(AND(OR(L71="",L71=0),F71&gt;TODAY()),"Not Started",IF(AND(OR(L71="",L71=0),F71&lt;=TODAY()),"Delayed",IF(AND(L71&gt;0,L71&lt;100%,G71&lt;TODAY()),"Delayed",IF(AND(L71&gt;0,L71&lt;100%,G71&gt;=TODAY()),"In Progress","")))))</f>
        <v>Not Started</v>
      </c>
      <c r="N71" s="279"/>
      <c r="O71" s="74"/>
      <c r="P71" s="279"/>
      <c r="Q71" s="95"/>
      <c r="R71" s="95"/>
      <c r="S71" s="95"/>
      <c r="T71" s="95"/>
      <c r="U71" s="95"/>
      <c r="V71" s="95"/>
      <c r="W71" s="95"/>
      <c r="X71" s="280" t="s">
        <v>226</v>
      </c>
      <c r="Y71" s="229"/>
      <c r="AA71" s="23" t="s">
        <v>136</v>
      </c>
    </row>
    <row r="72" spans="2:29" s="274" customFormat="1" ht="6" customHeight="1" thickBot="1">
      <c r="B72" s="292"/>
      <c r="C72" s="292"/>
      <c r="D72" s="292"/>
      <c r="E72" s="293"/>
      <c r="F72" s="292"/>
      <c r="G72" s="292"/>
      <c r="H72" s="292"/>
      <c r="I72" s="292"/>
      <c r="J72" s="292"/>
      <c r="K72" s="292"/>
      <c r="L72" s="294"/>
      <c r="M72" s="294"/>
      <c r="N72" s="292"/>
      <c r="O72" s="292"/>
      <c r="P72" s="292"/>
      <c r="Q72" s="292"/>
      <c r="R72" s="292"/>
      <c r="S72" s="292"/>
      <c r="T72" s="292"/>
      <c r="U72" s="292"/>
      <c r="V72" s="292"/>
      <c r="W72" s="292"/>
      <c r="X72" s="295"/>
      <c r="AA72" s="23"/>
      <c r="AB72" s="231"/>
      <c r="AC72" s="231"/>
    </row>
    <row r="73" spans="2:29" ht="141.75">
      <c r="B73" s="465" t="s">
        <v>139</v>
      </c>
      <c r="C73" s="310" t="s">
        <v>139</v>
      </c>
      <c r="D73" s="79" t="s">
        <v>140</v>
      </c>
      <c r="E73" s="80">
        <f>NETWORKDAYS.INTL(F73,G73,"0000100",$AD$5:$AD$12)</f>
        <v>18</v>
      </c>
      <c r="F73" s="335">
        <v>46270</v>
      </c>
      <c r="G73" s="36">
        <f t="shared" ref="G73" si="67">F73+21</f>
        <v>46291</v>
      </c>
      <c r="H73" s="36">
        <v>46270</v>
      </c>
      <c r="I73" s="36">
        <f t="shared" ref="I73" si="68">H73+21</f>
        <v>46291</v>
      </c>
      <c r="J73" s="335"/>
      <c r="K73" s="36"/>
      <c r="L73" s="37">
        <v>0</v>
      </c>
      <c r="M73" s="37" t="str">
        <f ca="1">IF(L73=100%,"Completed",IF(AND(OR(L73="",L73=0),F73&gt;TODAY()),"Not Started",IF(AND(OR(L73="",L73=0),F73&lt;=TODAY()),"Delayed",IF(AND(L73&gt;0,L73&lt;100%,G73&lt;TODAY()),"Delayed",IF(AND(L73&gt;0,L73&lt;100%,G73&gt;=TODAY()),"In Progress","")))))</f>
        <v>Not Started</v>
      </c>
      <c r="N73" s="311"/>
      <c r="O73" s="79"/>
      <c r="P73" s="311"/>
      <c r="Q73" s="79"/>
      <c r="R73" s="79"/>
      <c r="S73" s="79"/>
      <c r="T73" s="79"/>
      <c r="U73" s="79"/>
      <c r="V73" s="79"/>
      <c r="W73" s="79"/>
      <c r="X73" s="336" t="s">
        <v>141</v>
      </c>
      <c r="Y73" s="229"/>
      <c r="AA73" s="23" t="s">
        <v>139</v>
      </c>
      <c r="AB73" s="275"/>
      <c r="AC73" s="275"/>
    </row>
    <row r="74" spans="2:29" ht="47.25" thickBot="1">
      <c r="B74" s="466"/>
      <c r="C74" s="313" t="s">
        <v>139</v>
      </c>
      <c r="D74" s="82" t="s">
        <v>51</v>
      </c>
      <c r="E74" s="83">
        <f>NETWORKDAYS.INTL(F74,G74,"0000110",$AD$5:$AD$12)</f>
        <v>11</v>
      </c>
      <c r="F74" s="40">
        <f>F82-23</f>
        <v>46335</v>
      </c>
      <c r="G74" s="40">
        <f t="shared" ref="G74" si="69">F74+14</f>
        <v>46349</v>
      </c>
      <c r="H74" s="40">
        <f>H82-23</f>
        <v>46335</v>
      </c>
      <c r="I74" s="40">
        <f t="shared" ref="I74" si="70">H74+14</f>
        <v>46349</v>
      </c>
      <c r="J74" s="40"/>
      <c r="K74" s="40"/>
      <c r="L74" s="41">
        <v>0</v>
      </c>
      <c r="M74" s="41" t="str">
        <f ca="1">IF(L74=100%,"Completed",IF(AND(OR(L74="",L74=0),F74&gt;TODAY()),"Not Started",IF(AND(OR(L74="",L74=0),F74&lt;=TODAY()),"Delayed",IF(AND(L74&gt;0,L74&lt;100%,G74&lt;TODAY()),"Delayed",IF(AND(L74&gt;0,L74&lt;100%,G74&gt;=TODAY()),"In Progress","")))))</f>
        <v>Not Started</v>
      </c>
      <c r="N74" s="314"/>
      <c r="O74" s="82"/>
      <c r="P74" s="314"/>
      <c r="Q74" s="82"/>
      <c r="R74" s="82"/>
      <c r="S74" s="82"/>
      <c r="T74" s="82"/>
      <c r="U74" s="82"/>
      <c r="V74" s="82"/>
      <c r="W74" s="82"/>
      <c r="X74" s="337" t="s">
        <v>142</v>
      </c>
      <c r="Y74" s="229"/>
      <c r="AA74" s="23" t="s">
        <v>139</v>
      </c>
    </row>
    <row r="75" spans="2:29" s="274" customFormat="1" ht="7.5" customHeight="1" thickBot="1">
      <c r="B75" s="292"/>
      <c r="C75" s="292"/>
      <c r="D75" s="292"/>
      <c r="E75" s="293"/>
      <c r="F75" s="292"/>
      <c r="G75" s="292"/>
      <c r="H75" s="292"/>
      <c r="I75" s="292"/>
      <c r="J75" s="292"/>
      <c r="K75" s="292"/>
      <c r="L75" s="294"/>
      <c r="M75" s="294"/>
      <c r="N75" s="292"/>
      <c r="O75" s="292"/>
      <c r="P75" s="270"/>
      <c r="Q75" s="292"/>
      <c r="R75" s="270"/>
      <c r="S75" s="292"/>
      <c r="T75" s="292"/>
      <c r="U75" s="292"/>
      <c r="V75" s="292"/>
      <c r="W75" s="292"/>
      <c r="X75" s="295"/>
      <c r="AA75" s="23"/>
      <c r="AB75" s="231"/>
      <c r="AC75" s="231"/>
    </row>
    <row r="76" spans="2:29" ht="23.25" customHeight="1" thickBot="1">
      <c r="B76" s="456" t="s">
        <v>143</v>
      </c>
      <c r="C76" s="489" t="s">
        <v>91</v>
      </c>
      <c r="D76" s="69" t="s">
        <v>185</v>
      </c>
      <c r="E76" s="70">
        <f>NETWORKDAYS.INTL(F76,G76,"0000100",$AE$5:$AE$11)</f>
        <v>1</v>
      </c>
      <c r="F76" s="84">
        <f>G76</f>
        <v>46212</v>
      </c>
      <c r="G76" s="84">
        <v>46212</v>
      </c>
      <c r="H76" s="71">
        <f>I76</f>
        <v>46212</v>
      </c>
      <c r="I76" s="71">
        <v>46212</v>
      </c>
      <c r="J76" s="84"/>
      <c r="K76" s="84"/>
      <c r="L76" s="72">
        <v>0</v>
      </c>
      <c r="M76" s="72" t="str">
        <f ca="1">IF(L76=100%,"Completed",IF(AND(OR(L76="",L76=0),F76&gt;TODAY()),"Not Started",IF(AND(OR(L76="",L76=0),F76&lt;=TODAY()),"Delayed",IF(AND(L76&gt;0,L76&lt;100%,G76&lt;TODAY()),"Delayed",IF(AND(L76&gt;0,L76&lt;100%,G76&gt;=TODAY()),"In Progress","")))))</f>
        <v>Not Started</v>
      </c>
      <c r="N76" s="227"/>
      <c r="O76" s="69"/>
      <c r="P76" s="358"/>
      <c r="Q76" s="69"/>
      <c r="R76" s="69"/>
      <c r="S76" s="69"/>
      <c r="T76" s="69"/>
      <c r="U76" s="69"/>
      <c r="V76" s="69"/>
      <c r="W76" s="329"/>
      <c r="X76" s="330"/>
      <c r="Y76" s="229"/>
      <c r="AA76" s="23" t="s">
        <v>144</v>
      </c>
    </row>
    <row r="77" spans="2:29" ht="28.9" customHeight="1">
      <c r="B77" s="457"/>
      <c r="C77" s="490"/>
      <c r="D77" s="93" t="s">
        <v>227</v>
      </c>
      <c r="E77" s="94">
        <f>NETWORKDAYS.INTL(F77,G77,"0000100",$AE$5:$AE$12)</f>
        <v>106</v>
      </c>
      <c r="F77" s="86">
        <f>WORKDAY.INTL(G76,10,"0000100",$AE$5:$AE$11)</f>
        <v>46224</v>
      </c>
      <c r="G77" s="86">
        <f>WORKDAY.INTL(F77,105,"0000100",$AE$5:$AE$11)</f>
        <v>46347</v>
      </c>
      <c r="H77" s="23">
        <f>WORKDAY.INTL(I76,10,"0000100",$AE$5:$AE$11)</f>
        <v>46224</v>
      </c>
      <c r="I77" s="23">
        <f>WORKDAY.INTL(H77,105,"0000100",$AE$5:$AE$11)</f>
        <v>46347</v>
      </c>
      <c r="J77" s="86"/>
      <c r="K77" s="86"/>
      <c r="L77" s="24">
        <v>0</v>
      </c>
      <c r="M77" s="24" t="str">
        <f ca="1">IF(L77=100%,"Completed",IF(AND(OR(L77="",L77=0),F77&gt;TODAY()),"Not Started",IF(AND(OR(L77="",L77=0),F77&lt;=TODAY()),"Delayed",IF(AND(L77&gt;0,L77&lt;100%,G77&lt;TODAY()),"Delayed",IF(AND(L77&gt;0,L77&lt;100%,G77&gt;=TODAY()),"In Progress","")))))</f>
        <v>Not Started</v>
      </c>
      <c r="N77" s="277"/>
      <c r="O77" s="93"/>
      <c r="P77" s="363"/>
      <c r="Q77" s="93"/>
      <c r="R77" s="93"/>
      <c r="S77" s="93"/>
      <c r="T77" s="93"/>
      <c r="U77" s="93"/>
      <c r="V77" s="93"/>
      <c r="W77" s="338"/>
      <c r="X77" s="339" t="s">
        <v>146</v>
      </c>
      <c r="Y77" s="229"/>
      <c r="AA77" s="23" t="s">
        <v>147</v>
      </c>
    </row>
    <row r="78" spans="2:29" ht="28.9" customHeight="1">
      <c r="B78" s="457"/>
      <c r="C78" s="490"/>
      <c r="D78" s="93" t="s">
        <v>7</v>
      </c>
      <c r="E78" s="94">
        <f>NETWORKDAYS.INTL(F78,G78,"0000100",$AE$5:$AE$12)</f>
        <v>106</v>
      </c>
      <c r="F78" s="86">
        <f>WORKDAY.INTL(F77,5,"0000100",$AE$5:$AE$11)</f>
        <v>46230</v>
      </c>
      <c r="G78" s="86">
        <f>WORKDAY.INTL(G77,5,"0000100",$AE$5:$AE$11)</f>
        <v>46352</v>
      </c>
      <c r="H78" s="23">
        <f>WORKDAY.INTL(H77,5,"0000100",$AE$5:$AE$11)</f>
        <v>46230</v>
      </c>
      <c r="I78" s="23">
        <f>WORKDAY.INTL(I77,5,"0000100",$AE$5:$AE$11)</f>
        <v>46352</v>
      </c>
      <c r="J78" s="86"/>
      <c r="K78" s="86"/>
      <c r="L78" s="24">
        <v>0</v>
      </c>
      <c r="M78" s="24" t="str">
        <f ca="1">IF(L78=100%,"Completed",IF(AND(OR(L78="",L78=0),F78&gt;TODAY()),"Not Started",IF(AND(OR(L78="",L78=0),F78&lt;=TODAY()),"Delayed",IF(AND(L78&gt;0,L78&lt;100%,G78&lt;TODAY()),"Delayed",IF(AND(L78&gt;0,L78&lt;100%,G78&gt;=TODAY()),"In Progress","")))))</f>
        <v>Not Started</v>
      </c>
      <c r="N78" s="277"/>
      <c r="O78" s="93"/>
      <c r="P78" s="363"/>
      <c r="Q78" s="93"/>
      <c r="R78" s="93"/>
      <c r="S78" s="93"/>
      <c r="T78" s="93"/>
      <c r="U78" s="93"/>
      <c r="V78" s="93"/>
      <c r="W78" s="338"/>
      <c r="X78" s="340"/>
      <c r="Y78" s="229"/>
      <c r="AA78" s="23" t="s">
        <v>148</v>
      </c>
    </row>
    <row r="79" spans="2:29" ht="108" customHeight="1">
      <c r="B79" s="457"/>
      <c r="C79" s="490"/>
      <c r="D79" s="93" t="s">
        <v>228</v>
      </c>
      <c r="E79" s="94">
        <f>NETWORKDAYS.INTL(F79,G79,"0000110",$AE$5:$AE$12)</f>
        <v>87</v>
      </c>
      <c r="F79" s="86">
        <f>WORKDAY.INTL(F78,5,"0000110")</f>
        <v>46237</v>
      </c>
      <c r="G79" s="86">
        <f>WORKDAY.INTL(F79,86,"0000110")</f>
        <v>46357</v>
      </c>
      <c r="H79" s="23">
        <f>WORKDAY.INTL(H78,5,"0000110")</f>
        <v>46237</v>
      </c>
      <c r="I79" s="23">
        <f>WORKDAY.INTL(H79,86,"0000110")</f>
        <v>46357</v>
      </c>
      <c r="J79" s="86"/>
      <c r="K79" s="86"/>
      <c r="L79" s="24">
        <v>0</v>
      </c>
      <c r="M79" s="24" t="str">
        <f ca="1">IF(L79=100%,"Completed",IF(AND(OR(L79="",L79=0),F79&gt;TODAY()),"Not Started",IF(AND(OR(L79="",L79=0),F79&lt;=TODAY()),"Delayed",IF(AND(L79&gt;0,L79&lt;100%,G79&lt;TODAY()),"Delayed",IF(AND(L79&gt;0,L79&lt;100%,G79&gt;=TODAY()),"In Progress","")))))</f>
        <v>Not Started</v>
      </c>
      <c r="N79" s="277"/>
      <c r="O79" s="93"/>
      <c r="P79" s="363"/>
      <c r="Q79" s="93"/>
      <c r="R79" s="93"/>
      <c r="S79" s="93"/>
      <c r="T79" s="93"/>
      <c r="U79" s="93"/>
      <c r="V79" s="93"/>
      <c r="W79" s="338"/>
      <c r="X79" s="340" t="s">
        <v>229</v>
      </c>
      <c r="Y79" s="229"/>
      <c r="AA79" s="23" t="s">
        <v>151</v>
      </c>
    </row>
    <row r="80" spans="2:29" ht="28.9" customHeight="1" thickBot="1">
      <c r="B80" s="458"/>
      <c r="C80" s="491"/>
      <c r="D80" s="95" t="s">
        <v>205</v>
      </c>
      <c r="E80" s="75">
        <f>NETWORKDAYS.INTL(F80,G80,"0000110",$AE$5:$AE$12)</f>
        <v>2</v>
      </c>
      <c r="F80" s="87">
        <f>G87+1</f>
        <v>46379</v>
      </c>
      <c r="G80" s="87">
        <f>WORKDAY.INTL(F80,1,"0000110")</f>
        <v>46380</v>
      </c>
      <c r="H80" s="76">
        <f>I87+1</f>
        <v>46379</v>
      </c>
      <c r="I80" s="76">
        <f>WORKDAY.INTL(H80,1,"0000110")</f>
        <v>46380</v>
      </c>
      <c r="J80" s="87"/>
      <c r="K80" s="87"/>
      <c r="L80" s="77">
        <v>0</v>
      </c>
      <c r="M80" s="77" t="str">
        <f ca="1">IF(L80=100%,"Completed",IF(AND(OR(L80="",L80=0),F80&gt;TODAY()),"Not Started",IF(AND(OR(L80="",L80=0),F80&lt;=TODAY()),"Delayed",IF(AND(L80&gt;0,L80&lt;100%,G80&lt;TODAY()),"Delayed",IF(AND(L80&gt;0,L80&lt;100%,G80&gt;=TODAY()),"In Progress","")))))</f>
        <v>Not Started</v>
      </c>
      <c r="N80" s="279"/>
      <c r="O80" s="95"/>
      <c r="P80" s="370"/>
      <c r="Q80" s="95"/>
      <c r="R80" s="95"/>
      <c r="S80" s="95"/>
      <c r="T80" s="95"/>
      <c r="U80" s="95"/>
      <c r="V80" s="95"/>
      <c r="W80" s="341"/>
      <c r="X80" s="342" t="s">
        <v>153</v>
      </c>
      <c r="Y80" s="229"/>
      <c r="AA80" s="23" t="s">
        <v>154</v>
      </c>
    </row>
    <row r="81" spans="2:29" s="274" customFormat="1" ht="4.5" customHeight="1" thickBot="1">
      <c r="B81" s="292"/>
      <c r="C81" s="292"/>
      <c r="D81" s="292"/>
      <c r="E81" s="293"/>
      <c r="F81" s="292"/>
      <c r="G81" s="292"/>
      <c r="H81" s="292"/>
      <c r="I81" s="292"/>
      <c r="J81" s="233"/>
      <c r="K81" s="233"/>
      <c r="L81" s="294"/>
      <c r="M81" s="294"/>
      <c r="N81" s="292"/>
      <c r="O81" s="292"/>
      <c r="P81" s="281"/>
      <c r="Q81" s="292"/>
      <c r="R81" s="281"/>
      <c r="S81" s="292"/>
      <c r="T81" s="292"/>
      <c r="U81" s="292"/>
      <c r="V81" s="292"/>
      <c r="W81" s="292"/>
      <c r="X81" s="295"/>
      <c r="AA81" s="231"/>
      <c r="AB81" s="231"/>
      <c r="AC81" s="231"/>
    </row>
    <row r="82" spans="2:29" ht="30.75" customHeight="1" thickBot="1">
      <c r="B82" s="465" t="s">
        <v>155</v>
      </c>
      <c r="C82" s="310" t="s">
        <v>156</v>
      </c>
      <c r="D82" s="88" t="s">
        <v>157</v>
      </c>
      <c r="E82" s="80">
        <f t="shared" ref="E82:E87" si="71">NETWORKDAYS.INTL(F82,G82,"0000110",$AE$5:$AE$12)</f>
        <v>6</v>
      </c>
      <c r="F82" s="36">
        <f>G79+1</f>
        <v>46358</v>
      </c>
      <c r="G82" s="36">
        <f>WORKDAY.INTL(F82,5,"0000110",$AE$5:$AE$10)</f>
        <v>46365</v>
      </c>
      <c r="H82" s="36">
        <f>I79+1</f>
        <v>46358</v>
      </c>
      <c r="I82" s="36">
        <f>WORKDAY.INTL(H82,5,"0000110",$AE$5:$AE$10)</f>
        <v>46365</v>
      </c>
      <c r="J82" s="36"/>
      <c r="K82" s="36"/>
      <c r="L82" s="37">
        <v>0</v>
      </c>
      <c r="M82" s="37" t="str">
        <f t="shared" ref="M82:M87" ca="1" si="72">IF(L82=100%,"Completed",IF(AND(OR(L82="",L82=0),F82&gt;TODAY()),"Not Started",IF(AND(OR(L82="",L82=0),F82&lt;=TODAY()),"Delayed",IF(AND(L82&gt;0,L82&lt;100%,G82&lt;TODAY()),"Delayed",IF(AND(L82&gt;0,L82&lt;100%,G82&gt;=TODAY()),"In Progress","")))))</f>
        <v>Not Started</v>
      </c>
      <c r="N82" s="311"/>
      <c r="O82" s="88"/>
      <c r="P82" s="311"/>
      <c r="Q82" s="88"/>
      <c r="R82" s="88"/>
      <c r="S82" s="88"/>
      <c r="T82" s="88"/>
      <c r="U82" s="88"/>
      <c r="V82" s="88"/>
      <c r="W82" s="88"/>
      <c r="X82" s="318"/>
      <c r="Y82" s="229"/>
      <c r="AA82" s="23" t="s">
        <v>156</v>
      </c>
      <c r="AB82" s="275"/>
      <c r="AC82" s="275"/>
    </row>
    <row r="83" spans="2:29" ht="30.75" customHeight="1" thickBot="1">
      <c r="B83" s="496"/>
      <c r="C83" s="325" t="s">
        <v>156</v>
      </c>
      <c r="D83" s="89" t="s">
        <v>158</v>
      </c>
      <c r="E83" s="90">
        <f t="shared" si="71"/>
        <v>6</v>
      </c>
      <c r="F83" s="38">
        <f>F82</f>
        <v>46358</v>
      </c>
      <c r="G83" s="38">
        <f>WORKDAY.INTL(F83,5,"0000110",$AE$5:$AE$10)</f>
        <v>46365</v>
      </c>
      <c r="H83" s="38">
        <f>H82</f>
        <v>46358</v>
      </c>
      <c r="I83" s="38">
        <f>WORKDAY.INTL(H83,5,"0000110",$AE$5:$AE$10)</f>
        <v>46365</v>
      </c>
      <c r="J83" s="36"/>
      <c r="K83" s="36"/>
      <c r="L83" s="39">
        <v>0</v>
      </c>
      <c r="M83" s="39" t="str">
        <f t="shared" ca="1" si="72"/>
        <v>Not Started</v>
      </c>
      <c r="N83" s="320"/>
      <c r="O83" s="89"/>
      <c r="P83" s="320"/>
      <c r="Q83" s="89"/>
      <c r="R83" s="89"/>
      <c r="S83" s="89"/>
      <c r="T83" s="89"/>
      <c r="U83" s="89"/>
      <c r="V83" s="89"/>
      <c r="W83" s="89"/>
      <c r="X83" s="321"/>
      <c r="Y83" s="229"/>
      <c r="AA83" s="23" t="s">
        <v>156</v>
      </c>
    </row>
    <row r="84" spans="2:29" ht="30.75" customHeight="1" thickBot="1">
      <c r="B84" s="496"/>
      <c r="C84" s="325" t="s">
        <v>156</v>
      </c>
      <c r="D84" s="89" t="s">
        <v>159</v>
      </c>
      <c r="E84" s="90">
        <f t="shared" si="71"/>
        <v>5</v>
      </c>
      <c r="F84" s="38">
        <f>G83</f>
        <v>46365</v>
      </c>
      <c r="G84" s="38">
        <f>WORKDAY.INTL(F84,4,"0000110",$AE$5:$AE$10)</f>
        <v>46371</v>
      </c>
      <c r="H84" s="38">
        <f>I83</f>
        <v>46365</v>
      </c>
      <c r="I84" s="38">
        <f>WORKDAY.INTL(H84,4,"0000110",$AE$5:$AE$10)</f>
        <v>46371</v>
      </c>
      <c r="J84" s="38"/>
      <c r="K84" s="36"/>
      <c r="L84" s="39">
        <v>0</v>
      </c>
      <c r="M84" s="39" t="str">
        <f t="shared" ca="1" si="72"/>
        <v>Not Started</v>
      </c>
      <c r="N84" s="320"/>
      <c r="O84" s="89"/>
      <c r="P84" s="320"/>
      <c r="Q84" s="89"/>
      <c r="R84" s="89"/>
      <c r="S84" s="89"/>
      <c r="T84" s="89"/>
      <c r="U84" s="89"/>
      <c r="V84" s="89"/>
      <c r="W84" s="89"/>
      <c r="X84" s="321"/>
      <c r="Y84" s="229"/>
      <c r="AA84" s="23" t="s">
        <v>156</v>
      </c>
      <c r="AB84" s="275"/>
      <c r="AC84" s="275"/>
    </row>
    <row r="85" spans="2:29" ht="30.75" customHeight="1" thickBot="1">
      <c r="B85" s="496"/>
      <c r="C85" s="325" t="s">
        <v>156</v>
      </c>
      <c r="D85" s="89" t="s">
        <v>160</v>
      </c>
      <c r="E85" s="90">
        <f t="shared" si="71"/>
        <v>5</v>
      </c>
      <c r="F85" s="38">
        <f>F84</f>
        <v>46365</v>
      </c>
      <c r="G85" s="38">
        <f>WORKDAY.INTL(F85,4,"0000110",$AE$5:$AE$10)</f>
        <v>46371</v>
      </c>
      <c r="H85" s="38">
        <f>H84</f>
        <v>46365</v>
      </c>
      <c r="I85" s="38">
        <f>WORKDAY.INTL(H85,4,"0000110",$AE$5:$AE$10)</f>
        <v>46371</v>
      </c>
      <c r="J85" s="38"/>
      <c r="K85" s="36"/>
      <c r="L85" s="39">
        <v>0</v>
      </c>
      <c r="M85" s="39" t="str">
        <f t="shared" ca="1" si="72"/>
        <v>Not Started</v>
      </c>
      <c r="N85" s="320"/>
      <c r="O85" s="89"/>
      <c r="P85" s="320"/>
      <c r="Q85" s="89"/>
      <c r="R85" s="89"/>
      <c r="S85" s="89"/>
      <c r="T85" s="89"/>
      <c r="U85" s="89"/>
      <c r="V85" s="89"/>
      <c r="W85" s="89"/>
      <c r="X85" s="321"/>
      <c r="Y85" s="229"/>
      <c r="AA85" s="23" t="s">
        <v>156</v>
      </c>
    </row>
    <row r="86" spans="2:29" ht="30.75" customHeight="1" thickBot="1">
      <c r="B86" s="496"/>
      <c r="C86" s="325" t="s">
        <v>156</v>
      </c>
      <c r="D86" s="89" t="s">
        <v>46</v>
      </c>
      <c r="E86" s="90">
        <f t="shared" si="71"/>
        <v>3</v>
      </c>
      <c r="F86" s="38">
        <f>WORKDAY.INTL(G85,1,"0000110",$AE$5:$AE$10)</f>
        <v>46372</v>
      </c>
      <c r="G86" s="38">
        <f>WORKDAY.INTL(F86,2,"0000110",$AE$5:$AE$10)</f>
        <v>46376</v>
      </c>
      <c r="H86" s="38">
        <f>WORKDAY.INTL(I85,1,"0000110",$AE$5:$AE$10)</f>
        <v>46372</v>
      </c>
      <c r="I86" s="38">
        <f>WORKDAY.INTL(H86,2,"0000110",$AE$5:$AE$10)</f>
        <v>46376</v>
      </c>
      <c r="J86" s="38"/>
      <c r="K86" s="36"/>
      <c r="L86" s="39">
        <v>0</v>
      </c>
      <c r="M86" s="39" t="str">
        <f t="shared" ca="1" si="72"/>
        <v>Not Started</v>
      </c>
      <c r="N86" s="320"/>
      <c r="O86" s="89"/>
      <c r="P86" s="320"/>
      <c r="Q86" s="89"/>
      <c r="R86" s="89"/>
      <c r="S86" s="89"/>
      <c r="T86" s="89"/>
      <c r="U86" s="89"/>
      <c r="V86" s="89"/>
      <c r="W86" s="89"/>
      <c r="X86" s="321"/>
      <c r="Y86" s="229"/>
      <c r="AA86" s="23" t="s">
        <v>156</v>
      </c>
    </row>
    <row r="87" spans="2:29" ht="30.75" customHeight="1" thickBot="1">
      <c r="B87" s="466"/>
      <c r="C87" s="313" t="s">
        <v>156</v>
      </c>
      <c r="D87" s="91" t="s">
        <v>161</v>
      </c>
      <c r="E87" s="83">
        <f t="shared" si="71"/>
        <v>2</v>
      </c>
      <c r="F87" s="40">
        <f>WORKDAY.INTL(G86,1,"0000110",$AE$5:$AE$10)</f>
        <v>46377</v>
      </c>
      <c r="G87" s="40">
        <f>WORKDAY.INTL(F87,1,"0000110",$AE$5:$AE$10)</f>
        <v>46378</v>
      </c>
      <c r="H87" s="40">
        <f>WORKDAY.INTL(I86,1,"0000110",$AE$5:$AE$10)</f>
        <v>46377</v>
      </c>
      <c r="I87" s="40">
        <f>WORKDAY.INTL(H87,1,"0000110",$AE$5:$AE$10)</f>
        <v>46378</v>
      </c>
      <c r="J87" s="40"/>
      <c r="K87" s="92"/>
      <c r="L87" s="41">
        <v>0</v>
      </c>
      <c r="M87" s="41" t="str">
        <f t="shared" ca="1" si="72"/>
        <v>Not Started</v>
      </c>
      <c r="N87" s="314"/>
      <c r="O87" s="91"/>
      <c r="P87" s="314"/>
      <c r="Q87" s="91"/>
      <c r="R87" s="91"/>
      <c r="S87" s="91"/>
      <c r="T87" s="91"/>
      <c r="U87" s="91"/>
      <c r="V87" s="91"/>
      <c r="W87" s="91"/>
      <c r="X87" s="323"/>
      <c r="Y87" s="229"/>
      <c r="AA87" s="23" t="s">
        <v>156</v>
      </c>
    </row>
    <row r="88" spans="2:29" ht="14.25" customHeight="1"/>
  </sheetData>
  <mergeCells count="17">
    <mergeCell ref="B82:B87"/>
    <mergeCell ref="B58:B60"/>
    <mergeCell ref="B64:B68"/>
    <mergeCell ref="B70:B71"/>
    <mergeCell ref="B73:B74"/>
    <mergeCell ref="B76:B80"/>
    <mergeCell ref="C76:C80"/>
    <mergeCell ref="B5:B11"/>
    <mergeCell ref="B13:B16"/>
    <mergeCell ref="B18:B21"/>
    <mergeCell ref="B23:B26"/>
    <mergeCell ref="B28:B31"/>
    <mergeCell ref="B33:B36"/>
    <mergeCell ref="B38:B41"/>
    <mergeCell ref="B43:B46"/>
    <mergeCell ref="B48:B51"/>
    <mergeCell ref="B53:B56"/>
  </mergeCells>
  <conditionalFormatting sqref="M1:M1048576">
    <cfRule type="cellIs" dxfId="11" priority="10" operator="equal">
      <formula>"Delayed"</formula>
    </cfRule>
    <cfRule type="cellIs" dxfId="10" priority="11" operator="equal">
      <formula>"In Progress"</formula>
    </cfRule>
    <cfRule type="cellIs" dxfId="9" priority="12" operator="equal">
      <formula>"Completed"</formula>
    </cfRule>
  </conditionalFormatting>
  <conditionalFormatting sqref="O2">
    <cfRule type="cellIs" dxfId="8" priority="1" operator="equal">
      <formula>"Delayed"</formula>
    </cfRule>
    <cfRule type="cellIs" dxfId="7" priority="2" operator="equal">
      <formula>"In Progress"</formula>
    </cfRule>
    <cfRule type="cellIs" dxfId="6" priority="3" operator="equal">
      <formula>"Completed"</formula>
    </cfRule>
  </conditionalFormatting>
  <dataValidations disablePrompts="1" count="1">
    <dataValidation type="list" allowBlank="1" showInputMessage="1" showErrorMessage="1" sqref="Y76:Y80 Y82:Y87 Y62" xr:uid="{00000000-0002-0000-0400-000000000000}">
      <formula1>$Z$2:$Z$5</formula1>
    </dataValidation>
  </dataValidations>
  <pageMargins left="0.7" right="0.7" top="0.75" bottom="0.75" header="0.3" footer="0.3"/>
  <pageSetup paperSize="9"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dimension ref="B1:AE87"/>
  <sheetViews>
    <sheetView showGridLines="0" zoomScale="43" zoomScaleNormal="100" workbookViewId="0">
      <pane ySplit="2" topLeftCell="A4" activePane="bottomLeft" state="frozen"/>
      <selection pane="bottomLeft" activeCell="L6" sqref="L6"/>
    </sheetView>
  </sheetViews>
  <sheetFormatPr defaultColWidth="9" defaultRowHeight="15.75"/>
  <cols>
    <col min="1" max="1" width="0.75" style="230" customWidth="1"/>
    <col min="2" max="2" width="16" style="230" customWidth="1"/>
    <col min="3" max="3" width="6.25" style="230" hidden="1" customWidth="1"/>
    <col min="4" max="4" width="32.375" style="230" customWidth="1"/>
    <col min="5" max="5" width="13.375" style="229" customWidth="1"/>
    <col min="6" max="6" width="16.75" style="233" customWidth="1"/>
    <col min="7" max="7" width="15.125" style="233" customWidth="1"/>
    <col min="8" max="8" width="16.75" style="233" hidden="1" customWidth="1"/>
    <col min="9" max="9" width="15.125" style="233" hidden="1" customWidth="1"/>
    <col min="10" max="10" width="27.625" style="233" bestFit="1" customWidth="1"/>
    <col min="11" max="11" width="29.125" style="233" bestFit="1" customWidth="1"/>
    <col min="12" max="12" width="12.75" style="316" customWidth="1"/>
    <col min="13" max="13" width="15.125" style="316" customWidth="1"/>
    <col min="14" max="14" width="32.375" style="230" customWidth="1"/>
    <col min="15" max="15" width="0.875" style="274" customWidth="1"/>
    <col min="16" max="22" width="9.125" style="230" customWidth="1"/>
    <col min="23" max="23" width="42.75" style="260" customWidth="1"/>
    <col min="24" max="24" width="15.5" style="230" bestFit="1" customWidth="1"/>
    <col min="25" max="25" width="9" style="230"/>
    <col min="26" max="26" width="9" style="230" customWidth="1"/>
    <col min="27" max="27" width="12.25" style="231" customWidth="1"/>
    <col min="28" max="28" width="10.125" style="231" customWidth="1"/>
    <col min="29" max="29" width="10.5" style="230" bestFit="1" customWidth="1"/>
    <col min="30" max="16384" width="9" style="230"/>
  </cols>
  <sheetData>
    <row r="1" spans="2:31" ht="5.45" customHeight="1">
      <c r="F1" s="257"/>
      <c r="G1" s="257"/>
      <c r="H1" s="257"/>
      <c r="I1" s="257"/>
      <c r="J1" s="257"/>
      <c r="K1" s="257"/>
      <c r="L1" s="258">
        <v>0</v>
      </c>
      <c r="M1" s="258"/>
      <c r="O1" s="346"/>
    </row>
    <row r="2" spans="2:31" ht="24" customHeight="1" thickBot="1">
      <c r="B2" s="261"/>
      <c r="C2" s="261" t="s">
        <v>96</v>
      </c>
      <c r="D2" s="13" t="s">
        <v>1</v>
      </c>
      <c r="E2" s="13" t="s">
        <v>97</v>
      </c>
      <c r="F2" s="14" t="s">
        <v>98</v>
      </c>
      <c r="G2" s="14" t="s">
        <v>83</v>
      </c>
      <c r="H2" s="14" t="s">
        <v>99</v>
      </c>
      <c r="I2" s="14" t="s">
        <v>84</v>
      </c>
      <c r="J2" s="15" t="s">
        <v>100</v>
      </c>
      <c r="K2" s="15" t="s">
        <v>101</v>
      </c>
      <c r="L2" s="16" t="s">
        <v>82</v>
      </c>
      <c r="M2" s="16" t="s">
        <v>102</v>
      </c>
      <c r="N2" s="109" t="s">
        <v>162</v>
      </c>
      <c r="O2" s="347"/>
      <c r="P2" s="18">
        <v>46113</v>
      </c>
      <c r="Q2" s="19">
        <v>46143</v>
      </c>
      <c r="R2" s="19">
        <v>46174</v>
      </c>
      <c r="S2" s="19">
        <v>46204</v>
      </c>
      <c r="T2" s="19">
        <v>46235</v>
      </c>
      <c r="U2" s="19">
        <v>46266</v>
      </c>
      <c r="V2" s="19">
        <v>46296</v>
      </c>
      <c r="W2" s="20" t="s">
        <v>2</v>
      </c>
      <c r="X2" s="230" t="s">
        <v>163</v>
      </c>
    </row>
    <row r="3" spans="2:31" ht="45" hidden="1" customHeight="1">
      <c r="B3" s="262"/>
      <c r="C3" s="262"/>
      <c r="D3" s="263" t="s">
        <v>230</v>
      </c>
      <c r="E3" s="264"/>
      <c r="F3" s="348">
        <f>WORKDAY.INTL("6-May-26",0,"0000100")</f>
        <v>46148</v>
      </c>
      <c r="G3" s="348">
        <f>WORKDAY.INTL(F3,13,"0000100",$AC$5:$AC$12)</f>
        <v>46163</v>
      </c>
      <c r="H3" s="348">
        <f>WORKDAY.INTL("6-May-26",0,"0000100")</f>
        <v>46148</v>
      </c>
      <c r="I3" s="348">
        <f>WORKDAY.INTL(H3,13,"0000100",$AC$5:$AC$12)</f>
        <v>46163</v>
      </c>
      <c r="J3" s="348"/>
      <c r="K3" s="348"/>
      <c r="L3" s="349">
        <v>1</v>
      </c>
      <c r="M3" s="266" t="str">
        <f ca="1">IF(OR(L3=100%,K3&lt;&gt;""),"Completed",IF(AND(OR(L3="",L3=0),F3&gt;TODAY()),"Not Started",IF(AND(OR(L3="",L3=0),F3&lt;=TODAY()),"Delayed",IF(AND(L3&gt;0,L3&lt;100%,G3&lt;TODAY()),"Delayed",IF(AND(L3&gt;0,L3&lt;100%),"In Progress","")))))</f>
        <v>Completed</v>
      </c>
      <c r="N3" s="263"/>
      <c r="O3" s="347"/>
      <c r="P3" s="267"/>
      <c r="Q3" s="268"/>
      <c r="R3" s="268"/>
      <c r="S3" s="268"/>
      <c r="T3" s="268"/>
      <c r="U3" s="268"/>
      <c r="V3" s="268"/>
      <c r="W3" s="269" t="s">
        <v>207</v>
      </c>
      <c r="X3" s="230" t="s">
        <v>106</v>
      </c>
    </row>
    <row r="4" spans="2:31" s="274" customFormat="1" ht="4.5" customHeight="1" thickBot="1">
      <c r="B4" s="292"/>
      <c r="C4" s="292"/>
      <c r="D4" s="292"/>
      <c r="E4" s="293"/>
      <c r="F4" s="292"/>
      <c r="G4" s="292"/>
      <c r="H4" s="292"/>
      <c r="I4" s="292"/>
      <c r="J4" s="292"/>
      <c r="K4" s="292"/>
      <c r="L4" s="294">
        <v>0</v>
      </c>
      <c r="M4" s="294"/>
      <c r="N4" s="292"/>
      <c r="O4" s="292"/>
      <c r="P4" s="292"/>
      <c r="Q4" s="292"/>
      <c r="R4" s="292"/>
      <c r="S4" s="292"/>
      <c r="T4" s="292"/>
      <c r="U4" s="292"/>
      <c r="V4" s="292"/>
      <c r="W4" s="295"/>
      <c r="AA4" s="275"/>
      <c r="AB4" s="275"/>
    </row>
    <row r="5" spans="2:31" ht="45" customHeight="1">
      <c r="B5" s="498" t="s">
        <v>104</v>
      </c>
      <c r="C5" s="332" t="s">
        <v>86</v>
      </c>
      <c r="D5" s="21" t="s">
        <v>105</v>
      </c>
      <c r="E5" s="22">
        <f>NETWORKDAYS.INTL(F5,G5,"0000100",$AC$5:$AC$12)</f>
        <v>12</v>
      </c>
      <c r="F5" s="23">
        <f>WORKDAY.INTL("27-Jun-26",0,"0000100")</f>
        <v>46200</v>
      </c>
      <c r="G5" s="23">
        <f>WORKDAY.INTL(F5,11,"0000100",$AC$5:$AC$11)</f>
        <v>46212</v>
      </c>
      <c r="H5" s="23">
        <f>WORKDAY.INTL("27-Jun-26",0,"0000100")</f>
        <v>46200</v>
      </c>
      <c r="I5" s="23">
        <f>WORKDAY.INTL(H5,11,"0000100",$AC$5:$AC$11)</f>
        <v>46212</v>
      </c>
      <c r="J5" s="23"/>
      <c r="K5" s="23"/>
      <c r="L5" s="24">
        <v>0.4</v>
      </c>
      <c r="M5" s="24" t="str">
        <f t="shared" ref="M5:M36" ca="1" si="0">IF(L5=100%,"Completed",IF(AND(OR(L5="",L5=0),F5&gt;TODAY()),"Not Started",IF(AND(OR(L5="",L5=0),F5&lt;=TODAY()),"Delayed",IF(AND(L5&gt;0,L5&lt;100%,G5&lt;TODAY()),"Delayed",IF(AND(L5&gt;0,L5&lt;100%,G5&gt;=TODAY()),"In Progress","")))))</f>
        <v>In Progress</v>
      </c>
      <c r="N5" s="21"/>
      <c r="O5" s="297"/>
      <c r="P5" s="298"/>
      <c r="Q5" s="298"/>
      <c r="R5" s="298"/>
      <c r="S5" s="298"/>
      <c r="T5" s="298"/>
      <c r="U5" s="298"/>
      <c r="V5" s="299"/>
      <c r="W5" s="300"/>
      <c r="X5" s="230" t="s">
        <v>113</v>
      </c>
      <c r="Z5" s="23" t="s">
        <v>62</v>
      </c>
      <c r="AA5" s="231" t="s">
        <v>68</v>
      </c>
      <c r="AC5" s="276">
        <v>46166</v>
      </c>
    </row>
    <row r="6" spans="2:31" ht="45" customHeight="1">
      <c r="B6" s="462"/>
      <c r="C6" s="296" t="s">
        <v>86</v>
      </c>
      <c r="D6" s="21" t="s">
        <v>209</v>
      </c>
      <c r="E6" s="22">
        <f>NETWORKDAYS.INTL(F6,G6,"0000100",$AC$5:$AC$12)</f>
        <v>25</v>
      </c>
      <c r="F6" s="23">
        <f>WORKDAY.INTL("17-Jun-26",0,"0000100")</f>
        <v>46190</v>
      </c>
      <c r="G6" s="23">
        <f>WORKDAY.INTL(F6,24,"0000100",$AC$5:$AC$11)</f>
        <v>46218</v>
      </c>
      <c r="H6" s="23">
        <f>WORKDAY.INTL("17-Jun-26",0,"0000100")</f>
        <v>46190</v>
      </c>
      <c r="I6" s="23">
        <f>WORKDAY.INTL(H6,24,"0000100",$AC$5:$AC$11)</f>
        <v>46218</v>
      </c>
      <c r="J6" s="23"/>
      <c r="K6" s="23"/>
      <c r="L6" s="24">
        <v>0.9</v>
      </c>
      <c r="M6" s="24" t="str">
        <f t="shared" ca="1" si="0"/>
        <v>In Progress</v>
      </c>
      <c r="N6" s="21"/>
      <c r="O6" s="297"/>
      <c r="P6" s="298"/>
      <c r="Q6" s="298"/>
      <c r="R6" s="298"/>
      <c r="S6" s="298"/>
      <c r="T6" s="298"/>
      <c r="U6" s="298"/>
      <c r="V6" s="299"/>
      <c r="W6" s="300" t="s">
        <v>231</v>
      </c>
      <c r="Z6" s="231"/>
      <c r="AC6" s="276"/>
    </row>
    <row r="7" spans="2:31" ht="45" customHeight="1">
      <c r="B7" s="462"/>
      <c r="C7" s="296" t="s">
        <v>86</v>
      </c>
      <c r="D7" s="21" t="s">
        <v>210</v>
      </c>
      <c r="E7" s="22">
        <f>NETWORKDAYS.INTL(F7,G7,"0000100",$AC$5:$AC$12)</f>
        <v>14</v>
      </c>
      <c r="F7" s="23">
        <f>WORKDAY.INTL(G6,1,"0000100",$AC$5:$AC$11)</f>
        <v>46219</v>
      </c>
      <c r="G7" s="23">
        <f>WORKDAY.INTL(F7,13,"0000100",$AC$5:$AC$11)</f>
        <v>46235</v>
      </c>
      <c r="H7" s="23">
        <f>WORKDAY.INTL(I6,1,"0000100",$AC$5:$AC$11)</f>
        <v>46219</v>
      </c>
      <c r="I7" s="23">
        <f>WORKDAY.INTL(H7,13,"0000100",$AC$5:$AC$11)</f>
        <v>46235</v>
      </c>
      <c r="J7" s="23"/>
      <c r="K7" s="23"/>
      <c r="L7" s="24">
        <v>0.3</v>
      </c>
      <c r="M7" s="24" t="str">
        <f t="shared" ca="1" si="0"/>
        <v>In Progress</v>
      </c>
      <c r="N7" s="21"/>
      <c r="O7" s="297"/>
      <c r="P7" s="298"/>
      <c r="Q7" s="298"/>
      <c r="R7" s="298"/>
      <c r="S7" s="298"/>
      <c r="T7" s="298"/>
      <c r="U7" s="298"/>
      <c r="V7" s="299"/>
      <c r="W7" s="300" t="s">
        <v>231</v>
      </c>
      <c r="Z7" s="231"/>
      <c r="AC7" s="276"/>
    </row>
    <row r="8" spans="2:31" ht="45" customHeight="1">
      <c r="B8" s="462"/>
      <c r="C8" s="296" t="s">
        <v>86</v>
      </c>
      <c r="D8" s="21" t="s">
        <v>107</v>
      </c>
      <c r="E8" s="22">
        <f>NETWORKDAYS.INTL(F8,G8,"0000100",$AC$5:$AC$12)</f>
        <v>3</v>
      </c>
      <c r="F8" s="23">
        <f>MAX(WORKDAY.INTL(G6,1,"0000100",$AC$5:$AC$12),WORKDAY.INTL(G5,1,"0000100",$AC$5:$AC$12))</f>
        <v>46219</v>
      </c>
      <c r="G8" s="23">
        <f>WORKDAY.INTL(F8,2,"0000100",$AC$5:$AC$12)</f>
        <v>46222</v>
      </c>
      <c r="H8" s="23">
        <f>MAX(WORKDAY.INTL(I6,1,"0000100",$AC$5:$AC$12),WORKDAY.INTL(I5,1,"0000100",$AC$5:$AC$12))</f>
        <v>46219</v>
      </c>
      <c r="I8" s="23">
        <f>WORKDAY.INTL(H8,2,"0000100",$AC$5:$AC$12)</f>
        <v>46222</v>
      </c>
      <c r="J8" s="23"/>
      <c r="K8" s="23"/>
      <c r="L8" s="24">
        <v>0</v>
      </c>
      <c r="M8" s="24" t="str">
        <f t="shared" ca="1" si="0"/>
        <v>Not Started</v>
      </c>
      <c r="N8" s="21"/>
      <c r="O8" s="297"/>
      <c r="P8" s="298"/>
      <c r="Q8" s="298"/>
      <c r="R8" s="298"/>
      <c r="S8" s="298"/>
      <c r="T8" s="298"/>
      <c r="U8" s="298"/>
      <c r="V8" s="299"/>
      <c r="W8" s="300"/>
      <c r="Z8" s="23" t="s">
        <v>63</v>
      </c>
      <c r="AA8" s="231" t="s">
        <v>68</v>
      </c>
      <c r="AC8" s="276">
        <v>46167</v>
      </c>
    </row>
    <row r="9" spans="2:31" ht="45" customHeight="1">
      <c r="B9" s="462"/>
      <c r="C9" s="296" t="s">
        <v>86</v>
      </c>
      <c r="D9" s="21" t="s">
        <v>109</v>
      </c>
      <c r="E9" s="22"/>
      <c r="F9" s="23" t="s">
        <v>192</v>
      </c>
      <c r="G9" s="23">
        <v>46219</v>
      </c>
      <c r="H9" s="23" t="s">
        <v>192</v>
      </c>
      <c r="I9" s="23">
        <v>46219</v>
      </c>
      <c r="J9" s="23"/>
      <c r="K9" s="23"/>
      <c r="L9" s="24">
        <v>0.96</v>
      </c>
      <c r="M9" s="24" t="str">
        <f t="shared" ca="1" si="0"/>
        <v>In Progress</v>
      </c>
      <c r="N9" s="21"/>
      <c r="O9" s="297"/>
      <c r="P9" s="298"/>
      <c r="Q9" s="298"/>
      <c r="R9" s="298"/>
      <c r="S9" s="298"/>
      <c r="T9" s="298"/>
      <c r="U9" s="298"/>
      <c r="V9" s="299"/>
      <c r="W9" s="300" t="s">
        <v>232</v>
      </c>
      <c r="Z9" s="231"/>
      <c r="AC9" s="276">
        <v>46168</v>
      </c>
    </row>
    <row r="10" spans="2:31" ht="45" customHeight="1">
      <c r="B10" s="462"/>
      <c r="C10" s="296" t="s">
        <v>86</v>
      </c>
      <c r="D10" s="26" t="s">
        <v>111</v>
      </c>
      <c r="E10" s="22">
        <f>NETWORKDAYS.INTL(F10,G10,"0000110",$AC$5:$AC$12)</f>
        <v>2</v>
      </c>
      <c r="F10" s="23">
        <f t="shared" ref="F10" si="1">MAX(WORKDAY.INTL(G7,1,"0000110"),WORKDAY.INTL(G8,1,"0000110"),WORKDAY.INTL(G9,1,"0000110"))</f>
        <v>46236</v>
      </c>
      <c r="G10" s="23">
        <f t="shared" ref="G10" si="2">WORKDAY.INTL(F10,1,"0000110")</f>
        <v>46237</v>
      </c>
      <c r="H10" s="23">
        <f t="shared" ref="H10" si="3">MAX(WORKDAY.INTL(I7,1,"0000110"),WORKDAY.INTL(I8,1,"0000110"),WORKDAY.INTL(I9,1,"0000110"))</f>
        <v>46236</v>
      </c>
      <c r="I10" s="23">
        <f t="shared" ref="I10:I11" si="4">WORKDAY.INTL(H10,1,"0000110")</f>
        <v>46237</v>
      </c>
      <c r="J10" s="23"/>
      <c r="K10" s="23"/>
      <c r="L10" s="24">
        <v>0</v>
      </c>
      <c r="M10" s="24" t="str">
        <f t="shared" ca="1" si="0"/>
        <v>Not Started</v>
      </c>
      <c r="N10" s="26"/>
      <c r="O10" s="297"/>
      <c r="P10" s="301"/>
      <c r="Q10" s="301"/>
      <c r="R10" s="301"/>
      <c r="S10" s="301"/>
      <c r="T10" s="301"/>
      <c r="U10" s="301"/>
      <c r="V10" s="302"/>
      <c r="W10" s="333" t="s">
        <v>212</v>
      </c>
      <c r="Z10" s="23" t="s">
        <v>64</v>
      </c>
      <c r="AA10" s="231" t="s">
        <v>68</v>
      </c>
      <c r="AC10" s="276">
        <v>46169</v>
      </c>
    </row>
    <row r="11" spans="2:31" ht="45" customHeight="1" thickBot="1">
      <c r="B11" s="462"/>
      <c r="C11" s="296" t="s">
        <v>86</v>
      </c>
      <c r="D11" s="26" t="s">
        <v>114</v>
      </c>
      <c r="E11" s="22">
        <f>NETWORKDAYS.INTL(F11,G11,"0000110",$AC$5:$AC$12)</f>
        <v>2</v>
      </c>
      <c r="F11" s="23">
        <f t="shared" ref="F11" si="5">WORKDAY.INTL(G10,1,"0000110")</f>
        <v>46238</v>
      </c>
      <c r="G11" s="23">
        <f t="shared" ref="G11" si="6">WORKDAY.INTL(F11,1,"0000110")</f>
        <v>46239</v>
      </c>
      <c r="H11" s="23">
        <f t="shared" ref="H11" si="7">WORKDAY.INTL(I10,1,"0000110")</f>
        <v>46238</v>
      </c>
      <c r="I11" s="23">
        <f t="shared" si="4"/>
        <v>46239</v>
      </c>
      <c r="J11" s="23"/>
      <c r="K11" s="23"/>
      <c r="L11" s="24">
        <v>0</v>
      </c>
      <c r="M11" s="24" t="str">
        <f t="shared" ca="1" si="0"/>
        <v>Not Started</v>
      </c>
      <c r="N11" s="26"/>
      <c r="O11" s="297"/>
      <c r="P11" s="301"/>
      <c r="Q11" s="301"/>
      <c r="R11" s="301"/>
      <c r="S11" s="301"/>
      <c r="T11" s="301"/>
      <c r="U11" s="301"/>
      <c r="V11" s="302"/>
      <c r="W11" s="300" t="s">
        <v>115</v>
      </c>
      <c r="Z11" s="23" t="s">
        <v>65</v>
      </c>
      <c r="AA11" s="231" t="s">
        <v>68</v>
      </c>
      <c r="AC11" s="276">
        <v>46170</v>
      </c>
    </row>
    <row r="12" spans="2:31" s="274" customFormat="1" ht="4.5" customHeight="1" thickBot="1">
      <c r="B12" s="292"/>
      <c r="C12" s="292"/>
      <c r="D12" s="292" t="s">
        <v>195</v>
      </c>
      <c r="E12" s="293"/>
      <c r="F12" s="292"/>
      <c r="G12" s="292"/>
      <c r="H12" s="292"/>
      <c r="I12" s="292"/>
      <c r="J12" s="292"/>
      <c r="K12" s="292"/>
      <c r="L12" s="294"/>
      <c r="M12" s="294"/>
      <c r="N12" s="292"/>
      <c r="O12" s="292"/>
      <c r="P12" s="292"/>
      <c r="Q12" s="292"/>
      <c r="R12" s="292"/>
      <c r="S12" s="292"/>
      <c r="T12" s="292"/>
      <c r="U12" s="292"/>
      <c r="V12" s="292"/>
      <c r="W12" s="295"/>
      <c r="Y12" s="230"/>
      <c r="AA12" s="231" t="s">
        <v>69</v>
      </c>
      <c r="AC12" s="276">
        <v>46288</v>
      </c>
    </row>
    <row r="13" spans="2:31" ht="45" customHeight="1">
      <c r="B13" s="459" t="s">
        <v>168</v>
      </c>
      <c r="C13" s="285" t="s">
        <v>86</v>
      </c>
      <c r="D13" s="27" t="s">
        <v>105</v>
      </c>
      <c r="E13" s="28">
        <f>NETWORKDAYS.INTL(F13,G13,"0000100",$AC$5:$AC$12)</f>
        <v>7</v>
      </c>
      <c r="F13" s="29">
        <f>WORKDAY.INTL(G8,1,"0000100")</f>
        <v>46223</v>
      </c>
      <c r="G13" s="29">
        <f>WORKDAY.INTL(F13,6,"0000100",$AC$5:$AC$11)</f>
        <v>46230</v>
      </c>
      <c r="H13" s="29">
        <f>WORKDAY.INTL(I8,1,"0000100")</f>
        <v>46223</v>
      </c>
      <c r="I13" s="29">
        <f>WORKDAY.INTL(H13,6,"0000100",$AC$5:$AC$11)</f>
        <v>46230</v>
      </c>
      <c r="J13" s="29"/>
      <c r="K13" s="29"/>
      <c r="L13" s="31">
        <v>0</v>
      </c>
      <c r="M13" s="31" t="str">
        <f t="shared" ca="1" si="0"/>
        <v>Not Started</v>
      </c>
      <c r="N13" s="27"/>
      <c r="O13" s="57"/>
      <c r="P13" s="286"/>
      <c r="Q13" s="286"/>
      <c r="R13" s="286"/>
      <c r="S13" s="286"/>
      <c r="T13" s="286"/>
      <c r="U13" s="286"/>
      <c r="V13" s="287"/>
      <c r="W13" s="288"/>
      <c r="Z13" s="23" t="s">
        <v>62</v>
      </c>
      <c r="AA13" s="231" t="s">
        <v>69</v>
      </c>
      <c r="AC13" s="230">
        <v>46288</v>
      </c>
      <c r="AE13" s="276"/>
    </row>
    <row r="14" spans="2:31" ht="45" customHeight="1">
      <c r="B14" s="460"/>
      <c r="C14" s="285" t="s">
        <v>86</v>
      </c>
      <c r="D14" s="32" t="s">
        <v>107</v>
      </c>
      <c r="E14" s="33">
        <f>NETWORKDAYS.INTL(F14,G14,"0000100",$AC$5:$AC$12)</f>
        <v>3</v>
      </c>
      <c r="F14" s="29">
        <f>WORKDAY.INTL(G13,1,"0000100",$AC$5:$AC$11)</f>
        <v>46231</v>
      </c>
      <c r="G14" s="29">
        <f>WORKDAY.INTL(F14,2,"0000100",$AC$5:$AC$11)</f>
        <v>46233</v>
      </c>
      <c r="H14" s="29">
        <f>WORKDAY.INTL(I13,1,"0000100",$AC$5:$AC$11)</f>
        <v>46231</v>
      </c>
      <c r="I14" s="29">
        <f>WORKDAY.INTL(H14,2,"0000100",$AC$5:$AC$11)</f>
        <v>46233</v>
      </c>
      <c r="J14" s="29"/>
      <c r="K14" s="29"/>
      <c r="L14" s="31">
        <v>0</v>
      </c>
      <c r="M14" s="31" t="str">
        <f t="shared" ca="1" si="0"/>
        <v>Not Started</v>
      </c>
      <c r="N14" s="32"/>
      <c r="O14" s="57"/>
      <c r="P14" s="289"/>
      <c r="Q14" s="289"/>
      <c r="R14" s="289"/>
      <c r="S14" s="289"/>
      <c r="T14" s="289"/>
      <c r="U14" s="289"/>
      <c r="V14" s="290"/>
      <c r="W14" s="291"/>
      <c r="Z14" s="23" t="s">
        <v>63</v>
      </c>
      <c r="AA14" s="231" t="s">
        <v>69</v>
      </c>
    </row>
    <row r="15" spans="2:31" ht="45" customHeight="1">
      <c r="B15" s="460"/>
      <c r="C15" s="285" t="s">
        <v>86</v>
      </c>
      <c r="D15" s="34" t="s">
        <v>111</v>
      </c>
      <c r="E15" s="33">
        <f>NETWORKDAYS.INTL(F15,G15,"0000110",$AC$5:$AC$12)</f>
        <v>3</v>
      </c>
      <c r="F15" s="29">
        <f>MAX(WORKDAY.INTL(G14,1,"0000100",$AF$5:$AF$10),WORKDAY.INTL(G10,1,"0000100",$AF$5:$AF$10))</f>
        <v>46238</v>
      </c>
      <c r="G15" s="29">
        <f t="shared" ref="G15" si="8">WORKDAY.INTL(F15,2,"0000110")</f>
        <v>46240</v>
      </c>
      <c r="H15" s="29">
        <f>MAX(WORKDAY.INTL(I14,1,"0000100",$AF$5:$AF$10),WORKDAY.INTL(I10,1,"0000100",$AF$5:$AF$10))</f>
        <v>46238</v>
      </c>
      <c r="I15" s="29">
        <f t="shared" ref="I15" si="9">WORKDAY.INTL(H15,2,"0000110")</f>
        <v>46240</v>
      </c>
      <c r="J15" s="29"/>
      <c r="K15" s="29"/>
      <c r="L15" s="35">
        <v>0</v>
      </c>
      <c r="M15" s="35" t="str">
        <f t="shared" ca="1" si="0"/>
        <v>Not Started</v>
      </c>
      <c r="N15" s="34"/>
      <c r="O15" s="57"/>
      <c r="P15" s="58"/>
      <c r="Q15" s="58"/>
      <c r="R15" s="58"/>
      <c r="S15" s="58"/>
      <c r="T15" s="58"/>
      <c r="U15" s="58"/>
      <c r="V15" s="59"/>
      <c r="W15" s="291" t="s">
        <v>212</v>
      </c>
      <c r="Z15" s="23" t="s">
        <v>64</v>
      </c>
      <c r="AA15" s="231" t="s">
        <v>69</v>
      </c>
    </row>
    <row r="16" spans="2:31" ht="45" customHeight="1" thickBot="1">
      <c r="B16" s="460"/>
      <c r="C16" s="285" t="s">
        <v>86</v>
      </c>
      <c r="D16" s="34" t="s">
        <v>114</v>
      </c>
      <c r="E16" s="33">
        <f>NETWORKDAYS.INTL(F16,G16,"0000110",$AC$5:$AC$12)</f>
        <v>2</v>
      </c>
      <c r="F16" s="29">
        <f t="shared" ref="F16" si="10">WORKDAY.INTL(G15,1,"0000110")</f>
        <v>46243</v>
      </c>
      <c r="G16" s="29">
        <f t="shared" ref="G16" si="11">WORKDAY.INTL(F16,1,"0000110")</f>
        <v>46244</v>
      </c>
      <c r="H16" s="29">
        <f t="shared" ref="H16" si="12">WORKDAY.INTL(I15,1,"0000110")</f>
        <v>46243</v>
      </c>
      <c r="I16" s="29">
        <f t="shared" ref="I16" si="13">WORKDAY.INTL(H16,1,"0000110")</f>
        <v>46244</v>
      </c>
      <c r="J16" s="29"/>
      <c r="K16" s="29"/>
      <c r="L16" s="35">
        <v>0</v>
      </c>
      <c r="M16" s="35" t="str">
        <f t="shared" ca="1" si="0"/>
        <v>Not Started</v>
      </c>
      <c r="N16" s="34"/>
      <c r="O16" s="57"/>
      <c r="P16" s="58"/>
      <c r="Q16" s="58"/>
      <c r="R16" s="58"/>
      <c r="S16" s="58"/>
      <c r="T16" s="58"/>
      <c r="U16" s="58"/>
      <c r="V16" s="59"/>
      <c r="W16" s="291" t="s">
        <v>115</v>
      </c>
      <c r="Z16" s="23" t="s">
        <v>65</v>
      </c>
      <c r="AA16" s="231" t="s">
        <v>69</v>
      </c>
    </row>
    <row r="17" spans="2:31" s="274" customFormat="1" ht="4.5" customHeight="1" thickBot="1">
      <c r="B17" s="292"/>
      <c r="C17" s="292"/>
      <c r="D17" s="292" t="s">
        <v>195</v>
      </c>
      <c r="E17" s="293"/>
      <c r="F17" s="292"/>
      <c r="G17" s="292"/>
      <c r="H17" s="292"/>
      <c r="I17" s="292"/>
      <c r="J17" s="292"/>
      <c r="K17" s="292"/>
      <c r="L17" s="294"/>
      <c r="M17" s="294"/>
      <c r="N17" s="292"/>
      <c r="O17" s="292"/>
      <c r="P17" s="292"/>
      <c r="Q17" s="292"/>
      <c r="R17" s="292"/>
      <c r="S17" s="292"/>
      <c r="T17" s="292"/>
      <c r="U17" s="292"/>
      <c r="V17" s="292"/>
      <c r="W17" s="295"/>
      <c r="Z17" s="275"/>
      <c r="AA17" s="275" t="s">
        <v>70</v>
      </c>
    </row>
    <row r="18" spans="2:31" ht="45" customHeight="1">
      <c r="B18" s="461" t="s">
        <v>233</v>
      </c>
      <c r="C18" s="296" t="s">
        <v>86</v>
      </c>
      <c r="D18" s="21" t="s">
        <v>105</v>
      </c>
      <c r="E18" s="22">
        <f>NETWORKDAYS.INTL(F18,G18,"0000100",$AC$5:$AC$12)</f>
        <v>8</v>
      </c>
      <c r="F18" s="23">
        <f>WORKDAY.INTL(G14,1,"0000100",$AC$5:$AC$11)</f>
        <v>46235</v>
      </c>
      <c r="G18" s="23">
        <f>WORKDAY.INTL(F18,7,"0000100",$AC$5:$AC$11)</f>
        <v>46243</v>
      </c>
      <c r="H18" s="23">
        <f>WORKDAY.INTL(I14,1,"0000100",$AC$5:$AC$11)</f>
        <v>46235</v>
      </c>
      <c r="I18" s="23">
        <f>WORKDAY.INTL(H18,7,"0000100",$AC$5:$AC$11)</f>
        <v>46243</v>
      </c>
      <c r="J18" s="23"/>
      <c r="K18" s="23"/>
      <c r="L18" s="24">
        <v>0</v>
      </c>
      <c r="M18" s="24" t="str">
        <f t="shared" ca="1" si="0"/>
        <v>Not Started</v>
      </c>
      <c r="N18" s="21"/>
      <c r="O18" s="297"/>
      <c r="P18" s="298"/>
      <c r="Q18" s="298"/>
      <c r="R18" s="298"/>
      <c r="S18" s="298"/>
      <c r="T18" s="298"/>
      <c r="U18" s="298"/>
      <c r="V18" s="299"/>
      <c r="W18" s="300"/>
      <c r="Z18" s="23" t="s">
        <v>62</v>
      </c>
      <c r="AA18" s="231" t="s">
        <v>70</v>
      </c>
    </row>
    <row r="19" spans="2:31" ht="45" customHeight="1">
      <c r="B19" s="462"/>
      <c r="C19" s="296" t="s">
        <v>86</v>
      </c>
      <c r="D19" s="21" t="s">
        <v>107</v>
      </c>
      <c r="E19" s="22">
        <f>NETWORKDAYS.INTL(F19,G19,"0000100",$AC$5:$AC$12)</f>
        <v>3</v>
      </c>
      <c r="F19" s="23">
        <f>WORKDAY.INTL(G18,1,"0000100",$AC$5:$AC$11)</f>
        <v>46244</v>
      </c>
      <c r="G19" s="23">
        <f>WORKDAY.INTL(F19,2,"0000100",$AC$5:$AC$11)</f>
        <v>46246</v>
      </c>
      <c r="H19" s="23">
        <f>WORKDAY.INTL(I18,1,"0000100",$AC$5:$AC$11)</f>
        <v>46244</v>
      </c>
      <c r="I19" s="23">
        <f>WORKDAY.INTL(H19,2,"0000100",$AC$5:$AC$11)</f>
        <v>46246</v>
      </c>
      <c r="J19" s="23"/>
      <c r="K19" s="23"/>
      <c r="L19" s="24">
        <v>0</v>
      </c>
      <c r="M19" s="24" t="str">
        <f t="shared" ca="1" si="0"/>
        <v>Not Started</v>
      </c>
      <c r="N19" s="21"/>
      <c r="O19" s="297"/>
      <c r="P19" s="298"/>
      <c r="Q19" s="298"/>
      <c r="R19" s="298"/>
      <c r="S19" s="298"/>
      <c r="T19" s="298"/>
      <c r="U19" s="298"/>
      <c r="V19" s="299"/>
      <c r="W19" s="300"/>
      <c r="Z19" s="23" t="s">
        <v>63</v>
      </c>
      <c r="AA19" s="231" t="s">
        <v>70</v>
      </c>
    </row>
    <row r="20" spans="2:31" ht="45" customHeight="1">
      <c r="B20" s="462"/>
      <c r="C20" s="296" t="s">
        <v>86</v>
      </c>
      <c r="D20" s="21" t="s">
        <v>111</v>
      </c>
      <c r="E20" s="22">
        <f>NETWORKDAYS.INTL(F20,G20,"0000110",$AC$5:$AC$12)</f>
        <v>5</v>
      </c>
      <c r="F20" s="23">
        <f>MAX(WORKDAY.INTL(G19,1,"0000100",$AF$5:$AF$10),WORKDAY.INTL(G15,1,"0000100",$AF$5:$AF$10))</f>
        <v>46247</v>
      </c>
      <c r="G20" s="23">
        <f t="shared" ref="G20" si="14">WORKDAY.INTL(F20,4,"0000110")</f>
        <v>46253</v>
      </c>
      <c r="H20" s="23">
        <f>MAX(WORKDAY.INTL(I19,1,"0000100",$AF$5:$AF$10),WORKDAY.INTL(I15,1,"0000100",$AF$5:$AF$10))</f>
        <v>46247</v>
      </c>
      <c r="I20" s="23">
        <f t="shared" ref="I20" si="15">WORKDAY.INTL(H20,4,"0000110")</f>
        <v>46253</v>
      </c>
      <c r="J20" s="23"/>
      <c r="K20" s="23"/>
      <c r="L20" s="24">
        <v>0</v>
      </c>
      <c r="M20" s="24" t="str">
        <f t="shared" ca="1" si="0"/>
        <v>Not Started</v>
      </c>
      <c r="N20" s="21"/>
      <c r="O20" s="297"/>
      <c r="P20" s="298"/>
      <c r="Q20" s="298"/>
      <c r="R20" s="298"/>
      <c r="S20" s="298"/>
      <c r="T20" s="298"/>
      <c r="U20" s="298"/>
      <c r="V20" s="299"/>
      <c r="W20" s="300" t="s">
        <v>212</v>
      </c>
      <c r="Z20" s="23" t="s">
        <v>64</v>
      </c>
      <c r="AA20" s="231" t="s">
        <v>70</v>
      </c>
    </row>
    <row r="21" spans="2:31" ht="45" customHeight="1" thickBot="1">
      <c r="B21" s="462"/>
      <c r="C21" s="296" t="s">
        <v>86</v>
      </c>
      <c r="D21" s="26" t="s">
        <v>114</v>
      </c>
      <c r="E21" s="22">
        <f>NETWORKDAYS.INTL(F21,G21,"0000110",$AC$5:$AC$12)</f>
        <v>2</v>
      </c>
      <c r="F21" s="23">
        <f t="shared" ref="F21" si="16">WORKDAY.INTL(G20,1,"0000110")</f>
        <v>46254</v>
      </c>
      <c r="G21" s="23">
        <f t="shared" ref="G21" si="17">WORKDAY.INTL(F21,1,"0000110")</f>
        <v>46257</v>
      </c>
      <c r="H21" s="23">
        <f t="shared" ref="H21" si="18">WORKDAY.INTL(I20,1,"0000110")</f>
        <v>46254</v>
      </c>
      <c r="I21" s="23">
        <f t="shared" ref="I21" si="19">WORKDAY.INTL(H21,1,"0000110")</f>
        <v>46257</v>
      </c>
      <c r="J21" s="23"/>
      <c r="K21" s="23"/>
      <c r="L21" s="24">
        <v>0</v>
      </c>
      <c r="M21" s="24" t="str">
        <f t="shared" ca="1" si="0"/>
        <v>Not Started</v>
      </c>
      <c r="N21" s="26"/>
      <c r="O21" s="297"/>
      <c r="P21" s="301"/>
      <c r="Q21" s="301"/>
      <c r="R21" s="301"/>
      <c r="S21" s="301"/>
      <c r="T21" s="301"/>
      <c r="U21" s="301"/>
      <c r="V21" s="302"/>
      <c r="W21" s="300" t="s">
        <v>115</v>
      </c>
      <c r="Z21" s="23" t="s">
        <v>65</v>
      </c>
      <c r="AA21" s="231" t="s">
        <v>70</v>
      </c>
    </row>
    <row r="22" spans="2:31" s="274" customFormat="1" ht="4.5" customHeight="1" thickBot="1">
      <c r="B22" s="292"/>
      <c r="C22" s="292"/>
      <c r="D22" s="292" t="s">
        <v>195</v>
      </c>
      <c r="E22" s="293"/>
      <c r="F22" s="292"/>
      <c r="G22" s="292"/>
      <c r="H22" s="292"/>
      <c r="I22" s="292"/>
      <c r="J22" s="292"/>
      <c r="K22" s="292"/>
      <c r="L22" s="294"/>
      <c r="M22" s="294"/>
      <c r="N22" s="292"/>
      <c r="O22" s="292"/>
      <c r="P22" s="292"/>
      <c r="Q22" s="292"/>
      <c r="R22" s="292"/>
      <c r="S22" s="292"/>
      <c r="T22" s="292"/>
      <c r="U22" s="292"/>
      <c r="V22" s="292"/>
      <c r="W22" s="295"/>
      <c r="Z22" s="275"/>
      <c r="AA22" s="275" t="s">
        <v>71</v>
      </c>
    </row>
    <row r="23" spans="2:31" ht="45" customHeight="1">
      <c r="B23" s="459" t="s">
        <v>234</v>
      </c>
      <c r="C23" s="285" t="s">
        <v>86</v>
      </c>
      <c r="D23" s="27" t="s">
        <v>105</v>
      </c>
      <c r="E23" s="28">
        <f>NETWORKDAYS.INTL(F23,G23,"0000100",$AC$5:$AC$12)</f>
        <v>8</v>
      </c>
      <c r="F23" s="29">
        <f>WORKDAY.INTL(G19,1,"0000100",$AC$5:$AC$11)</f>
        <v>46247</v>
      </c>
      <c r="G23" s="29">
        <f>WORKDAY.INTL(F23,7,"0000100",$AC$5:$AC$11)</f>
        <v>46256</v>
      </c>
      <c r="H23" s="29">
        <f>WORKDAY.INTL(I19,1,"0000100",$AC$5:$AC$11)</f>
        <v>46247</v>
      </c>
      <c r="I23" s="30">
        <f>WORKDAY.INTL(H23,7,"0000100",$AC$5:$AC$11)</f>
        <v>46256</v>
      </c>
      <c r="J23" s="29"/>
      <c r="K23" s="29"/>
      <c r="L23" s="31">
        <v>0</v>
      </c>
      <c r="M23" s="31" t="str">
        <f t="shared" ca="1" si="0"/>
        <v>Not Started</v>
      </c>
      <c r="N23" s="27"/>
      <c r="O23" s="57"/>
      <c r="P23" s="286"/>
      <c r="Q23" s="286"/>
      <c r="R23" s="286"/>
      <c r="S23" s="286"/>
      <c r="T23" s="286"/>
      <c r="U23" s="286"/>
      <c r="V23" s="287"/>
      <c r="W23" s="288"/>
      <c r="Z23" s="23" t="s">
        <v>62</v>
      </c>
      <c r="AA23" s="231" t="s">
        <v>71</v>
      </c>
      <c r="AE23" s="276"/>
    </row>
    <row r="24" spans="2:31" ht="45" customHeight="1">
      <c r="B24" s="460"/>
      <c r="C24" s="285" t="s">
        <v>86</v>
      </c>
      <c r="D24" s="32" t="s">
        <v>107</v>
      </c>
      <c r="E24" s="33">
        <f>NETWORKDAYS.INTL(F24,G24,"0000100",$AC$5:$AC$12)</f>
        <v>3</v>
      </c>
      <c r="F24" s="29">
        <f>WORKDAY.INTL(G23,1,"0000100",$AC$5:$AC$11)</f>
        <v>46257</v>
      </c>
      <c r="G24" s="29">
        <f>WORKDAY.INTL(F24,2,"0000100",$AC$5:$AC$11)</f>
        <v>46259</v>
      </c>
      <c r="H24" s="29">
        <f>WORKDAY.INTL(I23,1,"0000100",$AC$5:$AC$11)</f>
        <v>46257</v>
      </c>
      <c r="I24" s="30">
        <f>WORKDAY.INTL(H24,2,"0000100",$AC$5:$AC$11)</f>
        <v>46259</v>
      </c>
      <c r="J24" s="29"/>
      <c r="K24" s="29"/>
      <c r="L24" s="31">
        <v>0</v>
      </c>
      <c r="M24" s="31" t="str">
        <f t="shared" ca="1" si="0"/>
        <v>Not Started</v>
      </c>
      <c r="N24" s="32"/>
      <c r="O24" s="57"/>
      <c r="P24" s="289"/>
      <c r="Q24" s="289"/>
      <c r="R24" s="289"/>
      <c r="S24" s="289"/>
      <c r="T24" s="289"/>
      <c r="U24" s="289"/>
      <c r="V24" s="290"/>
      <c r="W24" s="291"/>
      <c r="Z24" s="23" t="s">
        <v>63</v>
      </c>
      <c r="AA24" s="231" t="s">
        <v>71</v>
      </c>
    </row>
    <row r="25" spans="2:31" ht="45" customHeight="1">
      <c r="B25" s="460"/>
      <c r="C25" s="285" t="s">
        <v>86</v>
      </c>
      <c r="D25" s="34" t="s">
        <v>111</v>
      </c>
      <c r="E25" s="33">
        <f>NETWORKDAYS.INTL(F25,G25,"0000110",$AC$5:$AC$12)</f>
        <v>5</v>
      </c>
      <c r="F25" s="29">
        <f>MAX(WORKDAY.INTL(G24,1,"0000100",$AF$5:$AF$10),WORKDAY.INTL(G20,1,"0000100",$AF$5:$AF$10))</f>
        <v>46260</v>
      </c>
      <c r="G25" s="29">
        <f t="shared" ref="G25" si="20">WORKDAY.INTL(F25,4,"0000110")</f>
        <v>46266</v>
      </c>
      <c r="H25" s="29">
        <f>MAX(WORKDAY.INTL(I24,1,"0000100",$AF$5:$AF$10),WORKDAY.INTL(I20,1,"0000100",$AF$5:$AF$10))</f>
        <v>46260</v>
      </c>
      <c r="I25" s="29">
        <f t="shared" ref="I25" si="21">WORKDAY.INTL(H25,4,"0000110")</f>
        <v>46266</v>
      </c>
      <c r="J25" s="29"/>
      <c r="K25" s="29"/>
      <c r="L25" s="35">
        <v>0</v>
      </c>
      <c r="M25" s="35" t="str">
        <f t="shared" ca="1" si="0"/>
        <v>Not Started</v>
      </c>
      <c r="N25" s="34"/>
      <c r="O25" s="57"/>
      <c r="P25" s="58"/>
      <c r="Q25" s="58"/>
      <c r="R25" s="58"/>
      <c r="S25" s="58"/>
      <c r="T25" s="58"/>
      <c r="U25" s="58"/>
      <c r="V25" s="59"/>
      <c r="W25" s="291" t="s">
        <v>212</v>
      </c>
      <c r="Z25" s="23" t="s">
        <v>64</v>
      </c>
      <c r="AA25" s="231" t="s">
        <v>71</v>
      </c>
    </row>
    <row r="26" spans="2:31" ht="45" customHeight="1" thickBot="1">
      <c r="B26" s="460"/>
      <c r="C26" s="285" t="s">
        <v>86</v>
      </c>
      <c r="D26" s="34" t="s">
        <v>114</v>
      </c>
      <c r="E26" s="33">
        <f>NETWORKDAYS.INTL(F26,G26,"0000110",$AC$5:$AC$12)</f>
        <v>2</v>
      </c>
      <c r="F26" s="29">
        <f>WORKDAY.INTL(G25,1,"0000110")</f>
        <v>46267</v>
      </c>
      <c r="G26" s="29">
        <f t="shared" ref="G26" si="22">WORKDAY.INTL(F26,1,"0000110")</f>
        <v>46268</v>
      </c>
      <c r="H26" s="29">
        <f>WORKDAY.INTL(I25,1,"0000110")</f>
        <v>46267</v>
      </c>
      <c r="I26" s="29">
        <f t="shared" ref="I26" si="23">WORKDAY.INTL(H26,1,"0000110")</f>
        <v>46268</v>
      </c>
      <c r="J26" s="29"/>
      <c r="K26" s="29"/>
      <c r="L26" s="35">
        <v>0</v>
      </c>
      <c r="M26" s="35" t="str">
        <f t="shared" ca="1" si="0"/>
        <v>Not Started</v>
      </c>
      <c r="N26" s="34"/>
      <c r="O26" s="57"/>
      <c r="P26" s="58"/>
      <c r="Q26" s="58"/>
      <c r="R26" s="58"/>
      <c r="S26" s="58"/>
      <c r="T26" s="58"/>
      <c r="U26" s="58"/>
      <c r="V26" s="59"/>
      <c r="W26" s="291" t="s">
        <v>115</v>
      </c>
      <c r="Z26" s="23" t="s">
        <v>65</v>
      </c>
      <c r="AA26" s="231" t="s">
        <v>71</v>
      </c>
    </row>
    <row r="27" spans="2:31" s="274" customFormat="1" ht="4.5" customHeight="1" thickBot="1">
      <c r="B27" s="292"/>
      <c r="C27" s="292"/>
      <c r="D27" s="292" t="s">
        <v>195</v>
      </c>
      <c r="E27" s="293"/>
      <c r="F27" s="292"/>
      <c r="G27" s="292"/>
      <c r="H27" s="292"/>
      <c r="I27" s="292"/>
      <c r="J27" s="292"/>
      <c r="K27" s="292"/>
      <c r="L27" s="294"/>
      <c r="M27" s="294"/>
      <c r="N27" s="292"/>
      <c r="O27" s="292"/>
      <c r="P27" s="292"/>
      <c r="Q27" s="292"/>
      <c r="R27" s="292"/>
      <c r="S27" s="292"/>
      <c r="T27" s="292"/>
      <c r="U27" s="292"/>
      <c r="V27" s="292"/>
      <c r="W27" s="295"/>
      <c r="Z27" s="275"/>
      <c r="AA27" s="275" t="s">
        <v>72</v>
      </c>
    </row>
    <row r="28" spans="2:31" ht="45" customHeight="1">
      <c r="B28" s="461" t="s">
        <v>235</v>
      </c>
      <c r="C28" s="296" t="s">
        <v>86</v>
      </c>
      <c r="D28" s="21" t="s">
        <v>105</v>
      </c>
      <c r="E28" s="22">
        <f>NETWORKDAYS.INTL(F28,G28,"0000100",$AC$5:$AC$12)</f>
        <v>8</v>
      </c>
      <c r="F28" s="23">
        <f>WORKDAY.INTL(G24,1,"0000100",$AC$5:$AC$11)</f>
        <v>46260</v>
      </c>
      <c r="G28" s="23">
        <f>WORKDAY.INTL(F28,7,"0000100",$AC$5:$AC$11)</f>
        <v>46268</v>
      </c>
      <c r="H28" s="23">
        <f>WORKDAY.INTL(I24,1,"0000100",$AC$5:$AC$11)</f>
        <v>46260</v>
      </c>
      <c r="I28" s="23">
        <f>WORKDAY.INTL(H28,7,"0000100",$AC$5:$AC$11)</f>
        <v>46268</v>
      </c>
      <c r="J28" s="23"/>
      <c r="K28" s="23"/>
      <c r="L28" s="24">
        <v>0</v>
      </c>
      <c r="M28" s="24" t="str">
        <f t="shared" ca="1" si="0"/>
        <v>Not Started</v>
      </c>
      <c r="N28" s="21"/>
      <c r="O28" s="297"/>
      <c r="P28" s="298"/>
      <c r="Q28" s="298"/>
      <c r="R28" s="298"/>
      <c r="S28" s="298"/>
      <c r="T28" s="298"/>
      <c r="U28" s="298"/>
      <c r="V28" s="299"/>
      <c r="W28" s="300"/>
      <c r="Z28" s="23" t="s">
        <v>62</v>
      </c>
      <c r="AA28" s="231" t="s">
        <v>72</v>
      </c>
    </row>
    <row r="29" spans="2:31" ht="45" customHeight="1">
      <c r="B29" s="462"/>
      <c r="C29" s="296" t="s">
        <v>86</v>
      </c>
      <c r="D29" s="21" t="s">
        <v>107</v>
      </c>
      <c r="E29" s="22">
        <f>NETWORKDAYS.INTL(F29,G29,"0000100",$AC$5:$AC$12)</f>
        <v>3</v>
      </c>
      <c r="F29" s="23">
        <f>WORKDAY.INTL(G28,1,"0000100",$AC$5:$AC$11)</f>
        <v>46270</v>
      </c>
      <c r="G29" s="23">
        <f>WORKDAY.INTL(F29,2,"0000100",$AC$5:$AC$11)</f>
        <v>46272</v>
      </c>
      <c r="H29" s="23">
        <f>WORKDAY.INTL(I28,1,"0000100",$AC$5:$AC$11)</f>
        <v>46270</v>
      </c>
      <c r="I29" s="23">
        <f>WORKDAY.INTL(H29,2,"0000100",$AC$5:$AC$11)</f>
        <v>46272</v>
      </c>
      <c r="J29" s="23"/>
      <c r="K29" s="23"/>
      <c r="L29" s="24">
        <v>0</v>
      </c>
      <c r="M29" s="24" t="str">
        <f t="shared" ca="1" si="0"/>
        <v>Not Started</v>
      </c>
      <c r="N29" s="21"/>
      <c r="O29" s="297"/>
      <c r="P29" s="298"/>
      <c r="Q29" s="298"/>
      <c r="R29" s="298"/>
      <c r="S29" s="298"/>
      <c r="T29" s="298"/>
      <c r="U29" s="298"/>
      <c r="V29" s="299"/>
      <c r="W29" s="300"/>
      <c r="Z29" s="23" t="s">
        <v>63</v>
      </c>
      <c r="AA29" s="231" t="s">
        <v>72</v>
      </c>
    </row>
    <row r="30" spans="2:31" ht="45" customHeight="1">
      <c r="B30" s="462"/>
      <c r="C30" s="296" t="s">
        <v>86</v>
      </c>
      <c r="D30" s="21" t="s">
        <v>111</v>
      </c>
      <c r="E30" s="22">
        <f>NETWORKDAYS.INTL(F30,G30,"0000110",$AC$5:$AC$12)</f>
        <v>5</v>
      </c>
      <c r="F30" s="23">
        <f>MAX(WORKDAY.INTL(G29,1,"0000100",$AF$5:$AF$10),WORKDAY.INTL(G25,1,"0000100",$AF$5:$AF$10))</f>
        <v>46273</v>
      </c>
      <c r="G30" s="23">
        <f t="shared" ref="G30" si="24">WORKDAY.INTL(F30,4,"0000110")</f>
        <v>46279</v>
      </c>
      <c r="H30" s="23">
        <f>MAX(WORKDAY.INTL(I29,1,"0000100",$AF$5:$AF$10),WORKDAY.INTL(I25,1,"0000100",$AF$5:$AF$10))</f>
        <v>46273</v>
      </c>
      <c r="I30" s="23">
        <f t="shared" ref="I30" si="25">WORKDAY.INTL(H30,4,"0000110")</f>
        <v>46279</v>
      </c>
      <c r="J30" s="23"/>
      <c r="K30" s="23"/>
      <c r="L30" s="24">
        <v>0</v>
      </c>
      <c r="M30" s="24" t="str">
        <f t="shared" ca="1" si="0"/>
        <v>Not Started</v>
      </c>
      <c r="N30" s="21"/>
      <c r="O30" s="297"/>
      <c r="P30" s="298"/>
      <c r="Q30" s="298"/>
      <c r="R30" s="298"/>
      <c r="S30" s="298"/>
      <c r="T30" s="298"/>
      <c r="U30" s="298"/>
      <c r="V30" s="299"/>
      <c r="W30" s="300" t="s">
        <v>212</v>
      </c>
      <c r="Z30" s="23" t="s">
        <v>64</v>
      </c>
      <c r="AA30" s="231" t="s">
        <v>72</v>
      </c>
    </row>
    <row r="31" spans="2:31" ht="45" customHeight="1" thickBot="1">
      <c r="B31" s="462"/>
      <c r="C31" s="296" t="s">
        <v>86</v>
      </c>
      <c r="D31" s="26" t="s">
        <v>114</v>
      </c>
      <c r="E31" s="22">
        <f>NETWORKDAYS.INTL(F31,G31,"0000110",$AC$5:$AC$12)</f>
        <v>2</v>
      </c>
      <c r="F31" s="23">
        <f t="shared" ref="F31" si="26">WORKDAY.INTL(G30,1,"0000110")</f>
        <v>46280</v>
      </c>
      <c r="G31" s="23">
        <f t="shared" ref="G31" si="27">WORKDAY.INTL(F31,1,"0000110")</f>
        <v>46281</v>
      </c>
      <c r="H31" s="23">
        <f t="shared" ref="H31" si="28">WORKDAY.INTL(I30,1,"0000110")</f>
        <v>46280</v>
      </c>
      <c r="I31" s="23">
        <f t="shared" ref="I31" si="29">WORKDAY.INTL(H31,1,"0000110")</f>
        <v>46281</v>
      </c>
      <c r="J31" s="23"/>
      <c r="K31" s="23"/>
      <c r="L31" s="24">
        <v>0</v>
      </c>
      <c r="M31" s="24" t="str">
        <f t="shared" ca="1" si="0"/>
        <v>Not Started</v>
      </c>
      <c r="N31" s="26"/>
      <c r="O31" s="297"/>
      <c r="P31" s="301"/>
      <c r="Q31" s="301"/>
      <c r="R31" s="301"/>
      <c r="S31" s="301"/>
      <c r="T31" s="301"/>
      <c r="U31" s="301"/>
      <c r="V31" s="302"/>
      <c r="W31" s="300" t="s">
        <v>115</v>
      </c>
      <c r="Z31" s="23" t="s">
        <v>65</v>
      </c>
      <c r="AA31" s="231" t="s">
        <v>72</v>
      </c>
    </row>
    <row r="32" spans="2:31" s="274" customFormat="1" ht="4.5" customHeight="1" thickBot="1">
      <c r="B32" s="292"/>
      <c r="C32" s="292"/>
      <c r="D32" s="292" t="s">
        <v>195</v>
      </c>
      <c r="E32" s="293"/>
      <c r="F32" s="292"/>
      <c r="G32" s="292"/>
      <c r="H32" s="292"/>
      <c r="I32" s="292"/>
      <c r="J32" s="292"/>
      <c r="K32" s="292"/>
      <c r="L32" s="294"/>
      <c r="M32" s="294"/>
      <c r="N32" s="292"/>
      <c r="O32" s="292"/>
      <c r="P32" s="292"/>
      <c r="Q32" s="292"/>
      <c r="R32" s="292"/>
      <c r="S32" s="292"/>
      <c r="T32" s="292"/>
      <c r="U32" s="292"/>
      <c r="V32" s="292"/>
      <c r="W32" s="295"/>
      <c r="Z32" s="275"/>
      <c r="AA32" s="275" t="s">
        <v>73</v>
      </c>
    </row>
    <row r="33" spans="2:31" ht="45" customHeight="1">
      <c r="B33" s="459" t="s">
        <v>236</v>
      </c>
      <c r="C33" s="285" t="s">
        <v>86</v>
      </c>
      <c r="D33" s="27" t="s">
        <v>105</v>
      </c>
      <c r="E33" s="28">
        <f>NETWORKDAYS.INTL(F33,G33,"0000100",$AC$5:$AC$12)</f>
        <v>8</v>
      </c>
      <c r="F33" s="29">
        <f>WORKDAY.INTL(G29,1,"0000100",$AC$5:$AC$11)</f>
        <v>46273</v>
      </c>
      <c r="G33" s="29">
        <f>WORKDAY.INTL(F33,7,"0000100",$AC$5:$AC$11)</f>
        <v>46281</v>
      </c>
      <c r="H33" s="29">
        <f>WORKDAY.INTL(I29,1,"0000100",$AC$5:$AC$11)</f>
        <v>46273</v>
      </c>
      <c r="I33" s="30">
        <f>WORKDAY.INTL(H33,7,"0000100",$AC$5:$AC$11)</f>
        <v>46281</v>
      </c>
      <c r="J33" s="29"/>
      <c r="K33" s="29"/>
      <c r="L33" s="31">
        <v>0</v>
      </c>
      <c r="M33" s="31" t="str">
        <f t="shared" ca="1" si="0"/>
        <v>Not Started</v>
      </c>
      <c r="N33" s="27"/>
      <c r="O33" s="57"/>
      <c r="P33" s="286"/>
      <c r="Q33" s="286"/>
      <c r="R33" s="286"/>
      <c r="S33" s="286"/>
      <c r="T33" s="286"/>
      <c r="U33" s="286"/>
      <c r="V33" s="287"/>
      <c r="W33" s="288"/>
      <c r="Z33" s="23" t="s">
        <v>62</v>
      </c>
      <c r="AA33" s="231" t="s">
        <v>73</v>
      </c>
      <c r="AE33" s="276"/>
    </row>
    <row r="34" spans="2:31" ht="45" customHeight="1">
      <c r="B34" s="460"/>
      <c r="C34" s="285" t="s">
        <v>86</v>
      </c>
      <c r="D34" s="32" t="s">
        <v>107</v>
      </c>
      <c r="E34" s="33">
        <f>NETWORKDAYS.INTL(F34,G34,"0000100",$AC$5:$AC$12)</f>
        <v>3</v>
      </c>
      <c r="F34" s="29">
        <f>WORKDAY.INTL(G33,1,"0000100",$AC$5:$AC$11)</f>
        <v>46282</v>
      </c>
      <c r="G34" s="29">
        <f>WORKDAY.INTL(F34,2,"0000100",$AC$5:$AC$11)</f>
        <v>46285</v>
      </c>
      <c r="H34" s="29">
        <f>WORKDAY.INTL(I33,1,"0000100",$AC$5:$AC$11)</f>
        <v>46282</v>
      </c>
      <c r="I34" s="30">
        <f>WORKDAY.INTL(H34,2,"0000100",$AC$5:$AC$11)</f>
        <v>46285</v>
      </c>
      <c r="J34" s="29"/>
      <c r="K34" s="29"/>
      <c r="L34" s="31">
        <v>0</v>
      </c>
      <c r="M34" s="31" t="str">
        <f t="shared" ca="1" si="0"/>
        <v>Not Started</v>
      </c>
      <c r="N34" s="32"/>
      <c r="O34" s="57"/>
      <c r="P34" s="289"/>
      <c r="Q34" s="289"/>
      <c r="R34" s="289"/>
      <c r="S34" s="289"/>
      <c r="T34" s="289"/>
      <c r="U34" s="289"/>
      <c r="V34" s="290"/>
      <c r="W34" s="291"/>
      <c r="Z34" s="23" t="s">
        <v>63</v>
      </c>
      <c r="AA34" s="231" t="s">
        <v>73</v>
      </c>
    </row>
    <row r="35" spans="2:31" ht="45" customHeight="1">
      <c r="B35" s="460"/>
      <c r="C35" s="285" t="s">
        <v>86</v>
      </c>
      <c r="D35" s="34" t="s">
        <v>111</v>
      </c>
      <c r="E35" s="33">
        <f>NETWORKDAYS.INTL(F35,G35,"0000110",$AC$5:$AC$12)</f>
        <v>4</v>
      </c>
      <c r="F35" s="29">
        <f>MAX(WORKDAY.INTL(G34,1,"0000100",$AF$5:$AF$10),WORKDAY.INTL(G30,1,"0000100",$AF$5:$AF$10))</f>
        <v>46286</v>
      </c>
      <c r="G35" s="29">
        <f t="shared" ref="G35" si="30">WORKDAY.INTL(F35,4,"0000110")</f>
        <v>46292</v>
      </c>
      <c r="H35" s="29">
        <f>MAX(WORKDAY.INTL(I34,1,"0000100",$AF$5:$AF$10),WORKDAY.INTL(I30,1,"0000100",$AF$5:$AF$10))</f>
        <v>46286</v>
      </c>
      <c r="I35" s="29">
        <f t="shared" ref="I35" si="31">WORKDAY.INTL(H35,4,"0000110")</f>
        <v>46292</v>
      </c>
      <c r="J35" s="29"/>
      <c r="K35" s="29"/>
      <c r="L35" s="35">
        <v>0</v>
      </c>
      <c r="M35" s="35" t="str">
        <f t="shared" ca="1" si="0"/>
        <v>Not Started</v>
      </c>
      <c r="N35" s="34"/>
      <c r="O35" s="57"/>
      <c r="P35" s="58"/>
      <c r="Q35" s="58"/>
      <c r="R35" s="58"/>
      <c r="S35" s="58"/>
      <c r="T35" s="58"/>
      <c r="U35" s="58"/>
      <c r="V35" s="59"/>
      <c r="W35" s="291" t="s">
        <v>212</v>
      </c>
      <c r="Z35" s="23" t="s">
        <v>64</v>
      </c>
      <c r="AA35" s="231" t="s">
        <v>73</v>
      </c>
    </row>
    <row r="36" spans="2:31" ht="45" customHeight="1" thickBot="1">
      <c r="B36" s="460"/>
      <c r="C36" s="285" t="s">
        <v>86</v>
      </c>
      <c r="D36" s="34" t="s">
        <v>114</v>
      </c>
      <c r="E36" s="33">
        <f>NETWORKDAYS.INTL(F36,G36,"0000110",$AC$5:$AC$12)</f>
        <v>2</v>
      </c>
      <c r="F36" s="29">
        <f t="shared" ref="F36" si="32">WORKDAY.INTL(G35,1,"0000110")</f>
        <v>46293</v>
      </c>
      <c r="G36" s="29">
        <f t="shared" ref="G36" si="33">WORKDAY.INTL(F36,1,"0000110")</f>
        <v>46294</v>
      </c>
      <c r="H36" s="29">
        <f t="shared" ref="H36" si="34">WORKDAY.INTL(I35,1,"0000110")</f>
        <v>46293</v>
      </c>
      <c r="I36" s="29">
        <f t="shared" ref="I36" si="35">WORKDAY.INTL(H36,1,"0000110")</f>
        <v>46294</v>
      </c>
      <c r="J36" s="29"/>
      <c r="K36" s="29"/>
      <c r="L36" s="35">
        <v>0</v>
      </c>
      <c r="M36" s="35" t="str">
        <f t="shared" ca="1" si="0"/>
        <v>Not Started</v>
      </c>
      <c r="N36" s="34"/>
      <c r="O36" s="57"/>
      <c r="P36" s="58"/>
      <c r="Q36" s="58"/>
      <c r="R36" s="58"/>
      <c r="S36" s="58"/>
      <c r="T36" s="58"/>
      <c r="U36" s="58"/>
      <c r="V36" s="59"/>
      <c r="W36" s="291" t="s">
        <v>115</v>
      </c>
      <c r="Z36" s="23" t="s">
        <v>65</v>
      </c>
      <c r="AA36" s="231" t="s">
        <v>73</v>
      </c>
    </row>
    <row r="37" spans="2:31" s="274" customFormat="1" ht="4.5" customHeight="1" thickBot="1">
      <c r="B37" s="292"/>
      <c r="C37" s="292"/>
      <c r="D37" s="292" t="s">
        <v>195</v>
      </c>
      <c r="E37" s="293"/>
      <c r="F37" s="292"/>
      <c r="G37" s="292"/>
      <c r="H37" s="292"/>
      <c r="I37" s="292"/>
      <c r="J37" s="292"/>
      <c r="K37" s="292"/>
      <c r="L37" s="294"/>
      <c r="M37" s="294"/>
      <c r="N37" s="292"/>
      <c r="O37" s="292"/>
      <c r="P37" s="292"/>
      <c r="Q37" s="292"/>
      <c r="R37" s="292"/>
      <c r="S37" s="292"/>
      <c r="T37" s="292"/>
      <c r="U37" s="292"/>
      <c r="V37" s="292"/>
      <c r="W37" s="295"/>
      <c r="Z37" s="275"/>
      <c r="AA37" s="275" t="s">
        <v>74</v>
      </c>
    </row>
    <row r="38" spans="2:31" ht="45" customHeight="1">
      <c r="B38" s="461" t="s">
        <v>123</v>
      </c>
      <c r="C38" s="296" t="s">
        <v>86</v>
      </c>
      <c r="D38" s="21" t="s">
        <v>105</v>
      </c>
      <c r="E38" s="22">
        <f>NETWORKDAYS.INTL(F38,G38,"0000100",$AC$5:$AC$12)</f>
        <v>7</v>
      </c>
      <c r="F38" s="23">
        <f>WORKDAY.INTL(G34,1,"0000100",$AC$5:$AC$11)</f>
        <v>46286</v>
      </c>
      <c r="G38" s="23">
        <f>WORKDAY.INTL(F38,7,"0000100",$AC$5:$AC$11)</f>
        <v>46294</v>
      </c>
      <c r="H38" s="23">
        <f>WORKDAY.INTL(I34,1,"0000100",$AC$5:$AC$11)</f>
        <v>46286</v>
      </c>
      <c r="I38" s="23">
        <f>WORKDAY.INTL(H38,7,"0000100",$AC$5:$AC$11)</f>
        <v>46294</v>
      </c>
      <c r="J38" s="23"/>
      <c r="K38" s="23"/>
      <c r="L38" s="24">
        <v>0</v>
      </c>
      <c r="M38" s="24" t="str">
        <f t="shared" ref="M38:M68" ca="1" si="36">IF(L38=100%,"Completed",IF(AND(OR(L38="",L38=0),F38&gt;TODAY()),"Not Started",IF(AND(OR(L38="",L38=0),F38&lt;=TODAY()),"Delayed",IF(AND(L38&gt;0,L38&lt;100%,G38&lt;TODAY()),"Delayed",IF(AND(L38&gt;0,L38&lt;100%,G38&gt;=TODAY()),"In Progress","")))))</f>
        <v>Not Started</v>
      </c>
      <c r="N38" s="21"/>
      <c r="O38" s="297"/>
      <c r="P38" s="298"/>
      <c r="Q38" s="298"/>
      <c r="R38" s="298"/>
      <c r="S38" s="298"/>
      <c r="T38" s="298"/>
      <c r="U38" s="298"/>
      <c r="V38" s="299"/>
      <c r="W38" s="300"/>
      <c r="Z38" s="23" t="s">
        <v>62</v>
      </c>
      <c r="AA38" s="231" t="s">
        <v>74</v>
      </c>
    </row>
    <row r="39" spans="2:31" ht="45" customHeight="1">
      <c r="B39" s="462"/>
      <c r="C39" s="296" t="s">
        <v>86</v>
      </c>
      <c r="D39" s="21" t="s">
        <v>107</v>
      </c>
      <c r="E39" s="22">
        <f>NETWORKDAYS.INTL(F39,G39,"0000100",$AC$5:$AC$12)</f>
        <v>3</v>
      </c>
      <c r="F39" s="23">
        <f>WORKDAY.INTL(G38,1,"0000100",$AC$5:$AC$11)</f>
        <v>46295</v>
      </c>
      <c r="G39" s="23">
        <f>WORKDAY.INTL(F39,2,"0000100",$AC$5:$AC$11)</f>
        <v>46298</v>
      </c>
      <c r="H39" s="23">
        <f>WORKDAY.INTL(I38,1,"0000100",$AC$5:$AC$11)</f>
        <v>46295</v>
      </c>
      <c r="I39" s="23">
        <f>WORKDAY.INTL(H39,2,"0000100",$AC$5:$AC$11)</f>
        <v>46298</v>
      </c>
      <c r="J39" s="23"/>
      <c r="K39" s="23"/>
      <c r="L39" s="24">
        <v>0</v>
      </c>
      <c r="M39" s="24" t="str">
        <f t="shared" ca="1" si="36"/>
        <v>Not Started</v>
      </c>
      <c r="N39" s="21"/>
      <c r="O39" s="297"/>
      <c r="P39" s="298"/>
      <c r="Q39" s="298"/>
      <c r="R39" s="298"/>
      <c r="S39" s="298"/>
      <c r="T39" s="298"/>
      <c r="U39" s="298"/>
      <c r="V39" s="299"/>
      <c r="W39" s="300"/>
      <c r="Z39" s="23" t="s">
        <v>63</v>
      </c>
      <c r="AA39" s="231" t="s">
        <v>74</v>
      </c>
    </row>
    <row r="40" spans="2:31" ht="45" customHeight="1">
      <c r="B40" s="462"/>
      <c r="C40" s="296" t="s">
        <v>86</v>
      </c>
      <c r="D40" s="21" t="s">
        <v>111</v>
      </c>
      <c r="E40" s="22">
        <f>NETWORKDAYS.INTL(F40,G40,"0000110",$AC$5:$AC$12)</f>
        <v>5</v>
      </c>
      <c r="F40" s="23">
        <f>MAX(WORKDAY.INTL(G39,1,"0000100",$AF$5:$AF$10),WORKDAY.INTL(G35,1,"0000100",$AF$5:$AF$10))</f>
        <v>46299</v>
      </c>
      <c r="G40" s="23">
        <f t="shared" ref="G40" si="37">WORKDAY.INTL(F40,4,"0000110")</f>
        <v>46303</v>
      </c>
      <c r="H40" s="23">
        <f>MAX(WORKDAY.INTL(I39,1,"0000100",$AF$5:$AF$10),WORKDAY.INTL(I35,1,"0000100",$AF$5:$AF$10))</f>
        <v>46299</v>
      </c>
      <c r="I40" s="23">
        <f t="shared" ref="I40" si="38">WORKDAY.INTL(H40,4,"0000110")</f>
        <v>46303</v>
      </c>
      <c r="J40" s="23"/>
      <c r="K40" s="23"/>
      <c r="L40" s="24">
        <v>0</v>
      </c>
      <c r="M40" s="24" t="str">
        <f t="shared" ca="1" si="36"/>
        <v>Not Started</v>
      </c>
      <c r="N40" s="21"/>
      <c r="O40" s="297"/>
      <c r="P40" s="298"/>
      <c r="Q40" s="298"/>
      <c r="R40" s="298"/>
      <c r="S40" s="298"/>
      <c r="T40" s="298"/>
      <c r="U40" s="298"/>
      <c r="V40" s="299"/>
      <c r="W40" s="300" t="s">
        <v>212</v>
      </c>
      <c r="Z40" s="23" t="s">
        <v>64</v>
      </c>
      <c r="AA40" s="231" t="s">
        <v>74</v>
      </c>
    </row>
    <row r="41" spans="2:31" ht="45" customHeight="1" thickBot="1">
      <c r="B41" s="462"/>
      <c r="C41" s="296" t="s">
        <v>86</v>
      </c>
      <c r="D41" s="26" t="s">
        <v>114</v>
      </c>
      <c r="E41" s="22">
        <f>NETWORKDAYS.INTL(F41,G41,"0000110",$AC$5:$AC$12)</f>
        <v>2</v>
      </c>
      <c r="F41" s="23">
        <f t="shared" ref="F41" si="39">WORKDAY.INTL(G40,1,"0000110")</f>
        <v>46306</v>
      </c>
      <c r="G41" s="23">
        <f t="shared" ref="G41" si="40">WORKDAY.INTL(F41,1,"0000110")</f>
        <v>46307</v>
      </c>
      <c r="H41" s="23">
        <f t="shared" ref="H41" si="41">WORKDAY.INTL(I40,1,"0000110")</f>
        <v>46306</v>
      </c>
      <c r="I41" s="23">
        <f t="shared" ref="I41" si="42">WORKDAY.INTL(H41,1,"0000110")</f>
        <v>46307</v>
      </c>
      <c r="J41" s="23"/>
      <c r="K41" s="23"/>
      <c r="L41" s="24">
        <v>0</v>
      </c>
      <c r="M41" s="24" t="str">
        <f t="shared" ca="1" si="36"/>
        <v>Not Started</v>
      </c>
      <c r="N41" s="26"/>
      <c r="O41" s="297"/>
      <c r="P41" s="301"/>
      <c r="Q41" s="301"/>
      <c r="R41" s="301"/>
      <c r="S41" s="301"/>
      <c r="T41" s="301"/>
      <c r="U41" s="301"/>
      <c r="V41" s="302"/>
      <c r="W41" s="300" t="s">
        <v>115</v>
      </c>
      <c r="Z41" s="23" t="s">
        <v>65</v>
      </c>
      <c r="AA41" s="231" t="s">
        <v>74</v>
      </c>
    </row>
    <row r="42" spans="2:31" s="274" customFormat="1" ht="4.5" customHeight="1" thickBot="1">
      <c r="B42" s="292"/>
      <c r="C42" s="292"/>
      <c r="D42" s="292" t="s">
        <v>195</v>
      </c>
      <c r="E42" s="293"/>
      <c r="F42" s="292"/>
      <c r="G42" s="292"/>
      <c r="H42" s="292"/>
      <c r="I42" s="292"/>
      <c r="J42" s="292"/>
      <c r="K42" s="292"/>
      <c r="L42" s="294"/>
      <c r="M42" s="294"/>
      <c r="N42" s="292"/>
      <c r="O42" s="292"/>
      <c r="P42" s="292"/>
      <c r="Q42" s="292"/>
      <c r="R42" s="292"/>
      <c r="S42" s="292"/>
      <c r="T42" s="292"/>
      <c r="U42" s="292"/>
      <c r="V42" s="292"/>
      <c r="W42" s="295"/>
      <c r="Z42" s="275"/>
      <c r="AA42" s="275" t="s">
        <v>75</v>
      </c>
    </row>
    <row r="43" spans="2:31" ht="45" customHeight="1">
      <c r="B43" s="459" t="s">
        <v>124</v>
      </c>
      <c r="C43" s="285" t="s">
        <v>86</v>
      </c>
      <c r="D43" s="27" t="s">
        <v>105</v>
      </c>
      <c r="E43" s="28">
        <f>NETWORKDAYS.INTL(F43,G43,"0000100",$AC$5:$AC$12)</f>
        <v>8</v>
      </c>
      <c r="F43" s="29">
        <f>WORKDAY.INTL(G39,1,"0000100",$AC$5:$AC$11)</f>
        <v>46299</v>
      </c>
      <c r="G43" s="29">
        <f>WORKDAY.INTL(F43,7,"0000100",$AC$5:$AC$11)</f>
        <v>46307</v>
      </c>
      <c r="H43" s="29">
        <f>WORKDAY.INTL(I39,1,"0000100",$AC$5:$AC$11)</f>
        <v>46299</v>
      </c>
      <c r="I43" s="30">
        <f>WORKDAY.INTL(H43,7,"0000100",$AC$5:$AC$11)</f>
        <v>46307</v>
      </c>
      <c r="J43" s="29"/>
      <c r="K43" s="29"/>
      <c r="L43" s="31">
        <v>0</v>
      </c>
      <c r="M43" s="31" t="str">
        <f t="shared" ca="1" si="36"/>
        <v>Not Started</v>
      </c>
      <c r="N43" s="27"/>
      <c r="O43" s="57"/>
      <c r="P43" s="286"/>
      <c r="Q43" s="286"/>
      <c r="R43" s="286"/>
      <c r="S43" s="286"/>
      <c r="T43" s="286"/>
      <c r="U43" s="286"/>
      <c r="V43" s="287"/>
      <c r="W43" s="288"/>
      <c r="Z43" s="23" t="s">
        <v>62</v>
      </c>
      <c r="AA43" s="231" t="s">
        <v>75</v>
      </c>
      <c r="AE43" s="276"/>
    </row>
    <row r="44" spans="2:31" ht="45" customHeight="1">
      <c r="B44" s="460"/>
      <c r="C44" s="285" t="s">
        <v>86</v>
      </c>
      <c r="D44" s="32" t="s">
        <v>107</v>
      </c>
      <c r="E44" s="33">
        <f>NETWORKDAYS.INTL(F44,G44,"0000100",$AC$5:$AC$12)</f>
        <v>3</v>
      </c>
      <c r="F44" s="29">
        <f>WORKDAY.INTL(G43,1,"0000100",$AC$5:$AC$11)</f>
        <v>46308</v>
      </c>
      <c r="G44" s="29">
        <f>WORKDAY.INTL(F44,2,"0000100",$AC$5:$AC$11)</f>
        <v>46310</v>
      </c>
      <c r="H44" s="29">
        <f>WORKDAY.INTL(I43,1,"0000100",$AC$5:$AC$11)</f>
        <v>46308</v>
      </c>
      <c r="I44" s="30">
        <f>WORKDAY.INTL(H44,2,"0000100",$AC$5:$AC$11)</f>
        <v>46310</v>
      </c>
      <c r="J44" s="29"/>
      <c r="K44" s="29"/>
      <c r="L44" s="31">
        <v>0</v>
      </c>
      <c r="M44" s="31" t="str">
        <f t="shared" ca="1" si="36"/>
        <v>Not Started</v>
      </c>
      <c r="N44" s="32"/>
      <c r="O44" s="57"/>
      <c r="P44" s="289"/>
      <c r="Q44" s="289"/>
      <c r="R44" s="289"/>
      <c r="S44" s="289"/>
      <c r="T44" s="289"/>
      <c r="U44" s="289"/>
      <c r="V44" s="290"/>
      <c r="W44" s="291"/>
      <c r="Z44" s="23" t="s">
        <v>63</v>
      </c>
      <c r="AA44" s="231" t="s">
        <v>75</v>
      </c>
    </row>
    <row r="45" spans="2:31" ht="45" customHeight="1">
      <c r="B45" s="460"/>
      <c r="C45" s="285" t="s">
        <v>86</v>
      </c>
      <c r="D45" s="34" t="s">
        <v>111</v>
      </c>
      <c r="E45" s="33">
        <f>NETWORKDAYS.INTL(F45,G45,"0000110",$AC$5:$AC$12)</f>
        <v>4</v>
      </c>
      <c r="F45" s="29">
        <f>MAX(WORKDAY.INTL(G44,1,"0000100",$AF$5:$AF$10),WORKDAY.INTL(G40,1,"0000100",$AF$5:$AF$10))</f>
        <v>46312</v>
      </c>
      <c r="G45" s="29">
        <f t="shared" ref="G45" si="43">WORKDAY.INTL(F45,4,"0000110")</f>
        <v>46316</v>
      </c>
      <c r="H45" s="29">
        <f>MAX(WORKDAY.INTL(I44,1,"0000100",$AF$5:$AF$10),WORKDAY.INTL(I40,1,"0000100",$AF$5:$AF$10))</f>
        <v>46312</v>
      </c>
      <c r="I45" s="29">
        <f t="shared" ref="I45" si="44">WORKDAY.INTL(H45,4,"0000110")</f>
        <v>46316</v>
      </c>
      <c r="J45" s="29"/>
      <c r="K45" s="29"/>
      <c r="L45" s="35">
        <v>0</v>
      </c>
      <c r="M45" s="35" t="str">
        <f t="shared" ca="1" si="36"/>
        <v>Not Started</v>
      </c>
      <c r="N45" s="34"/>
      <c r="O45" s="57"/>
      <c r="P45" s="58"/>
      <c r="Q45" s="58"/>
      <c r="R45" s="58"/>
      <c r="S45" s="58"/>
      <c r="T45" s="58"/>
      <c r="U45" s="58"/>
      <c r="V45" s="59"/>
      <c r="W45" s="291" t="s">
        <v>212</v>
      </c>
      <c r="Z45" s="23" t="s">
        <v>64</v>
      </c>
      <c r="AA45" s="231" t="s">
        <v>75</v>
      </c>
    </row>
    <row r="46" spans="2:31" ht="45" customHeight="1" thickBot="1">
      <c r="B46" s="460"/>
      <c r="C46" s="285" t="s">
        <v>86</v>
      </c>
      <c r="D46" s="34" t="s">
        <v>114</v>
      </c>
      <c r="E46" s="33">
        <f>NETWORKDAYS.INTL(F46,G46,"0000110",$AC$5:$AC$12)</f>
        <v>2</v>
      </c>
      <c r="F46" s="29">
        <f t="shared" ref="F46" si="45">WORKDAY.INTL(G45,1,"0000110")</f>
        <v>46317</v>
      </c>
      <c r="G46" s="29">
        <f t="shared" ref="G46" si="46">WORKDAY.INTL(F46,1,"0000110")</f>
        <v>46320</v>
      </c>
      <c r="H46" s="29">
        <f t="shared" ref="H46" si="47">WORKDAY.INTL(I45,1,"0000110")</f>
        <v>46317</v>
      </c>
      <c r="I46" s="29">
        <f t="shared" ref="I46" si="48">WORKDAY.INTL(H46,1,"0000110")</f>
        <v>46320</v>
      </c>
      <c r="J46" s="29"/>
      <c r="K46" s="29"/>
      <c r="L46" s="35">
        <v>0</v>
      </c>
      <c r="M46" s="35" t="str">
        <f t="shared" ca="1" si="36"/>
        <v>Not Started</v>
      </c>
      <c r="N46" s="34"/>
      <c r="O46" s="57"/>
      <c r="P46" s="58"/>
      <c r="Q46" s="58"/>
      <c r="R46" s="58"/>
      <c r="S46" s="58"/>
      <c r="T46" s="58"/>
      <c r="U46" s="58"/>
      <c r="V46" s="59"/>
      <c r="W46" s="291" t="s">
        <v>115</v>
      </c>
      <c r="Z46" s="23" t="s">
        <v>65</v>
      </c>
      <c r="AA46" s="231" t="s">
        <v>75</v>
      </c>
    </row>
    <row r="47" spans="2:31" s="274" customFormat="1" ht="4.5" customHeight="1" thickBot="1">
      <c r="B47" s="292"/>
      <c r="C47" s="292"/>
      <c r="D47" s="292" t="s">
        <v>195</v>
      </c>
      <c r="E47" s="293"/>
      <c r="F47" s="292"/>
      <c r="G47" s="292"/>
      <c r="H47" s="292"/>
      <c r="I47" s="292"/>
      <c r="J47" s="292"/>
      <c r="K47" s="292"/>
      <c r="L47" s="294"/>
      <c r="M47" s="294"/>
      <c r="N47" s="292"/>
      <c r="O47" s="292"/>
      <c r="P47" s="292"/>
      <c r="Q47" s="292"/>
      <c r="R47" s="292"/>
      <c r="S47" s="292"/>
      <c r="T47" s="292"/>
      <c r="U47" s="292"/>
      <c r="V47" s="292"/>
      <c r="W47" s="295"/>
      <c r="Z47" s="127"/>
      <c r="AA47" s="275" t="s">
        <v>76</v>
      </c>
    </row>
    <row r="48" spans="2:31" ht="45" customHeight="1">
      <c r="B48" s="461" t="s">
        <v>237</v>
      </c>
      <c r="C48" s="296" t="s">
        <v>86</v>
      </c>
      <c r="D48" s="21" t="s">
        <v>105</v>
      </c>
      <c r="E48" s="22">
        <f>NETWORKDAYS.INTL(F48,G48,"0000100",$AC$5:$AC$12)</f>
        <v>8</v>
      </c>
      <c r="F48" s="23">
        <f>WORKDAY.INTL(G44,1,"0000100",$AC$5:$AC$11)</f>
        <v>46312</v>
      </c>
      <c r="G48" s="23">
        <f>WORKDAY.INTL(F48,7,"0000100",$AC$5:$AC$11)</f>
        <v>46320</v>
      </c>
      <c r="H48" s="23">
        <f>WORKDAY.INTL(I44,1,"0000100",$AC$5:$AC$11)</f>
        <v>46312</v>
      </c>
      <c r="I48" s="23">
        <f>WORKDAY.INTL(H48,7,"0000100",$AC$5:$AC$11)</f>
        <v>46320</v>
      </c>
      <c r="J48" s="23"/>
      <c r="K48" s="23"/>
      <c r="L48" s="24">
        <v>0</v>
      </c>
      <c r="M48" s="24" t="str">
        <f t="shared" ca="1" si="36"/>
        <v>Not Started</v>
      </c>
      <c r="N48" s="21"/>
      <c r="O48" s="297"/>
      <c r="P48" s="298"/>
      <c r="Q48" s="298"/>
      <c r="R48" s="298"/>
      <c r="S48" s="298"/>
      <c r="T48" s="298"/>
      <c r="U48" s="298"/>
      <c r="V48" s="299"/>
      <c r="W48" s="300"/>
      <c r="Z48" s="23" t="s">
        <v>62</v>
      </c>
      <c r="AA48" s="231" t="s">
        <v>76</v>
      </c>
    </row>
    <row r="49" spans="2:31" ht="45" customHeight="1">
      <c r="B49" s="462"/>
      <c r="C49" s="296" t="s">
        <v>86</v>
      </c>
      <c r="D49" s="21" t="s">
        <v>107</v>
      </c>
      <c r="E49" s="22">
        <f>NETWORKDAYS.INTL(F49,G49,"0000100",$AC$5:$AC$12)</f>
        <v>3</v>
      </c>
      <c r="F49" s="23">
        <f>WORKDAY.INTL(G48,1,"0000100",$AC$5:$AC$11)</f>
        <v>46321</v>
      </c>
      <c r="G49" s="23">
        <f>WORKDAY.INTL(F49,2,"0000100",$AC$5:$AC$11)</f>
        <v>46323</v>
      </c>
      <c r="H49" s="23">
        <f>WORKDAY.INTL(I48,1,"0000100",$AC$5:$AC$11)</f>
        <v>46321</v>
      </c>
      <c r="I49" s="23">
        <f>WORKDAY.INTL(H49,2,"0000100",$AC$5:$AC$11)</f>
        <v>46323</v>
      </c>
      <c r="J49" s="23"/>
      <c r="K49" s="23"/>
      <c r="L49" s="24">
        <v>0</v>
      </c>
      <c r="M49" s="24" t="str">
        <f t="shared" ca="1" si="36"/>
        <v>Not Started</v>
      </c>
      <c r="N49" s="21"/>
      <c r="O49" s="297"/>
      <c r="P49" s="298"/>
      <c r="Q49" s="298"/>
      <c r="R49" s="298"/>
      <c r="S49" s="298"/>
      <c r="T49" s="298"/>
      <c r="U49" s="298"/>
      <c r="V49" s="299"/>
      <c r="W49" s="300"/>
      <c r="Z49" s="23" t="s">
        <v>63</v>
      </c>
      <c r="AA49" s="231" t="s">
        <v>76</v>
      </c>
    </row>
    <row r="50" spans="2:31" ht="45" customHeight="1">
      <c r="B50" s="462"/>
      <c r="C50" s="296" t="s">
        <v>86</v>
      </c>
      <c r="D50" s="21" t="s">
        <v>111</v>
      </c>
      <c r="E50" s="22">
        <f>NETWORKDAYS.INTL(F50,G50,"0000110",$AC$5:$AC$12)</f>
        <v>5</v>
      </c>
      <c r="F50" s="23">
        <f>MAX(WORKDAY.INTL(G49,1,"0000100",$AF$5:$AF$10),WORKDAY.INTL(G45,1,"0000100",$AF$5:$AF$10))</f>
        <v>46324</v>
      </c>
      <c r="G50" s="23">
        <f t="shared" ref="G50" si="49">WORKDAY.INTL(F50,4,"0000110")</f>
        <v>46330</v>
      </c>
      <c r="H50" s="23">
        <f>MAX(WORKDAY.INTL(I49,1,"0000100",$AF$5:$AF$10),WORKDAY.INTL(I45,1,"0000100",$AF$5:$AF$10))</f>
        <v>46324</v>
      </c>
      <c r="I50" s="23">
        <f t="shared" ref="I50" si="50">WORKDAY.INTL(H50,4,"0000110")</f>
        <v>46330</v>
      </c>
      <c r="J50" s="23"/>
      <c r="K50" s="23"/>
      <c r="L50" s="24">
        <v>0</v>
      </c>
      <c r="M50" s="24" t="str">
        <f t="shared" ca="1" si="36"/>
        <v>Not Started</v>
      </c>
      <c r="N50" s="21"/>
      <c r="O50" s="297"/>
      <c r="P50" s="298"/>
      <c r="Q50" s="298"/>
      <c r="R50" s="298"/>
      <c r="S50" s="298"/>
      <c r="T50" s="298"/>
      <c r="U50" s="298"/>
      <c r="V50" s="299"/>
      <c r="W50" s="300" t="s">
        <v>212</v>
      </c>
      <c r="Z50" s="23" t="s">
        <v>64</v>
      </c>
      <c r="AA50" s="231" t="s">
        <v>76</v>
      </c>
    </row>
    <row r="51" spans="2:31" ht="45" customHeight="1" thickBot="1">
      <c r="B51" s="462"/>
      <c r="C51" s="296" t="s">
        <v>86</v>
      </c>
      <c r="D51" s="26" t="s">
        <v>114</v>
      </c>
      <c r="E51" s="22">
        <f>NETWORKDAYS.INTL(F51,G51,"0000110",$AC$5:$AC$12)</f>
        <v>2</v>
      </c>
      <c r="F51" s="23">
        <f t="shared" ref="F51" si="51">WORKDAY.INTL(G50,1,"0000110")</f>
        <v>46331</v>
      </c>
      <c r="G51" s="23">
        <f t="shared" ref="G51" si="52">WORKDAY.INTL(F51,1,"0000110")</f>
        <v>46334</v>
      </c>
      <c r="H51" s="23">
        <f t="shared" ref="H51" si="53">WORKDAY.INTL(I50,1,"0000110")</f>
        <v>46331</v>
      </c>
      <c r="I51" s="23">
        <f t="shared" ref="I51" si="54">WORKDAY.INTL(H51,1,"0000110")</f>
        <v>46334</v>
      </c>
      <c r="J51" s="23"/>
      <c r="K51" s="23"/>
      <c r="L51" s="24">
        <v>0</v>
      </c>
      <c r="M51" s="24" t="str">
        <f t="shared" ca="1" si="36"/>
        <v>Not Started</v>
      </c>
      <c r="N51" s="26"/>
      <c r="O51" s="297"/>
      <c r="P51" s="301"/>
      <c r="Q51" s="301"/>
      <c r="R51" s="301"/>
      <c r="S51" s="301"/>
      <c r="T51" s="301"/>
      <c r="U51" s="301"/>
      <c r="V51" s="302"/>
      <c r="W51" s="300" t="s">
        <v>115</v>
      </c>
      <c r="Z51" s="23" t="s">
        <v>65</v>
      </c>
      <c r="AA51" s="231" t="s">
        <v>76</v>
      </c>
    </row>
    <row r="52" spans="2:31" s="274" customFormat="1" ht="4.5" customHeight="1" thickBot="1">
      <c r="B52" s="292"/>
      <c r="C52" s="292"/>
      <c r="D52" s="292" t="s">
        <v>195</v>
      </c>
      <c r="E52" s="293"/>
      <c r="F52" s="292"/>
      <c r="G52" s="292"/>
      <c r="H52" s="292"/>
      <c r="I52" s="292"/>
      <c r="J52" s="292"/>
      <c r="K52" s="292"/>
      <c r="L52" s="294">
        <v>0</v>
      </c>
      <c r="M52" s="294"/>
      <c r="N52" s="292"/>
      <c r="O52" s="292"/>
      <c r="P52" s="292"/>
      <c r="Q52" s="292"/>
      <c r="R52" s="292"/>
      <c r="S52" s="292"/>
      <c r="T52" s="292"/>
      <c r="U52" s="292"/>
      <c r="V52" s="292"/>
      <c r="W52" s="295"/>
      <c r="X52" s="334"/>
      <c r="Z52" s="126"/>
      <c r="AA52" s="274" t="s">
        <v>77</v>
      </c>
      <c r="AD52" s="230"/>
    </row>
    <row r="53" spans="2:31" ht="45" customHeight="1">
      <c r="B53" s="459" t="s">
        <v>238</v>
      </c>
      <c r="C53" s="285" t="s">
        <v>86</v>
      </c>
      <c r="D53" s="27" t="s">
        <v>105</v>
      </c>
      <c r="E53" s="28">
        <f>NETWORKDAYS.INTL(F53,G53,"0000100",$AC$5:$AC$12)</f>
        <v>8</v>
      </c>
      <c r="F53" s="29">
        <f>WORKDAY.INTL(G49,1,"0000100",$AC$5:$AC$11)</f>
        <v>46324</v>
      </c>
      <c r="G53" s="29">
        <f>WORKDAY.INTL(F53,7,"0000100",$AC$5:$AC$11)</f>
        <v>46333</v>
      </c>
      <c r="H53" s="29">
        <f>WORKDAY.INTL(I49,1,"0000100",$AC$5:$AC$11)</f>
        <v>46324</v>
      </c>
      <c r="I53" s="30">
        <f>WORKDAY.INTL(H53,7,"0000100",$AC$5:$AC$11)</f>
        <v>46333</v>
      </c>
      <c r="J53" s="29"/>
      <c r="K53" s="29"/>
      <c r="L53" s="31">
        <v>0</v>
      </c>
      <c r="M53" s="31" t="str">
        <f t="shared" ca="1" si="36"/>
        <v>Not Started</v>
      </c>
      <c r="N53" s="27"/>
      <c r="O53" s="57"/>
      <c r="P53" s="286"/>
      <c r="Q53" s="286"/>
      <c r="R53" s="286"/>
      <c r="S53" s="286"/>
      <c r="T53" s="286"/>
      <c r="U53" s="286"/>
      <c r="V53" s="287"/>
      <c r="W53" s="288"/>
      <c r="Z53" s="23" t="s">
        <v>62</v>
      </c>
      <c r="AA53" s="231" t="s">
        <v>77</v>
      </c>
      <c r="AE53" s="276"/>
    </row>
    <row r="54" spans="2:31" ht="45" customHeight="1">
      <c r="B54" s="460"/>
      <c r="C54" s="285" t="s">
        <v>86</v>
      </c>
      <c r="D54" s="32" t="s">
        <v>107</v>
      </c>
      <c r="E54" s="33">
        <f>NETWORKDAYS.INTL(F54,G54,"0000100",$AC$5:$AC$12)</f>
        <v>3</v>
      </c>
      <c r="F54" s="29">
        <f>WORKDAY.INTL(G53,1,"0000100",$AC$5:$AC$11)</f>
        <v>46334</v>
      </c>
      <c r="G54" s="29">
        <f>WORKDAY.INTL(F54,2,"0000100",$AC$5:$AC$11)</f>
        <v>46336</v>
      </c>
      <c r="H54" s="29">
        <f>WORKDAY.INTL(I53,1,"0000100",$AC$5:$AC$11)</f>
        <v>46334</v>
      </c>
      <c r="I54" s="30">
        <f>WORKDAY.INTL(H54,2,"0000100",$AC$5:$AC$11)</f>
        <v>46336</v>
      </c>
      <c r="J54" s="29"/>
      <c r="K54" s="29"/>
      <c r="L54" s="31">
        <v>0</v>
      </c>
      <c r="M54" s="31" t="str">
        <f t="shared" ca="1" si="36"/>
        <v>Not Started</v>
      </c>
      <c r="N54" s="32"/>
      <c r="O54" s="57"/>
      <c r="P54" s="289"/>
      <c r="Q54" s="289"/>
      <c r="R54" s="289"/>
      <c r="S54" s="289"/>
      <c r="T54" s="289"/>
      <c r="U54" s="289"/>
      <c r="V54" s="290"/>
      <c r="W54" s="291"/>
      <c r="Z54" s="23" t="s">
        <v>63</v>
      </c>
      <c r="AA54" s="231" t="s">
        <v>77</v>
      </c>
    </row>
    <row r="55" spans="2:31" ht="45" customHeight="1">
      <c r="B55" s="460"/>
      <c r="C55" s="285" t="s">
        <v>86</v>
      </c>
      <c r="D55" s="34" t="s">
        <v>111</v>
      </c>
      <c r="E55" s="33">
        <f>NETWORKDAYS.INTL(F55,G55,"0000110",$AC$5:$AC$12)</f>
        <v>5</v>
      </c>
      <c r="F55" s="29">
        <f>MAX(WORKDAY.INTL(G54,1,"0000100",$AF$5:$AF$10),WORKDAY.INTL(G50,1,"0000100",$AF$5:$AF$10))</f>
        <v>46337</v>
      </c>
      <c r="G55" s="29">
        <f t="shared" ref="G55" si="55">WORKDAY.INTL(F55,4,"0000110")</f>
        <v>46343</v>
      </c>
      <c r="H55" s="29">
        <f>MAX(WORKDAY.INTL(I54,1,"0000100",$AF$5:$AF$10),WORKDAY.INTL(I50,1,"0000100",$AF$5:$AF$10))</f>
        <v>46337</v>
      </c>
      <c r="I55" s="29">
        <f t="shared" ref="I55" si="56">WORKDAY.INTL(H55,4,"0000110")</f>
        <v>46343</v>
      </c>
      <c r="J55" s="29"/>
      <c r="K55" s="29"/>
      <c r="L55" s="35">
        <v>0</v>
      </c>
      <c r="M55" s="35" t="str">
        <f t="shared" ca="1" si="36"/>
        <v>Not Started</v>
      </c>
      <c r="N55" s="34"/>
      <c r="O55" s="57"/>
      <c r="P55" s="58"/>
      <c r="Q55" s="58"/>
      <c r="R55" s="58"/>
      <c r="S55" s="58"/>
      <c r="T55" s="58"/>
      <c r="U55" s="58"/>
      <c r="V55" s="59"/>
      <c r="W55" s="291" t="s">
        <v>212</v>
      </c>
      <c r="Z55" s="23" t="s">
        <v>64</v>
      </c>
      <c r="AA55" s="231" t="s">
        <v>77</v>
      </c>
    </row>
    <row r="56" spans="2:31" ht="45" customHeight="1" thickBot="1">
      <c r="B56" s="460"/>
      <c r="C56" s="285" t="s">
        <v>86</v>
      </c>
      <c r="D56" s="34" t="s">
        <v>114</v>
      </c>
      <c r="E56" s="33">
        <f>NETWORKDAYS.INTL(F56,G56,"0000110",$AC$5:$AC$12)</f>
        <v>2</v>
      </c>
      <c r="F56" s="29">
        <f t="shared" ref="F56" si="57">WORKDAY.INTL(G55,1,"0000110")</f>
        <v>46344</v>
      </c>
      <c r="G56" s="29">
        <f t="shared" ref="G56" si="58">WORKDAY.INTL(F56,1,"0000110")</f>
        <v>46345</v>
      </c>
      <c r="H56" s="29">
        <f t="shared" ref="H56" si="59">WORKDAY.INTL(I55,1,"0000110")</f>
        <v>46344</v>
      </c>
      <c r="I56" s="29">
        <f t="shared" ref="I56" si="60">WORKDAY.INTL(H56,1,"0000110")</f>
        <v>46345</v>
      </c>
      <c r="J56" s="29"/>
      <c r="K56" s="29"/>
      <c r="L56" s="35">
        <v>0</v>
      </c>
      <c r="M56" s="35" t="str">
        <f t="shared" ca="1" si="36"/>
        <v>Not Started</v>
      </c>
      <c r="N56" s="34"/>
      <c r="O56" s="57"/>
      <c r="P56" s="58"/>
      <c r="Q56" s="58"/>
      <c r="R56" s="58"/>
      <c r="S56" s="58"/>
      <c r="T56" s="58"/>
      <c r="U56" s="58"/>
      <c r="V56" s="59"/>
      <c r="W56" s="291" t="s">
        <v>115</v>
      </c>
      <c r="Z56" s="23" t="s">
        <v>65</v>
      </c>
      <c r="AA56" s="231" t="s">
        <v>77</v>
      </c>
    </row>
    <row r="57" spans="2:31" s="274" customFormat="1" ht="4.5" customHeight="1" thickBot="1">
      <c r="B57" s="292"/>
      <c r="C57" s="292"/>
      <c r="D57" s="292"/>
      <c r="E57" s="293"/>
      <c r="F57" s="292"/>
      <c r="G57" s="292"/>
      <c r="H57" s="292"/>
      <c r="I57" s="292"/>
      <c r="J57" s="292"/>
      <c r="K57" s="292"/>
      <c r="L57" s="294">
        <v>0</v>
      </c>
      <c r="M57" s="294"/>
      <c r="N57" s="292"/>
      <c r="O57" s="292"/>
      <c r="P57" s="292"/>
      <c r="Q57" s="292"/>
      <c r="R57" s="292"/>
      <c r="S57" s="292"/>
      <c r="T57" s="292"/>
      <c r="U57" s="292"/>
      <c r="V57" s="292"/>
      <c r="W57" s="295"/>
      <c r="X57" s="334"/>
      <c r="Z57" s="126"/>
      <c r="AD57" s="230"/>
    </row>
    <row r="58" spans="2:31" ht="45" customHeight="1">
      <c r="B58" s="461" t="s">
        <v>125</v>
      </c>
      <c r="C58" s="296" t="s">
        <v>125</v>
      </c>
      <c r="D58" s="21" t="s">
        <v>126</v>
      </c>
      <c r="E58" s="22">
        <f>NETWORKDAYS.INTL(F58,G58,"0000100",$AD$5:$AD$11)</f>
        <v>19</v>
      </c>
      <c r="F58" s="23">
        <f>WORKDAY.INTL(G59,1,"0000100",$AD$5:$AD$11)</f>
        <v>46275</v>
      </c>
      <c r="G58" s="23">
        <f>WORKDAY.INTL(F58,18,"0000100",$AD$5:$AD$11)</f>
        <v>46296</v>
      </c>
      <c r="H58" s="23">
        <f>WORKDAY.INTL(I59,1,"0000100",$AD$5:$AD$11)</f>
        <v>46275</v>
      </c>
      <c r="I58" s="23">
        <f>WORKDAY.INTL(H58,18,"0000100",$AD$5:$AD$11)</f>
        <v>46296</v>
      </c>
      <c r="J58" s="23"/>
      <c r="K58" s="23"/>
      <c r="L58" s="24">
        <v>0</v>
      </c>
      <c r="M58" s="24" t="str">
        <f t="shared" ca="1" si="36"/>
        <v>Not Started</v>
      </c>
      <c r="N58" s="21"/>
      <c r="O58" s="297"/>
      <c r="P58" s="299"/>
      <c r="Q58" s="97"/>
      <c r="R58" s="97"/>
      <c r="S58" s="97"/>
      <c r="T58" s="97"/>
      <c r="U58" s="97"/>
      <c r="V58" s="97"/>
      <c r="W58" s="300" t="s">
        <v>222</v>
      </c>
      <c r="X58" s="229"/>
      <c r="Z58" s="23" t="s">
        <v>125</v>
      </c>
    </row>
    <row r="59" spans="2:31" ht="60">
      <c r="B59" s="462"/>
      <c r="C59" s="296" t="s">
        <v>125</v>
      </c>
      <c r="D59" s="21" t="s">
        <v>127</v>
      </c>
      <c r="E59" s="22">
        <f>NETWORKDAYS.INTL(F59,G59,"0000100",$AD$5:$AD$11)</f>
        <v>19</v>
      </c>
      <c r="F59" s="23">
        <f>WORKDAY.INTL(F77,25,"0000100",$AD$5:$AD$11)</f>
        <v>46253</v>
      </c>
      <c r="G59" s="23">
        <f>WORKDAY.INTL(F59,18,"0000100",$AD$5:$AD$11)</f>
        <v>46274</v>
      </c>
      <c r="H59" s="23">
        <f>WORKDAY.INTL(H77,25,"0000100",$AD$5:$AD$11)</f>
        <v>46253</v>
      </c>
      <c r="I59" s="23">
        <f>WORKDAY.INTL(H59,18,"0000100",$AD$5:$AD$11)</f>
        <v>46274</v>
      </c>
      <c r="J59" s="23"/>
      <c r="K59" s="23"/>
      <c r="L59" s="24">
        <v>0</v>
      </c>
      <c r="M59" s="24" t="str">
        <f t="shared" ca="1" si="36"/>
        <v>Not Started</v>
      </c>
      <c r="N59" s="21"/>
      <c r="O59" s="297"/>
      <c r="P59" s="299"/>
      <c r="Q59" s="97"/>
      <c r="R59" s="97"/>
      <c r="S59" s="97"/>
      <c r="T59" s="97"/>
      <c r="U59" s="97"/>
      <c r="V59" s="97"/>
      <c r="W59" s="300" t="s">
        <v>30</v>
      </c>
      <c r="X59" s="229"/>
      <c r="Z59" s="23" t="s">
        <v>125</v>
      </c>
    </row>
    <row r="60" spans="2:31" ht="60.75" thickBot="1">
      <c r="B60" s="470"/>
      <c r="C60" s="296" t="s">
        <v>125</v>
      </c>
      <c r="D60" s="21" t="s">
        <v>128</v>
      </c>
      <c r="E60" s="22">
        <f>NETWORKDAYS.INTL(F60,G60,"0000100",$AD$5:$AD$11)</f>
        <v>65</v>
      </c>
      <c r="F60" s="23">
        <f>WORKDAY.INTL(F77,25,"0000100",$AD$5:$AD$11)</f>
        <v>46253</v>
      </c>
      <c r="G60" s="23">
        <f t="shared" ref="G60" si="61">WORKDAY.INTL(F60,64,"0000100",$AD$5:$AD$11)</f>
        <v>46328</v>
      </c>
      <c r="H60" s="23">
        <f>WORKDAY.INTL(H77,25,"0000100",$AD$5:$AD$11)</f>
        <v>46253</v>
      </c>
      <c r="I60" s="23">
        <f t="shared" ref="I60" si="62">WORKDAY.INTL(H60,64,"0000100",$AD$5:$AD$11)</f>
        <v>46328</v>
      </c>
      <c r="J60" s="23"/>
      <c r="K60" s="23"/>
      <c r="L60" s="24">
        <v>0</v>
      </c>
      <c r="M60" s="24" t="str">
        <f t="shared" ca="1" si="36"/>
        <v>Not Started</v>
      </c>
      <c r="N60" s="21"/>
      <c r="O60" s="297"/>
      <c r="P60" s="298"/>
      <c r="Q60" s="298"/>
      <c r="R60" s="298"/>
      <c r="S60" s="298"/>
      <c r="T60" s="298"/>
      <c r="U60" s="298"/>
      <c r="V60" s="299"/>
      <c r="W60" s="300" t="s">
        <v>223</v>
      </c>
      <c r="X60" s="229"/>
      <c r="Z60" s="23" t="s">
        <v>125</v>
      </c>
    </row>
    <row r="61" spans="2:31" s="274" customFormat="1" ht="4.5" customHeight="1" thickBot="1">
      <c r="B61" s="292"/>
      <c r="C61" s="292"/>
      <c r="D61" s="292"/>
      <c r="E61" s="293"/>
      <c r="F61" s="292"/>
      <c r="G61" s="292"/>
      <c r="H61" s="292"/>
      <c r="I61" s="292"/>
      <c r="J61" s="292"/>
      <c r="K61" s="292"/>
      <c r="L61" s="294">
        <v>0</v>
      </c>
      <c r="M61" s="294"/>
      <c r="N61" s="292"/>
      <c r="O61" s="292"/>
      <c r="P61" s="292"/>
      <c r="Q61" s="292"/>
      <c r="R61" s="292"/>
      <c r="S61" s="292"/>
      <c r="T61" s="292"/>
      <c r="U61" s="292"/>
      <c r="V61" s="292"/>
      <c r="W61" s="295"/>
      <c r="Z61" s="275"/>
      <c r="AA61" s="275"/>
    </row>
    <row r="62" spans="2:31" s="274" customFormat="1" ht="85.5" customHeight="1" thickBot="1">
      <c r="B62" s="303" t="s">
        <v>130</v>
      </c>
      <c r="C62" s="304" t="s">
        <v>131</v>
      </c>
      <c r="D62" s="42" t="s">
        <v>224</v>
      </c>
      <c r="E62" s="43">
        <f>NETWORKDAYS.INTL(F62,G62,"0000110",$AD$5:$AD$11)</f>
        <v>3</v>
      </c>
      <c r="F62" s="44">
        <f>MAX(WORKDAY.INTL(G56,1,"0000110"),WORKDAY.INTL(G70,1,"0000110"),WORKDAY.INTL(G68,1,"0000110"))</f>
        <v>46355</v>
      </c>
      <c r="G62" s="44">
        <f t="shared" ref="G62" si="63">WORKDAY.INTL(F62,2,"0000110")</f>
        <v>46357</v>
      </c>
      <c r="H62" s="44">
        <f>MAX(WORKDAY.INTL(I56,1,"0000110"),WORKDAY.INTL(I70,1,"0000110"),WORKDAY.INTL(I68,1,"0000110"))</f>
        <v>46355</v>
      </c>
      <c r="I62" s="44">
        <f t="shared" ref="I62" si="64">WORKDAY.INTL(H62,2,"0000110")</f>
        <v>46357</v>
      </c>
      <c r="J62" s="44"/>
      <c r="K62" s="44"/>
      <c r="L62" s="45">
        <v>0</v>
      </c>
      <c r="M62" s="45" t="str">
        <f t="shared" ca="1" si="36"/>
        <v>Not Started</v>
      </c>
      <c r="N62" s="42"/>
      <c r="O62" s="46"/>
      <c r="P62" s="47"/>
      <c r="Q62" s="47"/>
      <c r="R62" s="47"/>
      <c r="S62" s="47"/>
      <c r="T62" s="47"/>
      <c r="U62" s="47"/>
      <c r="V62" s="48"/>
      <c r="W62" s="305" t="s">
        <v>180</v>
      </c>
      <c r="Z62" s="23" t="s">
        <v>134</v>
      </c>
      <c r="AA62" s="275"/>
    </row>
    <row r="63" spans="2:31" s="274" customFormat="1" ht="4.5" customHeight="1" thickBot="1">
      <c r="B63" s="270"/>
      <c r="C63" s="270"/>
      <c r="D63" s="270"/>
      <c r="E63" s="271"/>
      <c r="F63" s="270"/>
      <c r="G63" s="270"/>
      <c r="H63" s="270"/>
      <c r="I63" s="270"/>
      <c r="J63" s="270"/>
      <c r="K63" s="270"/>
      <c r="L63" s="272">
        <v>0</v>
      </c>
      <c r="M63" s="272"/>
      <c r="N63" s="270"/>
      <c r="O63" s="270"/>
      <c r="P63" s="270"/>
      <c r="Q63" s="270"/>
      <c r="R63" s="270"/>
      <c r="S63" s="270"/>
      <c r="T63" s="270"/>
      <c r="U63" s="270"/>
      <c r="V63" s="270"/>
      <c r="W63" s="273"/>
      <c r="Z63" s="23"/>
      <c r="AA63" s="231"/>
    </row>
    <row r="64" spans="2:31" ht="28.9" customHeight="1">
      <c r="B64" s="471" t="s">
        <v>34</v>
      </c>
      <c r="C64" s="306" t="s">
        <v>135</v>
      </c>
      <c r="D64" s="49" t="s">
        <v>36</v>
      </c>
      <c r="E64" s="50">
        <f>NETWORKDAYS.INTL(F64,G64,"0000110",$AC$5:$AC$12)</f>
        <v>3</v>
      </c>
      <c r="F64" s="51">
        <f>MAX(WORKDAY.INTL(G54,1,"0000110",$AC$5:$AC$11),WORKDAY.INTL(G59,1,"0000110",$AC$5:$AC$11))</f>
        <v>46337</v>
      </c>
      <c r="G64" s="51">
        <f>WORKDAY.INTL(F64,2,"0000110",$AC$5:$AC$11)</f>
        <v>46341</v>
      </c>
      <c r="H64" s="51">
        <f>MAX(WORKDAY.INTL(I54,1,"0000110",$AC$5:$AC$11),WORKDAY.INTL(I59,1,"0000110",$AC$5:$AC$11))</f>
        <v>46337</v>
      </c>
      <c r="I64" s="51">
        <f>WORKDAY.INTL(H64,2,"0000110",$AC$5:$AC$11)</f>
        <v>46341</v>
      </c>
      <c r="J64" s="51"/>
      <c r="K64" s="51"/>
      <c r="L64" s="52">
        <v>0</v>
      </c>
      <c r="M64" s="52" t="str">
        <f t="shared" ca="1" si="36"/>
        <v>Not Started</v>
      </c>
      <c r="N64" s="49"/>
      <c r="O64" s="53"/>
      <c r="P64" s="54"/>
      <c r="Q64" s="54"/>
      <c r="R64" s="54"/>
      <c r="S64" s="54"/>
      <c r="T64" s="54"/>
      <c r="U64" s="54"/>
      <c r="V64" s="55"/>
      <c r="W64" s="56"/>
      <c r="X64" s="229"/>
      <c r="Z64" s="23" t="s">
        <v>34</v>
      </c>
    </row>
    <row r="65" spans="2:28" ht="28.9" customHeight="1">
      <c r="B65" s="472"/>
      <c r="C65" s="307" t="s">
        <v>135</v>
      </c>
      <c r="D65" s="34" t="s">
        <v>38</v>
      </c>
      <c r="E65" s="33">
        <f>NETWORKDAYS.INTL(F65,G65,"0000110",$AC$5:$AC$12)</f>
        <v>5</v>
      </c>
      <c r="F65" s="29">
        <f>WORKDAY.INTL(G64,1,"0000110",$AC$5:$AC$11)</f>
        <v>46342</v>
      </c>
      <c r="G65" s="29">
        <f>WORKDAY.INTL(F65,4,"0000110",$AC$5:$AC$11)</f>
        <v>46348</v>
      </c>
      <c r="H65" s="29">
        <f>WORKDAY.INTL(I64,1,"0000110",$AC$5:$AC$11)</f>
        <v>46342</v>
      </c>
      <c r="I65" s="29">
        <f>WORKDAY.INTL(H65,4,"0000110",$AC$5:$AC$11)</f>
        <v>46348</v>
      </c>
      <c r="J65" s="29"/>
      <c r="K65" s="29"/>
      <c r="L65" s="35">
        <v>0</v>
      </c>
      <c r="M65" s="35" t="str">
        <f t="shared" ca="1" si="36"/>
        <v>Not Started</v>
      </c>
      <c r="N65" s="34"/>
      <c r="O65" s="57"/>
      <c r="P65" s="58"/>
      <c r="Q65" s="58"/>
      <c r="R65" s="58"/>
      <c r="S65" s="58"/>
      <c r="T65" s="58"/>
      <c r="U65" s="58"/>
      <c r="V65" s="59"/>
      <c r="W65" s="60"/>
      <c r="X65" s="229"/>
      <c r="Z65" s="23" t="s">
        <v>34</v>
      </c>
      <c r="AA65" s="274"/>
    </row>
    <row r="66" spans="2:28" ht="28.9" customHeight="1">
      <c r="B66" s="472"/>
      <c r="C66" s="307" t="s">
        <v>135</v>
      </c>
      <c r="D66" s="34" t="s">
        <v>43</v>
      </c>
      <c r="E66" s="33">
        <f>NETWORKDAYS.INTL(F66,G66,"0000110",$AC$5:$AC$12)</f>
        <v>2</v>
      </c>
      <c r="F66" s="29">
        <f>WORKDAY.INTL(G65,1,"0000110",$AC$5:$AC$11)</f>
        <v>46349</v>
      </c>
      <c r="G66" s="29">
        <f>WORKDAY.INTL(F66,1,"0000110",$AC$5:$AC$11)</f>
        <v>46350</v>
      </c>
      <c r="H66" s="29">
        <f>WORKDAY.INTL(I65,1,"0000110",$AC$5:$AC$11)</f>
        <v>46349</v>
      </c>
      <c r="I66" s="29">
        <f>WORKDAY.INTL(H66,1,"0000110",$AC$5:$AC$11)</f>
        <v>46350</v>
      </c>
      <c r="J66" s="29"/>
      <c r="K66" s="29"/>
      <c r="L66" s="35">
        <v>0</v>
      </c>
      <c r="M66" s="35" t="str">
        <f t="shared" ca="1" si="36"/>
        <v>Not Started</v>
      </c>
      <c r="N66" s="34"/>
      <c r="O66" s="57"/>
      <c r="P66" s="58"/>
      <c r="Q66" s="58"/>
      <c r="R66" s="58"/>
      <c r="S66" s="58"/>
      <c r="T66" s="58"/>
      <c r="U66" s="58"/>
      <c r="V66" s="59"/>
      <c r="W66" s="60"/>
      <c r="X66" s="229"/>
      <c r="Z66" s="23" t="s">
        <v>34</v>
      </c>
    </row>
    <row r="67" spans="2:28" ht="28.9" customHeight="1">
      <c r="B67" s="472"/>
      <c r="C67" s="307" t="s">
        <v>135</v>
      </c>
      <c r="D67" s="34" t="s">
        <v>44</v>
      </c>
      <c r="E67" s="33">
        <f>NETWORKDAYS.INTL(F67,G67,"0000110",$AC$5:$AC$12)</f>
        <v>1</v>
      </c>
      <c r="F67" s="29">
        <f>WORKDAY.INTL(G66,1,"0000110",$AC$5:$AC$11)</f>
        <v>46351</v>
      </c>
      <c r="G67" s="29">
        <f>WORKDAY.INTL(F67,0,"0000110",$AC$5:$AC$11)</f>
        <v>46351</v>
      </c>
      <c r="H67" s="29">
        <f>WORKDAY.INTL(I66,1,"0000110",$AC$5:$AC$11)</f>
        <v>46351</v>
      </c>
      <c r="I67" s="29">
        <f>WORKDAY.INTL(H67,0,"0000110",$AC$5:$AC$11)</f>
        <v>46351</v>
      </c>
      <c r="J67" s="29"/>
      <c r="K67" s="29"/>
      <c r="L67" s="35">
        <v>0</v>
      </c>
      <c r="M67" s="35" t="str">
        <f t="shared" ca="1" si="36"/>
        <v>Not Started</v>
      </c>
      <c r="N67" s="34"/>
      <c r="O67" s="57"/>
      <c r="P67" s="58"/>
      <c r="Q67" s="58"/>
      <c r="R67" s="58"/>
      <c r="S67" s="58"/>
      <c r="T67" s="58"/>
      <c r="U67" s="58"/>
      <c r="V67" s="59"/>
      <c r="W67" s="60"/>
      <c r="X67" s="229"/>
      <c r="Z67" s="23" t="s">
        <v>34</v>
      </c>
    </row>
    <row r="68" spans="2:28" ht="28.9" customHeight="1" thickBot="1">
      <c r="B68" s="473"/>
      <c r="C68" s="308" t="s">
        <v>135</v>
      </c>
      <c r="D68" s="61" t="s">
        <v>46</v>
      </c>
      <c r="E68" s="62">
        <f>NETWORKDAYS.INTL(F68,G68,"0000110",$AC$5:$AC$12)</f>
        <v>1</v>
      </c>
      <c r="F68" s="63">
        <f>WORKDAY.INTL(G67,1,"0000110",$AC$5:$AC$11)</f>
        <v>46352</v>
      </c>
      <c r="G68" s="63">
        <f>WORKDAY.INTL(F68,0,"0000110",$AC$5:$AC$11)</f>
        <v>46352</v>
      </c>
      <c r="H68" s="63">
        <f>WORKDAY.INTL(I67,1,"0000110",$AC$5:$AC$11)</f>
        <v>46352</v>
      </c>
      <c r="I68" s="63">
        <f>WORKDAY.INTL(H68,0,"0000110",$AC$5:$AC$11)</f>
        <v>46352</v>
      </c>
      <c r="J68" s="63"/>
      <c r="K68" s="63"/>
      <c r="L68" s="64">
        <v>0</v>
      </c>
      <c r="M68" s="64" t="str">
        <f t="shared" ca="1" si="36"/>
        <v>Not Started</v>
      </c>
      <c r="N68" s="61"/>
      <c r="O68" s="65"/>
      <c r="P68" s="66"/>
      <c r="Q68" s="66"/>
      <c r="R68" s="66"/>
      <c r="S68" s="66"/>
      <c r="T68" s="66"/>
      <c r="U68" s="66"/>
      <c r="V68" s="67"/>
      <c r="W68" s="68"/>
      <c r="X68" s="229"/>
      <c r="Z68" s="23" t="s">
        <v>34</v>
      </c>
    </row>
    <row r="69" spans="2:28" s="274" customFormat="1" ht="4.5" customHeight="1" thickBot="1">
      <c r="B69" s="292"/>
      <c r="C69" s="292"/>
      <c r="D69" s="292"/>
      <c r="E69" s="293"/>
      <c r="F69" s="292"/>
      <c r="G69" s="292"/>
      <c r="H69" s="292"/>
      <c r="I69" s="292"/>
      <c r="J69" s="292"/>
      <c r="K69" s="292"/>
      <c r="L69" s="294">
        <v>0</v>
      </c>
      <c r="M69" s="294"/>
      <c r="N69" s="292"/>
      <c r="O69" s="292"/>
      <c r="P69" s="292"/>
      <c r="Q69" s="292"/>
      <c r="R69" s="292"/>
      <c r="S69" s="292"/>
      <c r="T69" s="292"/>
      <c r="U69" s="292"/>
      <c r="V69" s="292"/>
      <c r="W69" s="295"/>
    </row>
    <row r="70" spans="2:28" ht="34.5" customHeight="1">
      <c r="B70" s="463" t="s">
        <v>136</v>
      </c>
      <c r="C70" s="244" t="s">
        <v>136</v>
      </c>
      <c r="D70" s="69" t="s">
        <v>47</v>
      </c>
      <c r="E70" s="70">
        <f>NETWORKDAYS.INTL(F70,G70,"0000110",$AD$5:$AD$11)</f>
        <v>31</v>
      </c>
      <c r="F70" s="71">
        <v>46249</v>
      </c>
      <c r="G70" s="71">
        <f>WORKDAY.INTL(F70,31,"0000110",$AD$5:$AD$10)</f>
        <v>46292</v>
      </c>
      <c r="H70" s="71">
        <v>46249</v>
      </c>
      <c r="I70" s="71">
        <f>WORKDAY.INTL(H70,31,"0000110",$AD$5:$AD$10)</f>
        <v>46292</v>
      </c>
      <c r="J70" s="71"/>
      <c r="K70" s="71"/>
      <c r="L70" s="72">
        <v>0</v>
      </c>
      <c r="M70" s="72" t="str">
        <f t="shared" ref="M70:M87" ca="1" si="65">IF(L70=100%,"Completed",IF(AND(OR(L70="",L70=0),F70&gt;TODAY()),"Not Started",IF(AND(OR(L70="",L70=0),F70&lt;=TODAY()),"Delayed",IF(AND(L70&gt;0,L70&lt;100%,G70&lt;TODAY()),"Delayed",IF(AND(L70&gt;0,L70&lt;100%,G70&gt;=TODAY()),"In Progress","")))))</f>
        <v>Not Started</v>
      </c>
      <c r="N70" s="69"/>
      <c r="O70" s="227"/>
      <c r="P70" s="69"/>
      <c r="Q70" s="69"/>
      <c r="R70" s="69"/>
      <c r="S70" s="69"/>
      <c r="T70" s="69"/>
      <c r="U70" s="69"/>
      <c r="V70" s="69"/>
      <c r="W70" s="228"/>
      <c r="X70" s="229"/>
      <c r="Z70" s="23" t="s">
        <v>136</v>
      </c>
    </row>
    <row r="71" spans="2:28" ht="45.75" customHeight="1" thickBot="1">
      <c r="B71" s="464"/>
      <c r="C71" s="309" t="s">
        <v>136</v>
      </c>
      <c r="D71" s="74" t="s">
        <v>138</v>
      </c>
      <c r="E71" s="75">
        <f>NETWORKDAYS.INTL(F71,G71,"0000110",$AD$5:$AD$11)</f>
        <v>30</v>
      </c>
      <c r="F71" s="76">
        <f t="shared" ref="F71" si="66">G62+7</f>
        <v>46364</v>
      </c>
      <c r="G71" s="76">
        <f>WORKDAY.INTL(F71,29,"0000110",$AD$5:$AD$10)</f>
        <v>46405</v>
      </c>
      <c r="H71" s="76">
        <f t="shared" ref="H71" si="67">I62+7</f>
        <v>46364</v>
      </c>
      <c r="I71" s="76">
        <f>WORKDAY.INTL(H71,29,"0000110",$AD$5:$AD$10)</f>
        <v>46405</v>
      </c>
      <c r="J71" s="76"/>
      <c r="K71" s="76"/>
      <c r="L71" s="77">
        <v>0</v>
      </c>
      <c r="M71" s="77" t="str">
        <f t="shared" ca="1" si="65"/>
        <v>Not Started</v>
      </c>
      <c r="N71" s="74"/>
      <c r="O71" s="279"/>
      <c r="P71" s="95"/>
      <c r="Q71" s="95"/>
      <c r="R71" s="95"/>
      <c r="S71" s="95"/>
      <c r="T71" s="95"/>
      <c r="U71" s="95"/>
      <c r="V71" s="95"/>
      <c r="W71" s="280"/>
      <c r="X71" s="229"/>
      <c r="Z71" s="23" t="s">
        <v>136</v>
      </c>
    </row>
    <row r="72" spans="2:28" s="274" customFormat="1" ht="4.5" customHeight="1" thickBot="1">
      <c r="B72" s="292"/>
      <c r="C72" s="292"/>
      <c r="D72" s="292"/>
      <c r="E72" s="293"/>
      <c r="F72" s="292"/>
      <c r="G72" s="292"/>
      <c r="H72" s="292"/>
      <c r="I72" s="292"/>
      <c r="J72" s="292"/>
      <c r="K72" s="292"/>
      <c r="L72" s="294">
        <v>0</v>
      </c>
      <c r="M72" s="294"/>
      <c r="N72" s="292"/>
      <c r="O72" s="292"/>
      <c r="P72" s="292"/>
      <c r="Q72" s="292"/>
      <c r="R72" s="292"/>
      <c r="S72" s="292"/>
      <c r="T72" s="292"/>
      <c r="U72" s="292"/>
      <c r="V72" s="292"/>
      <c r="W72" s="273"/>
      <c r="Z72" s="23"/>
      <c r="AA72" s="231"/>
      <c r="AB72" s="231"/>
    </row>
    <row r="73" spans="2:28" ht="104.25" customHeight="1">
      <c r="B73" s="465" t="s">
        <v>139</v>
      </c>
      <c r="C73" s="310" t="s">
        <v>139</v>
      </c>
      <c r="D73" s="79" t="s">
        <v>140</v>
      </c>
      <c r="E73" s="80">
        <f>NETWORKDAYS.INTL(F73,G73,"0000100",$AC$5:$AC$12)</f>
        <v>18</v>
      </c>
      <c r="F73" s="335">
        <v>46284</v>
      </c>
      <c r="G73" s="36">
        <f t="shared" ref="G73" si="68">F73+21</f>
        <v>46305</v>
      </c>
      <c r="H73" s="36">
        <v>46284</v>
      </c>
      <c r="I73" s="36">
        <f t="shared" ref="I73" si="69">H73+21</f>
        <v>46305</v>
      </c>
      <c r="J73" s="335"/>
      <c r="K73" s="36"/>
      <c r="L73" s="37">
        <v>0</v>
      </c>
      <c r="M73" s="37" t="str">
        <f t="shared" ca="1" si="65"/>
        <v>Not Started</v>
      </c>
      <c r="N73" s="79"/>
      <c r="O73" s="311"/>
      <c r="P73" s="79"/>
      <c r="Q73" s="79"/>
      <c r="R73" s="79"/>
      <c r="S73" s="79"/>
      <c r="T73" s="79"/>
      <c r="U73" s="79"/>
      <c r="V73" s="350"/>
      <c r="W73" s="336" t="s">
        <v>141</v>
      </c>
      <c r="X73" s="229"/>
      <c r="Z73" s="23" t="s">
        <v>139</v>
      </c>
      <c r="AA73" s="275"/>
      <c r="AB73" s="275"/>
    </row>
    <row r="74" spans="2:28" ht="36" customHeight="1" thickBot="1">
      <c r="B74" s="466"/>
      <c r="C74" s="313" t="s">
        <v>139</v>
      </c>
      <c r="D74" s="82" t="s">
        <v>51</v>
      </c>
      <c r="E74" s="83">
        <f>NETWORKDAYS.INTL(F74,G74,"0000110",$AC$5:$AC$12)</f>
        <v>11</v>
      </c>
      <c r="F74" s="40">
        <f>F82-23</f>
        <v>46328</v>
      </c>
      <c r="G74" s="40">
        <f t="shared" ref="G74" si="70">F74+14</f>
        <v>46342</v>
      </c>
      <c r="H74" s="40">
        <f>H82-23</f>
        <v>46328</v>
      </c>
      <c r="I74" s="40">
        <f t="shared" ref="I74" si="71">H74+14</f>
        <v>46342</v>
      </c>
      <c r="J74" s="40"/>
      <c r="K74" s="40"/>
      <c r="L74" s="41">
        <v>0</v>
      </c>
      <c r="M74" s="41" t="str">
        <f t="shared" ca="1" si="65"/>
        <v>Not Started</v>
      </c>
      <c r="N74" s="82"/>
      <c r="O74" s="314"/>
      <c r="P74" s="82"/>
      <c r="Q74" s="82"/>
      <c r="R74" s="82"/>
      <c r="S74" s="82"/>
      <c r="T74" s="82"/>
      <c r="U74" s="82"/>
      <c r="V74" s="82"/>
      <c r="W74" s="337" t="s">
        <v>239</v>
      </c>
      <c r="X74" s="229"/>
      <c r="Z74" s="23" t="s">
        <v>139</v>
      </c>
    </row>
    <row r="75" spans="2:28" s="274" customFormat="1" ht="4.5" customHeight="1" thickBot="1">
      <c r="B75" s="270"/>
      <c r="C75" s="270"/>
      <c r="D75" s="270"/>
      <c r="E75" s="271"/>
      <c r="F75" s="270"/>
      <c r="G75" s="270"/>
      <c r="H75" s="270"/>
      <c r="I75" s="270"/>
      <c r="J75" s="270"/>
      <c r="K75" s="270"/>
      <c r="L75" s="272">
        <v>0</v>
      </c>
      <c r="M75" s="272"/>
      <c r="N75" s="270"/>
      <c r="O75" s="270"/>
      <c r="P75" s="270"/>
      <c r="Q75" s="270"/>
      <c r="R75" s="270"/>
      <c r="S75" s="270"/>
      <c r="T75" s="270"/>
      <c r="U75" s="270"/>
      <c r="V75" s="270"/>
      <c r="W75" s="273"/>
      <c r="Z75" s="23"/>
      <c r="AA75" s="231"/>
      <c r="AB75" s="231"/>
    </row>
    <row r="76" spans="2:28" ht="22.5" customHeight="1" thickBot="1">
      <c r="B76" s="499" t="s">
        <v>143</v>
      </c>
      <c r="C76" s="372" t="s">
        <v>91</v>
      </c>
      <c r="D76" s="353" t="s">
        <v>185</v>
      </c>
      <c r="E76" s="354">
        <f>NETWORKDAYS.INTL(F76,G76,"0000100",$AD$5:$AD$11)</f>
        <v>1</v>
      </c>
      <c r="F76" s="355">
        <f>G76</f>
        <v>46212</v>
      </c>
      <c r="G76" s="356">
        <v>46212</v>
      </c>
      <c r="H76" s="356">
        <f>I76</f>
        <v>46212</v>
      </c>
      <c r="I76" s="356">
        <v>46212</v>
      </c>
      <c r="J76" s="355"/>
      <c r="K76" s="356"/>
      <c r="L76" s="357">
        <v>0</v>
      </c>
      <c r="M76" s="357" t="str">
        <f t="shared" ca="1" si="65"/>
        <v>Not Started</v>
      </c>
      <c r="N76" s="353"/>
      <c r="O76" s="358"/>
      <c r="P76" s="353"/>
      <c r="Q76" s="353"/>
      <c r="R76" s="353"/>
      <c r="S76" s="353"/>
      <c r="T76" s="353"/>
      <c r="U76" s="353"/>
      <c r="V76" s="353"/>
      <c r="W76" s="359"/>
      <c r="X76" s="229"/>
      <c r="Z76" s="23" t="s">
        <v>144</v>
      </c>
    </row>
    <row r="77" spans="2:28" ht="28.9" customHeight="1" thickBot="1">
      <c r="B77" s="500"/>
      <c r="C77" s="372" t="s">
        <v>91</v>
      </c>
      <c r="D77" s="360" t="s">
        <v>240</v>
      </c>
      <c r="E77" s="361">
        <f>NETWORKDAYS.INTL(F77,G77,"0000100",$AD$5:$AD$12)</f>
        <v>101</v>
      </c>
      <c r="F77" s="362">
        <f>WORKDAY.INTL(G76,10,"0000100",$AD$5:$AD$11)</f>
        <v>46224</v>
      </c>
      <c r="G77" s="351">
        <f>WORKDAY.INTL(F77,100,"0000100",$AD$5:$AD$11)</f>
        <v>46341</v>
      </c>
      <c r="H77" s="351">
        <f>WORKDAY.INTL(I76,10,"0000100",$AD$5:$AD$11)</f>
        <v>46224</v>
      </c>
      <c r="I77" s="351">
        <f>WORKDAY.INTL(H77,100,"0000100",$AD$5:$AD$11)</f>
        <v>46341</v>
      </c>
      <c r="J77" s="362"/>
      <c r="K77" s="351"/>
      <c r="L77" s="352">
        <v>0</v>
      </c>
      <c r="M77" s="352" t="str">
        <f t="shared" ca="1" si="65"/>
        <v>Not Started</v>
      </c>
      <c r="N77" s="360"/>
      <c r="O77" s="363"/>
      <c r="P77" s="360"/>
      <c r="Q77" s="360"/>
      <c r="R77" s="360"/>
      <c r="S77" s="360"/>
      <c r="T77" s="360"/>
      <c r="U77" s="360"/>
      <c r="V77" s="360"/>
      <c r="W77" s="364" t="s">
        <v>146</v>
      </c>
      <c r="X77" s="229"/>
      <c r="Z77" s="23" t="s">
        <v>147</v>
      </c>
    </row>
    <row r="78" spans="2:28" ht="63" customHeight="1" thickBot="1">
      <c r="B78" s="500"/>
      <c r="C78" s="372" t="s">
        <v>91</v>
      </c>
      <c r="D78" s="360" t="s">
        <v>7</v>
      </c>
      <c r="E78" s="361">
        <f>NETWORKDAYS.INTL(F78,G78,"0000100",$AD$5:$AD$12)</f>
        <v>101</v>
      </c>
      <c r="F78" s="362">
        <f>WORKDAY.INTL(F77,5,"0000100",$AD$5:$AD$11)</f>
        <v>46230</v>
      </c>
      <c r="G78" s="351">
        <f>WORKDAY.INTL(G77,5,"0000100",$AD$5:$AD$11)</f>
        <v>46347</v>
      </c>
      <c r="H78" s="351">
        <f>WORKDAY.INTL(H77,5,"0000100",$AD$5:$AD$11)</f>
        <v>46230</v>
      </c>
      <c r="I78" s="351">
        <f>WORKDAY.INTL(I77,5,"0000100",$AD$5:$AD$11)</f>
        <v>46347</v>
      </c>
      <c r="J78" s="362"/>
      <c r="K78" s="351"/>
      <c r="L78" s="352">
        <v>0</v>
      </c>
      <c r="M78" s="352" t="str">
        <f t="shared" ca="1" si="65"/>
        <v>Not Started</v>
      </c>
      <c r="N78" s="360"/>
      <c r="O78" s="363"/>
      <c r="P78" s="360"/>
      <c r="Q78" s="360"/>
      <c r="R78" s="360"/>
      <c r="S78" s="360"/>
      <c r="T78" s="360"/>
      <c r="U78" s="360"/>
      <c r="V78" s="360"/>
      <c r="W78" s="364"/>
      <c r="X78" s="229"/>
      <c r="Z78" s="23" t="s">
        <v>148</v>
      </c>
    </row>
    <row r="79" spans="2:28" ht="74.25" customHeight="1" thickBot="1">
      <c r="B79" s="500"/>
      <c r="C79" s="372" t="s">
        <v>91</v>
      </c>
      <c r="D79" s="360" t="s">
        <v>241</v>
      </c>
      <c r="E79" s="361">
        <f>NETWORKDAYS.INTL(F79,G79,"0000110",$AD$5:$AD$12)</f>
        <v>82</v>
      </c>
      <c r="F79" s="362">
        <f t="shared" ref="F79" si="72">WORKDAY.INTL(F78,5,"0000110")</f>
        <v>46237</v>
      </c>
      <c r="G79" s="351">
        <f>WORKDAY.INTL(F79,81,"0000110")</f>
        <v>46350</v>
      </c>
      <c r="H79" s="351">
        <f t="shared" ref="H79" si="73">WORKDAY.INTL(H78,5,"0000110")</f>
        <v>46237</v>
      </c>
      <c r="I79" s="351">
        <f>WORKDAY.INTL(H79,81,"0000110")</f>
        <v>46350</v>
      </c>
      <c r="J79" s="362"/>
      <c r="K79" s="351"/>
      <c r="L79" s="352">
        <v>0</v>
      </c>
      <c r="M79" s="352" t="str">
        <f t="shared" ca="1" si="65"/>
        <v>Not Started</v>
      </c>
      <c r="N79" s="360"/>
      <c r="O79" s="363"/>
      <c r="P79" s="360"/>
      <c r="Q79" s="360"/>
      <c r="R79" s="360"/>
      <c r="S79" s="360"/>
      <c r="T79" s="360"/>
      <c r="U79" s="360"/>
      <c r="V79" s="360"/>
      <c r="W79" s="364" t="s">
        <v>242</v>
      </c>
      <c r="X79" s="229"/>
      <c r="Z79" s="23" t="s">
        <v>151</v>
      </c>
    </row>
    <row r="80" spans="2:28" ht="28.9" customHeight="1" thickBot="1">
      <c r="B80" s="501"/>
      <c r="C80" s="372" t="s">
        <v>91</v>
      </c>
      <c r="D80" s="365" t="s">
        <v>205</v>
      </c>
      <c r="E80" s="366">
        <f>NETWORKDAYS.INTL(F80,G80,"0000110",$AD$5:$AD$12)+1</f>
        <v>3</v>
      </c>
      <c r="F80" s="367">
        <f>G87+1</f>
        <v>46372</v>
      </c>
      <c r="G80" s="367">
        <f>WORKDAY.INTL(F80,1,"0000110")</f>
        <v>46373</v>
      </c>
      <c r="H80" s="368">
        <f>I87+1</f>
        <v>46372</v>
      </c>
      <c r="I80" s="368">
        <f>WORKDAY.INTL(H80,1,"0000110")</f>
        <v>46373</v>
      </c>
      <c r="J80" s="367"/>
      <c r="K80" s="367"/>
      <c r="L80" s="369">
        <v>0</v>
      </c>
      <c r="M80" s="369" t="str">
        <f t="shared" ca="1" si="65"/>
        <v>Not Started</v>
      </c>
      <c r="N80" s="365"/>
      <c r="O80" s="370"/>
      <c r="P80" s="365"/>
      <c r="Q80" s="365"/>
      <c r="R80" s="365"/>
      <c r="S80" s="365"/>
      <c r="T80" s="365"/>
      <c r="U80" s="365"/>
      <c r="V80" s="365"/>
      <c r="W80" s="371" t="s">
        <v>153</v>
      </c>
      <c r="X80" s="229"/>
      <c r="Z80" s="23" t="s">
        <v>154</v>
      </c>
    </row>
    <row r="81" spans="2:28" s="274" customFormat="1" ht="4.5" customHeight="1" thickBot="1">
      <c r="B81" s="281"/>
      <c r="C81" s="281"/>
      <c r="D81" s="281"/>
      <c r="E81" s="282"/>
      <c r="F81" s="281"/>
      <c r="G81" s="281"/>
      <c r="H81" s="281"/>
      <c r="I81" s="281"/>
      <c r="J81" s="281"/>
      <c r="K81" s="281"/>
      <c r="L81" s="283">
        <v>0</v>
      </c>
      <c r="M81" s="283"/>
      <c r="N81" s="281"/>
      <c r="O81" s="281"/>
      <c r="P81" s="281"/>
      <c r="Q81" s="281"/>
      <c r="R81" s="281"/>
      <c r="S81" s="281"/>
      <c r="T81" s="281"/>
      <c r="U81" s="281"/>
      <c r="V81" s="281"/>
      <c r="W81" s="284"/>
      <c r="Z81" s="231"/>
      <c r="AA81" s="231"/>
      <c r="AB81" s="231"/>
    </row>
    <row r="82" spans="2:28" ht="30.75" customHeight="1">
      <c r="B82" s="467" t="s">
        <v>155</v>
      </c>
      <c r="C82" s="317" t="s">
        <v>156</v>
      </c>
      <c r="D82" s="88" t="s">
        <v>157</v>
      </c>
      <c r="E82" s="80">
        <f t="shared" ref="E82:E87" si="74">NETWORKDAYS.INTL(F82,G82,"0000110",$AD$5:$AD$12)</f>
        <v>6</v>
      </c>
      <c r="F82" s="36">
        <f>G79+1</f>
        <v>46351</v>
      </c>
      <c r="G82" s="36">
        <f>WORKDAY.INTL(F82,5,"0000110",$AD$5:$AD$10)</f>
        <v>46358</v>
      </c>
      <c r="H82" s="36">
        <f>I79+1</f>
        <v>46351</v>
      </c>
      <c r="I82" s="36">
        <f>WORKDAY.INTL(H82,5,"0000110",$AD$5:$AD$10)</f>
        <v>46358</v>
      </c>
      <c r="J82" s="36"/>
      <c r="K82" s="36"/>
      <c r="L82" s="37">
        <v>0</v>
      </c>
      <c r="M82" s="37" t="str">
        <f t="shared" ca="1" si="65"/>
        <v>Not Started</v>
      </c>
      <c r="N82" s="88"/>
      <c r="O82" s="311"/>
      <c r="P82" s="88"/>
      <c r="Q82" s="88"/>
      <c r="R82" s="88"/>
      <c r="S82" s="88"/>
      <c r="T82" s="88"/>
      <c r="U82" s="88"/>
      <c r="V82" s="88"/>
      <c r="W82" s="318"/>
      <c r="X82" s="229"/>
      <c r="Z82" s="23" t="s">
        <v>156</v>
      </c>
      <c r="AA82" s="275"/>
      <c r="AB82" s="275"/>
    </row>
    <row r="83" spans="2:28" ht="30.75" customHeight="1">
      <c r="B83" s="468"/>
      <c r="C83" s="319" t="s">
        <v>156</v>
      </c>
      <c r="D83" s="89" t="s">
        <v>158</v>
      </c>
      <c r="E83" s="90">
        <f t="shared" si="74"/>
        <v>6</v>
      </c>
      <c r="F83" s="38">
        <f>F82</f>
        <v>46351</v>
      </c>
      <c r="G83" s="38">
        <f>WORKDAY.INTL(F83,5,"0000110",$AD$5:$AD$10)</f>
        <v>46358</v>
      </c>
      <c r="H83" s="38">
        <f>H82</f>
        <v>46351</v>
      </c>
      <c r="I83" s="38">
        <f>WORKDAY.INTL(H83,5,"0000110",$AD$5:$AD$10)</f>
        <v>46358</v>
      </c>
      <c r="J83" s="38"/>
      <c r="K83" s="38"/>
      <c r="L83" s="39">
        <v>0</v>
      </c>
      <c r="M83" s="39" t="str">
        <f t="shared" ca="1" si="65"/>
        <v>Not Started</v>
      </c>
      <c r="N83" s="89"/>
      <c r="O83" s="320"/>
      <c r="P83" s="89"/>
      <c r="Q83" s="89"/>
      <c r="R83" s="89"/>
      <c r="S83" s="89"/>
      <c r="T83" s="89"/>
      <c r="U83" s="89"/>
      <c r="V83" s="89"/>
      <c r="W83" s="321"/>
      <c r="X83" s="229"/>
      <c r="Z83" s="23" t="s">
        <v>156</v>
      </c>
    </row>
    <row r="84" spans="2:28" ht="30.75" customHeight="1">
      <c r="B84" s="468"/>
      <c r="C84" s="319" t="s">
        <v>156</v>
      </c>
      <c r="D84" s="89" t="s">
        <v>159</v>
      </c>
      <c r="E84" s="90">
        <f t="shared" si="74"/>
        <v>5</v>
      </c>
      <c r="F84" s="38">
        <f>G83</f>
        <v>46358</v>
      </c>
      <c r="G84" s="38">
        <f>WORKDAY.INTL(F84,4,"0000110",$AD$5:$AD$10)</f>
        <v>46364</v>
      </c>
      <c r="H84" s="38">
        <f>I83</f>
        <v>46358</v>
      </c>
      <c r="I84" s="38">
        <f>WORKDAY.INTL(H84,4,"0000110",$AD$5:$AD$10)</f>
        <v>46364</v>
      </c>
      <c r="J84" s="38"/>
      <c r="K84" s="38"/>
      <c r="L84" s="39">
        <v>0</v>
      </c>
      <c r="M84" s="39" t="str">
        <f t="shared" ca="1" si="65"/>
        <v>Not Started</v>
      </c>
      <c r="N84" s="89"/>
      <c r="O84" s="320"/>
      <c r="P84" s="89"/>
      <c r="Q84" s="89"/>
      <c r="R84" s="89"/>
      <c r="S84" s="89"/>
      <c r="T84" s="89"/>
      <c r="U84" s="89"/>
      <c r="V84" s="89"/>
      <c r="W84" s="321"/>
      <c r="X84" s="229"/>
      <c r="Z84" s="23" t="s">
        <v>156</v>
      </c>
      <c r="AA84" s="275"/>
      <c r="AB84" s="275"/>
    </row>
    <row r="85" spans="2:28" ht="30.75" customHeight="1">
      <c r="B85" s="468"/>
      <c r="C85" s="319" t="s">
        <v>156</v>
      </c>
      <c r="D85" s="89" t="s">
        <v>160</v>
      </c>
      <c r="E85" s="90">
        <f t="shared" si="74"/>
        <v>5</v>
      </c>
      <c r="F85" s="38">
        <f>F84</f>
        <v>46358</v>
      </c>
      <c r="G85" s="38">
        <f>WORKDAY.INTL(F85,4,"0000110",$AD$5:$AD$10)</f>
        <v>46364</v>
      </c>
      <c r="H85" s="38">
        <f>H84</f>
        <v>46358</v>
      </c>
      <c r="I85" s="38">
        <f>WORKDAY.INTL(H85,4,"0000110",$AD$5:$AD$10)</f>
        <v>46364</v>
      </c>
      <c r="J85" s="38"/>
      <c r="K85" s="38"/>
      <c r="L85" s="39">
        <v>0</v>
      </c>
      <c r="M85" s="39" t="str">
        <f t="shared" ca="1" si="65"/>
        <v>Not Started</v>
      </c>
      <c r="N85" s="89"/>
      <c r="O85" s="320"/>
      <c r="P85" s="89"/>
      <c r="Q85" s="89"/>
      <c r="R85" s="89"/>
      <c r="S85" s="89"/>
      <c r="T85" s="89"/>
      <c r="U85" s="89"/>
      <c r="V85" s="89"/>
      <c r="W85" s="321"/>
      <c r="X85" s="229"/>
      <c r="Z85" s="23" t="s">
        <v>156</v>
      </c>
    </row>
    <row r="86" spans="2:28" ht="30.75" customHeight="1">
      <c r="B86" s="468"/>
      <c r="C86" s="319" t="s">
        <v>156</v>
      </c>
      <c r="D86" s="89" t="s">
        <v>46</v>
      </c>
      <c r="E86" s="90">
        <f t="shared" si="74"/>
        <v>3</v>
      </c>
      <c r="F86" s="38">
        <f>WORKDAY.INTL(G85,1,"0000110",$AD$5:$AD$10)</f>
        <v>46365</v>
      </c>
      <c r="G86" s="38">
        <f>WORKDAY.INTL(F86,2,"0000110",$AD$5:$AD$10)</f>
        <v>46369</v>
      </c>
      <c r="H86" s="38">
        <f>WORKDAY.INTL(I85,1,"0000110",$AD$5:$AD$10)</f>
        <v>46365</v>
      </c>
      <c r="I86" s="38">
        <f>WORKDAY.INTL(H86,2,"0000110",$AD$5:$AD$10)</f>
        <v>46369</v>
      </c>
      <c r="J86" s="38"/>
      <c r="K86" s="38"/>
      <c r="L86" s="39">
        <v>0</v>
      </c>
      <c r="M86" s="39" t="str">
        <f t="shared" ca="1" si="65"/>
        <v>Not Started</v>
      </c>
      <c r="N86" s="89"/>
      <c r="O86" s="320"/>
      <c r="P86" s="89"/>
      <c r="Q86" s="89"/>
      <c r="R86" s="89"/>
      <c r="S86" s="89"/>
      <c r="T86" s="89"/>
      <c r="U86" s="89"/>
      <c r="V86" s="89"/>
      <c r="W86" s="321"/>
      <c r="X86" s="229"/>
      <c r="Z86" s="23" t="s">
        <v>156</v>
      </c>
    </row>
    <row r="87" spans="2:28" ht="30.75" customHeight="1" thickBot="1">
      <c r="B87" s="469"/>
      <c r="C87" s="322" t="s">
        <v>156</v>
      </c>
      <c r="D87" s="91" t="s">
        <v>161</v>
      </c>
      <c r="E87" s="83">
        <f t="shared" si="74"/>
        <v>2</v>
      </c>
      <c r="F87" s="40">
        <f>WORKDAY.INTL(G86,1,"0000110",$AD$5:$AD$10)</f>
        <v>46370</v>
      </c>
      <c r="G87" s="40">
        <f>WORKDAY.INTL(F87,1,"0000110",$AD$5:$AD$10)</f>
        <v>46371</v>
      </c>
      <c r="H87" s="40">
        <f>WORKDAY.INTL(I86,1,"0000110",$AD$5:$AD$10)</f>
        <v>46370</v>
      </c>
      <c r="I87" s="40">
        <f>WORKDAY.INTL(H87,1,"0000110",$AD$5:$AD$10)</f>
        <v>46371</v>
      </c>
      <c r="J87" s="40"/>
      <c r="K87" s="40"/>
      <c r="L87" s="41">
        <v>0</v>
      </c>
      <c r="M87" s="41" t="str">
        <f t="shared" ca="1" si="65"/>
        <v>Not Started</v>
      </c>
      <c r="N87" s="91"/>
      <c r="O87" s="314"/>
      <c r="P87" s="91"/>
      <c r="Q87" s="91"/>
      <c r="R87" s="91"/>
      <c r="S87" s="91"/>
      <c r="T87" s="91"/>
      <c r="U87" s="91"/>
      <c r="V87" s="91"/>
      <c r="W87" s="323"/>
      <c r="X87" s="229"/>
      <c r="Z87" s="23" t="s">
        <v>156</v>
      </c>
    </row>
  </sheetData>
  <mergeCells count="16">
    <mergeCell ref="B82:B87"/>
    <mergeCell ref="B58:B60"/>
    <mergeCell ref="B64:B68"/>
    <mergeCell ref="B70:B71"/>
    <mergeCell ref="B73:B74"/>
    <mergeCell ref="B76:B80"/>
    <mergeCell ref="B5:B11"/>
    <mergeCell ref="B13:B16"/>
    <mergeCell ref="B18:B21"/>
    <mergeCell ref="B23:B26"/>
    <mergeCell ref="B28:B31"/>
    <mergeCell ref="B33:B36"/>
    <mergeCell ref="B38:B41"/>
    <mergeCell ref="B43:B46"/>
    <mergeCell ref="B48:B51"/>
    <mergeCell ref="B53:B56"/>
  </mergeCells>
  <conditionalFormatting sqref="M1:M1048576">
    <cfRule type="cellIs" dxfId="5" priority="4" operator="equal">
      <formula>"Delayed"</formula>
    </cfRule>
    <cfRule type="cellIs" dxfId="4" priority="5" operator="equal">
      <formula>"In Progress"</formula>
    </cfRule>
    <cfRule type="cellIs" dxfId="3" priority="6" operator="equal">
      <formula>"Completed"</formula>
    </cfRule>
  </conditionalFormatting>
  <conditionalFormatting sqref="N2">
    <cfRule type="cellIs" dxfId="2" priority="1" operator="equal">
      <formula>"Delayed"</formula>
    </cfRule>
    <cfRule type="cellIs" dxfId="1" priority="2" operator="equal">
      <formula>"In Progress"</formula>
    </cfRule>
    <cfRule type="cellIs" dxfId="0" priority="3" operator="equal">
      <formula>"Completed"</formula>
    </cfRule>
  </conditionalFormatting>
  <dataValidations disablePrompts="1" count="1">
    <dataValidation type="list" allowBlank="1" showInputMessage="1" showErrorMessage="1" sqref="X76:X80 X62 X82:X87" xr:uid="{00000000-0002-0000-0500-000000000000}">
      <formula1>$Y$2:$Y$5</formula1>
    </dataValidation>
  </dataValidations>
  <pageMargins left="0.7" right="0.7" top="0.75" bottom="0.75" header="0.3" footer="0.3"/>
  <pageSetup paperSize="9" orientation="portrait"/>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Status xmlns="389f1ef8-9fc7-4250-9466-79c08d8bd832" xsi:nil="true"/>
    <TaxCatchAll xmlns="d5b2f26e-b630-44bd-87e5-d5d6c3db68be" xsi:nil="true"/>
    <lcf76f155ced4ddcb4097134ff3c332f xmlns="389f1ef8-9fc7-4250-9466-79c08d8bd832">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93DC0BB8BE08744AAD7823D7D2EEDA58" ma:contentTypeVersion="17" ma:contentTypeDescription="Create a new document." ma:contentTypeScope="" ma:versionID="480ee920b99d23bac99646da38ccbbdc">
  <xsd:schema xmlns:xsd="http://www.w3.org/2001/XMLSchema" xmlns:xs="http://www.w3.org/2001/XMLSchema" xmlns:p="http://schemas.microsoft.com/office/2006/metadata/properties" xmlns:ns2="389f1ef8-9fc7-4250-9466-79c08d8bd832" xmlns:ns3="d5b2f26e-b630-44bd-87e5-d5d6c3db68be" targetNamespace="http://schemas.microsoft.com/office/2006/metadata/properties" ma:root="true" ma:fieldsID="2d8ae27bcc703cee76efd159f85bc346" ns2:_="" ns3:_="">
    <xsd:import namespace="389f1ef8-9fc7-4250-9466-79c08d8bd832"/>
    <xsd:import namespace="d5b2f26e-b630-44bd-87e5-d5d6c3db68be"/>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3:SharedWithUsers" minOccurs="0"/>
                <xsd:element ref="ns3:SharedWithDetails" minOccurs="0"/>
                <xsd:element ref="ns2:MediaServiceDateTaken" minOccurs="0"/>
                <xsd:element ref="ns2:Status" minOccurs="0"/>
                <xsd:element ref="ns2:MediaServiceLocation" minOccurs="0"/>
                <xsd:element ref="ns2:MediaLengthInSecond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89f1ef8-9fc7-4250-9466-79c08d8bd83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1e15db89-250c-4d34-9bef-285ee39de08b" ma:termSetId="09814cd3-568e-fe90-9814-8d621ff8fb84" ma:anchorId="fba54fb3-c3e1-fe81-a776-ca4b69148c4d" ma:open="true" ma:isKeyword="false">
      <xsd:complexType>
        <xsd:sequence>
          <xsd:element ref="pc:Terms" minOccurs="0" maxOccurs="1"/>
        </xsd:sequence>
      </xsd:complex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Status" ma:index="19" nillable="true" ma:displayName="Status" ma:format="Dropdown" ma:internalName="Status">
      <xsd:simpleType>
        <xsd:restriction base="dms:Text">
          <xsd:maxLength value="255"/>
        </xsd:restriction>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ObjectDetectorVersions" ma:index="22"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ServiceBillingMetadata" ma:index="24"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5b2f26e-b630-44bd-87e5-d5d6c3db68be"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04103b4b-7053-4631-943a-3987abc8a121}" ma:internalName="TaxCatchAll" ma:showField="CatchAllData" ma:web="d5b2f26e-b630-44bd-87e5-d5d6c3db68be">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2A00D0B-1F3C-4A9C-870E-467A8D18671C}"/>
</file>

<file path=customXml/itemProps2.xml><?xml version="1.0" encoding="utf-8"?>
<ds:datastoreItem xmlns:ds="http://schemas.openxmlformats.org/officeDocument/2006/customXml" ds:itemID="{CD353690-D15E-4A62-93BF-20497AD3AD6F}"/>
</file>

<file path=customXml/itemProps3.xml><?xml version="1.0" encoding="utf-8"?>
<ds:datastoreItem xmlns:ds="http://schemas.openxmlformats.org/officeDocument/2006/customXml" ds:itemID="{70632E2A-9687-457B-BD9D-307E0D3134C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Mani Narayanasamy</dc:creator>
  <cp:keywords/>
  <dc:description/>
  <cp:lastModifiedBy>来宾用户</cp:lastModifiedBy>
  <cp:revision/>
  <dcterms:created xsi:type="dcterms:W3CDTF">2025-01-06T11:35:00Z</dcterms:created>
  <dcterms:modified xsi:type="dcterms:W3CDTF">2026-07-04T03:43:01Z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b407c91-f24b-4cd4-a76b-785b6c54b38d_Enabled">
    <vt:lpwstr>true</vt:lpwstr>
  </property>
  <property fmtid="{D5CDD505-2E9C-101B-9397-08002B2CF9AE}" pid="3" name="MSIP_Label_6b407c91-f24b-4cd4-a76b-785b6c54b38d_SetDate">
    <vt:lpwstr>2025-07-19T06:51:01Z</vt:lpwstr>
  </property>
  <property fmtid="{D5CDD505-2E9C-101B-9397-08002B2CF9AE}" pid="4" name="MSIP_Label_6b407c91-f24b-4cd4-a76b-785b6c54b38d_Method">
    <vt:lpwstr>Privileged</vt:lpwstr>
  </property>
  <property fmtid="{D5CDD505-2E9C-101B-9397-08002B2CF9AE}" pid="5" name="MSIP_Label_6b407c91-f24b-4cd4-a76b-785b6c54b38d_Name">
    <vt:lpwstr>Public</vt:lpwstr>
  </property>
  <property fmtid="{D5CDD505-2E9C-101B-9397-08002B2CF9AE}" pid="6" name="MSIP_Label_6b407c91-f24b-4cd4-a76b-785b6c54b38d_SiteId">
    <vt:lpwstr>947d9dbe-5f08-4416-96a9-8468f7f8299e</vt:lpwstr>
  </property>
  <property fmtid="{D5CDD505-2E9C-101B-9397-08002B2CF9AE}" pid="7" name="MSIP_Label_6b407c91-f24b-4cd4-a76b-785b6c54b38d_ActionId">
    <vt:lpwstr>817f76e9-7df5-4087-8062-fb8098be9e86</vt:lpwstr>
  </property>
  <property fmtid="{D5CDD505-2E9C-101B-9397-08002B2CF9AE}" pid="8" name="MSIP_Label_6b407c91-f24b-4cd4-a76b-785b6c54b38d_ContentBits">
    <vt:lpwstr>2</vt:lpwstr>
  </property>
  <property fmtid="{D5CDD505-2E9C-101B-9397-08002B2CF9AE}" pid="9" name="MSIP_Label_6b407c91-f24b-4cd4-a76b-785b6c54b38d_Tag">
    <vt:lpwstr>10, 0, 1, 1</vt:lpwstr>
  </property>
  <property fmtid="{D5CDD505-2E9C-101B-9397-08002B2CF9AE}" pid="10" name="ContentTypeId">
    <vt:lpwstr>0x01010093DC0BB8BE08744AAD7823D7D2EEDA58</vt:lpwstr>
  </property>
  <property fmtid="{D5CDD505-2E9C-101B-9397-08002B2CF9AE}" pid="11" name="MediaServiceImageTags">
    <vt:lpwstr/>
  </property>
  <property fmtid="{D5CDD505-2E9C-101B-9397-08002B2CF9AE}" pid="12" name="ICV">
    <vt:lpwstr>8C0ED66B96074D0692907614702126AD_12</vt:lpwstr>
  </property>
  <property fmtid="{D5CDD505-2E9C-101B-9397-08002B2CF9AE}" pid="13" name="KSOProductBuildVer">
    <vt:lpwstr>2052-12.1.0.26895</vt:lpwstr>
  </property>
  <property fmtid="{D5CDD505-2E9C-101B-9397-08002B2CF9AE}" pid="14" name="CalculationRule">
    <vt:i4>0</vt:i4>
  </property>
</Properties>
</file>