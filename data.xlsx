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285" documentId="13_ncr:1_{B2FAA04D-CAC7-432F-91AD-6A7D6EF55115}" xr6:coauthVersionLast="47" xr6:coauthVersionMax="47" xr10:uidLastSave="{8CCE87BB-737A-4036-A5C1-FB8F13D67039}"/>
  <bookViews>
    <workbookView xWindow="-120" yWindow="-120" windowWidth="29040" windowHeight="15720" tabRatio="744" firstSheet="5" activeTab="5"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 i="52" l="1"/>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I7" i="48"/>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I13" i="49"/>
  <c r="I5" i="49"/>
  <c r="M59" i="31"/>
  <c r="M17" i="31"/>
  <c r="M12" i="31"/>
  <c r="M13" i="31"/>
  <c r="M7" i="31"/>
  <c r="M8" i="31"/>
  <c r="M6" i="31"/>
  <c r="I56" i="31"/>
  <c r="H57" i="31"/>
  <c r="I57" i="31"/>
  <c r="H59" i="31"/>
  <c r="H60" i="31"/>
  <c r="I60" i="31"/>
  <c r="H61" i="31"/>
  <c r="I61" i="31"/>
  <c r="H63" i="31"/>
  <c r="I63" i="31"/>
  <c r="H64" i="31"/>
  <c r="I64" i="31"/>
  <c r="H66" i="31"/>
  <c r="I66" i="31"/>
  <c r="H67" i="31"/>
  <c r="I67" i="31"/>
  <c r="H69" i="31"/>
  <c r="I69" i="31"/>
  <c r="H70" i="31"/>
  <c r="I70" i="31"/>
  <c r="H72" i="31"/>
  <c r="I72" i="31"/>
  <c r="H73" i="31"/>
  <c r="I73" i="31"/>
  <c r="H75" i="31"/>
  <c r="I75" i="31"/>
  <c r="H76" i="31"/>
  <c r="I76" i="31"/>
  <c r="H78" i="31"/>
  <c r="I78" i="31"/>
  <c r="H79" i="31"/>
  <c r="I79" i="31"/>
  <c r="H81" i="31"/>
  <c r="I81" i="31"/>
  <c r="H82" i="31"/>
  <c r="I82" i="31"/>
  <c r="H84" i="31"/>
  <c r="I84" i="31"/>
  <c r="I99" i="31"/>
  <c r="I100" i="31"/>
  <c r="I101" i="31"/>
  <c r="H97" i="31" s="1"/>
  <c r="I97" i="31" s="1"/>
  <c r="I53" i="31"/>
  <c r="H48" i="31"/>
  <c r="I48" i="31"/>
  <c r="H47" i="31" s="1"/>
  <c r="I47" i="31" s="1"/>
  <c r="H49" i="31"/>
  <c r="I49"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c r="H14" i="31" s="1"/>
  <c r="I14" i="31" s="1"/>
  <c r="H10" i="31"/>
  <c r="I10" i="31"/>
  <c r="M73" i="46"/>
  <c r="M21" i="46"/>
  <c r="M16" i="46"/>
  <c r="M17" i="46"/>
  <c r="M11" i="46"/>
  <c r="M12" i="46"/>
  <c r="M5" i="46"/>
  <c r="M6" i="46"/>
  <c r="M7" i="46"/>
  <c r="I67" i="46"/>
  <c r="I70" i="46"/>
  <c r="H71" i="46"/>
  <c r="I71" i="46"/>
  <c r="H73" i="46"/>
  <c r="H74" i="46"/>
  <c r="I74" i="46"/>
  <c r="H75" i="46"/>
  <c r="I75" i="46"/>
  <c r="H77" i="46"/>
  <c r="I77" i="46"/>
  <c r="H78" i="46"/>
  <c r="I78" i="46"/>
  <c r="H80" i="46"/>
  <c r="I80" i="46"/>
  <c r="H81" i="46"/>
  <c r="I81" i="46"/>
  <c r="H83" i="46"/>
  <c r="I83" i="46"/>
  <c r="H84" i="46"/>
  <c r="I84" i="46"/>
  <c r="H86" i="46"/>
  <c r="I86" i="46"/>
  <c r="H87" i="46"/>
  <c r="I87" i="46"/>
  <c r="H89" i="46"/>
  <c r="I89" i="46"/>
  <c r="H90" i="46"/>
  <c r="I90" i="46"/>
  <c r="H92" i="46"/>
  <c r="I92" i="46"/>
  <c r="H93" i="46"/>
  <c r="I93" i="46"/>
  <c r="H95" i="46"/>
  <c r="I95" i="46"/>
  <c r="H96" i="46"/>
  <c r="I96" i="46"/>
  <c r="H98" i="46"/>
  <c r="I98" i="46"/>
  <c r="H99" i="46"/>
  <c r="I99" i="46"/>
  <c r="H101" i="46"/>
  <c r="I101" i="46"/>
  <c r="H102" i="46"/>
  <c r="I102" i="46"/>
  <c r="H104" i="46"/>
  <c r="I104" i="46"/>
  <c r="I120" i="46"/>
  <c r="I121" i="46"/>
  <c r="H117" i="46" s="1"/>
  <c r="I117" i="46" s="1"/>
  <c r="H56" i="46"/>
  <c r="I56" i="46"/>
  <c r="H57" i="46"/>
  <c r="I57" i="46"/>
  <c r="H58" i="46"/>
  <c r="I58" i="46"/>
  <c r="H16" i="46"/>
  <c r="I16" i="46"/>
  <c r="H17" i="46"/>
  <c r="I17" i="46"/>
  <c r="H21" i="46" s="1"/>
  <c r="I21" i="46" s="1"/>
  <c r="H22" i="46" s="1"/>
  <c r="I22" i="46" s="1"/>
  <c r="H12" i="46"/>
  <c r="H6" i="46"/>
  <c r="H8" i="46"/>
  <c r="I8" i="46"/>
  <c r="H13" i="46" s="1"/>
  <c r="I13" i="46" s="1"/>
  <c r="H9" i="46"/>
  <c r="I9" i="46" s="1"/>
  <c r="I60" i="47"/>
  <c r="H61" i="47"/>
  <c r="I61" i="47"/>
  <c r="H63" i="47"/>
  <c r="H64" i="47"/>
  <c r="I64" i="47"/>
  <c r="H65" i="47"/>
  <c r="I65" i="47"/>
  <c r="H67" i="47"/>
  <c r="I67" i="47"/>
  <c r="H68" i="47"/>
  <c r="I68" i="47"/>
  <c r="H70" i="47"/>
  <c r="I70" i="47"/>
  <c r="H71" i="47"/>
  <c r="I71" i="47"/>
  <c r="H73" i="47"/>
  <c r="I73" i="47"/>
  <c r="H74" i="47"/>
  <c r="I74" i="47"/>
  <c r="H76" i="47"/>
  <c r="I76" i="47"/>
  <c r="H77" i="47"/>
  <c r="I77" i="47"/>
  <c r="H79" i="47"/>
  <c r="I79" i="47"/>
  <c r="H80" i="47"/>
  <c r="I80" i="47"/>
  <c r="H82" i="47"/>
  <c r="I82" i="47"/>
  <c r="H83" i="47"/>
  <c r="I83" i="47"/>
  <c r="H85" i="47"/>
  <c r="I85" i="47"/>
  <c r="H86" i="47"/>
  <c r="I86" i="47"/>
  <c r="H88" i="47"/>
  <c r="I88" i="47"/>
  <c r="I103" i="47"/>
  <c r="I104" i="47"/>
  <c r="I105" i="47"/>
  <c r="H101" i="47" s="1"/>
  <c r="I101" i="47" s="1"/>
  <c r="I57" i="47"/>
  <c r="H47" i="47"/>
  <c r="H46" i="47" s="1"/>
  <c r="I46" i="47" s="1"/>
  <c r="I47" i="47"/>
  <c r="H48" i="47"/>
  <c r="I48" i="47"/>
  <c r="I11" i="47"/>
  <c r="H16" i="47" s="1"/>
  <c r="I16" i="47" s="1"/>
  <c r="H17" i="47" s="1"/>
  <c r="I17" i="47" s="1"/>
  <c r="H12" i="47"/>
  <c r="I12" i="47"/>
  <c r="I6" i="47"/>
  <c r="H8" i="47"/>
  <c r="I8" i="47"/>
  <c r="H13" i="47" s="1"/>
  <c r="I13" i="47" s="1"/>
  <c r="H14" i="47" s="1"/>
  <c r="I14" i="47" s="1"/>
  <c r="H9" i="47"/>
  <c r="I9" i="47"/>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59" i="49"/>
  <c r="I59" i="49" s="1"/>
  <c r="H58" i="49" s="1"/>
  <c r="I58" i="49" s="1"/>
  <c r="H6" i="49"/>
  <c r="I6" i="49" s="1"/>
  <c r="H5" i="49"/>
  <c r="M75" i="48"/>
  <c r="M9" i="48"/>
  <c r="M6" i="48"/>
  <c r="M5" i="48"/>
  <c r="M75" i="49"/>
  <c r="M9" i="49"/>
  <c r="M6" i="49"/>
  <c r="L7" i="51" l="1"/>
  <c r="L8" i="51"/>
  <c r="L9" i="51"/>
  <c r="L10" i="51"/>
  <c r="C7" i="51"/>
  <c r="C8" i="51"/>
  <c r="C9" i="51"/>
  <c r="C10" i="51"/>
  <c r="C11" i="51"/>
  <c r="L11" i="51"/>
  <c r="C12" i="51"/>
  <c r="L12" i="51"/>
  <c r="C13" i="51"/>
  <c r="L13" i="51"/>
  <c r="C14" i="51"/>
  <c r="L14" i="51"/>
  <c r="L15" i="51"/>
  <c r="L16" i="51"/>
  <c r="U20" i="51"/>
  <c r="H19" i="31"/>
  <c r="I19" i="31" s="1"/>
  <c r="H15" i="31"/>
  <c r="I15" i="31" s="1"/>
  <c r="H18" i="46"/>
  <c r="I18" i="46" s="1"/>
  <c r="H19" i="46" s="1"/>
  <c r="I19" i="46" s="1"/>
  <c r="H14" i="46"/>
  <c r="I14" i="46" s="1"/>
  <c r="H26" i="46"/>
  <c r="I26" i="46" s="1"/>
  <c r="H27" i="46" s="1"/>
  <c r="I27"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14" i="49" s="1"/>
  <c r="I14" i="49" s="1"/>
  <c r="H7" i="49"/>
  <c r="I7" i="49" s="1"/>
  <c r="H80" i="49"/>
  <c r="H23" i="46" l="1"/>
  <c r="I23" i="46" s="1"/>
  <c r="H24" i="46" s="1"/>
  <c r="I24" i="46" s="1"/>
  <c r="H24" i="3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H18" i="49"/>
  <c r="I18" i="49" s="1"/>
  <c r="H19" i="49" s="1"/>
  <c r="I19" i="49" s="1"/>
  <c r="H29" i="31" l="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34" i="31" l="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39" i="31" l="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35" i="48"/>
  <c r="I35" i="48" s="1"/>
  <c r="H36" i="48" s="1"/>
  <c r="I36" i="48" s="1"/>
  <c r="H91" i="48"/>
  <c r="I91" i="48" s="1"/>
  <c r="I89" i="48"/>
  <c r="H89" i="48"/>
  <c r="H25" i="49"/>
  <c r="I25" i="49" s="1"/>
  <c r="H26" i="49" s="1"/>
  <c r="I26" i="49" s="1"/>
  <c r="H33" i="49"/>
  <c r="I33" i="49" s="1"/>
  <c r="H34" i="49" s="1"/>
  <c r="I34" i="49" s="1"/>
  <c r="H94" i="49"/>
  <c r="I94" i="49" s="1"/>
  <c r="I92" i="49"/>
  <c r="H92" i="49"/>
  <c r="H88" i="31" l="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50" i="47" s="1"/>
  <c r="I50" i="47" s="1"/>
  <c r="H58" i="47" s="1"/>
  <c r="I58"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35" i="49" l="1"/>
  <c r="I35" i="49" s="1"/>
  <c r="H36" i="49" s="1"/>
  <c r="I36" i="49" s="1"/>
  <c r="I88" i="31"/>
  <c r="I96" i="31"/>
  <c r="H96" i="31"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0" i="49"/>
  <c r="I40" i="49" s="1"/>
  <c r="H41" i="49" s="1"/>
  <c r="I41" i="49" s="1"/>
  <c r="H43" i="49"/>
  <c r="I43" i="49" s="1"/>
  <c r="H44" i="49" s="1"/>
  <c r="I44" i="49" s="1"/>
  <c r="H100" i="49"/>
  <c r="I100" i="49" s="1"/>
  <c r="I98" i="49"/>
  <c r="H98" i="49"/>
  <c r="H89" i="31" l="1"/>
  <c r="I89" i="31" s="1"/>
  <c r="H90" i="31"/>
  <c r="I90" i="31" s="1"/>
  <c r="H91" i="31" s="1"/>
  <c r="I91" i="31" s="1"/>
  <c r="H92" i="31" s="1"/>
  <c r="I92" i="31" s="1"/>
  <c r="H93" i="31" s="1"/>
  <c r="I93" i="31" s="1"/>
  <c r="H94" i="31" s="1"/>
  <c r="I94"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H86" i="31" l="1"/>
  <c r="I86" i="31" s="1"/>
  <c r="H51" i="31"/>
  <c r="I51" i="31" s="1"/>
  <c r="H54" i="31" s="1"/>
  <c r="I54"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106" i="46" l="1"/>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68" i="46" l="1"/>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E122" i="48"/>
  <c r="G121" i="48"/>
  <c r="M121" i="48" s="1"/>
  <c r="F75" i="48"/>
  <c r="E75" i="48" s="1"/>
  <c r="F6" i="48"/>
  <c r="G6" i="48" s="1"/>
  <c r="F7" i="48" s="1"/>
  <c r="F5" i="48"/>
  <c r="M3" i="48"/>
  <c r="G105" i="47"/>
  <c r="E105" i="47"/>
  <c r="G104" i="47"/>
  <c r="M104" i="47" s="1"/>
  <c r="E104" i="47"/>
  <c r="E103" i="47"/>
  <c r="F63" i="47"/>
  <c r="E60" i="47"/>
  <c r="E57" i="47"/>
  <c r="G11" i="47"/>
  <c r="E11" i="47"/>
  <c r="F8" i="47"/>
  <c r="G6" i="47"/>
  <c r="E6" i="47"/>
  <c r="E5" i="47"/>
  <c r="M3" i="47"/>
  <c r="G121" i="46"/>
  <c r="E121" i="46"/>
  <c r="G120" i="46"/>
  <c r="M120" i="46" s="1"/>
  <c r="E120" i="46"/>
  <c r="F74" i="46"/>
  <c r="E73" i="46"/>
  <c r="E70" i="46"/>
  <c r="E67" i="46"/>
  <c r="F16" i="46"/>
  <c r="F12" i="46"/>
  <c r="E12" i="46" s="1"/>
  <c r="E11" i="46"/>
  <c r="F8" i="46"/>
  <c r="F6" i="46"/>
  <c r="E6" i="46"/>
  <c r="E5" i="46"/>
  <c r="M3" i="46"/>
  <c r="G101" i="31"/>
  <c r="E101" i="31"/>
  <c r="G100" i="31"/>
  <c r="M100" i="31" s="1"/>
  <c r="E100" i="31"/>
  <c r="G99" i="31"/>
  <c r="M99" i="31" s="1"/>
  <c r="E99" i="31"/>
  <c r="F59" i="31"/>
  <c r="E53" i="31"/>
  <c r="G13" i="31"/>
  <c r="E13" i="31"/>
  <c r="E12" i="31"/>
  <c r="F9" i="31"/>
  <c r="G7" i="31"/>
  <c r="E7" i="31"/>
  <c r="E6" i="31"/>
  <c r="M3" i="31"/>
  <c r="F97" i="31" l="1"/>
  <c r="M101" i="31"/>
  <c r="F117" i="46"/>
  <c r="M121" i="46"/>
  <c r="G8" i="46"/>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c r="F9" i="46"/>
  <c r="F13" i="46" l="1"/>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c r="G16" i="47"/>
  <c r="E16" i="47"/>
  <c r="F9" i="47"/>
  <c r="E8" i="47"/>
  <c r="F63" i="31"/>
  <c r="F61" i="31"/>
  <c r="G17" i="31"/>
  <c r="E17" i="3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E77" i="46"/>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104" i="46"/>
  <c r="E63" i="31" l="1"/>
  <c r="M63" i="31"/>
  <c r="E61" i="31"/>
  <c r="M61" i="31"/>
  <c r="F84" i="31"/>
  <c r="G84" i="31" s="1"/>
  <c r="E14" i="46"/>
  <c r="M14" i="46"/>
  <c r="F106" i="48"/>
  <c r="G106" i="48" s="1"/>
  <c r="M106" i="48" s="1"/>
  <c r="M77" i="48"/>
  <c r="E79" i="48"/>
  <c r="M79" i="48"/>
  <c r="E58" i="48"/>
  <c r="M58" i="48"/>
  <c r="E7" i="49"/>
  <c r="F13" i="49"/>
  <c r="M8" i="49"/>
  <c r="E79" i="49"/>
  <c r="M79" i="49"/>
  <c r="E58" i="49"/>
  <c r="M58" i="49"/>
  <c r="F88" i="47"/>
  <c r="G88" i="47" s="1"/>
  <c r="F47" i="47"/>
  <c r="E65" i="47"/>
  <c r="F80" i="46"/>
  <c r="G78" i="46"/>
  <c r="F78" i="46"/>
  <c r="F82" i="49"/>
  <c r="G82" i="49" s="1"/>
  <c r="M82" i="49" s="1"/>
  <c r="G80" i="49"/>
  <c r="F80" i="49"/>
  <c r="E106" i="49"/>
  <c r="G13" i="49"/>
  <c r="E13" i="49" s="1"/>
  <c r="F10" i="49"/>
  <c r="F82" i="48"/>
  <c r="G80" i="48"/>
  <c r="F80" i="48"/>
  <c r="F10" i="48"/>
  <c r="F70" i="47"/>
  <c r="G68" i="47"/>
  <c r="F68" i="47"/>
  <c r="E88" i="47"/>
  <c r="G13" i="47"/>
  <c r="E13" i="47"/>
  <c r="G17" i="47"/>
  <c r="E17" i="47"/>
  <c r="F66" i="31"/>
  <c r="G64" i="31"/>
  <c r="F64" i="31"/>
  <c r="G18" i="31"/>
  <c r="E18" i="31"/>
  <c r="F19" i="31"/>
  <c r="F15" i="31"/>
  <c r="G18" i="46"/>
  <c r="G21" i="46"/>
  <c r="F22" i="46" s="1"/>
  <c r="F22" i="31" l="1"/>
  <c r="M18" i="31"/>
  <c r="M64" i="31"/>
  <c r="E84" i="31"/>
  <c r="M84" i="31"/>
  <c r="F19" i="46"/>
  <c r="M18" i="46"/>
  <c r="M78" i="46"/>
  <c r="F14" i="47"/>
  <c r="M13" i="47"/>
  <c r="M68" i="47"/>
  <c r="M88" i="47"/>
  <c r="M80" i="48"/>
  <c r="E106" i="48"/>
  <c r="F14" i="49"/>
  <c r="G14" i="49" s="1"/>
  <c r="M14" i="49" s="1"/>
  <c r="M13" i="49"/>
  <c r="M80" i="49"/>
  <c r="F46" i="47"/>
  <c r="G47" i="47"/>
  <c r="E78" i="46"/>
  <c r="G80" i="46"/>
  <c r="M80" i="46" s="1"/>
  <c r="E80" i="46"/>
  <c r="G10" i="49"/>
  <c r="E10" i="49" s="1"/>
  <c r="E80" i="49"/>
  <c r="E82" i="49"/>
  <c r="G10" i="48"/>
  <c r="F14" i="48"/>
  <c r="E13" i="48"/>
  <c r="E80" i="48"/>
  <c r="G82" i="48"/>
  <c r="M82" i="48" s="1"/>
  <c r="F21" i="47"/>
  <c r="F18" i="47"/>
  <c r="G14" i="47"/>
  <c r="M14" i="47" s="1"/>
  <c r="E14" i="47"/>
  <c r="G101" i="47"/>
  <c r="M101" i="47" s="1"/>
  <c r="E101" i="47"/>
  <c r="E68" i="47"/>
  <c r="G70" i="47"/>
  <c r="M70" i="47" s="1"/>
  <c r="E70" i="47"/>
  <c r="G15" i="31"/>
  <c r="M15" i="31" s="1"/>
  <c r="E15" i="31"/>
  <c r="G19" i="31"/>
  <c r="M19" i="31" s="1"/>
  <c r="E19" i="31"/>
  <c r="G22" i="31"/>
  <c r="E22" i="31"/>
  <c r="E64" i="31"/>
  <c r="G66" i="31"/>
  <c r="M66" i="31" s="1"/>
  <c r="E66" i="31"/>
  <c r="G19" i="46"/>
  <c r="M19" i="46" s="1"/>
  <c r="E19" i="46"/>
  <c r="G22" i="46"/>
  <c r="M22" i="46" s="1"/>
  <c r="E21" i="46"/>
  <c r="E18" i="46"/>
  <c r="F23" i="31" l="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c r="G21" i="47"/>
  <c r="F22" i="47" s="1"/>
  <c r="E21" i="47"/>
  <c r="F69" i="31"/>
  <c r="G67" i="31"/>
  <c r="F67" i="31"/>
  <c r="F20" i="31"/>
  <c r="F26" i="46"/>
  <c r="F23" i="46"/>
  <c r="E22" i="46"/>
  <c r="M67" i="31" l="1"/>
  <c r="F19" i="47"/>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19" i="47"/>
  <c r="E71" i="47"/>
  <c r="G73" i="47"/>
  <c r="G20" i="31"/>
  <c r="M20" i="31" s="1"/>
  <c r="E20" i="31"/>
  <c r="P13" i="45"/>
  <c r="K13" i="45"/>
  <c r="G23" i="31"/>
  <c r="M23" i="31" s="1"/>
  <c r="E23" i="31"/>
  <c r="E67" i="31"/>
  <c r="G69" i="31"/>
  <c r="M69" i="31" s="1"/>
  <c r="E69" i="31"/>
  <c r="G23" i="46"/>
  <c r="M23" i="46" s="1"/>
  <c r="G26" i="46"/>
  <c r="F27" i="46" l="1"/>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E86" i="46"/>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72" i="31" l="1"/>
  <c r="M72" i="31"/>
  <c r="E76" i="47"/>
  <c r="M76" i="47"/>
  <c r="F27" i="47"/>
  <c r="M26" i="47"/>
  <c r="F24" i="47"/>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G24" i="47"/>
  <c r="M24" i="47" s="1"/>
  <c r="E24" i="47"/>
  <c r="F75" i="31"/>
  <c r="G73" i="31"/>
  <c r="F73" i="31"/>
  <c r="F28" i="31"/>
  <c r="F25" i="31"/>
  <c r="G28" i="46"/>
  <c r="M28" i="46" s="1"/>
  <c r="G31" i="46"/>
  <c r="E56" i="46"/>
  <c r="M73" i="31" l="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E25" i="31"/>
  <c r="G28" i="31"/>
  <c r="M28" i="31" s="1"/>
  <c r="E28" i="31"/>
  <c r="E73" i="31"/>
  <c r="G75" i="31"/>
  <c r="G32" i="46"/>
  <c r="M32" i="46" s="1"/>
  <c r="E32" i="46"/>
  <c r="E31" i="46"/>
  <c r="G29" i="46"/>
  <c r="E75" i="31" l="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M31" i="47"/>
  <c r="F29" i="47"/>
  <c r="M28" i="47"/>
  <c r="M80" i="47"/>
  <c r="E24" i="48"/>
  <c r="M92" i="48"/>
  <c r="E21" i="48"/>
  <c r="M92" i="49"/>
  <c r="E90" i="46"/>
  <c r="G92" i="46"/>
  <c r="M92" i="46" s="1"/>
  <c r="E92" i="46"/>
  <c r="G25" i="49"/>
  <c r="E25" i="49" s="1"/>
  <c r="G28" i="49"/>
  <c r="E28" i="49" s="1"/>
  <c r="E92" i="49"/>
  <c r="E94" i="49"/>
  <c r="F28" i="48"/>
  <c r="F25" i="48"/>
  <c r="E92" i="48"/>
  <c r="G94" i="48"/>
  <c r="M94" i="48" s="1"/>
  <c r="G32" i="47"/>
  <c r="M32" i="47" s="1"/>
  <c r="E32" i="47"/>
  <c r="G29" i="47"/>
  <c r="M29" i="47" s="1"/>
  <c r="E29" i="47"/>
  <c r="E80" i="47"/>
  <c r="G82" i="47"/>
  <c r="G29" i="31"/>
  <c r="M29" i="31" s="1"/>
  <c r="E29" i="31"/>
  <c r="G32" i="31"/>
  <c r="E32" i="31"/>
  <c r="E76" i="31"/>
  <c r="G78" i="31"/>
  <c r="M78" i="31" s="1"/>
  <c r="E78" i="31"/>
  <c r="G33" i="46"/>
  <c r="G36" i="46"/>
  <c r="M36" i="46" s="1"/>
  <c r="F58" i="46"/>
  <c r="E57" i="46"/>
  <c r="F33" i="31" l="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E81" i="31"/>
  <c r="F41" i="46"/>
  <c r="F38" i="46"/>
  <c r="E37" i="46"/>
  <c r="F38" i="31" l="1"/>
  <c r="M37" i="31"/>
  <c r="F37" i="47"/>
  <c r="M36" i="47"/>
  <c r="F34" i="47"/>
  <c r="M33" i="47"/>
  <c r="E26" i="48"/>
  <c r="E29" i="48"/>
  <c r="F30" i="49"/>
  <c r="F33" i="49"/>
  <c r="E29" i="49"/>
  <c r="E26" i="49"/>
  <c r="F96" i="46"/>
  <c r="F98" i="46"/>
  <c r="G96" i="46"/>
  <c r="M96" i="46" s="1"/>
  <c r="F100" i="49"/>
  <c r="G100" i="49" s="1"/>
  <c r="M100" i="49" s="1"/>
  <c r="G98" i="49"/>
  <c r="F98" i="49"/>
  <c r="G30" i="49"/>
  <c r="E30" i="49" s="1"/>
  <c r="G33" i="49"/>
  <c r="E33" i="49" s="1"/>
  <c r="F100" i="48"/>
  <c r="G98" i="48"/>
  <c r="F98" i="48"/>
  <c r="F33" i="48"/>
  <c r="F30" i="48"/>
  <c r="G86" i="47"/>
  <c r="F86" i="47"/>
  <c r="G37" i="47"/>
  <c r="M37" i="47" s="1"/>
  <c r="E37" i="47"/>
  <c r="G34" i="47"/>
  <c r="M34" i="47" s="1"/>
  <c r="E34" i="47"/>
  <c r="G82" i="31"/>
  <c r="F82" i="31"/>
  <c r="G38" i="31"/>
  <c r="E38" i="31"/>
  <c r="F39" i="31"/>
  <c r="F35" i="31"/>
  <c r="G38" i="46"/>
  <c r="G41" i="46"/>
  <c r="E41" i="46"/>
  <c r="F42" i="31" l="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E35" i="31"/>
  <c r="G39" i="31"/>
  <c r="M39" i="31" s="1"/>
  <c r="E39" i="31"/>
  <c r="G42" i="31"/>
  <c r="E42" i="31"/>
  <c r="E82" i="31"/>
  <c r="G39" i="46"/>
  <c r="M39" i="46" s="1"/>
  <c r="E39" i="46"/>
  <c r="E38" i="46"/>
  <c r="G42" i="46"/>
  <c r="M42" i="46" s="1"/>
  <c r="F43" i="31" l="1"/>
  <c r="M42" i="31"/>
  <c r="E100" i="48"/>
  <c r="M100" i="48"/>
  <c r="F34" i="48"/>
  <c r="M33" i="48"/>
  <c r="F31" i="48"/>
  <c r="M30" i="48"/>
  <c r="E34" i="49"/>
  <c r="E31" i="49"/>
  <c r="F101" i="46"/>
  <c r="G99" i="46"/>
  <c r="F99" i="46"/>
  <c r="F103" i="49"/>
  <c r="G101" i="49"/>
  <c r="F101" i="49"/>
  <c r="F38" i="49"/>
  <c r="F35" i="49"/>
  <c r="F103" i="48"/>
  <c r="G103" i="48" s="1"/>
  <c r="G101" i="48"/>
  <c r="F101" i="48"/>
  <c r="G34" i="48"/>
  <c r="M34" i="48" s="1"/>
  <c r="G31" i="48"/>
  <c r="M31" i="48" s="1"/>
  <c r="G38" i="47"/>
  <c r="E38" i="47"/>
  <c r="G41" i="47"/>
  <c r="E41" i="47"/>
  <c r="G43" i="31"/>
  <c r="E43" i="31"/>
  <c r="F44" i="31"/>
  <c r="F40" i="31"/>
  <c r="F46" i="46"/>
  <c r="F43" i="46"/>
  <c r="E42" i="46"/>
  <c r="F88" i="31" l="1"/>
  <c r="M43" i="31"/>
  <c r="M99" i="46"/>
  <c r="F42" i="47"/>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42" i="47"/>
  <c r="E42" i="47"/>
  <c r="G39" i="47"/>
  <c r="M39" i="47" s="1"/>
  <c r="E39" i="47"/>
  <c r="G40" i="31"/>
  <c r="M40" i="31" s="1"/>
  <c r="E40" i="31"/>
  <c r="G44" i="31"/>
  <c r="E44" i="31"/>
  <c r="G43" i="46"/>
  <c r="E43" i="46"/>
  <c r="G46" i="46"/>
  <c r="F45" i="31" l="1"/>
  <c r="M44" i="31"/>
  <c r="F47" i="46"/>
  <c r="M46" i="46"/>
  <c r="F44" i="46"/>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5" i="31"/>
  <c r="G44" i="46"/>
  <c r="G47" i="46"/>
  <c r="M47" i="46" s="1"/>
  <c r="E46" i="46"/>
  <c r="M45" i="31" l="1"/>
  <c r="E88" i="31"/>
  <c r="M88" i="31"/>
  <c r="F96" i="31"/>
  <c r="M96" i="3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c r="M39" i="48"/>
  <c r="E39" i="48"/>
  <c r="E36" i="48"/>
  <c r="E119" i="49"/>
  <c r="E73" i="49"/>
  <c r="G40" i="49"/>
  <c r="E40" i="49" s="1"/>
  <c r="G43" i="49"/>
  <c r="E43" i="49" s="1"/>
  <c r="F43" i="48"/>
  <c r="F40" i="48"/>
  <c r="G44" i="47"/>
  <c r="M44" i="47" s="1"/>
  <c r="E44" i="47"/>
  <c r="F94" i="47"/>
  <c r="G94" i="47" s="1"/>
  <c r="M94" i="47" s="1"/>
  <c r="F93" i="47"/>
  <c r="G93" i="47" s="1"/>
  <c r="M93" i="47" s="1"/>
  <c r="E100" i="47"/>
  <c r="E89" i="31"/>
  <c r="F91" i="31"/>
  <c r="E90" i="31"/>
  <c r="G48" i="46"/>
  <c r="G51" i="46"/>
  <c r="F52" i="46" l="1"/>
  <c r="M51" i="46"/>
  <c r="F49" i="46"/>
  <c r="M48" i="46"/>
  <c r="F44" i="49"/>
  <c r="G44" i="49" s="1"/>
  <c r="M44" i="49" s="1"/>
  <c r="M43" i="49"/>
  <c r="F41" i="49"/>
  <c r="M40" i="49"/>
  <c r="G41" i="49"/>
  <c r="M41" i="49" s="1"/>
  <c r="G40" i="48"/>
  <c r="E40" i="48" s="1"/>
  <c r="G43" i="48"/>
  <c r="E43" i="48" s="1"/>
  <c r="E93" i="47"/>
  <c r="F95" i="47"/>
  <c r="E94" i="47"/>
  <c r="G91" i="31"/>
  <c r="E91" i="31"/>
  <c r="G49" i="46"/>
  <c r="M49" i="46" s="1"/>
  <c r="E49" i="46"/>
  <c r="E51" i="46"/>
  <c r="E48" i="46"/>
  <c r="G52" i="46"/>
  <c r="M52" i="46" s="1"/>
  <c r="E52" i="46"/>
  <c r="F92" i="31" l="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E108" i="46"/>
  <c r="G116" i="46"/>
  <c r="G53" i="46"/>
  <c r="E53" i="46"/>
  <c r="M62" i="46"/>
  <c r="G62" i="46"/>
  <c r="F63" i="46" s="1"/>
  <c r="E62" i="46"/>
  <c r="F94" i="31" l="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M48" i="48"/>
  <c r="F46" i="48"/>
  <c r="M45" i="48"/>
  <c r="E46" i="49"/>
  <c r="E49" i="49"/>
  <c r="E94" i="31"/>
  <c r="F53" i="49"/>
  <c r="F50" i="49"/>
  <c r="G49" i="48"/>
  <c r="M49" i="48" s="1"/>
  <c r="G46" i="48"/>
  <c r="M46" i="48" s="1"/>
  <c r="G98" i="47"/>
  <c r="E98" i="47"/>
  <c r="E86" i="31"/>
  <c r="G109" i="46"/>
  <c r="M64" i="46"/>
  <c r="G64" i="46"/>
  <c r="F65" i="46" s="1"/>
  <c r="E64" i="46"/>
  <c r="G110" i="46"/>
  <c r="F111" i="46" l="1"/>
  <c r="M110" i="46"/>
  <c r="E109" i="46"/>
  <c r="M109" i="46"/>
  <c r="F90" i="47"/>
  <c r="G90" i="47" s="1"/>
  <c r="M90" i="47" s="1"/>
  <c r="M98" i="47"/>
  <c r="E49" i="48"/>
  <c r="E46" i="48"/>
  <c r="G50" i="49"/>
  <c r="E50" i="49"/>
  <c r="G53" i="49"/>
  <c r="E53" i="49" s="1"/>
  <c r="F53" i="48"/>
  <c r="F50" i="48"/>
  <c r="E90" i="47"/>
  <c r="G97" i="31"/>
  <c r="M97" i="31" s="1"/>
  <c r="E97" i="31"/>
  <c r="G111" i="46"/>
  <c r="M65" i="46"/>
  <c r="G65" i="46"/>
  <c r="F66" i="46" s="1"/>
  <c r="E71" i="46"/>
  <c r="E110" i="46"/>
  <c r="F112" i="46" l="1"/>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M55" i="49"/>
  <c r="F118" i="49"/>
  <c r="M118" i="49" s="1"/>
  <c r="E63" i="49"/>
  <c r="M64" i="49"/>
  <c r="G64" i="49"/>
  <c r="F65" i="49" s="1"/>
  <c r="G56" i="49"/>
  <c r="M56"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<sst xmlns="http://schemas.openxmlformats.org/spreadsheetml/2006/main" count="2308" uniqueCount="465">
  <si>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</si>
  <si>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</si>
  <si>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</si>
  <si>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</si>
  <si>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</si>
  <si>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</si>
  <si>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</si>
  <si>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</si>
  <si>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</si>
  <si>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</si>
  <si>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</si>
  <si>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</si>
  <si>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</si>
  <si>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</si>
  <si>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</si>
  <si>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</si>
  <si>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</si>
  <si>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</si>
  <si>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</si>
  <si>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</si>
  <si>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</si>
  <si>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</si>
  <si>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</si>
  <si>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</si>
  <si>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</si>
  <si>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</si>
  <si>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</si>
  <si>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</si>
  <si>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</si>
  <si>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</si>
  <si>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</si>
  <si>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</si>
  <si>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</si>
  <si>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</si>
  <si>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</si>
  <si>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</si>
  <si>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</si>
  <si>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</si>
  <si>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</si>
  <si>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</si>
  <si>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</si>
  <si>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</si>
  <si>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</si>
  <si>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</si>
  <si>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</si>
  <si>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</si>
  <si>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</si>
  <si>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</si>
  <si>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</si>
  <si>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</si>
  <si>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</si>
  <si>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</si>
  <si>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</si>
  <si>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</si>
  <si>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</si>
  <si>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</si>
  <si>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</si>
  <si>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</si>
  <si>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</si>
  <si>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</si>
  <si>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</si>
  <si>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</si>
  <si>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</si>
  <si>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</si>
  <si>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</si>
  <si>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</si>
  <si>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</si>
  <si>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</si>
  <si>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</si>
  <si>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</si>
  <si>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</si>
  <si>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</si>
  <si>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</si>
  <si>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</si>
  <si>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</si>
  <si>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</si>
  <si>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</si>
  <si>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</si>
  <si>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</si>
  <si>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</si>
  <si>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</si>
  <si>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</si>
  <si>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</si>
  <si>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</si>
  <si>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</si>
  <si>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</si>
  <si>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</si>
  <si>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</si>
  <si>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</si>
  <si>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</si>
  <si>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</si>
  <si>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</si>
  <si>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</si>
  <si>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</si>
  <si>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</si>
  <si>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</si>
  <si>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</si>
  <si>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</si>
  <si>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</si>
  <si>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</si>
  <si>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</si>
  <si>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</si>
  <si>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</si>
  <si>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</si>
  <si>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</si>
  <si>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</si>
  <si>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</si>
  <si>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</si>
  <si>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</si>
  <si>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</si>
  <si>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</si>
  <si>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</si>
  <si>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</si>
  <si>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</si>
  <si>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</si>
  <si>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</si>
  <si>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</si>
  <si>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</si>
  <si>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</si>
  <si>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</si>
  <si>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</si>
  <si>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</si>
  <si>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</si>
  <si>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</si>
  <si>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</si>
  <si>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</si>
  <si>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</si>
  <si>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</si>
  <si>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</si>
  <si>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</si>
  <si>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Total Expereienced Draftsmans  - 2 (Chen lei, Wang boyang)
TOTAL SUPPORT DRAFTMAN -1 (Meshari)</t>
    <phoneticPr fontId="30" type="noConversion"/>
  </si>
  <si>
    <t>3/DAY APPROX</t>
  </si>
  <si>
    <t>5th Batch (16 SS)</t>
  </si>
  <si>
    <t>3/DAY(SS)</t>
  </si>
  <si>
    <t>6th Batch (14 SS)</t>
  </si>
  <si>
    <t xml:space="preserve">Leader - 1 (Liang shifei) </t>
    <phoneticPr fontId="30" type="noConversion"/>
  </si>
  <si>
    <t>7th Batch (15 SS)</t>
  </si>
  <si>
    <t>8th Batch (15 SS)</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</si>
  <si>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</si>
  <si>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</si>
  <si>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</si>
  <si>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</si>
  <si>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</si>
  <si>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</si>
  <si>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</si>
  <si>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</si>
  <si>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</si>
  <si>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</si>
  <si>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</si>
  <si>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</si>
  <si>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</si>
  <si>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</si>
  <si>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</si>
  <si>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</si>
  <si>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</si>
  <si>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</si>
  <si>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</si>
  <si>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</si>
  <si>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</si>
  <si>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</si>
  <si>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</si>
  <si>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</si>
  <si>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</si>
  <si>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</si>
  <si>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</si>
  <si>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</si>
  <si>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</si>
  <si>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</si>
  <si>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</si>
  <si>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</si>
  <si>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</si>
  <si>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</si>
  <si>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</si>
  <si>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</si>
  <si>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</si>
  <si>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</si>
  <si>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</si>
  <si>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</si>
  <si>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</si>
  <si>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</si>
  <si>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</si>
  <si>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</si>
  <si>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</si>
  <si>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</si>
  <si>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</si>
  <si>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</si>
  <si>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</si>
  <si>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</si>
  <si>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</si>
  <si>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</si>
  <si>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</si>
  <si>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</si>
  <si>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</si>
  <si>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</si>
  <si>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</si>
  <si>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</si>
  <si>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</si>
  <si>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</si>
  <si>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</si>
  <si>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</si>
  <si>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</si>
  <si>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</si>
  <si>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</si>
  <si>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</si>
  <si>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</si>
  <si>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</si>
  <si>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</si>
  <si>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</si>
  <si>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</si>
  <si>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</si>
  <si>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</si>
  <si>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</si>
  <si>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</si>
  <si>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</si>
  <si>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</si>
  <si>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</si>
  <si>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</si>
  <si>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</si>
  <si>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</si>
  <si>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</si>
  <si>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</si>
  <si>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</si>
  <si>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</si>
  <si>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</si>
  <si>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</si>
  <si>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</si>
  <si>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</si>
  <si>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</si>
  <si>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</si>
  <si>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</si>
  <si>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</si>
  <si>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</si>
  <si>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</si>
  <si>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</si>
  <si>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</si>
  <si>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</si>
  <si>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</si>
  <si>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</si>
  <si>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</si>
  <si>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</si>
  <si>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</si>
  <si>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</si>
  <si>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</si>
  <si>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</si>
  <si>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</si>
  <si>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</si>
  <si>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</si>
  <si>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</si>
  <si>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</si>
  <si>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</si>
  <si>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</si>
  <si>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</si>
  <si>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</si>
  <si>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</si>
  <si>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</si>
  <si>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</si>
  <si>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</si>
  <si>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</si>
  <si>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</si>
  <si>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</si>
  <si>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</si>
  <si>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</si>
  <si>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</si>
  <si>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</si>
  <si>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</si>
  <si>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</si>
  <si>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</si>
  <si>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</si>
  <si>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</si>
  <si>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</si>
  <si>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</si>
  <si>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</si>
  <si>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</si>
  <si>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</si>
  <si>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</si>
  <si>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</si>
  <si>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</si>
  <si>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</si>
  <si>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</si>
  <si>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</si>
  <si>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</si>
  <si>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</si>
  <si>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</si>
  <si>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</si>
  <si>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</si>
  <si>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</si>
  <si>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</si>
  <si>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</si>
  <si>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</si>
  <si>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</si>
  <si>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</si>
  <si>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</si>
  <si>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</si>
  <si>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</si>
  <si>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</si>
  <si>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</si>
  <si>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</si>
  <si>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</si>
  <si>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</si>
  <si>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</si>
  <si>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</si>
  <si>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</si>
  <si>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</si>
  <si>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</si>
  <si>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</si>
  <si>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</si>
  <si>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</si>
  <si>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</si>
  <si>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</si>
  <si>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</si>
  <si>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</si>
  <si>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</si>
  <si>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</si>
  <si>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</si>
  <si>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</si>
  <si>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</si>
  <si>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</si>
  <si>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</si>
  <si>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</si>
  <si>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</si>
  <si>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</si>
  <si>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</si>
  <si>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</si>
  <si>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</si>
  <si>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</si>
  <si>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</si>
  <si>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</si>
  <si>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</si>
  <si>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</si>
  <si>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</si>
  <si>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</si>
  <si>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</si>
  <si>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</si>
  <si>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</si>
  <si>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</si>
  <si>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</si>
  <si>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</si>
  <si>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delay caused by predecessor(driving activity)</t>
  </si>
  <si>
    <t>Total Expereienced Draftsmans  - 1 (Cheng yuheng)
TOTAL SUPPORT DRAFTMAN -1 (Abdulrahman Gaees)</t>
    <phoneticPr fontId="30" type="noConversion"/>
  </si>
  <si>
    <t>5SS/DAY</t>
  </si>
  <si>
    <t>3rd Batch (19 SS)</t>
  </si>
  <si>
    <t>Total Expereienced Draftsmans  - 1 (Cheng yuheng)
TOTAL SUPPORT DRAFTMAN -3(Kamran,Hamza Amjad, Azizuddin)</t>
    <phoneticPr fontId="30"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</si>
  <si>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</si>
  <si>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</si>
  <si>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</si>
  <si>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</si>
  <si>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</si>
  <si>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</si>
  <si>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</si>
  <si>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</si>
  <si>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</si>
  <si>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</si>
  <si>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</si>
  <si>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</si>
  <si>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</si>
  <si>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</si>
  <si>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</si>
  <si>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</si>
  <si>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</si>
  <si>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</si>
  <si>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</si>
  <si>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</si>
  <si>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</si>
  <si>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</si>
  <si>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</si>
  <si>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</si>
  <si>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</si>
  <si>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</si>
  <si>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</si>
  <si>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</si>
  <si>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</si>
  <si>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</si>
  <si>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</si>
  <si>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</si>
  <si>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</si>
  <si>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</si>
  <si>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</si>
  <si>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</si>
  <si>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</si>
  <si>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</si>
  <si>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</si>
  <si>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</si>
  <si>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</si>
  <si>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</si>
  <si>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</si>
  <si>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</si>
  <si>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</si>
  <si>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</si>
  <si>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</si>
  <si>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</si>
  <si>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 xml:space="preserve"> </t>
  </si>
  <si>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</si>
  <si>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</si>
  <si>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</si>
  <si>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</si>
  <si>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</si>
  <si>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</si>
  <si>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</si>
  <si>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</si>
  <si>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</si>
  <si>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</si>
  <si>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</si>
  <si>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</si>
  <si>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</si>
  <si>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</si>
  <si>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</si>
  <si>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</si>
  <si>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</si>
  <si>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</si>
  <si>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</si>
  <si>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</si>
  <si>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</si>
  <si>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</si>
  <si>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</si>
  <si>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30" type="noConversion"/>
  </si>
  <si>
    <t>*Extension of Working Hours to be extending till  9:00 PM on daily basis including weekend Friday and Saturday</t>
  </si>
  <si>
    <t xml:space="preserve">Delayed in submission </t>
  </si>
  <si>
    <t>will be send for review by 15 july</t>
  </si>
  <si>
    <t>delayed due to TSRs related to DVM IP addresses, along with the E1 TSRs still not recieved.</t>
  </si>
  <si>
    <t>Leader - 1 (Ma long)</t>
    <phoneticPr fontId="30" type="noConversion"/>
  </si>
  <si>
    <t>delayed in predecessor</t>
  </si>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</sst>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s>
  <fills count="27">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s>
  <borders count="111">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s>
  <cellStyleXfs count="6">
    <xf numFmtId="0" fontId="0" fillId="0" borderId="0"/>
    <xf numFmtId="9" fontId="29" fillId="0" borderId="0" applyFont="0" applyFill="0" applyBorder="0" applyAlignment="0" applyProtection="0"/>
    <xf numFmtId="0" fontId="42" fillId="0" borderId="0"/>
    <xf numFmtId="9" fontId="42" fillId="0" borderId="0" applyFont="0" applyFill="0" applyBorder="0" applyAlignment="0" applyProtection="0"/>
    <xf numFmtId="0" fontId="41" fillId="0" borderId="0"/>
    <xf numFmtId="9" fontId="41" fillId="0" borderId="0" applyFont="0" applyFill="0" applyBorder="0" applyAlignment="0" applyProtection="0"/>
  </cellStyleXfs>
  <cellXfs count="1336">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9" fontId="13" fillId="19" borderId="32" xfId="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40" fillId="9" borderId="52" xfId="0" applyNumberFormat="1" applyFont="1" applyFill="1" applyBorder="1" applyAlignment="1">
      <alignment horizontal="center" vertical="center" wrapText="1"/>
    </xf>
    <xf numFmtId="167" fontId="46" fillId="0" borderId="87" xfId="0" applyNumberFormat="1" applyFont="1" applyBorder="1" applyAlignment="1">
      <alignment horizontal="center" vertical="center"/>
    </xf>
    <xf numFmtId="167" fontId="46" fillId="0" borderId="88" xfId="0" applyNumberFormat="1" applyFont="1" applyBorder="1" applyAlignment="1">
      <alignment horizontal="center" vertical="center"/>
    </xf>
    <xf numFmtId="167" fontId="46" fillId="0" borderId="89" xfId="0" applyNumberFormat="1" applyFont="1" applyBorder="1" applyAlignment="1">
      <alignment horizontal="center" vertical="center"/>
    </xf>
    <xf numFmtId="0" fontId="47" fillId="0" borderId="90" xfId="0" applyFont="1" applyBorder="1" applyAlignment="1">
      <alignment horizontal="center" vertical="center"/>
    </xf>
    <xf numFmtId="0" fontId="47" fillId="0" borderId="91" xfId="0" applyFont="1" applyBorder="1" applyAlignment="1">
      <alignment horizontal="center" vertical="center"/>
    </xf>
    <xf numFmtId="0" fontId="47" fillId="0" borderId="92" xfId="0" applyFont="1" applyBorder="1" applyAlignment="1">
      <alignment horizontal="center" vertical="center"/>
    </xf>
    <xf numFmtId="167" fontId="43" fillId="21" borderId="1" xfId="0" applyNumberFormat="1" applyFont="1" applyFill="1" applyBorder="1" applyAlignment="1">
      <alignment horizontal="center" vertical="center" wrapText="1"/>
    </xf>
    <xf numFmtId="167" fontId="43" fillId="21" borderId="2" xfId="0" applyNumberFormat="1" applyFont="1" applyFill="1" applyBorder="1" applyAlignment="1">
      <alignment horizontal="center" vertical="center" wrapText="1"/>
    </xf>
    <xf numFmtId="167" fontId="43" fillId="21" borderId="3" xfId="0" applyNumberFormat="1" applyFont="1" applyFill="1" applyBorder="1" applyAlignment="1">
      <alignment horizontal="center" vertical="center" wrapText="1"/>
    </xf>
    <xf numFmtId="0" fontId="43" fillId="21" borderId="87" xfId="2" applyFont="1" applyFill="1" applyBorder="1" applyAlignment="1">
      <alignment horizontal="center" vertical="center" wrapText="1"/>
    </xf>
    <xf numFmtId="0" fontId="43" fillId="21" borderId="88" xfId="2" applyFont="1" applyFill="1" applyBorder="1" applyAlignment="1">
      <alignment horizontal="center" vertical="center" wrapText="1"/>
    </xf>
    <xf numFmtId="0" fontId="43" fillId="21" borderId="89" xfId="2" applyFont="1" applyFill="1" applyBorder="1" applyAlignment="1">
      <alignment horizontal="center" vertical="center" wrapText="1"/>
    </xf>
    <xf numFmtId="0" fontId="44" fillId="0" borderId="93" xfId="2" applyFont="1" applyBorder="1" applyAlignment="1">
      <alignment vertical="center"/>
    </xf>
    <xf numFmtId="166" fontId="42" fillId="0" borderId="94" xfId="2" applyNumberFormat="1" applyBorder="1" applyAlignment="1">
      <alignment vertical="center"/>
    </xf>
    <xf numFmtId="0" fontId="45" fillId="22" borderId="94" xfId="2" applyFont="1" applyFill="1" applyBorder="1" applyAlignment="1">
      <alignment horizontal="center" vertical="center"/>
    </xf>
    <xf numFmtId="0" fontId="42" fillId="0" borderId="94" xfId="2" applyBorder="1" applyAlignment="1">
      <alignment vertical="center" wrapText="1"/>
    </xf>
    <xf numFmtId="0" fontId="42" fillId="0" borderId="95" xfId="2" applyBorder="1" applyAlignment="1">
      <alignment vertical="center" wrapText="1"/>
    </xf>
    <xf numFmtId="0" fontId="44" fillId="0" borderId="90" xfId="2" applyFont="1" applyBorder="1" applyAlignment="1">
      <alignment vertical="center"/>
    </xf>
    <xf numFmtId="166" fontId="42" fillId="0" borderId="91" xfId="2" applyNumberFormat="1" applyBorder="1" applyAlignment="1">
      <alignment vertical="center"/>
    </xf>
    <xf numFmtId="0" fontId="45" fillId="22" borderId="91" xfId="2" applyFont="1" applyFill="1" applyBorder="1" applyAlignment="1">
      <alignment horizontal="center" vertical="center"/>
    </xf>
    <xf numFmtId="0" fontId="42" fillId="0" borderId="91" xfId="2" applyBorder="1" applyAlignment="1">
      <alignment vertical="center" wrapText="1"/>
    </xf>
    <xf numFmtId="0" fontId="42" fillId="0" borderId="92" xfId="2" applyBorder="1" applyAlignment="1">
      <alignment vertical="center" wrapText="1"/>
    </xf>
    <xf numFmtId="0" fontId="42" fillId="0" borderId="94" xfId="2" applyBorder="1" applyAlignment="1">
      <alignment horizontal="center" vertical="center"/>
    </xf>
    <xf numFmtId="0" fontId="42" fillId="0" borderId="91" xfId="2" applyBorder="1" applyAlignment="1">
      <alignment horizontal="center" vertic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 xfId="0" applyFont="1" applyBorder="1" applyAlignment="1">
      <alignment horizontal="center" vertical="center"/>
    </xf>
    <xf numFmtId="0" fontId="46" fillId="0" borderId="6" xfId="0" applyFont="1" applyBorder="1" applyAlignment="1">
      <alignment horizontal="center" vertical="center"/>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8" fillId="0" borderId="96" xfId="4" applyNumberFormat="1" applyFont="1" applyBorder="1" applyAlignment="1">
      <alignment horizontal="left" vertical="center"/>
    </xf>
    <xf numFmtId="9" fontId="48" fillId="0" borderId="97" xfId="4" applyNumberFormat="1" applyFont="1" applyBorder="1" applyAlignment="1">
      <alignment horizontal="left" vertical="center"/>
    </xf>
    <xf numFmtId="0" fontId="50" fillId="0" borderId="103" xfId="4" applyFont="1" applyBorder="1" applyAlignment="1">
      <alignment vertical="center"/>
    </xf>
    <xf numFmtId="0" fontId="50" fillId="0" borderId="104" xfId="4" applyFont="1" applyBorder="1" applyAlignment="1">
      <alignment vertical="center"/>
    </xf>
    <xf numFmtId="0" fontId="49" fillId="0" borderId="105" xfId="4" applyFont="1" applyBorder="1" applyAlignment="1">
      <alignment vertical="center"/>
    </xf>
    <xf numFmtId="0" fontId="52" fillId="18" borderId="96" xfId="4" applyFont="1" applyFill="1" applyBorder="1" applyAlignment="1">
      <alignment horizontal="center" vertical="center"/>
    </xf>
    <xf numFmtId="0" fontId="52" fillId="23" borderId="96" xfId="4" applyFont="1" applyFill="1" applyBorder="1" applyAlignment="1">
      <alignment horizontal="center" vertical="center"/>
    </xf>
    <xf numFmtId="0" fontId="52" fillId="24" borderId="96" xfId="4" applyFont="1" applyFill="1" applyBorder="1" applyAlignment="1">
      <alignment horizontal="center" vertical="center"/>
    </xf>
    <xf numFmtId="0" fontId="52" fillId="25" borderId="96" xfId="4" applyFont="1" applyFill="1" applyBorder="1" applyAlignment="1">
      <alignment horizontal="center" textRotation="90"/>
    </xf>
    <xf numFmtId="0" fontId="52" fillId="0" borderId="96" xfId="4" applyFont="1" applyBorder="1" applyAlignment="1">
      <alignment horizontal="center" vertical="center"/>
    </xf>
    <xf numFmtId="9" fontId="48" fillId="0" borderId="96" xfId="5" applyFont="1" applyBorder="1" applyAlignment="1">
      <alignment horizontal="right" vertical="center"/>
    </xf>
    <xf numFmtId="9" fontId="53" fillId="0" borderId="96" xfId="4" applyNumberFormat="1" applyFont="1" applyBorder="1" applyAlignment="1">
      <alignment horizontal="left" vertical="center"/>
    </xf>
    <xf numFmtId="9" fontId="54" fillId="0" borderId="96" xfId="4" applyNumberFormat="1" applyFont="1" applyBorder="1" applyAlignment="1">
      <alignment horizontal="center" vertical="center"/>
    </xf>
    <xf numFmtId="9" fontId="53" fillId="0" borderId="96" xfId="5" applyFont="1" applyBorder="1" applyAlignment="1">
      <alignment horizontal="right" vertical="center"/>
    </xf>
    <xf numFmtId="9" fontId="55" fillId="0" borderId="96" xfId="5" applyFont="1" applyBorder="1" applyAlignment="1">
      <alignment horizontal="right" vertical="center"/>
    </xf>
    <xf numFmtId="9" fontId="52" fillId="0" borderId="96" xfId="4" applyNumberFormat="1" applyFont="1" applyBorder="1" applyAlignment="1">
      <alignment horizontal="left" vertical="center"/>
    </xf>
    <xf numFmtId="9" fontId="52" fillId="0" borderId="96" xfId="5" applyFont="1" applyBorder="1" applyAlignment="1">
      <alignment horizontal="right" vertical="center"/>
    </xf>
    <xf numFmtId="0" fontId="57" fillId="0" borderId="0" xfId="4" applyFont="1"/>
    <xf numFmtId="0" fontId="57" fillId="0" borderId="0" xfId="4" applyFont="1" applyAlignment="1">
      <alignment horizontal="center" vertical="center"/>
    </xf>
    <xf numFmtId="0" fontId="57" fillId="5" borderId="15" xfId="4" applyFont="1" applyFill="1" applyBorder="1"/>
    <xf numFmtId="0" fontId="57" fillId="5" borderId="16" xfId="4" applyFont="1" applyFill="1" applyBorder="1" applyAlignment="1">
      <alignment horizontal="center" vertical="center"/>
    </xf>
    <xf numFmtId="0" fontId="57" fillId="0" borderId="16" xfId="4" applyFont="1" applyBorder="1" applyAlignment="1">
      <alignment horizontal="center" vertical="center"/>
    </xf>
    <xf numFmtId="0" fontId="57" fillId="0" borderId="17" xfId="4" applyFont="1" applyBorder="1" applyAlignment="1">
      <alignment horizontal="center" vertical="center"/>
    </xf>
    <xf numFmtId="0" fontId="0" fillId="20" borderId="16" xfId="4" applyFont="1" applyFill="1" applyBorder="1"/>
    <xf numFmtId="9" fontId="59" fillId="0" borderId="16" xfId="4" applyNumberFormat="1" applyFont="1" applyBorder="1" applyAlignment="1">
      <alignment horizontal="center" vertical="top"/>
    </xf>
    <xf numFmtId="165" fontId="59" fillId="5" borderId="16" xfId="4" applyNumberFormat="1" applyFont="1" applyFill="1" applyBorder="1" applyAlignment="1">
      <alignment horizontal="center" vertical="top"/>
    </xf>
    <xf numFmtId="165" fontId="59" fillId="0" borderId="16" xfId="4" applyNumberFormat="1" applyFont="1" applyBorder="1" applyAlignment="1">
      <alignment horizontal="center" vertical="top"/>
    </xf>
    <xf numFmtId="4" fontId="59" fillId="0" borderId="17" xfId="4" applyNumberFormat="1" applyFont="1" applyBorder="1" applyAlignment="1">
      <alignment horizontal="center" vertical="top"/>
    </xf>
    <xf numFmtId="9" fontId="57" fillId="0" borderId="16" xfId="4" applyNumberFormat="1" applyFont="1" applyBorder="1" applyAlignment="1">
      <alignment horizontal="center" vertical="center"/>
    </xf>
    <xf numFmtId="9" fontId="59" fillId="0" borderId="24" xfId="4" applyNumberFormat="1" applyFont="1" applyBorder="1" applyAlignment="1">
      <alignment horizontal="center" vertical="top"/>
    </xf>
    <xf numFmtId="165" fontId="59" fillId="0" borderId="24" xfId="4" applyNumberFormat="1" applyFont="1" applyBorder="1" applyAlignment="1">
      <alignment horizontal="center" vertical="top"/>
    </xf>
    <xf numFmtId="4" fontId="59" fillId="0" borderId="25" xfId="4" applyNumberFormat="1" applyFont="1" applyBorder="1" applyAlignment="1">
      <alignment horizontal="center" vertical="top"/>
    </xf>
    <xf numFmtId="0" fontId="0" fillId="20" borderId="24" xfId="4" applyFont="1" applyFill="1" applyBorder="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20" borderId="74" xfId="0" applyFont="1" applyFill="1" applyBorder="1" applyAlignment="1">
      <alignment horizontal="center" vertical="center" textRotation="90"/>
    </xf>
    <xf numFmtId="0" fontId="11" fillId="20"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1" fillId="0" borderId="96" xfId="4" applyFont="1" applyBorder="1" applyAlignment="1">
      <alignment horizontal="center" vertical="center"/>
    </xf>
    <xf numFmtId="0" fontId="56" fillId="0" borderId="98" xfId="4" applyFont="1" applyBorder="1" applyAlignment="1">
      <alignment horizontal="center" vertical="center"/>
    </xf>
    <xf numFmtId="0" fontId="56" fillId="0" borderId="99" xfId="4" applyFont="1" applyBorder="1" applyAlignment="1">
      <alignment horizontal="center" vertical="center"/>
    </xf>
    <xf numFmtId="0" fontId="56" fillId="0" borderId="100" xfId="4" applyFont="1" applyBorder="1" applyAlignment="1">
      <alignment horizontal="center" vertical="center"/>
    </xf>
    <xf numFmtId="0" fontId="56" fillId="0" borderId="101" xfId="4" applyFont="1" applyBorder="1" applyAlignment="1">
      <alignment horizontal="center" vertical="center"/>
    </xf>
    <xf numFmtId="0" fontId="56" fillId="0" borderId="0" xfId="4" applyFont="1" applyAlignment="1">
      <alignment horizontal="center" vertical="center"/>
    </xf>
    <xf numFmtId="0" fontId="56" fillId="0" borderId="102" xfId="4" applyFont="1" applyBorder="1" applyAlignment="1">
      <alignment horizontal="center" vertical="center"/>
    </xf>
    <xf numFmtId="0" fontId="56" fillId="0" borderId="103" xfId="4" applyFont="1" applyBorder="1" applyAlignment="1">
      <alignment horizontal="center" vertical="center"/>
    </xf>
    <xf numFmtId="0" fontId="56" fillId="0" borderId="104" xfId="4" applyFont="1" applyBorder="1" applyAlignment="1">
      <alignment horizontal="center" vertical="center"/>
    </xf>
    <xf numFmtId="0" fontId="56" fillId="0" borderId="106" xfId="4" applyFont="1" applyBorder="1" applyAlignment="1">
      <alignment horizontal="center" vertical="center"/>
    </xf>
    <xf numFmtId="0" fontId="49" fillId="0" borderId="98" xfId="4" applyFont="1" applyBorder="1" applyAlignment="1">
      <alignment horizontal="center" vertical="center"/>
    </xf>
    <xf numFmtId="0" fontId="49" fillId="0" borderId="99" xfId="4" applyFont="1" applyBorder="1" applyAlignment="1">
      <alignment horizontal="center" vertical="center"/>
    </xf>
    <xf numFmtId="0" fontId="49" fillId="0" borderId="100" xfId="4" applyFont="1" applyBorder="1" applyAlignment="1">
      <alignment horizontal="center" vertical="center"/>
    </xf>
    <xf numFmtId="0" fontId="49" fillId="0" borderId="101" xfId="4" applyFont="1" applyBorder="1" applyAlignment="1">
      <alignment horizontal="center" vertical="center"/>
    </xf>
    <xf numFmtId="0" fontId="49" fillId="0" borderId="0" xfId="4" applyFont="1" applyAlignment="1">
      <alignment horizontal="center" vertical="center"/>
    </xf>
    <xf numFmtId="0" fontId="49" fillId="0" borderId="102" xfId="4" applyFont="1" applyBorder="1" applyAlignment="1">
      <alignment horizontal="center" vertical="center"/>
    </xf>
    <xf numFmtId="0" fontId="49" fillId="0" borderId="104" xfId="4" applyFont="1" applyBorder="1" applyAlignment="1">
      <alignment horizontal="center" vertical="center"/>
    </xf>
    <xf numFmtId="0" fontId="49"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58" fillId="26" borderId="11" xfId="4" applyFont="1" applyFill="1" applyBorder="1" applyAlignment="1">
      <alignment horizontal="center"/>
    </xf>
    <xf numFmtId="0" fontId="58" fillId="26" borderId="12" xfId="4" applyFont="1" applyFill="1" applyBorder="1" applyAlignment="1">
      <alignment horizontal="center"/>
    </xf>
    <xf numFmtId="0" fontId="58" fillId="26" borderId="13" xfId="4" applyFont="1" applyFill="1" applyBorder="1" applyAlignment="1">
      <alignment horizontal="center"/>
    </xf>
    <xf numFmtId="0" fontId="0" fillId="20" borderId="15" xfId="4" applyFont="1" applyFill="1" applyBorder="1" applyAlignment="1">
      <alignment horizontal="center" vertic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23" xfId="4" applyFont="1" applyFill="1" applyBorder="1" applyAlignment="1">
      <alignment horizontal="center" vertical="center"/>
    </xf>
    <xf numFmtId="0" fontId="58" fillId="0" borderId="1" xfId="4" applyFont="1" applyBorder="1" applyAlignment="1">
      <alignment horizontal="center"/>
    </xf>
    <xf numFmtId="0" fontId="58" fillId="0" borderId="2" xfId="4" applyFont="1" applyBorder="1" applyAlignment="1">
      <alignment horizontal="center"/>
    </xf>
    <xf numFmtId="0" fontId="58" fillId="0" borderId="3" xfId="4" applyFont="1" applyBorder="1" applyAlignment="1">
      <alignment horizontal="center"/>
    </xf>
    <xf numFmtId="0" fontId="58" fillId="0" borderId="4" xfId="4" applyFont="1" applyBorder="1" applyAlignment="1">
      <alignment horizontal="center"/>
    </xf>
    <xf numFmtId="0" fontId="58" fillId="0" borderId="0" xfId="4" applyFont="1" applyAlignment="1">
      <alignment horizontal="center"/>
    </xf>
    <xf numFmtId="0" fontId="58" fillId="0" borderId="5" xfId="4" applyFont="1" applyBorder="1" applyAlignment="1">
      <alignment horizontal="center"/>
    </xf>
    <xf numFmtId="0" fontId="58" fillId="0" borderId="6" xfId="4" applyFont="1" applyBorder="1" applyAlignment="1">
      <alignment horizontal="center"/>
    </xf>
    <xf numFmtId="0" fontId="58" fillId="0" borderId="7" xfId="4" applyFont="1" applyBorder="1" applyAlignment="1">
      <alignment horizontal="center"/>
    </xf>
    <xf numFmtId="0" fontId="58" fillId="0" borderId="8" xfId="4" applyFont="1" applyBorder="1" applyAlignment="1">
      <alignment horizontal="center"/>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0" fontId="8" fillId="9" borderId="71"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7" fillId="0" borderId="3" xfId="0" applyFont="1" applyBorder="1" applyAlignment="1">
      <alignment horizontal="center"/>
    </xf>
    <xf numFmtId="0" fontId="7" fillId="0" borderId="8" xfId="0" applyFont="1" applyBorder="1" applyAlignment="1">
      <alignment horizontal="center"/>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5" xfId="0" applyFont="1" applyBorder="1" applyAlignment="1">
      <alignment horizontal="center"/>
    </xf>
    <xf numFmtId="15" fontId="6" fillId="0" borderId="17" xfId="0" applyNumberFormat="1"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5" xfId="0" applyFont="1" applyFill="1" applyBorder="1" applyAlignment="1">
      <alignment horizontal="center" vertical="center"/>
    </xf>
    <xf numFmtId="0" fontId="3" fillId="3" borderId="15"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0" fontId="3" fillId="2" borderId="18" xfId="0" applyFont="1" applyFill="1" applyBorder="1" applyAlignment="1">
      <alignment horizontal="center"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67" t="s">
        <v>0</v>
      </c>
      <c r="C2" s="218" t="s">
        <v>1</v>
      </c>
      <c r="D2" s="219">
        <v>46113</v>
      </c>
      <c r="E2" s="219">
        <v>46143</v>
      </c>
      <c r="F2" s="219">
        <v>46174</v>
      </c>
      <c r="G2" s="219">
        <v>46204</v>
      </c>
      <c r="H2" s="219">
        <v>46235</v>
      </c>
      <c r="I2" s="219">
        <v>46266</v>
      </c>
      <c r="J2" s="219">
        <v>46296</v>
      </c>
      <c r="K2" s="220" t="s">
        <v>2</v>
      </c>
    </row>
    <row r="3" spans="2:11" ht="45" customHeight="1">
      <c r="B3" s="1168"/>
      <c r="C3" s="1170" t="s">
        <v>3</v>
      </c>
      <c r="D3" s="1171"/>
      <c r="E3" s="1171"/>
      <c r="F3" s="1171"/>
      <c r="G3" s="1171"/>
      <c r="H3" s="1171"/>
      <c r="I3" s="1171"/>
      <c r="J3" s="1171"/>
      <c r="K3" s="221" t="s">
        <v>4</v>
      </c>
    </row>
    <row r="4" spans="2:11" ht="45" customHeight="1">
      <c r="B4" s="1168"/>
      <c r="C4" s="1164" t="s">
        <v>5</v>
      </c>
      <c r="D4" s="1165"/>
      <c r="E4" s="1165"/>
      <c r="F4" s="1165"/>
      <c r="G4" s="1165"/>
      <c r="H4" s="1165"/>
      <c r="I4" s="1165"/>
      <c r="J4" s="1166"/>
      <c r="K4" s="221" t="s">
        <v>6</v>
      </c>
    </row>
    <row r="5" spans="2:11" ht="45" customHeight="1">
      <c r="B5" s="1168"/>
      <c r="C5" s="1164" t="s">
        <v>7</v>
      </c>
      <c r="D5" s="1165"/>
      <c r="E5" s="1165"/>
      <c r="F5" s="1165"/>
      <c r="G5" s="1165"/>
      <c r="H5" s="1165"/>
      <c r="I5" s="1165"/>
      <c r="J5" s="1166"/>
      <c r="K5" s="221" t="s">
        <v>8</v>
      </c>
    </row>
    <row r="6" spans="2:11" ht="45" customHeight="1">
      <c r="B6" s="1168"/>
      <c r="C6" s="425" t="s">
        <v>9</v>
      </c>
      <c r="D6" s="426"/>
      <c r="E6" s="426"/>
      <c r="F6" s="426"/>
      <c r="G6" s="426"/>
      <c r="H6" s="426"/>
      <c r="I6" s="426"/>
      <c r="J6" s="427"/>
      <c r="K6" s="221" t="s">
        <v>10</v>
      </c>
    </row>
    <row r="7" spans="2:11" ht="45" customHeight="1">
      <c r="B7" s="1168"/>
      <c r="C7" s="1164" t="s">
        <v>11</v>
      </c>
      <c r="D7" s="1165"/>
      <c r="E7" s="1165"/>
      <c r="F7" s="1165"/>
      <c r="G7" s="1165"/>
      <c r="H7" s="1165"/>
      <c r="I7" s="1165"/>
      <c r="J7" s="1166"/>
      <c r="K7" s="221" t="s">
        <v>12</v>
      </c>
    </row>
    <row r="8" spans="2:11" ht="45" customHeight="1">
      <c r="B8" s="1168"/>
      <c r="C8" s="1164" t="s">
        <v>13</v>
      </c>
      <c r="D8" s="1165"/>
      <c r="E8" s="1165"/>
      <c r="F8" s="1165"/>
      <c r="G8" s="1165"/>
      <c r="H8" s="1165"/>
      <c r="I8" s="1165"/>
      <c r="J8" s="1166"/>
      <c r="K8" s="221" t="s">
        <v>14</v>
      </c>
    </row>
    <row r="9" spans="2:11" ht="45" customHeight="1">
      <c r="B9" s="1168"/>
      <c r="C9" s="1164" t="s">
        <v>15</v>
      </c>
      <c r="D9" s="1165"/>
      <c r="E9" s="1165"/>
      <c r="F9" s="1165"/>
      <c r="G9" s="1165"/>
      <c r="H9" s="1165"/>
      <c r="I9" s="1165"/>
      <c r="J9" s="1166"/>
      <c r="K9" s="221" t="s">
        <v>14</v>
      </c>
    </row>
    <row r="10" spans="2:11" ht="45" customHeight="1">
      <c r="B10" s="1168"/>
      <c r="C10" s="1164" t="s">
        <v>16</v>
      </c>
      <c r="D10" s="1165"/>
      <c r="E10" s="1165"/>
      <c r="F10" s="1165"/>
      <c r="G10" s="1165"/>
      <c r="H10" s="1165"/>
      <c r="I10" s="1165"/>
      <c r="J10" s="1166"/>
      <c r="K10" s="221" t="s">
        <v>14</v>
      </c>
    </row>
    <row r="11" spans="2:11" ht="45" customHeight="1">
      <c r="B11" s="1168"/>
      <c r="C11" s="1164" t="s">
        <v>17</v>
      </c>
      <c r="D11" s="1165"/>
      <c r="E11" s="1165"/>
      <c r="F11" s="1165"/>
      <c r="G11" s="1165"/>
      <c r="H11" s="1165"/>
      <c r="I11" s="1165"/>
      <c r="J11" s="1166"/>
      <c r="K11" s="221" t="s">
        <v>18</v>
      </c>
    </row>
    <row r="12" spans="2:11" ht="45" customHeight="1">
      <c r="B12" s="1168"/>
      <c r="C12" s="1164" t="s">
        <v>19</v>
      </c>
      <c r="D12" s="1165"/>
      <c r="E12" s="1165"/>
      <c r="F12" s="1165"/>
      <c r="G12" s="1165"/>
      <c r="H12" s="1165"/>
      <c r="I12" s="1165"/>
      <c r="J12" s="1166"/>
      <c r="K12" s="221" t="s">
        <v>18</v>
      </c>
    </row>
    <row r="13" spans="2:11" ht="45" customHeight="1">
      <c r="B13" s="1168"/>
      <c r="C13" s="1164" t="s">
        <v>20</v>
      </c>
      <c r="D13" s="1165"/>
      <c r="E13" s="1165"/>
      <c r="F13" s="1165"/>
      <c r="G13" s="1165"/>
      <c r="H13" s="1165"/>
      <c r="I13" s="1165"/>
      <c r="J13" s="1166"/>
      <c r="K13" s="221" t="s">
        <v>18</v>
      </c>
    </row>
    <row r="14" spans="2:11" ht="45" customHeight="1">
      <c r="B14" s="1168"/>
      <c r="C14" s="1164" t="s">
        <v>21</v>
      </c>
      <c r="D14" s="1165"/>
      <c r="E14" s="1165"/>
      <c r="F14" s="1165"/>
      <c r="G14" s="1165"/>
      <c r="H14" s="1165"/>
      <c r="I14" s="1165"/>
      <c r="J14" s="1166"/>
      <c r="K14" s="221" t="s">
        <v>22</v>
      </c>
    </row>
    <row r="15" spans="2:11" ht="45" customHeight="1">
      <c r="B15" s="1168"/>
      <c r="C15" s="1164" t="s">
        <v>23</v>
      </c>
      <c r="D15" s="1165"/>
      <c r="E15" s="1165"/>
      <c r="F15" s="1165"/>
      <c r="G15" s="1165"/>
      <c r="H15" s="1165"/>
      <c r="I15" s="1165"/>
      <c r="J15" s="1166"/>
      <c r="K15" s="221" t="s">
        <v>24</v>
      </c>
    </row>
    <row r="16" spans="2:11" ht="45" customHeight="1">
      <c r="B16" s="1168"/>
      <c r="C16" s="1164" t="s">
        <v>25</v>
      </c>
      <c r="D16" s="1165"/>
      <c r="E16" s="1165"/>
      <c r="F16" s="1165"/>
      <c r="G16" s="1165"/>
      <c r="H16" s="1165"/>
      <c r="I16" s="1165"/>
      <c r="J16" s="1166"/>
      <c r="K16" s="221" t="s">
        <v>26</v>
      </c>
    </row>
    <row r="17" spans="2:12" ht="45" customHeight="1">
      <c r="B17" s="1168"/>
      <c r="C17" s="425" t="s">
        <v>27</v>
      </c>
      <c r="D17" s="426"/>
      <c r="E17" s="426"/>
      <c r="F17" s="426"/>
      <c r="G17" s="426"/>
      <c r="H17" s="426"/>
      <c r="I17" s="426"/>
      <c r="J17" s="427"/>
      <c r="K17" s="222" t="s">
        <v>28</v>
      </c>
    </row>
    <row r="18" spans="2:12" ht="45" customHeight="1">
      <c r="B18" s="1168"/>
      <c r="C18" s="1170" t="s">
        <v>29</v>
      </c>
      <c r="D18" s="1170"/>
      <c r="E18" s="1170"/>
      <c r="F18" s="1170"/>
      <c r="G18" s="1170"/>
      <c r="H18" s="1170"/>
      <c r="I18" s="1170"/>
      <c r="J18" s="1170"/>
      <c r="K18" s="221" t="s">
        <v>30</v>
      </c>
      <c r="L18" s="1"/>
    </row>
    <row r="19" spans="2:12" ht="43.5" customHeight="1">
      <c r="B19" s="1168"/>
      <c r="C19" s="1170" t="s">
        <v>31</v>
      </c>
      <c r="D19" s="1170"/>
      <c r="E19" s="1170"/>
      <c r="F19" s="1170"/>
      <c r="G19" s="1170"/>
      <c r="H19" s="1170"/>
      <c r="I19" s="1170"/>
      <c r="J19" s="1170"/>
      <c r="K19" s="221" t="s">
        <v>30</v>
      </c>
      <c r="L19" s="1"/>
    </row>
    <row r="20" spans="2:12" ht="36" customHeight="1">
      <c r="B20" s="1168"/>
      <c r="C20" s="1164" t="s">
        <v>32</v>
      </c>
      <c r="D20" s="1165"/>
      <c r="E20" s="1165"/>
      <c r="F20" s="1165"/>
      <c r="G20" s="1165"/>
      <c r="H20" s="1165"/>
      <c r="I20" s="1165"/>
      <c r="J20" s="1166"/>
      <c r="K20" s="221" t="s">
        <v>33</v>
      </c>
      <c r="L20" s="1"/>
    </row>
    <row r="21" spans="2:12" ht="36" customHeight="1">
      <c r="B21" s="1168"/>
      <c r="C21" s="1164" t="s">
        <v>34</v>
      </c>
      <c r="D21" s="1165"/>
      <c r="E21" s="1165"/>
      <c r="F21" s="1165"/>
      <c r="G21" s="1165"/>
      <c r="H21" s="1165"/>
      <c r="I21" s="1165"/>
      <c r="J21" s="1166"/>
      <c r="K21" s="221" t="s">
        <v>35</v>
      </c>
      <c r="L21" s="1"/>
    </row>
    <row r="22" spans="2:12" ht="29.1" customHeight="1">
      <c r="B22" s="1168"/>
      <c r="C22" s="425" t="s">
        <v>36</v>
      </c>
      <c r="D22" s="426"/>
      <c r="E22" s="426"/>
      <c r="F22" s="426"/>
      <c r="G22" s="426"/>
      <c r="H22" s="426"/>
      <c r="I22" s="426"/>
      <c r="J22" s="427"/>
      <c r="K22" s="221" t="s">
        <v>37</v>
      </c>
      <c r="L22" s="1"/>
    </row>
    <row r="23" spans="2:12" ht="29.1" customHeight="1">
      <c r="B23" s="1168"/>
      <c r="C23" s="425" t="s">
        <v>38</v>
      </c>
      <c r="D23" s="426"/>
      <c r="E23" s="426"/>
      <c r="F23" s="426"/>
      <c r="G23" s="426"/>
      <c r="H23" s="426"/>
      <c r="I23" s="426"/>
      <c r="J23" s="427"/>
      <c r="K23" s="221" t="s">
        <v>39</v>
      </c>
      <c r="L23" s="1"/>
    </row>
    <row r="24" spans="2:12" ht="29.1" customHeight="1">
      <c r="B24" s="1168"/>
      <c r="C24" s="425" t="s">
        <v>40</v>
      </c>
      <c r="D24" s="426"/>
      <c r="E24" s="426"/>
      <c r="F24" s="426"/>
      <c r="G24" s="426"/>
      <c r="H24" s="426"/>
      <c r="I24" s="426"/>
      <c r="J24" s="427"/>
      <c r="K24" s="221" t="s">
        <v>37</v>
      </c>
      <c r="L24" s="1"/>
    </row>
    <row r="25" spans="2:12" ht="29.1" customHeight="1">
      <c r="B25" s="1168"/>
      <c r="C25" s="425" t="s">
        <v>41</v>
      </c>
      <c r="D25" s="426"/>
      <c r="E25" s="426"/>
      <c r="F25" s="426"/>
      <c r="G25" s="426"/>
      <c r="H25" s="426"/>
      <c r="I25" s="426"/>
      <c r="J25" s="427"/>
      <c r="K25" s="221" t="s">
        <v>42</v>
      </c>
      <c r="L25" s="1"/>
    </row>
    <row r="26" spans="2:12" ht="29.1" customHeight="1">
      <c r="B26" s="1168"/>
      <c r="C26" s="425" t="s">
        <v>43</v>
      </c>
      <c r="D26" s="426"/>
      <c r="E26" s="426"/>
      <c r="F26" s="426"/>
      <c r="G26" s="426"/>
      <c r="H26" s="426"/>
      <c r="I26" s="426"/>
      <c r="J26" s="427"/>
      <c r="K26" s="221" t="s">
        <v>42</v>
      </c>
      <c r="L26" s="1"/>
    </row>
    <row r="27" spans="2:12" ht="29.1" customHeight="1">
      <c r="B27" s="1168"/>
      <c r="C27" s="425" t="s">
        <v>44</v>
      </c>
      <c r="D27" s="426"/>
      <c r="E27" s="426"/>
      <c r="F27" s="426"/>
      <c r="G27" s="426"/>
      <c r="H27" s="426"/>
      <c r="I27" s="426"/>
      <c r="J27" s="427"/>
      <c r="K27" s="221" t="s">
        <v>45</v>
      </c>
      <c r="L27" s="1"/>
    </row>
    <row r="28" spans="2:12" ht="29.1" customHeight="1">
      <c r="B28" s="1168"/>
      <c r="C28" s="425" t="s">
        <v>46</v>
      </c>
      <c r="D28" s="426"/>
      <c r="E28" s="426"/>
      <c r="F28" s="426"/>
      <c r="G28" s="426"/>
      <c r="H28" s="426"/>
      <c r="I28" s="426"/>
      <c r="J28" s="427"/>
      <c r="K28" s="221" t="s">
        <v>45</v>
      </c>
      <c r="L28" s="1"/>
    </row>
    <row r="29" spans="2:12" ht="29.1" customHeight="1">
      <c r="B29" s="1168"/>
      <c r="C29" s="223" t="s">
        <v>47</v>
      </c>
      <c r="D29" s="426"/>
      <c r="E29" s="426"/>
      <c r="F29" s="426"/>
      <c r="G29" s="426"/>
      <c r="H29" s="426"/>
      <c r="I29" s="426"/>
      <c r="J29" s="427"/>
      <c r="K29" s="221"/>
      <c r="L29" s="1"/>
    </row>
    <row r="30" spans="2:12" ht="29.1" customHeight="1">
      <c r="B30" s="1168"/>
      <c r="C30" s="223" t="s">
        <v>48</v>
      </c>
      <c r="D30" s="426"/>
      <c r="E30" s="426"/>
      <c r="F30" s="426"/>
      <c r="G30" s="426"/>
      <c r="H30" s="426"/>
      <c r="I30" s="426"/>
      <c r="J30" s="427"/>
      <c r="K30" s="221"/>
      <c r="L30" s="1"/>
    </row>
    <row r="31" spans="2:12" ht="36" customHeight="1">
      <c r="B31" s="1168"/>
      <c r="C31" s="1164" t="s">
        <v>49</v>
      </c>
      <c r="D31" s="1165"/>
      <c r="E31" s="1165"/>
      <c r="F31" s="1165"/>
      <c r="G31" s="1165"/>
      <c r="H31" s="1165"/>
      <c r="I31" s="1165"/>
      <c r="J31" s="1166"/>
      <c r="K31" s="221" t="s">
        <v>50</v>
      </c>
      <c r="L31" s="1"/>
    </row>
    <row r="32" spans="2:12" ht="36" customHeight="1">
      <c r="B32" s="1169"/>
      <c r="C32" s="1164" t="s">
        <v>51</v>
      </c>
      <c r="D32" s="1165"/>
      <c r="E32" s="1165"/>
      <c r="F32" s="1165"/>
      <c r="G32" s="1165"/>
      <c r="H32" s="1165"/>
      <c r="I32" s="1165"/>
      <c r="J32" s="1166"/>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8" customWidth="1"/>
    <col min="2" max="2" width="0" style="1108" hidden="1" customWidth="1"/>
    <col min="3" max="3" width="13.25" style="1108" customWidth="1"/>
    <col min="4" max="8" width="4.75" style="1108" customWidth="1"/>
    <col min="9" max="9" width="3" style="1108" customWidth="1"/>
    <col min="10" max="10" width="11.75" style="1108" customWidth="1"/>
    <col min="11" max="11" width="0" style="1108" hidden="1" customWidth="1"/>
    <col min="12" max="12" width="14.75" style="1108" customWidth="1"/>
    <col min="13" max="17" width="4.75" style="1108" customWidth="1"/>
    <col min="18" max="18" width="3" style="1108" customWidth="1"/>
    <col min="19" max="19" width="11.75" style="1108" customWidth="1"/>
    <col min="20" max="20" width="0" style="1108" hidden="1" customWidth="1"/>
    <col min="21" max="21" width="14.75" style="1108" customWidth="1"/>
    <col min="22" max="26" width="4.75" style="1108" customWidth="1"/>
    <col min="27" max="27" width="1.25" style="1108" customWidth="1"/>
    <col min="28" max="28" width="9" style="1108" bestFit="1" customWidth="1"/>
    <col min="29" max="29" width="10.875" style="1108" customWidth="1"/>
    <col min="30" max="30" width="1.375" style="1108" customWidth="1"/>
    <col min="31" max="16384" width="9" style="1108"/>
  </cols>
  <sheetData>
    <row r="1" spans="1:29" ht="13.5" customHeight="1">
      <c r="A1" s="1110">
        <v>0</v>
      </c>
      <c r="B1" s="1111" t="s">
        <v>52</v>
      </c>
      <c r="C1" s="1112" t="s">
        <v>52</v>
      </c>
      <c r="D1" s="1186" t="s">
        <v>53</v>
      </c>
      <c r="E1" s="1187"/>
      <c r="F1" s="1187"/>
      <c r="G1" s="1187"/>
      <c r="H1" s="1187"/>
      <c r="I1" s="1187"/>
      <c r="J1" s="1187"/>
      <c r="K1" s="1187"/>
      <c r="L1" s="1187"/>
      <c r="M1" s="1187"/>
      <c r="N1" s="1187"/>
      <c r="O1" s="1187"/>
      <c r="P1" s="1187"/>
      <c r="Q1" s="1187"/>
      <c r="R1" s="1187"/>
      <c r="S1" s="1187"/>
      <c r="T1" s="1187"/>
      <c r="U1" s="1187"/>
      <c r="V1" s="1187"/>
      <c r="W1" s="1187"/>
      <c r="X1" s="1187"/>
      <c r="Y1" s="1187"/>
      <c r="Z1" s="1188"/>
    </row>
    <row r="2" spans="1:29" ht="13.5" customHeight="1">
      <c r="A2" s="1110">
        <v>0.5</v>
      </c>
      <c r="B2" s="1111" t="s">
        <v>54</v>
      </c>
      <c r="C2" s="1112" t="s">
        <v>54</v>
      </c>
      <c r="D2" s="1189"/>
      <c r="E2" s="1190"/>
      <c r="F2" s="1190"/>
      <c r="G2" s="1190"/>
      <c r="H2" s="1190"/>
      <c r="I2" s="1190"/>
      <c r="J2" s="1190"/>
      <c r="K2" s="1190"/>
      <c r="L2" s="1190"/>
      <c r="M2" s="1190"/>
      <c r="N2" s="1190"/>
      <c r="O2" s="1190"/>
      <c r="P2" s="1190"/>
      <c r="Q2" s="1190"/>
      <c r="R2" s="1190"/>
      <c r="S2" s="1190"/>
      <c r="T2" s="1190"/>
      <c r="U2" s="1190"/>
      <c r="V2" s="1190"/>
      <c r="W2" s="1190"/>
      <c r="X2" s="1190"/>
      <c r="Y2" s="1190"/>
      <c r="Z2" s="1191"/>
    </row>
    <row r="3" spans="1:29" ht="13.5" customHeight="1">
      <c r="A3" s="1110">
        <v>1</v>
      </c>
      <c r="B3" s="1111" t="s">
        <v>55</v>
      </c>
      <c r="C3" s="1112" t="s">
        <v>55</v>
      </c>
      <c r="D3" s="1189"/>
      <c r="E3" s="1190"/>
      <c r="F3" s="1190"/>
      <c r="G3" s="1190"/>
      <c r="H3" s="1190"/>
      <c r="I3" s="1190"/>
      <c r="J3" s="1190"/>
      <c r="K3" s="1190"/>
      <c r="L3" s="1190"/>
      <c r="M3" s="1190"/>
      <c r="N3" s="1190"/>
      <c r="O3" s="1190"/>
      <c r="P3" s="1190"/>
      <c r="Q3" s="1190"/>
      <c r="R3" s="1190"/>
      <c r="S3" s="1190"/>
      <c r="T3" s="1190"/>
      <c r="U3" s="1190"/>
      <c r="V3" s="1190"/>
      <c r="W3" s="1190"/>
      <c r="X3" s="1190"/>
      <c r="Y3" s="1190"/>
      <c r="Z3" s="1191"/>
    </row>
    <row r="4" spans="1:29" ht="30.75" customHeight="1">
      <c r="A4" s="1113"/>
      <c r="B4" s="1114"/>
      <c r="C4" s="1115"/>
      <c r="D4" s="1192"/>
      <c r="E4" s="1192"/>
      <c r="F4" s="1192"/>
      <c r="G4" s="1192"/>
      <c r="H4" s="1192"/>
      <c r="I4" s="1192"/>
      <c r="J4" s="1192"/>
      <c r="K4" s="1192"/>
      <c r="L4" s="1192"/>
      <c r="M4" s="1192"/>
      <c r="N4" s="1192"/>
      <c r="O4" s="1192"/>
      <c r="P4" s="1192"/>
      <c r="Q4" s="1192"/>
      <c r="R4" s="1192"/>
      <c r="S4" s="1192"/>
      <c r="T4" s="1192"/>
      <c r="U4" s="1192"/>
      <c r="V4" s="1192"/>
      <c r="W4" s="1192"/>
      <c r="X4" s="1192"/>
      <c r="Y4" s="1192"/>
      <c r="Z4" s="1193"/>
    </row>
    <row r="5" spans="1:29" ht="24" customHeight="1">
      <c r="A5" s="1176" t="s">
        <v>56</v>
      </c>
      <c r="B5" s="1176"/>
      <c r="C5" s="1176"/>
      <c r="D5" s="1176"/>
      <c r="E5" s="1176"/>
      <c r="F5" s="1176"/>
      <c r="G5" s="1176"/>
      <c r="H5" s="1176"/>
      <c r="I5" s="1194"/>
      <c r="J5" s="1176" t="s">
        <v>57</v>
      </c>
      <c r="K5" s="1176"/>
      <c r="L5" s="1176"/>
      <c r="M5" s="1176"/>
      <c r="N5" s="1176"/>
      <c r="O5" s="1176"/>
      <c r="P5" s="1176"/>
      <c r="Q5" s="1176"/>
      <c r="R5" s="1194"/>
      <c r="S5" s="1176" t="s">
        <v>58</v>
      </c>
      <c r="T5" s="1176"/>
      <c r="U5" s="1176"/>
      <c r="V5" s="1176"/>
      <c r="W5" s="1176"/>
      <c r="X5" s="1176"/>
      <c r="Y5" s="1176"/>
      <c r="Z5" s="1176"/>
    </row>
    <row r="6" spans="1:29" s="1109" customFormat="1" ht="123">
      <c r="A6" s="1116" t="s">
        <v>59</v>
      </c>
      <c r="B6" s="1117" t="s">
        <v>60</v>
      </c>
      <c r="C6" s="1118" t="s">
        <v>61</v>
      </c>
      <c r="D6" s="1119" t="s">
        <v>62</v>
      </c>
      <c r="E6" s="1119" t="s">
        <v>63</v>
      </c>
      <c r="F6" s="1119" t="s">
        <v>64</v>
      </c>
      <c r="G6" s="1119" t="s">
        <v>65</v>
      </c>
      <c r="H6" s="1119" t="s">
        <v>66</v>
      </c>
      <c r="I6" s="1195"/>
      <c r="J6" s="1116" t="s">
        <v>59</v>
      </c>
      <c r="K6" s="1117" t="s">
        <v>60</v>
      </c>
      <c r="L6" s="1118" t="s">
        <v>61</v>
      </c>
      <c r="M6" s="1119" t="s">
        <v>62</v>
      </c>
      <c r="N6" s="1119" t="s">
        <v>63</v>
      </c>
      <c r="O6" s="1119" t="s">
        <v>64</v>
      </c>
      <c r="P6" s="1119" t="s">
        <v>65</v>
      </c>
      <c r="Q6" s="1119" t="s">
        <v>66</v>
      </c>
      <c r="R6" s="1195"/>
      <c r="S6" s="1116" t="s">
        <v>59</v>
      </c>
      <c r="T6" s="1117" t="s">
        <v>60</v>
      </c>
      <c r="U6" s="1118" t="s">
        <v>61</v>
      </c>
      <c r="V6" s="1119" t="s">
        <v>62</v>
      </c>
      <c r="W6" s="1119" t="s">
        <v>63</v>
      </c>
      <c r="X6" s="1119" t="s">
        <v>64</v>
      </c>
      <c r="Y6" s="1119" t="s">
        <v>65</v>
      </c>
      <c r="Z6" s="1119" t="s">
        <v>66</v>
      </c>
      <c r="AC6" s="1109" t="s">
        <v>67</v>
      </c>
    </row>
    <row r="7" spans="1:29" ht="14.25" customHeight="1">
      <c r="A7" s="1120" t="s">
        <v>68</v>
      </c>
      <c r="B7" s="1121"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2">
        <f t="shared" ref="C7:C16" si="0">AVERAGE(D7:H7)</f>
        <v>0</v>
      </c>
      <c r="D7" s="1123" cm="1">
        <f t="array" ref="D7">IFERROR(INDEX('[2]MADINAH Migration Plan-'!$L:$L,MATCH(1,('[2]MADINAH Migration Plan-'!$AA:$AA=$A7)*('[2]MADINAH Migration Plan-'!$Z:$Z=D$6),0)),0)</f>
        <v>0</v>
      </c>
      <c r="E7" s="1123" cm="1">
        <f t="array" ref="E7">IFERROR(INDEX('[2]MADINAH Migration Plan-'!$L:$L,MATCH(1,('[2]MADINAH Migration Plan-'!$AA:$AA=$A7)*('[2]MADINAH Migration Plan-'!$Z:$Z=E$6),0)),0)</f>
        <v>0</v>
      </c>
      <c r="F7" s="1123" cm="1">
        <f t="array" ref="F7">IFERROR(INDEX('[2]MADINAH Migration Plan-'!$L:$L,MATCH(1,('[2]MADINAH Migration Plan-'!$AA:$AA=$A7)*('[2]MADINAH Migration Plan-'!$Z:$Z=F$6),0)),0)</f>
        <v>0</v>
      </c>
      <c r="G7" s="1123" cm="1">
        <f t="array" ref="G7">IFERROR(INDEX('[2]MADINAH Migration Plan-'!$L:$L,MATCH(1,('[2]MADINAH Migration Plan-'!$AA:$AA=$A7)*('[2]MADINAH Migration Plan-'!$Z:$Z=G$6),0)),0)</f>
        <v>0</v>
      </c>
      <c r="H7" s="1123" cm="1">
        <f t="array" ref="H7">IFERROR(INDEX('[2]MADINAH Migration Plan-'!$L:$L,MATCH(1,('[2]MADINAH Migration Plan-'!$AA:$AA=$A7)*('[2]MADINAH Migration Plan-'!$Z:$Z=H$6),0)),0)</f>
        <v>0</v>
      </c>
      <c r="I7" s="1195"/>
      <c r="J7" s="1120" t="s">
        <v>68</v>
      </c>
      <c r="K7" s="1124"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2">
        <f t="shared" ref="L7:L16" si="1">AVERAGE(M7:Q7)</f>
        <v>0</v>
      </c>
      <c r="M7" s="1123" cm="1">
        <f t="array" ref="M7">IFERROR(INDEX('[2]Jeddah Migration Plan'!$L:$L,MATCH(1,('[2]Jeddah Migration Plan'!$AA:$AA=$J7)*('[2]Jeddah Migration Plan'!$Z:$Z=M$6),0)),0)</f>
        <v>0</v>
      </c>
      <c r="N7" s="1123" cm="1">
        <f t="array" ref="N7">IFERROR(INDEX('[2]Jeddah Migration Plan'!$L:$L,MATCH(1,('[2]Jeddah Migration Plan'!$AA:$AA=$J7)*('[2]Jeddah Migration Plan'!$Z:$Z=N$6),0)),0)</f>
        <v>0</v>
      </c>
      <c r="O7" s="1123" cm="1">
        <f t="array" ref="O7">IFERROR(INDEX('[2]Jeddah Migration Plan'!$L:$L,MATCH(1,('[2]Jeddah Migration Plan'!$AA:$AA=$J7)*('[2]Jeddah Migration Plan'!$Z:$Z=O$6),0)),0)</f>
        <v>0</v>
      </c>
      <c r="P7" s="1123" cm="1">
        <f t="array" ref="P7">IFERROR(INDEX('[2]Jeddah Migration Plan'!$L:$L,MATCH(1,('[2]Jeddah Migration Plan'!$AA:$AA=$J7)*('[2]Jeddah Migration Plan'!$Z:$Z=P$6),0)),0)</f>
        <v>0</v>
      </c>
      <c r="Q7" s="1123" cm="1">
        <f t="array" ref="Q7">IFERROR(INDEX('[2]Jeddah Migration Plan'!$L:$L,MATCH(1,('[2]Jeddah Migration Plan'!$AA:$AA=$J7)*('[2]Jeddah Migration Plan'!$Z:$Z=Q$6),0)),0)</f>
        <v>0</v>
      </c>
      <c r="R7" s="1195"/>
      <c r="S7" s="1120" t="s">
        <v>68</v>
      </c>
      <c r="T7" s="1124"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2">
        <f t="shared" ref="U7:U16" si="2">AVERAGE(V7:Z7)</f>
        <v>0</v>
      </c>
      <c r="V7" s="1123" cm="1">
        <f t="array" ref="V7">IFERROR(INDEX('[2]Makkah Migration Plan'!$L:$L,MATCH(1,('[2]Makkah Migration Plan'!$AA:$AA=$S20)*('[2]Makkah Migration Plan'!$Z:$Z=V$19),0)),0)</f>
        <v>0</v>
      </c>
      <c r="W7" s="1123" cm="1">
        <f t="array" ref="W7">IFERROR(INDEX('[2]Makkah Migration Plan'!$L:$L,MATCH(1,('[2]Makkah Migration Plan'!$AA:$AA=$S20)*('[2]Makkah Migration Plan'!$Z:$Z=W$19),0)),0)</f>
        <v>0</v>
      </c>
      <c r="X7" s="1123" cm="1">
        <f t="array" ref="X7">IFERROR(INDEX('[2]Makkah Migration Plan'!$L:$L,MATCH(1,('[2]Makkah Migration Plan'!$AA:$AA=$S20)*('[2]Makkah Migration Plan'!$Z:$Z=X$19),0)),0)</f>
        <v>0</v>
      </c>
      <c r="Y7" s="1123" cm="1">
        <f t="array" ref="Y7">IFERROR(INDEX('[2]Makkah Migration Plan'!$L:$L,MATCH(1,('[2]Makkah Migration Plan'!$AA:$AA=$S20)*('[2]Makkah Migration Plan'!$Z:$Z=Y$19),0)),0)</f>
        <v>0</v>
      </c>
      <c r="Z7" s="1123" cm="1">
        <f t="array" ref="Z7">IFERROR(INDEX('[2]Makkah Migration Plan'!$L:$L,MATCH(1,('[2]Makkah Migration Plan'!$AA:$AA=$S20)*('[2]Makkah Migration Plan'!$Z:$Z=Z$19),0)),0)</f>
        <v>0</v>
      </c>
    </row>
    <row r="8" spans="1:29" ht="14.25" customHeight="1">
      <c r="A8" s="1120" t="s">
        <v>69</v>
      </c>
      <c r="B8" s="1121"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2">
        <f t="shared" si="0"/>
        <v>0</v>
      </c>
      <c r="D8" s="1123" cm="1">
        <f t="array" ref="D8">IFERROR(INDEX('[2]MADINAH Migration Plan-'!$L:$L,MATCH(1,('[2]MADINAH Migration Plan-'!$AA:$AA=$A8)*('[2]MADINAH Migration Plan-'!$Z:$Z=D$6),0)),0)</f>
        <v>0</v>
      </c>
      <c r="E8" s="1123" cm="1">
        <f t="array" ref="E8">IFERROR(INDEX('[2]MADINAH Migration Plan-'!$L:$L,MATCH(1,('[2]MADINAH Migration Plan-'!$AA:$AA=$A8)*('[2]MADINAH Migration Plan-'!$Z:$Z=E$6),0)),0)</f>
        <v>0</v>
      </c>
      <c r="F8" s="1123" cm="1">
        <f t="array" ref="F8">IFERROR(INDEX('[2]MADINAH Migration Plan-'!$L:$L,MATCH(1,('[2]MADINAH Migration Plan-'!$AA:$AA=$A8)*('[2]MADINAH Migration Plan-'!$Z:$Z=F$6),0)),0)</f>
        <v>0</v>
      </c>
      <c r="G8" s="1123" cm="1">
        <f t="array" ref="G8">IFERROR(INDEX('[2]MADINAH Migration Plan-'!$L:$L,MATCH(1,('[2]MADINAH Migration Plan-'!$AA:$AA=$A8)*('[2]MADINAH Migration Plan-'!$Z:$Z=G$6),0)),0)</f>
        <v>0</v>
      </c>
      <c r="H8" s="1123" cm="1">
        <f t="array" ref="H8">IFERROR(INDEX('[2]MADINAH Migration Plan-'!$L:$L,MATCH(1,('[2]MADINAH Migration Plan-'!$AA:$AA=$A8)*('[2]MADINAH Migration Plan-'!$Z:$Z=H$6),0)),0)</f>
        <v>0</v>
      </c>
      <c r="I8" s="1195"/>
      <c r="J8" s="1120" t="s">
        <v>69</v>
      </c>
      <c r="K8" s="1124"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2">
        <f t="shared" si="1"/>
        <v>0</v>
      </c>
      <c r="M8" s="1123" cm="1">
        <f t="array" ref="M8">IFERROR(INDEX('[2]Jeddah Migration Plan'!$L:$L,MATCH(1,('[2]Jeddah Migration Plan'!$AA:$AA=$J8)*('[2]Jeddah Migration Plan'!$Z:$Z=M$6),0)),0)</f>
        <v>0</v>
      </c>
      <c r="N8" s="1123" cm="1">
        <f t="array" ref="N8">IFERROR(INDEX('[2]Jeddah Migration Plan'!$L:$L,MATCH(1,('[2]Jeddah Migration Plan'!$AA:$AA=$J8)*('[2]Jeddah Migration Plan'!$Z:$Z=N$6),0)),0)</f>
        <v>0</v>
      </c>
      <c r="O8" s="1123" cm="1">
        <f t="array" ref="O8">IFERROR(INDEX('[2]Jeddah Migration Plan'!$L:$L,MATCH(1,('[2]Jeddah Migration Plan'!$AA:$AA=$J8)*('[2]Jeddah Migration Plan'!$Z:$Z=O$6),0)),0)</f>
        <v>0</v>
      </c>
      <c r="P8" s="1123" cm="1">
        <f t="array" ref="P8">IFERROR(INDEX('[2]Jeddah Migration Plan'!$L:$L,MATCH(1,('[2]Jeddah Migration Plan'!$AA:$AA=$J8)*('[2]Jeddah Migration Plan'!$Z:$Z=P$6),0)),0)</f>
        <v>0</v>
      </c>
      <c r="Q8" s="1123" cm="1">
        <f t="array" ref="Q8">IFERROR(INDEX('[2]Jeddah Migration Plan'!$L:$L,MATCH(1,('[2]Jeddah Migration Plan'!$AA:$AA=$J8)*('[2]Jeddah Migration Plan'!$Z:$Z=Q$6),0)),0)</f>
        <v>0</v>
      </c>
      <c r="R8" s="1195"/>
      <c r="S8" s="1120" t="s">
        <v>69</v>
      </c>
      <c r="T8" s="1124"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2">
        <f t="shared" si="2"/>
        <v>0</v>
      </c>
      <c r="V8" s="1123" cm="1">
        <f t="array" ref="V8">IFERROR(INDEX('[2]Makkah Migration Plan'!$L:$L,MATCH(1,('[2]Makkah Migration Plan'!$AA:$AA=$S21)*('[2]Makkah Migration Plan'!$Z:$Z=V$19),0)),0)</f>
        <v>0</v>
      </c>
      <c r="W8" s="1123" cm="1">
        <f t="array" ref="W8">IFERROR(INDEX('[2]Makkah Migration Plan'!$L:$L,MATCH(1,('[2]Makkah Migration Plan'!$AA:$AA=$S21)*('[2]Makkah Migration Plan'!$Z:$Z=W$19),0)),0)</f>
        <v>0</v>
      </c>
      <c r="X8" s="1123" cm="1">
        <f t="array" ref="X8">IFERROR(INDEX('[2]Makkah Migration Plan'!$L:$L,MATCH(1,('[2]Makkah Migration Plan'!$AA:$AA=$S21)*('[2]Makkah Migration Plan'!$Z:$Z=X$19),0)),0)</f>
        <v>0</v>
      </c>
      <c r="Y8" s="1123" cm="1">
        <f t="array" ref="Y8">IFERROR(INDEX('[2]Makkah Migration Plan'!$L:$L,MATCH(1,('[2]Makkah Migration Plan'!$AA:$AA=$S21)*('[2]Makkah Migration Plan'!$Z:$Z=Y$19),0)),0)</f>
        <v>0</v>
      </c>
      <c r="Z8" s="1123" cm="1">
        <f t="array" ref="Z8">IFERROR(INDEX('[2]Makkah Migration Plan'!$L:$L,MATCH(1,('[2]Makkah Migration Plan'!$AA:$AA=$S21)*('[2]Makkah Migration Plan'!$Z:$Z=Z$19),0)),0)</f>
        <v>0</v>
      </c>
    </row>
    <row r="9" spans="1:29" ht="14.25" customHeight="1">
      <c r="A9" s="1120" t="s">
        <v>70</v>
      </c>
      <c r="B9" s="1125"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6">
        <f t="shared" si="0"/>
        <v>0</v>
      </c>
      <c r="D9" s="1123" cm="1">
        <f t="array" ref="D9">IFERROR(INDEX('[2]MADINAH Migration Plan-'!$L:$L,MATCH(1,('[2]MADINAH Migration Plan-'!$AA:$AA=$A9)*('[2]MADINAH Migration Plan-'!$Z:$Z=D$6),0)),0)</f>
        <v>0</v>
      </c>
      <c r="E9" s="1123" cm="1">
        <f t="array" ref="E9">IFERROR(INDEX('[2]MADINAH Migration Plan-'!$L:$L,MATCH(1,('[2]MADINAH Migration Plan-'!$AA:$AA=$A9)*('[2]MADINAH Migration Plan-'!$Z:$Z=E$6),0)),0)</f>
        <v>0</v>
      </c>
      <c r="F9" s="1123" cm="1">
        <f t="array" ref="F9">IFERROR(INDEX('[2]MADINAH Migration Plan-'!$L:$L,MATCH(1,('[2]MADINAH Migration Plan-'!$AA:$AA=$A9)*('[2]MADINAH Migration Plan-'!$Z:$Z=F$6),0)),0)</f>
        <v>0</v>
      </c>
      <c r="G9" s="1123" cm="1">
        <f t="array" ref="G9">IFERROR(INDEX('[2]MADINAH Migration Plan-'!$L:$L,MATCH(1,('[2]MADINAH Migration Plan-'!$AA:$AA=$A9)*('[2]MADINAH Migration Plan-'!$Z:$Z=G$6),0)),0)</f>
        <v>0</v>
      </c>
      <c r="H9" s="1123" cm="1">
        <f t="array" ref="H9">IFERROR(INDEX('[2]MADINAH Migration Plan-'!$L:$L,MATCH(1,('[2]MADINAH Migration Plan-'!$AA:$AA=$A9)*('[2]MADINAH Migration Plan-'!$Z:$Z=H$6),0)),0)</f>
        <v>0</v>
      </c>
      <c r="I9" s="1195"/>
      <c r="J9" s="1120" t="s">
        <v>70</v>
      </c>
      <c r="K9" s="1124"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6">
        <f t="shared" si="1"/>
        <v>0</v>
      </c>
      <c r="M9" s="1123" cm="1">
        <f t="array" ref="M9">IFERROR(INDEX('[2]Jeddah Migration Plan'!$L:$L,MATCH(1,('[2]Jeddah Migration Plan'!$AA:$AA=$J9)*('[2]Jeddah Migration Plan'!$Z:$Z=M$6),0)),0)</f>
        <v>0</v>
      </c>
      <c r="N9" s="1123" cm="1">
        <f t="array" ref="N9">IFERROR(INDEX('[2]Jeddah Migration Plan'!$L:$L,MATCH(1,('[2]Jeddah Migration Plan'!$AA:$AA=$J9)*('[2]Jeddah Migration Plan'!$Z:$Z=N$6),0)),0)</f>
        <v>0</v>
      </c>
      <c r="O9" s="1123" cm="1">
        <f t="array" ref="O9">IFERROR(INDEX('[2]Jeddah Migration Plan'!$L:$L,MATCH(1,('[2]Jeddah Migration Plan'!$AA:$AA=$J9)*('[2]Jeddah Migration Plan'!$Z:$Z=O$6),0)),0)</f>
        <v>0</v>
      </c>
      <c r="P9" s="1123" cm="1">
        <f t="array" ref="P9">IFERROR(INDEX('[2]Jeddah Migration Plan'!$L:$L,MATCH(1,('[2]Jeddah Migration Plan'!$AA:$AA=$J9)*('[2]Jeddah Migration Plan'!$Z:$Z=P$6),0)),0)</f>
        <v>0</v>
      </c>
      <c r="Q9" s="1123" cm="1">
        <f t="array" ref="Q9">IFERROR(INDEX('[2]Jeddah Migration Plan'!$L:$L,MATCH(1,('[2]Jeddah Migration Plan'!$AA:$AA=$J9)*('[2]Jeddah Migration Plan'!$Z:$Z=Q$6),0)),0)</f>
        <v>0</v>
      </c>
      <c r="R9" s="1195"/>
      <c r="S9" s="1120" t="s">
        <v>70</v>
      </c>
      <c r="T9" s="1124"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6">
        <f t="shared" si="2"/>
        <v>0</v>
      </c>
      <c r="V9" s="1123" cm="1">
        <f t="array" ref="V9">IFERROR(INDEX('[2]Makkah Migration Plan'!$L:$L,MATCH(1,('[2]Makkah Migration Plan'!$AA:$AA=$S22)*('[2]Makkah Migration Plan'!$Z:$Z=V$19),0)),0)</f>
        <v>0</v>
      </c>
      <c r="W9" s="1123" cm="1">
        <f t="array" ref="W9">IFERROR(INDEX('[2]Makkah Migration Plan'!$L:$L,MATCH(1,('[2]Makkah Migration Plan'!$AA:$AA=$S22)*('[2]Makkah Migration Plan'!$Z:$Z=W$19),0)),0)</f>
        <v>0</v>
      </c>
      <c r="X9" s="1123" cm="1">
        <f t="array" ref="X9">IFERROR(INDEX('[2]Makkah Migration Plan'!$L:$L,MATCH(1,('[2]Makkah Migration Plan'!$AA:$AA=$S22)*('[2]Makkah Migration Plan'!$Z:$Z=X$19),0)),0)</f>
        <v>0</v>
      </c>
      <c r="Y9" s="1123" cm="1">
        <f t="array" ref="Y9">IFERROR(INDEX('[2]Makkah Migration Plan'!$L:$L,MATCH(1,('[2]Makkah Migration Plan'!$AA:$AA=$S22)*('[2]Makkah Migration Plan'!$Z:$Z=Y$19),0)),0)</f>
        <v>0</v>
      </c>
      <c r="Z9" s="1123" cm="1">
        <f t="array" ref="Z9">IFERROR(INDEX('[2]Makkah Migration Plan'!$L:$L,MATCH(1,('[2]Makkah Migration Plan'!$AA:$AA=$S22)*('[2]Makkah Migration Plan'!$Z:$Z=Z$19),0)),0)</f>
        <v>0</v>
      </c>
    </row>
    <row r="10" spans="1:29" ht="14.25" customHeight="1">
      <c r="A10" s="1120" t="s">
        <v>71</v>
      </c>
      <c r="B10" s="1125"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2">
        <f t="shared" si="0"/>
        <v>0</v>
      </c>
      <c r="D10" s="1123" cm="1">
        <f t="array" ref="D10">IFERROR(INDEX('[2]MADINAH Migration Plan-'!$L:$L,MATCH(1,('[2]MADINAH Migration Plan-'!$AA:$AA=$A10)*('[2]MADINAH Migration Plan-'!$Z:$Z=D$6),0)),0)</f>
        <v>0</v>
      </c>
      <c r="E10" s="1123" cm="1">
        <f t="array" ref="E10">IFERROR(INDEX('[2]MADINAH Migration Plan-'!$L:$L,MATCH(1,('[2]MADINAH Migration Plan-'!$AA:$AA=$A10)*('[2]MADINAH Migration Plan-'!$Z:$Z=E$6),0)),0)</f>
        <v>0</v>
      </c>
      <c r="F10" s="1123" cm="1">
        <f t="array" ref="F10">IFERROR(INDEX('[2]MADINAH Migration Plan-'!$L:$L,MATCH(1,('[2]MADINAH Migration Plan-'!$AA:$AA=$A10)*('[2]MADINAH Migration Plan-'!$Z:$Z=F$6),0)),0)</f>
        <v>0</v>
      </c>
      <c r="G10" s="1123" cm="1">
        <f t="array" ref="G10">IFERROR(INDEX('[2]MADINAH Migration Plan-'!$L:$L,MATCH(1,('[2]MADINAH Migration Plan-'!$AA:$AA=$A10)*('[2]MADINAH Migration Plan-'!$Z:$Z=G$6),0)),0)</f>
        <v>0</v>
      </c>
      <c r="H10" s="1123" cm="1">
        <f t="array" ref="H10">IFERROR(INDEX('[2]MADINAH Migration Plan-'!$L:$L,MATCH(1,('[2]MADINAH Migration Plan-'!$AA:$AA=$A10)*('[2]MADINAH Migration Plan-'!$Z:$Z=H$6),0)),0)</f>
        <v>0</v>
      </c>
      <c r="I10" s="1195"/>
      <c r="J10" s="1120" t="s">
        <v>71</v>
      </c>
      <c r="K10" s="1124"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2">
        <f t="shared" si="1"/>
        <v>0</v>
      </c>
      <c r="M10" s="1123" cm="1">
        <f t="array" ref="M10">IFERROR(INDEX('[2]Jeddah Migration Plan'!$L:$L,MATCH(1,('[2]Jeddah Migration Plan'!$AA:$AA=$J10)*('[2]Jeddah Migration Plan'!$Z:$Z=M$6),0)),0)</f>
        <v>0</v>
      </c>
      <c r="N10" s="1123" cm="1">
        <f t="array" ref="N10">IFERROR(INDEX('[2]Jeddah Migration Plan'!$L:$L,MATCH(1,('[2]Jeddah Migration Plan'!$AA:$AA=$J10)*('[2]Jeddah Migration Plan'!$Z:$Z=N$6),0)),0)</f>
        <v>0</v>
      </c>
      <c r="O10" s="1123" cm="1">
        <f t="array" ref="O10">IFERROR(INDEX('[2]Jeddah Migration Plan'!$L:$L,MATCH(1,('[2]Jeddah Migration Plan'!$AA:$AA=$J10)*('[2]Jeddah Migration Plan'!$Z:$Z=O$6),0)),0)</f>
        <v>0</v>
      </c>
      <c r="P10" s="1123" cm="1">
        <f t="array" ref="P10">IFERROR(INDEX('[2]Jeddah Migration Plan'!$L:$L,MATCH(1,('[2]Jeddah Migration Plan'!$AA:$AA=$J10)*('[2]Jeddah Migration Plan'!$Z:$Z=P$6),0)),0)</f>
        <v>0</v>
      </c>
      <c r="Q10" s="1123" cm="1">
        <f t="array" ref="Q10">IFERROR(INDEX('[2]Jeddah Migration Plan'!$L:$L,MATCH(1,('[2]Jeddah Migration Plan'!$AA:$AA=$J10)*('[2]Jeddah Migration Plan'!$Z:$Z=Q$6),0)),0)</f>
        <v>0</v>
      </c>
      <c r="R10" s="1195"/>
      <c r="S10" s="1120" t="s">
        <v>71</v>
      </c>
      <c r="T10" s="1124"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2">
        <f t="shared" si="2"/>
        <v>0</v>
      </c>
      <c r="V10" s="1123" cm="1">
        <f t="array" ref="V10">IFERROR(INDEX('[2]Makkah Migration Plan'!$L:$L,MATCH(1,('[2]Makkah Migration Plan'!$AA:$AA=$S23)*('[2]Makkah Migration Plan'!$Z:$Z=V$19),0)),0)</f>
        <v>0</v>
      </c>
      <c r="W10" s="1123" cm="1">
        <f t="array" ref="W10">IFERROR(INDEX('[2]Makkah Migration Plan'!$L:$L,MATCH(1,('[2]Makkah Migration Plan'!$AA:$AA=$S23)*('[2]Makkah Migration Plan'!$Z:$Z=W$19),0)),0)</f>
        <v>0</v>
      </c>
      <c r="X10" s="1123" cm="1">
        <f t="array" ref="X10">IFERROR(INDEX('[2]Makkah Migration Plan'!$L:$L,MATCH(1,('[2]Makkah Migration Plan'!$AA:$AA=$S23)*('[2]Makkah Migration Plan'!$Z:$Z=X$19),0)),0)</f>
        <v>0</v>
      </c>
      <c r="Y10" s="1123" cm="1">
        <f t="array" ref="Y10">IFERROR(INDEX('[2]Makkah Migration Plan'!$L:$L,MATCH(1,('[2]Makkah Migration Plan'!$AA:$AA=$S23)*('[2]Makkah Migration Plan'!$Z:$Z=Y$19),0)),0)</f>
        <v>0</v>
      </c>
      <c r="Z10" s="1123" cm="1">
        <f t="array" ref="Z10">IFERROR(INDEX('[2]Makkah Migration Plan'!$L:$L,MATCH(1,('[2]Makkah Migration Plan'!$AA:$AA=$S23)*('[2]Makkah Migration Plan'!$Z:$Z=Z$19),0)),0)</f>
        <v>0</v>
      </c>
    </row>
    <row r="11" spans="1:29" ht="14.25" customHeight="1">
      <c r="A11" s="1120" t="s">
        <v>72</v>
      </c>
      <c r="B11" s="1125"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2">
        <f t="shared" si="0"/>
        <v>0</v>
      </c>
      <c r="D11" s="1123" cm="1">
        <f t="array" ref="D11">IFERROR(INDEX('[2]MADINAH Migration Plan-'!$L:$L,MATCH(1,('[2]MADINAH Migration Plan-'!$AA:$AA=$A11)*('[2]MADINAH Migration Plan-'!$Z:$Z=D$6),0)),0)</f>
        <v>0</v>
      </c>
      <c r="E11" s="1123" cm="1">
        <f t="array" ref="E11">IFERROR(INDEX('[2]MADINAH Migration Plan-'!$L:$L,MATCH(1,('[2]MADINAH Migration Plan-'!$AA:$AA=$A11)*('[2]MADINAH Migration Plan-'!$Z:$Z=E$6),0)),0)</f>
        <v>0</v>
      </c>
      <c r="F11" s="1123" cm="1">
        <f t="array" ref="F11">IFERROR(INDEX('[2]MADINAH Migration Plan-'!$L:$L,MATCH(1,('[2]MADINAH Migration Plan-'!$AA:$AA=$A11)*('[2]MADINAH Migration Plan-'!$Z:$Z=F$6),0)),0)</f>
        <v>0</v>
      </c>
      <c r="G11" s="1123" cm="1">
        <f t="array" ref="G11">IFERROR(INDEX('[2]MADINAH Migration Plan-'!$L:$L,MATCH(1,('[2]MADINAH Migration Plan-'!$AA:$AA=$A11)*('[2]MADINAH Migration Plan-'!$Z:$Z=G$6),0)),0)</f>
        <v>0</v>
      </c>
      <c r="H11" s="1123" cm="1">
        <f t="array" ref="H11">IFERROR(INDEX('[2]MADINAH Migration Plan-'!$L:$L,MATCH(1,('[2]MADINAH Migration Plan-'!$AA:$AA=$A11)*('[2]MADINAH Migration Plan-'!$Z:$Z=H$6),0)),0)</f>
        <v>0</v>
      </c>
      <c r="I11" s="1195"/>
      <c r="J11" s="1120" t="s">
        <v>72</v>
      </c>
      <c r="K11" s="1124"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2">
        <f t="shared" si="1"/>
        <v>0</v>
      </c>
      <c r="M11" s="1123" cm="1">
        <f t="array" ref="M11">IFERROR(INDEX('[2]Jeddah Migration Plan'!$L:$L,MATCH(1,('[2]Jeddah Migration Plan'!$AA:$AA=$J11)*('[2]Jeddah Migration Plan'!$Z:$Z=M$6),0)),0)</f>
        <v>0</v>
      </c>
      <c r="N11" s="1123" cm="1">
        <f t="array" ref="N11">IFERROR(INDEX('[2]Jeddah Migration Plan'!$L:$L,MATCH(1,('[2]Jeddah Migration Plan'!$AA:$AA=$J11)*('[2]Jeddah Migration Plan'!$Z:$Z=N$6),0)),0)</f>
        <v>0</v>
      </c>
      <c r="O11" s="1123" cm="1">
        <f t="array" ref="O11">IFERROR(INDEX('[2]Jeddah Migration Plan'!$L:$L,MATCH(1,('[2]Jeddah Migration Plan'!$AA:$AA=$J11)*('[2]Jeddah Migration Plan'!$Z:$Z=O$6),0)),0)</f>
        <v>0</v>
      </c>
      <c r="P11" s="1123" cm="1">
        <f t="array" ref="P11">IFERROR(INDEX('[2]Jeddah Migration Plan'!$L:$L,MATCH(1,('[2]Jeddah Migration Plan'!$AA:$AA=$J11)*('[2]Jeddah Migration Plan'!$Z:$Z=P$6),0)),0)</f>
        <v>0</v>
      </c>
      <c r="Q11" s="1123" cm="1">
        <f t="array" ref="Q11">IFERROR(INDEX('[2]Jeddah Migration Plan'!$L:$L,MATCH(1,('[2]Jeddah Migration Plan'!$AA:$AA=$J11)*('[2]Jeddah Migration Plan'!$Z:$Z=Q$6),0)),0)</f>
        <v>0</v>
      </c>
      <c r="R11" s="1195"/>
      <c r="S11" s="1120" t="s">
        <v>72</v>
      </c>
      <c r="T11" s="1124"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2">
        <f t="shared" si="2"/>
        <v>0</v>
      </c>
      <c r="V11" s="1123" cm="1">
        <f t="array" ref="V11">IFERROR(INDEX('[2]Makkah Migration Plan'!$L:$L,MATCH(1,('[2]Makkah Migration Plan'!$AA:$AA=$S24)*('[2]Makkah Migration Plan'!$Z:$Z=V$19),0)),0)</f>
        <v>0</v>
      </c>
      <c r="W11" s="1123" cm="1">
        <f t="array" ref="W11">IFERROR(INDEX('[2]Makkah Migration Plan'!$L:$L,MATCH(1,('[2]Makkah Migration Plan'!$AA:$AA=$S24)*('[2]Makkah Migration Plan'!$Z:$Z=W$19),0)),0)</f>
        <v>0</v>
      </c>
      <c r="X11" s="1123" cm="1">
        <f t="array" ref="X11">IFERROR(INDEX('[2]Makkah Migration Plan'!$L:$L,MATCH(1,('[2]Makkah Migration Plan'!$AA:$AA=$S24)*('[2]Makkah Migration Plan'!$Z:$Z=X$19),0)),0)</f>
        <v>0</v>
      </c>
      <c r="Y11" s="1123" cm="1">
        <f t="array" ref="Y11">IFERROR(INDEX('[2]Makkah Migration Plan'!$L:$L,MATCH(1,('[2]Makkah Migration Plan'!$AA:$AA=$S24)*('[2]Makkah Migration Plan'!$Z:$Z=Y$19),0)),0)</f>
        <v>0</v>
      </c>
      <c r="Z11" s="1123" cm="1">
        <f t="array" ref="Z11">IFERROR(INDEX('[2]Makkah Migration Plan'!$L:$L,MATCH(1,('[2]Makkah Migration Plan'!$AA:$AA=$S24)*('[2]Makkah Migration Plan'!$Z:$Z=Z$19),0)),0)</f>
        <v>0</v>
      </c>
    </row>
    <row r="12" spans="1:29" ht="14.25" customHeight="1">
      <c r="A12" s="1120" t="s">
        <v>73</v>
      </c>
      <c r="B12" s="1125"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2">
        <f t="shared" si="0"/>
        <v>0</v>
      </c>
      <c r="D12" s="1123" cm="1">
        <f t="array" ref="D12">IFERROR(INDEX('[2]MADINAH Migration Plan-'!$L:$L,MATCH(1,('[2]MADINAH Migration Plan-'!$AA:$AA=$A12)*('[2]MADINAH Migration Plan-'!$Z:$Z=D$6),0)),0)</f>
        <v>0</v>
      </c>
      <c r="E12" s="1123" cm="1">
        <f t="array" ref="E12">IFERROR(INDEX('[2]MADINAH Migration Plan-'!$L:$L,MATCH(1,('[2]MADINAH Migration Plan-'!$AA:$AA=$A12)*('[2]MADINAH Migration Plan-'!$Z:$Z=E$6),0)),0)</f>
        <v>0</v>
      </c>
      <c r="F12" s="1123" cm="1">
        <f t="array" ref="F12">IFERROR(INDEX('[2]MADINAH Migration Plan-'!$L:$L,MATCH(1,('[2]MADINAH Migration Plan-'!$AA:$AA=$A12)*('[2]MADINAH Migration Plan-'!$Z:$Z=F$6),0)),0)</f>
        <v>0</v>
      </c>
      <c r="G12" s="1123" cm="1">
        <f t="array" ref="G12">IFERROR(INDEX('[2]MADINAH Migration Plan-'!$L:$L,MATCH(1,('[2]MADINAH Migration Plan-'!$AA:$AA=$A12)*('[2]MADINAH Migration Plan-'!$Z:$Z=G$6),0)),0)</f>
        <v>0</v>
      </c>
      <c r="H12" s="1123" cm="1">
        <f t="array" ref="H12">IFERROR(INDEX('[2]MADINAH Migration Plan-'!$L:$L,MATCH(1,('[2]MADINAH Migration Plan-'!$AA:$AA=$A12)*('[2]MADINAH Migration Plan-'!$Z:$Z=H$6),0)),0)</f>
        <v>0</v>
      </c>
      <c r="I12" s="1195"/>
      <c r="J12" s="1120" t="s">
        <v>73</v>
      </c>
      <c r="K12" s="1124"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2">
        <f t="shared" si="1"/>
        <v>0</v>
      </c>
      <c r="M12" s="1123" cm="1">
        <f t="array" ref="M12">IFERROR(INDEX('[2]Jeddah Migration Plan'!$L:$L,MATCH(1,('[2]Jeddah Migration Plan'!$AA:$AA=$J12)*('[2]Jeddah Migration Plan'!$Z:$Z=M$6),0)),0)</f>
        <v>0</v>
      </c>
      <c r="N12" s="1123" cm="1">
        <f t="array" ref="N12">IFERROR(INDEX('[2]Jeddah Migration Plan'!$L:$L,MATCH(1,('[2]Jeddah Migration Plan'!$AA:$AA=$J12)*('[2]Jeddah Migration Plan'!$Z:$Z=N$6),0)),0)</f>
        <v>0</v>
      </c>
      <c r="O12" s="1123" cm="1">
        <f t="array" ref="O12">IFERROR(INDEX('[2]Jeddah Migration Plan'!$L:$L,MATCH(1,('[2]Jeddah Migration Plan'!$AA:$AA=$J12)*('[2]Jeddah Migration Plan'!$Z:$Z=O$6),0)),0)</f>
        <v>0</v>
      </c>
      <c r="P12" s="1123" cm="1">
        <f t="array" ref="P12">IFERROR(INDEX('[2]Jeddah Migration Plan'!$L:$L,MATCH(1,('[2]Jeddah Migration Plan'!$AA:$AA=$J12)*('[2]Jeddah Migration Plan'!$Z:$Z=P$6),0)),0)</f>
        <v>0</v>
      </c>
      <c r="Q12" s="1123" cm="1">
        <f t="array" ref="Q12">IFERROR(INDEX('[2]Jeddah Migration Plan'!$L:$L,MATCH(1,('[2]Jeddah Migration Plan'!$AA:$AA=$J12)*('[2]Jeddah Migration Plan'!$Z:$Z=Q$6),0)),0)</f>
        <v>0</v>
      </c>
      <c r="R12" s="1195"/>
      <c r="S12" s="1120" t="s">
        <v>73</v>
      </c>
      <c r="T12" s="1124"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2">
        <f t="shared" si="2"/>
        <v>0</v>
      </c>
      <c r="V12" s="1123" cm="1">
        <f t="array" ref="V12">IFERROR(INDEX('[2]Makkah Migration Plan'!$L:$L,MATCH(1,('[2]Makkah Migration Plan'!$AA:$AA=$S25)*('[2]Makkah Migration Plan'!$Z:$Z=V$19),0)),0)</f>
        <v>0</v>
      </c>
      <c r="W12" s="1123" cm="1">
        <f t="array" ref="W12">IFERROR(INDEX('[2]Makkah Migration Plan'!$L:$L,MATCH(1,('[2]Makkah Migration Plan'!$AA:$AA=$S25)*('[2]Makkah Migration Plan'!$Z:$Z=W$19),0)),0)</f>
        <v>0</v>
      </c>
      <c r="X12" s="1123" cm="1">
        <f t="array" ref="X12">IFERROR(INDEX('[2]Makkah Migration Plan'!$L:$L,MATCH(1,('[2]Makkah Migration Plan'!$AA:$AA=$S25)*('[2]Makkah Migration Plan'!$Z:$Z=X$19),0)),0)</f>
        <v>0</v>
      </c>
      <c r="Y12" s="1123" cm="1">
        <f t="array" ref="Y12">IFERROR(INDEX('[2]Makkah Migration Plan'!$L:$L,MATCH(1,('[2]Makkah Migration Plan'!$AA:$AA=$S25)*('[2]Makkah Migration Plan'!$Z:$Z=Y$19),0)),0)</f>
        <v>0</v>
      </c>
      <c r="Z12" s="1123" cm="1">
        <f t="array" ref="Z12">IFERROR(INDEX('[2]Makkah Migration Plan'!$L:$L,MATCH(1,('[2]Makkah Migration Plan'!$AA:$AA=$S25)*('[2]Makkah Migration Plan'!$Z:$Z=Z$19),0)),0)</f>
        <v>0</v>
      </c>
    </row>
    <row r="13" spans="1:29" ht="14.25" customHeight="1">
      <c r="A13" s="1120" t="s">
        <v>74</v>
      </c>
      <c r="B13" s="1125"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2">
        <f t="shared" si="0"/>
        <v>0</v>
      </c>
      <c r="D13" s="1123" cm="1">
        <f t="array" ref="D13">IFERROR(INDEX('[2]MADINAH Migration Plan-'!$L:$L,MATCH(1,('[2]MADINAH Migration Plan-'!$AA:$AA=$A13)*('[2]MADINAH Migration Plan-'!$Z:$Z=D$6),0)),0)</f>
        <v>0</v>
      </c>
      <c r="E13" s="1123" cm="1">
        <f t="array" ref="E13">IFERROR(INDEX('[2]MADINAH Migration Plan-'!$L:$L,MATCH(1,('[2]MADINAH Migration Plan-'!$AA:$AA=$A13)*('[2]MADINAH Migration Plan-'!$Z:$Z=E$6),0)),0)</f>
        <v>0</v>
      </c>
      <c r="F13" s="1123" cm="1">
        <f t="array" ref="F13">IFERROR(INDEX('[2]MADINAH Migration Plan-'!$L:$L,MATCH(1,('[2]MADINAH Migration Plan-'!$AA:$AA=$A13)*('[2]MADINAH Migration Plan-'!$Z:$Z=F$6),0)),0)</f>
        <v>0</v>
      </c>
      <c r="G13" s="1123" cm="1">
        <f t="array" ref="G13">IFERROR(INDEX('[2]MADINAH Migration Plan-'!$L:$L,MATCH(1,('[2]MADINAH Migration Plan-'!$AA:$AA=$A13)*('[2]MADINAH Migration Plan-'!$Z:$Z=G$6),0)),0)</f>
        <v>0</v>
      </c>
      <c r="H13" s="1123" cm="1">
        <f t="array" ref="H13">IFERROR(INDEX('[2]MADINAH Migration Plan-'!$L:$L,MATCH(1,('[2]MADINAH Migration Plan-'!$AA:$AA=$A13)*('[2]MADINAH Migration Plan-'!$Z:$Z=H$6),0)),0)</f>
        <v>0</v>
      </c>
      <c r="I13" s="1195"/>
      <c r="J13" s="1120" t="s">
        <v>74</v>
      </c>
      <c r="K13" s="1124"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2">
        <f t="shared" si="1"/>
        <v>0</v>
      </c>
      <c r="M13" s="1123" cm="1">
        <f t="array" ref="M13">IFERROR(INDEX('[2]Jeddah Migration Plan'!$L:$L,MATCH(1,('[2]Jeddah Migration Plan'!$AA:$AA=$J13)*('[2]Jeddah Migration Plan'!$Z:$Z=M$6),0)),0)</f>
        <v>0</v>
      </c>
      <c r="N13" s="1123" cm="1">
        <f t="array" ref="N13">IFERROR(INDEX('[2]Jeddah Migration Plan'!$L:$L,MATCH(1,('[2]Jeddah Migration Plan'!$AA:$AA=$J13)*('[2]Jeddah Migration Plan'!$Z:$Z=N$6),0)),0)</f>
        <v>0</v>
      </c>
      <c r="O13" s="1123" cm="1">
        <f t="array" ref="O13">IFERROR(INDEX('[2]Jeddah Migration Plan'!$L:$L,MATCH(1,('[2]Jeddah Migration Plan'!$AA:$AA=$J13)*('[2]Jeddah Migration Plan'!$Z:$Z=O$6),0)),0)</f>
        <v>0</v>
      </c>
      <c r="P13" s="1123" cm="1">
        <f t="array" ref="P13">IFERROR(INDEX('[2]Jeddah Migration Plan'!$L:$L,MATCH(1,('[2]Jeddah Migration Plan'!$AA:$AA=$J13)*('[2]Jeddah Migration Plan'!$Z:$Z=P$6),0)),0)</f>
        <v>0</v>
      </c>
      <c r="Q13" s="1123" cm="1">
        <f t="array" ref="Q13">IFERROR(INDEX('[2]Jeddah Migration Plan'!$L:$L,MATCH(1,('[2]Jeddah Migration Plan'!$AA:$AA=$J13)*('[2]Jeddah Migration Plan'!$Z:$Z=Q$6),0)),0)</f>
        <v>0</v>
      </c>
      <c r="R13" s="1195"/>
      <c r="S13" s="1120" t="s">
        <v>74</v>
      </c>
      <c r="T13" s="1124"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2">
        <f t="shared" si="2"/>
        <v>0</v>
      </c>
      <c r="V13" s="1123" cm="1">
        <f t="array" ref="V13">IFERROR(INDEX('[2]Makkah Migration Plan'!$L:$L,MATCH(1,('[2]Makkah Migration Plan'!$AA:$AA=$S26)*('[2]Makkah Migration Plan'!$Z:$Z=V$19),0)),0)</f>
        <v>0</v>
      </c>
      <c r="W13" s="1123" cm="1">
        <f t="array" ref="W13">IFERROR(INDEX('[2]Makkah Migration Plan'!$L:$L,MATCH(1,('[2]Makkah Migration Plan'!$AA:$AA=$S26)*('[2]Makkah Migration Plan'!$Z:$Z=W$19),0)),0)</f>
        <v>0</v>
      </c>
      <c r="X13" s="1123" cm="1">
        <f t="array" ref="X13">IFERROR(INDEX('[2]Makkah Migration Plan'!$L:$L,MATCH(1,('[2]Makkah Migration Plan'!$AA:$AA=$S26)*('[2]Makkah Migration Plan'!$Z:$Z=X$19),0)),0)</f>
        <v>0</v>
      </c>
      <c r="Y13" s="1123" cm="1">
        <f t="array" ref="Y13">IFERROR(INDEX('[2]Makkah Migration Plan'!$L:$L,MATCH(1,('[2]Makkah Migration Plan'!$AA:$AA=$S26)*('[2]Makkah Migration Plan'!$Z:$Z=Y$19),0)),0)</f>
        <v>0</v>
      </c>
      <c r="Z13" s="1123" cm="1">
        <f t="array" ref="Z13">IFERROR(INDEX('[2]Makkah Migration Plan'!$L:$L,MATCH(1,('[2]Makkah Migration Plan'!$AA:$AA=$S26)*('[2]Makkah Migration Plan'!$Z:$Z=Z$19),0)),0)</f>
        <v>0</v>
      </c>
    </row>
    <row r="14" spans="1:29" ht="14.25" customHeight="1">
      <c r="A14" s="1120" t="s">
        <v>75</v>
      </c>
      <c r="B14" s="1125"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2">
        <f t="shared" si="0"/>
        <v>0</v>
      </c>
      <c r="D14" s="1123" cm="1">
        <f t="array" ref="D14">IFERROR(INDEX('[2]MADINAH Migration Plan-'!$L:$L,MATCH(1,('[2]MADINAH Migration Plan-'!$AA:$AA=$A14)*('[2]MADINAH Migration Plan-'!$Z:$Z=D$6),0)),0)</f>
        <v>0</v>
      </c>
      <c r="E14" s="1123" cm="1">
        <f t="array" ref="E14">IFERROR(INDEX('[2]MADINAH Migration Plan-'!$L:$L,MATCH(1,('[2]MADINAH Migration Plan-'!$AA:$AA=$A14)*('[2]MADINAH Migration Plan-'!$Z:$Z=E$6),0)),0)</f>
        <v>0</v>
      </c>
      <c r="F14" s="1123" cm="1">
        <f t="array" ref="F14">IFERROR(INDEX('[2]MADINAH Migration Plan-'!$L:$L,MATCH(1,('[2]MADINAH Migration Plan-'!$AA:$AA=$A14)*('[2]MADINAH Migration Plan-'!$Z:$Z=F$6),0)),0)</f>
        <v>0</v>
      </c>
      <c r="G14" s="1123" cm="1">
        <f t="array" ref="G14">IFERROR(INDEX('[2]MADINAH Migration Plan-'!$L:$L,MATCH(1,('[2]MADINAH Migration Plan-'!$AA:$AA=$A14)*('[2]MADINAH Migration Plan-'!$Z:$Z=G$6),0)),0)</f>
        <v>0</v>
      </c>
      <c r="H14" s="1123" cm="1">
        <f t="array" ref="H14">IFERROR(INDEX('[2]MADINAH Migration Plan-'!$L:$L,MATCH(1,('[2]MADINAH Migration Plan-'!$AA:$AA=$A14)*('[2]MADINAH Migration Plan-'!$Z:$Z=H$6),0)),0)</f>
        <v>0</v>
      </c>
      <c r="I14" s="1195"/>
      <c r="J14" s="1120" t="s">
        <v>75</v>
      </c>
      <c r="K14" s="1124"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2">
        <f t="shared" si="1"/>
        <v>0</v>
      </c>
      <c r="M14" s="1123" cm="1">
        <f t="array" ref="M14">IFERROR(INDEX('[2]Jeddah Migration Plan'!$L:$L,MATCH(1,('[2]Jeddah Migration Plan'!$AA:$AA=$J14)*('[2]Jeddah Migration Plan'!$Z:$Z=M$6),0)),0)</f>
        <v>0</v>
      </c>
      <c r="N14" s="1123" cm="1">
        <f t="array" ref="N14">IFERROR(INDEX('[2]Jeddah Migration Plan'!$L:$L,MATCH(1,('[2]Jeddah Migration Plan'!$AA:$AA=$J14)*('[2]Jeddah Migration Plan'!$Z:$Z=N$6),0)),0)</f>
        <v>0</v>
      </c>
      <c r="O14" s="1123" cm="1">
        <f t="array" ref="O14">IFERROR(INDEX('[2]Jeddah Migration Plan'!$L:$L,MATCH(1,('[2]Jeddah Migration Plan'!$AA:$AA=$J14)*('[2]Jeddah Migration Plan'!$Z:$Z=O$6),0)),0)</f>
        <v>0</v>
      </c>
      <c r="P14" s="1123" cm="1">
        <f t="array" ref="P14">IFERROR(INDEX('[2]Jeddah Migration Plan'!$L:$L,MATCH(1,('[2]Jeddah Migration Plan'!$AA:$AA=$J14)*('[2]Jeddah Migration Plan'!$Z:$Z=P$6),0)),0)</f>
        <v>0</v>
      </c>
      <c r="Q14" s="1123" cm="1">
        <f t="array" ref="Q14">IFERROR(INDEX('[2]Jeddah Migration Plan'!$L:$L,MATCH(1,('[2]Jeddah Migration Plan'!$AA:$AA=$J14)*('[2]Jeddah Migration Plan'!$Z:$Z=Q$6),0)),0)</f>
        <v>0</v>
      </c>
      <c r="R14" s="1195"/>
      <c r="S14" s="1120" t="s">
        <v>75</v>
      </c>
      <c r="T14" s="1124"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2">
        <f t="shared" si="2"/>
        <v>0</v>
      </c>
      <c r="V14" s="1123" cm="1">
        <f t="array" ref="V14">IFERROR(INDEX('[2]Makkah Migration Plan'!$L:$L,MATCH(1,('[2]Makkah Migration Plan'!$AA:$AA=$S27)*('[2]Makkah Migration Plan'!$Z:$Z=V$19),0)),0)</f>
        <v>0</v>
      </c>
      <c r="W14" s="1123" cm="1">
        <f t="array" ref="W14">IFERROR(INDEX('[2]Makkah Migration Plan'!$L:$L,MATCH(1,('[2]Makkah Migration Plan'!$AA:$AA=$S27)*('[2]Makkah Migration Plan'!$Z:$Z=W$19),0)),0)</f>
        <v>0</v>
      </c>
      <c r="X14" s="1123" cm="1">
        <f t="array" ref="X14">IFERROR(INDEX('[2]Makkah Migration Plan'!$L:$L,MATCH(1,('[2]Makkah Migration Plan'!$AA:$AA=$S27)*('[2]Makkah Migration Plan'!$Z:$Z=X$19),0)),0)</f>
        <v>0</v>
      </c>
      <c r="Y14" s="1123" cm="1">
        <f t="array" ref="Y14">IFERROR(INDEX('[2]Makkah Migration Plan'!$L:$L,MATCH(1,('[2]Makkah Migration Plan'!$AA:$AA=$S27)*('[2]Makkah Migration Plan'!$Z:$Z=Y$19),0)),0)</f>
        <v>0</v>
      </c>
      <c r="Z14" s="1123" cm="1">
        <f t="array" ref="Z14">IFERROR(INDEX('[2]Makkah Migration Plan'!$L:$L,MATCH(1,('[2]Makkah Migration Plan'!$AA:$AA=$S27)*('[2]Makkah Migration Plan'!$Z:$Z=Z$19),0)),0)</f>
        <v>0</v>
      </c>
    </row>
    <row r="15" spans="1:29" ht="14.25" customHeight="1">
      <c r="A15" s="1120" t="s">
        <v>76</v>
      </c>
      <c r="B15" s="1125"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2">
        <f t="shared" si="0"/>
        <v>0</v>
      </c>
      <c r="D15" s="1123" cm="1">
        <f t="array" ref="D15">IFERROR(INDEX('[2]MADINAH Migration Plan-'!$L:$L,MATCH(1,('[2]MADINAH Migration Plan-'!$AA:$AA=$A15)*('[2]MADINAH Migration Plan-'!$Z:$Z=D$6),0)),0)</f>
        <v>0</v>
      </c>
      <c r="E15" s="1123" cm="1">
        <f t="array" ref="E15">IFERROR(INDEX('[2]MADINAH Migration Plan-'!$L:$L,MATCH(1,('[2]MADINAH Migration Plan-'!$AA:$AA=$A15)*('[2]MADINAH Migration Plan-'!$Z:$Z=E$6),0)),0)</f>
        <v>0</v>
      </c>
      <c r="F15" s="1123" cm="1">
        <f t="array" ref="F15">IFERROR(INDEX('[2]MADINAH Migration Plan-'!$L:$L,MATCH(1,('[2]MADINAH Migration Plan-'!$AA:$AA=$A15)*('[2]MADINAH Migration Plan-'!$Z:$Z=F$6),0)),0)</f>
        <v>0</v>
      </c>
      <c r="G15" s="1123" cm="1">
        <f t="array" ref="G15">IFERROR(INDEX('[2]MADINAH Migration Plan-'!$L:$L,MATCH(1,('[2]MADINAH Migration Plan-'!$AA:$AA=$A15)*('[2]MADINAH Migration Plan-'!$Z:$Z=G$6),0)),0)</f>
        <v>0</v>
      </c>
      <c r="H15" s="1123" cm="1">
        <f t="array" ref="H15">IFERROR(INDEX('[2]MADINAH Migration Plan-'!$L:$L,MATCH(1,('[2]MADINAH Migration Plan-'!$AA:$AA=$A15)*('[2]MADINAH Migration Plan-'!$Z:$Z=H$6),0)),0)</f>
        <v>0</v>
      </c>
      <c r="I15" s="1195"/>
      <c r="J15" s="1120" t="s">
        <v>76</v>
      </c>
      <c r="K15" s="1124"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2">
        <f t="shared" si="1"/>
        <v>0</v>
      </c>
      <c r="M15" s="1123" cm="1">
        <f t="array" ref="M15">IFERROR(INDEX('[2]Jeddah Migration Plan'!$L:$L,MATCH(1,('[2]Jeddah Migration Plan'!$AA:$AA=$J15)*('[2]Jeddah Migration Plan'!$Z:$Z=M$6),0)),0)</f>
        <v>0</v>
      </c>
      <c r="N15" s="1123" cm="1">
        <f t="array" ref="N15">IFERROR(INDEX('[2]Jeddah Migration Plan'!$L:$L,MATCH(1,('[2]Jeddah Migration Plan'!$AA:$AA=$J15)*('[2]Jeddah Migration Plan'!$Z:$Z=N$6),0)),0)</f>
        <v>0</v>
      </c>
      <c r="O15" s="1123" cm="1">
        <f t="array" ref="O15">IFERROR(INDEX('[2]Jeddah Migration Plan'!$L:$L,MATCH(1,('[2]Jeddah Migration Plan'!$AA:$AA=$J15)*('[2]Jeddah Migration Plan'!$Z:$Z=O$6),0)),0)</f>
        <v>0</v>
      </c>
      <c r="P15" s="1123" cm="1">
        <f t="array" ref="P15">IFERROR(INDEX('[2]Jeddah Migration Plan'!$L:$L,MATCH(1,('[2]Jeddah Migration Plan'!$AA:$AA=$J15)*('[2]Jeddah Migration Plan'!$Z:$Z=P$6),0)),0)</f>
        <v>0</v>
      </c>
      <c r="Q15" s="1123" cm="1">
        <f t="array" ref="Q15">IFERROR(INDEX('[2]Jeddah Migration Plan'!$L:$L,MATCH(1,('[2]Jeddah Migration Plan'!$AA:$AA=$J15)*('[2]Jeddah Migration Plan'!$Z:$Z=Q$6),0)),0)</f>
        <v>0</v>
      </c>
      <c r="R15" s="1195"/>
      <c r="S15" s="1120" t="s">
        <v>76</v>
      </c>
      <c r="T15" s="1124"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2">
        <f t="shared" si="2"/>
        <v>0</v>
      </c>
      <c r="V15" s="1123" cm="1">
        <f t="array" ref="V15">IFERROR(INDEX('[2]Makkah Migration Plan'!$L:$L,MATCH(1,('[2]Makkah Migration Plan'!$AA:$AA=$S28)*('[2]Makkah Migration Plan'!$Z:$Z=V$19),0)),0)</f>
        <v>0</v>
      </c>
      <c r="W15" s="1123" cm="1">
        <f t="array" ref="W15">IFERROR(INDEX('[2]Makkah Migration Plan'!$L:$L,MATCH(1,('[2]Makkah Migration Plan'!$AA:$AA=$S28)*('[2]Makkah Migration Plan'!$Z:$Z=W$19),0)),0)</f>
        <v>0</v>
      </c>
      <c r="X15" s="1123" cm="1">
        <f t="array" ref="X15">IFERROR(INDEX('[2]Makkah Migration Plan'!$L:$L,MATCH(1,('[2]Makkah Migration Plan'!$AA:$AA=$S28)*('[2]Makkah Migration Plan'!$Z:$Z=X$19),0)),0)</f>
        <v>0</v>
      </c>
      <c r="Y15" s="1123" cm="1">
        <f t="array" ref="Y15">IFERROR(INDEX('[2]Makkah Migration Plan'!$L:$L,MATCH(1,('[2]Makkah Migration Plan'!$AA:$AA=$S28)*('[2]Makkah Migration Plan'!$Z:$Z=Y$19),0)),0)</f>
        <v>0</v>
      </c>
      <c r="Z15" s="1123" cm="1">
        <f t="array" ref="Z15">IFERROR(INDEX('[2]Makkah Migration Plan'!$L:$L,MATCH(1,('[2]Makkah Migration Plan'!$AA:$AA=$S28)*('[2]Makkah Migration Plan'!$Z:$Z=Z$19),0)),0)</f>
        <v>0</v>
      </c>
    </row>
    <row r="16" spans="1:29" ht="14.25" customHeight="1">
      <c r="A16" s="1120" t="s">
        <v>77</v>
      </c>
      <c r="B16" s="1125"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2">
        <f t="shared" si="0"/>
        <v>0</v>
      </c>
      <c r="D16" s="1123" cm="1">
        <f t="array" ref="D16">IFERROR(INDEX('[2]MADINAH Migration Plan-'!$L:$L,MATCH(1,('[2]MADINAH Migration Plan-'!$AA:$AA=$A16)*('[2]MADINAH Migration Plan-'!$Z:$Z=D$6),0)),0)</f>
        <v>0</v>
      </c>
      <c r="E16" s="1123" cm="1">
        <f t="array" ref="E16">IFERROR(INDEX('[2]MADINAH Migration Plan-'!$L:$L,MATCH(1,('[2]MADINAH Migration Plan-'!$AA:$AA=$A16)*('[2]MADINAH Migration Plan-'!$Z:$Z=E$6),0)),0)</f>
        <v>0</v>
      </c>
      <c r="F16" s="1123" cm="1">
        <f t="array" ref="F16">IFERROR(INDEX('[2]MADINAH Migration Plan-'!$L:$L,MATCH(1,('[2]MADINAH Migration Plan-'!$AA:$AA=$A16)*('[2]MADINAH Migration Plan-'!$Z:$Z=F$6),0)),0)</f>
        <v>0</v>
      </c>
      <c r="G16" s="1123" cm="1">
        <f t="array" ref="G16">IFERROR(INDEX('[2]MADINAH Migration Plan-'!$L:$L,MATCH(1,('[2]MADINAH Migration Plan-'!$AA:$AA=$A16)*('[2]MADINAH Migration Plan-'!$Z:$Z=G$6),0)),0)</f>
        <v>0</v>
      </c>
      <c r="H16" s="1123" cm="1">
        <f t="array" ref="H16">IFERROR(INDEX('[2]MADINAH Migration Plan-'!$L:$L,MATCH(1,('[2]MADINAH Migration Plan-'!$AA:$AA=$A16)*('[2]MADINAH Migration Plan-'!$Z:$Z=H$6),0)),0)</f>
        <v>0</v>
      </c>
      <c r="I16" s="1196"/>
      <c r="J16" s="1120" t="s">
        <v>77</v>
      </c>
      <c r="K16" s="1124"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2">
        <f t="shared" si="1"/>
        <v>0</v>
      </c>
      <c r="M16" s="1123" cm="1">
        <f t="array" ref="M16">IFERROR(INDEX('[2]Jeddah Migration Plan'!$L:$L,MATCH(1,('[2]Jeddah Migration Plan'!$AA:$AA=$J16)*('[2]Jeddah Migration Plan'!$Z:$Z=M$6),0)),0)</f>
        <v>0</v>
      </c>
      <c r="N16" s="1123" cm="1">
        <f t="array" ref="N16">IFERROR(INDEX('[2]Jeddah Migration Plan'!$L:$L,MATCH(1,('[2]Jeddah Migration Plan'!$AA:$AA=$J16)*('[2]Jeddah Migration Plan'!$Z:$Z=N$6),0)),0)</f>
        <v>0</v>
      </c>
      <c r="O16" s="1123" cm="1">
        <f t="array" ref="O16">IFERROR(INDEX('[2]Jeddah Migration Plan'!$L:$L,MATCH(1,('[2]Jeddah Migration Plan'!$AA:$AA=$J16)*('[2]Jeddah Migration Plan'!$Z:$Z=O$6),0)),0)</f>
        <v>0</v>
      </c>
      <c r="P16" s="1123" cm="1">
        <f t="array" ref="P16">IFERROR(INDEX('[2]Jeddah Migration Plan'!$L:$L,MATCH(1,('[2]Jeddah Migration Plan'!$AA:$AA=$J16)*('[2]Jeddah Migration Plan'!$Z:$Z=P$6),0)),0)</f>
        <v>0</v>
      </c>
      <c r="Q16" s="1123" cm="1">
        <f t="array" ref="Q16">IFERROR(INDEX('[2]Jeddah Migration Plan'!$L:$L,MATCH(1,('[2]Jeddah Migration Plan'!$AA:$AA=$J16)*('[2]Jeddah Migration Plan'!$Z:$Z=Q$6),0)),0)</f>
        <v>0</v>
      </c>
      <c r="R16" s="1196"/>
      <c r="S16" s="1120" t="s">
        <v>77</v>
      </c>
      <c r="T16" s="1124"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2">
        <f t="shared" si="2"/>
        <v>0</v>
      </c>
      <c r="V16" s="1123" cm="1">
        <f t="array" ref="V16">IFERROR(INDEX('[2]Makkah Migration Plan'!$L:$L,MATCH(1,('[2]Makkah Migration Plan'!$AA:$AA=$S29)*('[2]Makkah Migration Plan'!$Z:$Z=V$19),0)),0)</f>
        <v>0</v>
      </c>
      <c r="W16" s="1123" cm="1">
        <f t="array" ref="W16">IFERROR(INDEX('[2]Makkah Migration Plan'!$L:$L,MATCH(1,('[2]Makkah Migration Plan'!$AA:$AA=$S29)*('[2]Makkah Migration Plan'!$Z:$Z=W$19),0)),0)</f>
        <v>0</v>
      </c>
      <c r="X16" s="1123" cm="1">
        <f t="array" ref="X16">IFERROR(INDEX('[2]Makkah Migration Plan'!$L:$L,MATCH(1,('[2]Makkah Migration Plan'!$AA:$AA=$S29)*('[2]Makkah Migration Plan'!$Z:$Z=X$19),0)),0)</f>
        <v>0</v>
      </c>
      <c r="Y16" s="1123" cm="1">
        <f t="array" ref="Y16">IFERROR(INDEX('[2]Makkah Migration Plan'!$L:$L,MATCH(1,('[2]Makkah Migration Plan'!$AA:$AA=$S29)*('[2]Makkah Migration Plan'!$Z:$Z=Y$19),0)),0)</f>
        <v>0</v>
      </c>
      <c r="Z16" s="1123" cm="1">
        <f t="array" ref="Z16">IFERROR(INDEX('[2]Makkah Migration Plan'!$L:$L,MATCH(1,('[2]Makkah Migration Plan'!$AA:$AA=$S29)*('[2]Makkah Migration Plan'!$Z:$Z=Z$19),0)),0)</f>
        <v>0</v>
      </c>
    </row>
    <row r="17" spans="1:26">
      <c r="A17" s="1172"/>
      <c r="B17" s="1173"/>
      <c r="C17" s="1173"/>
      <c r="D17" s="1173"/>
      <c r="E17" s="1173"/>
      <c r="F17" s="1173"/>
      <c r="G17" s="1173"/>
      <c r="H17" s="1173"/>
      <c r="I17" s="1174"/>
      <c r="J17" s="1174"/>
      <c r="K17" s="1174"/>
      <c r="L17" s="1174"/>
      <c r="M17" s="1174"/>
      <c r="N17" s="1174"/>
      <c r="O17" s="1174"/>
      <c r="P17" s="1174"/>
      <c r="Q17" s="1174"/>
      <c r="R17" s="1174"/>
      <c r="S17" s="1174"/>
      <c r="T17" s="1174"/>
      <c r="U17" s="1174"/>
      <c r="V17" s="1174"/>
      <c r="W17" s="1174"/>
      <c r="X17" s="1174"/>
      <c r="Y17" s="1174"/>
      <c r="Z17" s="1175"/>
    </row>
    <row r="18" spans="1:26" ht="24" customHeight="1">
      <c r="A18" s="1176" t="s">
        <v>78</v>
      </c>
      <c r="B18" s="1176"/>
      <c r="C18" s="1176"/>
      <c r="D18" s="1176"/>
      <c r="E18" s="1176"/>
      <c r="F18" s="1176"/>
      <c r="G18" s="1176"/>
      <c r="H18" s="1176"/>
      <c r="I18" s="1177"/>
      <c r="J18" s="1178"/>
      <c r="K18" s="1178"/>
      <c r="L18" s="1178"/>
      <c r="M18" s="1178"/>
      <c r="N18" s="1178"/>
      <c r="O18" s="1178"/>
      <c r="P18" s="1178"/>
      <c r="Q18" s="1178"/>
      <c r="R18" s="1179"/>
      <c r="S18" s="1176" t="s">
        <v>79</v>
      </c>
      <c r="T18" s="1176"/>
      <c r="U18" s="1176"/>
      <c r="V18" s="1176"/>
      <c r="W18" s="1176"/>
      <c r="X18" s="1176"/>
      <c r="Y18" s="1176"/>
      <c r="Z18" s="1176"/>
    </row>
    <row r="19" spans="1:26" ht="89.25" customHeight="1">
      <c r="A19" s="1116" t="s">
        <v>59</v>
      </c>
      <c r="B19" s="1117" t="s">
        <v>60</v>
      </c>
      <c r="C19" s="1118" t="s">
        <v>61</v>
      </c>
      <c r="D19" s="1119" t="s">
        <v>62</v>
      </c>
      <c r="E19" s="1119" t="s">
        <v>63</v>
      </c>
      <c r="F19" s="1119" t="s">
        <v>64</v>
      </c>
      <c r="G19" s="1119" t="s">
        <v>65</v>
      </c>
      <c r="H19" s="1119" t="s">
        <v>66</v>
      </c>
      <c r="I19" s="1180"/>
      <c r="J19" s="1181"/>
      <c r="K19" s="1181"/>
      <c r="L19" s="1181"/>
      <c r="M19" s="1181"/>
      <c r="N19" s="1181"/>
      <c r="O19" s="1181"/>
      <c r="P19" s="1181"/>
      <c r="Q19" s="1181"/>
      <c r="R19" s="1182"/>
      <c r="S19" s="1116" t="s">
        <v>59</v>
      </c>
      <c r="T19" s="1117" t="s">
        <v>60</v>
      </c>
      <c r="U19" s="1118" t="s">
        <v>61</v>
      </c>
      <c r="V19" s="1119" t="s">
        <v>62</v>
      </c>
      <c r="W19" s="1119" t="s">
        <v>63</v>
      </c>
      <c r="X19" s="1119" t="s">
        <v>64</v>
      </c>
      <c r="Y19" s="1119" t="s">
        <v>65</v>
      </c>
      <c r="Z19" s="1119" t="s">
        <v>66</v>
      </c>
    </row>
    <row r="20" spans="1:26" ht="14.25" customHeight="1">
      <c r="A20" s="1120" t="s">
        <v>68</v>
      </c>
      <c r="B20" s="1127"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2">
        <f t="shared" ref="C20:C27" si="3">AVERAGE(D20:H20)</f>
        <v>0</v>
      </c>
      <c r="D20" s="1123" cm="1">
        <f t="array" ref="D20">IFERROR(INDEX('[2]ABHA Migration Plan'!$L:$L,MATCH(1,('[2]ABHA Migration Plan'!$AA:$AA=$A20)*('[2]ABHA Migration Plan'!$Z:$Z=D$19),0)),0)</f>
        <v>0</v>
      </c>
      <c r="E20" s="1123" cm="1">
        <f t="array" ref="E20">IFERROR(INDEX('[2]ABHA Migration Plan'!$L:$L,MATCH(1,('[2]ABHA Migration Plan'!$AA:$AA=$A20)*('[2]ABHA Migration Plan'!$Z:$Z=E$19),0)),0)</f>
        <v>0</v>
      </c>
      <c r="F20" s="1123" cm="1">
        <f t="array" ref="F20">IFERROR(INDEX('[2]ABHA Migration Plan'!$L:$L,MATCH(1,('[2]ABHA Migration Plan'!$AA:$AA=$A20)*('[2]ABHA Migration Plan'!$Z:$Z=F$19),0)),0)</f>
        <v>0</v>
      </c>
      <c r="G20" s="1123" cm="1">
        <f t="array" ref="G20">IFERROR(INDEX('[2]ABHA Migration Plan'!$L:$L,MATCH(1,('[2]ABHA Migration Plan'!$AA:$AA=$A20)*('[2]ABHA Migration Plan'!$Z:$Z=G$19),0)),0)</f>
        <v>0</v>
      </c>
      <c r="H20" s="1123" cm="1">
        <f t="array" ref="H20">IFERROR(INDEX('[2]ABHA Migration Plan'!$L:$L,MATCH(1,('[2]ABHA Migration Plan'!$AA:$AA=$A20)*('[2]ABHA Migration Plan'!$Z:$Z=H$19),0)),0)</f>
        <v>0</v>
      </c>
      <c r="I20" s="1180"/>
      <c r="J20" s="1181"/>
      <c r="K20" s="1181"/>
      <c r="L20" s="1181"/>
      <c r="M20" s="1181"/>
      <c r="N20" s="1181"/>
      <c r="O20" s="1181"/>
      <c r="P20" s="1181"/>
      <c r="Q20" s="1181"/>
      <c r="R20" s="1182"/>
      <c r="S20" s="1120" t="s">
        <v>68</v>
      </c>
      <c r="T20" s="1127"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2">
        <f t="shared" ref="U20:U27" si="4">AVERAGE(V20:Z20)</f>
        <v>0</v>
      </c>
      <c r="V20" s="1123" cm="1">
        <f t="array" ref="V20">IFERROR(INDEX('[2]Jizan Migration Plan'!$L:$L,MATCH(1,('[2]Jizan Migration Plan'!$AA:$AA=$S20)*('[2]Jizan Migration Plan'!$Z:$Z=V$19),0)),0)</f>
        <v>0</v>
      </c>
      <c r="W20" s="1123" cm="1">
        <f t="array" ref="W20">IFERROR(INDEX('[2]Jizan Migration Plan'!$L:$L,MATCH(1,('[2]Jizan Migration Plan'!$AA:$AA=$S20)*('[2]Jizan Migration Plan'!$Z:$Z=W$19),0)),0)</f>
        <v>0</v>
      </c>
      <c r="X20" s="1123" cm="1">
        <f t="array" ref="X20">IFERROR(INDEX('[2]Jizan Migration Plan'!$L:$L,MATCH(1,('[2]Jizan Migration Plan'!$AA:$AA=$S20)*('[2]Jizan Migration Plan'!$Z:$Z=X$19),0)),0)</f>
        <v>0</v>
      </c>
      <c r="Y20" s="1123" cm="1">
        <f t="array" ref="Y20">IFERROR(INDEX('[2]Jizan Migration Plan'!$L:$L,MATCH(1,('[2]Jizan Migration Plan'!$AA:$AA=$S20)*('[2]Jizan Migration Plan'!$Z:$Z=Y$19),0)),0)</f>
        <v>0</v>
      </c>
      <c r="Z20" s="1123" cm="1">
        <f t="array" ref="Z20">IFERROR(INDEX('[2]Jizan Migration Plan'!$L:$L,MATCH(1,('[2]Jizan Migration Plan'!$AA:$AA=$S20)*('[2]Jizan Migration Plan'!$Z:$Z=Z$19),0)),0)</f>
        <v>0</v>
      </c>
    </row>
    <row r="21" spans="1:26" ht="14.25" customHeight="1">
      <c r="A21" s="1120" t="s">
        <v>69</v>
      </c>
      <c r="B21" s="1127"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2">
        <f t="shared" si="3"/>
        <v>0</v>
      </c>
      <c r="D21" s="1123" cm="1">
        <f t="array" ref="D21">IFERROR(INDEX('[2]ABHA Migration Plan'!$L:$L,MATCH(1,('[2]ABHA Migration Plan'!$AA:$AA=$A21)*('[2]ABHA Migration Plan'!$Z:$Z=D$19),0)),0)</f>
        <v>0</v>
      </c>
      <c r="E21" s="1123" cm="1">
        <f t="array" ref="E21">IFERROR(INDEX('[2]ABHA Migration Plan'!$L:$L,MATCH(1,('[2]ABHA Migration Plan'!$AA:$AA=$A21)*('[2]ABHA Migration Plan'!$Z:$Z=E$19),0)),0)</f>
        <v>0</v>
      </c>
      <c r="F21" s="1123" cm="1">
        <f t="array" ref="F21">IFERROR(INDEX('[2]ABHA Migration Plan'!$L:$L,MATCH(1,('[2]ABHA Migration Plan'!$AA:$AA=$A21)*('[2]ABHA Migration Plan'!$Z:$Z=F$19),0)),0)</f>
        <v>0</v>
      </c>
      <c r="G21" s="1123" cm="1">
        <f t="array" ref="G21">IFERROR(INDEX('[2]ABHA Migration Plan'!$L:$L,MATCH(1,('[2]ABHA Migration Plan'!$AA:$AA=$A21)*('[2]ABHA Migration Plan'!$Z:$Z=G$19),0)),0)</f>
        <v>0</v>
      </c>
      <c r="H21" s="1123" cm="1">
        <f t="array" ref="H21">IFERROR(INDEX('[2]ABHA Migration Plan'!$L:$L,MATCH(1,('[2]ABHA Migration Plan'!$AA:$AA=$A21)*('[2]ABHA Migration Plan'!$Z:$Z=H$19),0)),0)</f>
        <v>0</v>
      </c>
      <c r="I21" s="1180"/>
      <c r="J21" s="1181"/>
      <c r="K21" s="1181"/>
      <c r="L21" s="1181"/>
      <c r="M21" s="1181"/>
      <c r="N21" s="1181"/>
      <c r="O21" s="1181"/>
      <c r="P21" s="1181"/>
      <c r="Q21" s="1181"/>
      <c r="R21" s="1182"/>
      <c r="S21" s="1120" t="s">
        <v>69</v>
      </c>
      <c r="T21" s="1124"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2">
        <f t="shared" si="4"/>
        <v>0</v>
      </c>
      <c r="V21" s="1123" cm="1">
        <f t="array" ref="V21">IFERROR(INDEX('[2]Jizan Migration Plan'!$L:$L,MATCH(1,('[2]Jizan Migration Plan'!$AA:$AA=$S21)*('[2]Jizan Migration Plan'!$Z:$Z=V$19),0)),0)</f>
        <v>0</v>
      </c>
      <c r="W21" s="1123" cm="1">
        <f t="array" ref="W21">IFERROR(INDEX('[2]Jizan Migration Plan'!$L:$L,MATCH(1,('[2]Jizan Migration Plan'!$AA:$AA=$S21)*('[2]Jizan Migration Plan'!$Z:$Z=W$19),0)),0)</f>
        <v>0</v>
      </c>
      <c r="X21" s="1123" cm="1">
        <f t="array" ref="X21">IFERROR(INDEX('[2]Jizan Migration Plan'!$L:$L,MATCH(1,('[2]Jizan Migration Plan'!$AA:$AA=$S21)*('[2]Jizan Migration Plan'!$Z:$Z=X$19),0)),0)</f>
        <v>0</v>
      </c>
      <c r="Y21" s="1123" cm="1">
        <f t="array" ref="Y21">IFERROR(INDEX('[2]Jizan Migration Plan'!$L:$L,MATCH(1,('[2]Jizan Migration Plan'!$AA:$AA=$S21)*('[2]Jizan Migration Plan'!$Z:$Z=Y$19),0)),0)</f>
        <v>0</v>
      </c>
      <c r="Z21" s="1123" cm="1">
        <f t="array" ref="Z21">IFERROR(INDEX('[2]Jizan Migration Plan'!$L:$L,MATCH(1,('[2]Jizan Migration Plan'!$AA:$AA=$S21)*('[2]Jizan Migration Plan'!$Z:$Z=Z$19),0)),0)</f>
        <v>0</v>
      </c>
    </row>
    <row r="22" spans="1:26" ht="14.25" customHeight="1">
      <c r="A22" s="1120" t="s">
        <v>70</v>
      </c>
      <c r="B22" s="1124"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6">
        <f t="shared" si="3"/>
        <v>0</v>
      </c>
      <c r="D22" s="1123" cm="1">
        <f t="array" ref="D22">IFERROR(INDEX('[2]ABHA Migration Plan'!$L:$L,MATCH(1,('[2]ABHA Migration Plan'!$AA:$AA=$A22)*('[2]ABHA Migration Plan'!$Z:$Z=D$19),0)),0)</f>
        <v>0</v>
      </c>
      <c r="E22" s="1123" cm="1">
        <f t="array" ref="E22">IFERROR(INDEX('[2]ABHA Migration Plan'!$L:$L,MATCH(1,('[2]ABHA Migration Plan'!$AA:$AA=$A22)*('[2]ABHA Migration Plan'!$Z:$Z=E$19),0)),0)</f>
        <v>0</v>
      </c>
      <c r="F22" s="1123" cm="1">
        <f t="array" ref="F22">IFERROR(INDEX('[2]ABHA Migration Plan'!$L:$L,MATCH(1,('[2]ABHA Migration Plan'!$AA:$AA=$A22)*('[2]ABHA Migration Plan'!$Z:$Z=F$19),0)),0)</f>
        <v>0</v>
      </c>
      <c r="G22" s="1123" cm="1">
        <f t="array" ref="G22">IFERROR(INDEX('[2]ABHA Migration Plan'!$L:$L,MATCH(1,('[2]ABHA Migration Plan'!$AA:$AA=$A22)*('[2]ABHA Migration Plan'!$Z:$Z=G$19),0)),0)</f>
        <v>0</v>
      </c>
      <c r="H22" s="1123" cm="1">
        <f t="array" ref="H22">IFERROR(INDEX('[2]ABHA Migration Plan'!$L:$L,MATCH(1,('[2]ABHA Migration Plan'!$AA:$AA=$A22)*('[2]ABHA Migration Plan'!$Z:$Z=H$19),0)),0)</f>
        <v>0</v>
      </c>
      <c r="I22" s="1180"/>
      <c r="J22" s="1181"/>
      <c r="K22" s="1181"/>
      <c r="L22" s="1181"/>
      <c r="M22" s="1181"/>
      <c r="N22" s="1181"/>
      <c r="O22" s="1181"/>
      <c r="P22" s="1181"/>
      <c r="Q22" s="1181"/>
      <c r="R22" s="1182"/>
      <c r="S22" s="1120" t="s">
        <v>70</v>
      </c>
      <c r="T22" s="1124"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6">
        <f t="shared" si="4"/>
        <v>0</v>
      </c>
      <c r="V22" s="1123" cm="1">
        <f t="array" ref="V22">IFERROR(INDEX('[2]Jizan Migration Plan'!$L:$L,MATCH(1,('[2]Jizan Migration Plan'!$AA:$AA=$S22)*('[2]Jizan Migration Plan'!$Z:$Z=V$19),0)),0)</f>
        <v>0</v>
      </c>
      <c r="W22" s="1123" cm="1">
        <f t="array" ref="W22">IFERROR(INDEX('[2]Jizan Migration Plan'!$L:$L,MATCH(1,('[2]Jizan Migration Plan'!$AA:$AA=$S22)*('[2]Jizan Migration Plan'!$Z:$Z=W$19),0)),0)</f>
        <v>0</v>
      </c>
      <c r="X22" s="1123" cm="1">
        <f t="array" ref="X22">IFERROR(INDEX('[2]Jizan Migration Plan'!$L:$L,MATCH(1,('[2]Jizan Migration Plan'!$AA:$AA=$S22)*('[2]Jizan Migration Plan'!$Z:$Z=X$19),0)),0)</f>
        <v>0</v>
      </c>
      <c r="Y22" s="1123" cm="1">
        <f t="array" ref="Y22">IFERROR(INDEX('[2]Jizan Migration Plan'!$L:$L,MATCH(1,('[2]Jizan Migration Plan'!$AA:$AA=$S22)*('[2]Jizan Migration Plan'!$Z:$Z=Y$19),0)),0)</f>
        <v>0</v>
      </c>
      <c r="Z22" s="1123" cm="1">
        <f t="array" ref="Z22">IFERROR(INDEX('[2]Jizan Migration Plan'!$L:$L,MATCH(1,('[2]Jizan Migration Plan'!$AA:$AA=$S22)*('[2]Jizan Migration Plan'!$Z:$Z=Z$19),0)),0)</f>
        <v>0</v>
      </c>
    </row>
    <row r="23" spans="1:26" ht="14.25" customHeight="1">
      <c r="A23" s="1120" t="s">
        <v>71</v>
      </c>
      <c r="B23" s="1124"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6">
        <f t="shared" si="3"/>
        <v>0</v>
      </c>
      <c r="D23" s="1123" cm="1">
        <f t="array" ref="D23">IFERROR(INDEX('[2]ABHA Migration Plan'!$L:$L,MATCH(1,('[2]ABHA Migration Plan'!$AA:$AA=$A23)*('[2]ABHA Migration Plan'!$Z:$Z=D$19),0)),0)</f>
        <v>0</v>
      </c>
      <c r="E23" s="1123" cm="1">
        <f t="array" ref="E23">IFERROR(INDEX('[2]ABHA Migration Plan'!$L:$L,MATCH(1,('[2]ABHA Migration Plan'!$AA:$AA=$A23)*('[2]ABHA Migration Plan'!$Z:$Z=E$19),0)),0)</f>
        <v>0</v>
      </c>
      <c r="F23" s="1123" cm="1">
        <f t="array" ref="F23">IFERROR(INDEX('[2]ABHA Migration Plan'!$L:$L,MATCH(1,('[2]ABHA Migration Plan'!$AA:$AA=$A23)*('[2]ABHA Migration Plan'!$Z:$Z=F$19),0)),0)</f>
        <v>0</v>
      </c>
      <c r="G23" s="1123" cm="1">
        <f t="array" ref="G23">IFERROR(INDEX('[2]ABHA Migration Plan'!$L:$L,MATCH(1,('[2]ABHA Migration Plan'!$AA:$AA=$A23)*('[2]ABHA Migration Plan'!$Z:$Z=G$19),0)),0)</f>
        <v>0</v>
      </c>
      <c r="H23" s="1123" cm="1">
        <f t="array" ref="H23">IFERROR(INDEX('[2]ABHA Migration Plan'!$L:$L,MATCH(1,('[2]ABHA Migration Plan'!$AA:$AA=$A23)*('[2]ABHA Migration Plan'!$Z:$Z=H$19),0)),0)</f>
        <v>0</v>
      </c>
      <c r="I23" s="1180"/>
      <c r="J23" s="1181"/>
      <c r="K23" s="1181"/>
      <c r="L23" s="1181"/>
      <c r="M23" s="1181"/>
      <c r="N23" s="1181"/>
      <c r="O23" s="1181"/>
      <c r="P23" s="1181"/>
      <c r="Q23" s="1181"/>
      <c r="R23" s="1182"/>
      <c r="S23" s="1120" t="s">
        <v>71</v>
      </c>
      <c r="T23" s="1124"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2">
        <f t="shared" si="4"/>
        <v>0</v>
      </c>
      <c r="V23" s="1123" cm="1">
        <f t="array" ref="V23">IFERROR(INDEX('[2]Jizan Migration Plan'!$L:$L,MATCH(1,('[2]Jizan Migration Plan'!$AA:$AA=$S23)*('[2]Jizan Migration Plan'!$Z:$Z=V$19),0)),0)</f>
        <v>0</v>
      </c>
      <c r="W23" s="1123" cm="1">
        <f t="array" ref="W23">IFERROR(INDEX('[2]Jizan Migration Plan'!$L:$L,MATCH(1,('[2]Jizan Migration Plan'!$AA:$AA=$S23)*('[2]Jizan Migration Plan'!$Z:$Z=W$19),0)),0)</f>
        <v>0</v>
      </c>
      <c r="X23" s="1123" cm="1">
        <f t="array" ref="X23">IFERROR(INDEX('[2]Jizan Migration Plan'!$L:$L,MATCH(1,('[2]Jizan Migration Plan'!$AA:$AA=$S23)*('[2]Jizan Migration Plan'!$Z:$Z=X$19),0)),0)</f>
        <v>0</v>
      </c>
      <c r="Y23" s="1123" cm="1">
        <f t="array" ref="Y23">IFERROR(INDEX('[2]Jizan Migration Plan'!$L:$L,MATCH(1,('[2]Jizan Migration Plan'!$AA:$AA=$S23)*('[2]Jizan Migration Plan'!$Z:$Z=Y$19),0)),0)</f>
        <v>0</v>
      </c>
      <c r="Z23" s="1123" cm="1">
        <f t="array" ref="Z23">IFERROR(INDEX('[2]Jizan Migration Plan'!$L:$L,MATCH(1,('[2]Jizan Migration Plan'!$AA:$AA=$S23)*('[2]Jizan Migration Plan'!$Z:$Z=Z$19),0)),0)</f>
        <v>0</v>
      </c>
    </row>
    <row r="24" spans="1:26" ht="14.25" customHeight="1">
      <c r="A24" s="1120" t="s">
        <v>72</v>
      </c>
      <c r="B24" s="1124"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2">
        <f t="shared" si="3"/>
        <v>0</v>
      </c>
      <c r="D24" s="1123" cm="1">
        <f t="array" ref="D24">IFERROR(INDEX('[2]ABHA Migration Plan'!$L:$L,MATCH(1,('[2]ABHA Migration Plan'!$AA:$AA=$A24)*('[2]ABHA Migration Plan'!$Z:$Z=D$19),0)),0)</f>
        <v>0</v>
      </c>
      <c r="E24" s="1123" cm="1">
        <f t="array" ref="E24">IFERROR(INDEX('[2]ABHA Migration Plan'!$L:$L,MATCH(1,('[2]ABHA Migration Plan'!$AA:$AA=$A24)*('[2]ABHA Migration Plan'!$Z:$Z=E$19),0)),0)</f>
        <v>0</v>
      </c>
      <c r="F24" s="1123" cm="1">
        <f t="array" ref="F24">IFERROR(INDEX('[2]ABHA Migration Plan'!$L:$L,MATCH(1,('[2]ABHA Migration Plan'!$AA:$AA=$A24)*('[2]ABHA Migration Plan'!$Z:$Z=F$19),0)),0)</f>
        <v>0</v>
      </c>
      <c r="G24" s="1123" cm="1">
        <f t="array" ref="G24">IFERROR(INDEX('[2]ABHA Migration Plan'!$L:$L,MATCH(1,('[2]ABHA Migration Plan'!$AA:$AA=$A24)*('[2]ABHA Migration Plan'!$Z:$Z=G$19),0)),0)</f>
        <v>0</v>
      </c>
      <c r="H24" s="1123" cm="1">
        <f t="array" ref="H24">IFERROR(INDEX('[2]ABHA Migration Plan'!$L:$L,MATCH(1,('[2]ABHA Migration Plan'!$AA:$AA=$A24)*('[2]ABHA Migration Plan'!$Z:$Z=H$19),0)),0)</f>
        <v>0</v>
      </c>
      <c r="I24" s="1180"/>
      <c r="J24" s="1181"/>
      <c r="K24" s="1181"/>
      <c r="L24" s="1181"/>
      <c r="M24" s="1181"/>
      <c r="N24" s="1181"/>
      <c r="O24" s="1181"/>
      <c r="P24" s="1181"/>
      <c r="Q24" s="1181"/>
      <c r="R24" s="1182"/>
      <c r="S24" s="1120" t="s">
        <v>72</v>
      </c>
      <c r="T24" s="1124"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2">
        <f t="shared" si="4"/>
        <v>0</v>
      </c>
      <c r="V24" s="1123" cm="1">
        <f t="array" ref="V24">IFERROR(INDEX('[2]Jizan Migration Plan'!$L:$L,MATCH(1,('[2]Jizan Migration Plan'!$AA:$AA=$S24)*('[2]Jizan Migration Plan'!$Z:$Z=V$19),0)),0)</f>
        <v>0</v>
      </c>
      <c r="W24" s="1123" cm="1">
        <f t="array" ref="W24">IFERROR(INDEX('[2]Jizan Migration Plan'!$L:$L,MATCH(1,('[2]Jizan Migration Plan'!$AA:$AA=$S24)*('[2]Jizan Migration Plan'!$Z:$Z=W$19),0)),0)</f>
        <v>0</v>
      </c>
      <c r="X24" s="1123" cm="1">
        <f t="array" ref="X24">IFERROR(INDEX('[2]Jizan Migration Plan'!$L:$L,MATCH(1,('[2]Jizan Migration Plan'!$AA:$AA=$S24)*('[2]Jizan Migration Plan'!$Z:$Z=X$19),0)),0)</f>
        <v>0</v>
      </c>
      <c r="Y24" s="1123" cm="1">
        <f t="array" ref="Y24">IFERROR(INDEX('[2]Jizan Migration Plan'!$L:$L,MATCH(1,('[2]Jizan Migration Plan'!$AA:$AA=$S24)*('[2]Jizan Migration Plan'!$Z:$Z=Y$19),0)),0)</f>
        <v>0</v>
      </c>
      <c r="Z24" s="1123" cm="1">
        <f t="array" ref="Z24">IFERROR(INDEX('[2]Jizan Migration Plan'!$L:$L,MATCH(1,('[2]Jizan Migration Plan'!$AA:$AA=$S24)*('[2]Jizan Migration Plan'!$Z:$Z=Z$19),0)),0)</f>
        <v>0</v>
      </c>
    </row>
    <row r="25" spans="1:26" ht="14.25" customHeight="1">
      <c r="A25" s="1120" t="s">
        <v>73</v>
      </c>
      <c r="B25" s="1124"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2">
        <f t="shared" si="3"/>
        <v>0</v>
      </c>
      <c r="D25" s="1123" cm="1">
        <f t="array" ref="D25">IFERROR(INDEX('[2]ABHA Migration Plan'!$L:$L,MATCH(1,('[2]ABHA Migration Plan'!$AA:$AA=$A25)*('[2]ABHA Migration Plan'!$Z:$Z=D$19),0)),0)</f>
        <v>0</v>
      </c>
      <c r="E25" s="1123" cm="1">
        <f t="array" ref="E25">IFERROR(INDEX('[2]ABHA Migration Plan'!$L:$L,MATCH(1,('[2]ABHA Migration Plan'!$AA:$AA=$A25)*('[2]ABHA Migration Plan'!$Z:$Z=E$19),0)),0)</f>
        <v>0</v>
      </c>
      <c r="F25" s="1123" cm="1">
        <f t="array" ref="F25">IFERROR(INDEX('[2]ABHA Migration Plan'!$L:$L,MATCH(1,('[2]ABHA Migration Plan'!$AA:$AA=$A25)*('[2]ABHA Migration Plan'!$Z:$Z=F$19),0)),0)</f>
        <v>0</v>
      </c>
      <c r="G25" s="1123" cm="1">
        <f t="array" ref="G25">IFERROR(INDEX('[2]ABHA Migration Plan'!$L:$L,MATCH(1,('[2]ABHA Migration Plan'!$AA:$AA=$A25)*('[2]ABHA Migration Plan'!$Z:$Z=G$19),0)),0)</f>
        <v>0</v>
      </c>
      <c r="H25" s="1123" cm="1">
        <f t="array" ref="H25">IFERROR(INDEX('[2]ABHA Migration Plan'!$L:$L,MATCH(1,('[2]ABHA Migration Plan'!$AA:$AA=$A25)*('[2]ABHA Migration Plan'!$Z:$Z=H$19),0)),0)</f>
        <v>0</v>
      </c>
      <c r="I25" s="1180"/>
      <c r="J25" s="1181"/>
      <c r="K25" s="1181"/>
      <c r="L25" s="1181"/>
      <c r="M25" s="1181"/>
      <c r="N25" s="1181"/>
      <c r="O25" s="1181"/>
      <c r="P25" s="1181"/>
      <c r="Q25" s="1181"/>
      <c r="R25" s="1182"/>
      <c r="S25" s="1120" t="s">
        <v>73</v>
      </c>
      <c r="T25" s="1124"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2">
        <f t="shared" si="4"/>
        <v>0</v>
      </c>
      <c r="V25" s="1123" cm="1">
        <f t="array" ref="V25">IFERROR(INDEX('[2]Jizan Migration Plan'!$L:$L,MATCH(1,('[2]Jizan Migration Plan'!$AA:$AA=$S25)*('[2]Jizan Migration Plan'!$Z:$Z=V$19),0)),0)</f>
        <v>0</v>
      </c>
      <c r="W25" s="1123" cm="1">
        <f t="array" ref="W25">IFERROR(INDEX('[2]Jizan Migration Plan'!$L:$L,MATCH(1,('[2]Jizan Migration Plan'!$AA:$AA=$S25)*('[2]Jizan Migration Plan'!$Z:$Z=W$19),0)),0)</f>
        <v>0</v>
      </c>
      <c r="X25" s="1123" cm="1">
        <f t="array" ref="X25">IFERROR(INDEX('[2]Jizan Migration Plan'!$L:$L,MATCH(1,('[2]Jizan Migration Plan'!$AA:$AA=$S25)*('[2]Jizan Migration Plan'!$Z:$Z=X$19),0)),0)</f>
        <v>0</v>
      </c>
      <c r="Y25" s="1123" cm="1">
        <f t="array" ref="Y25">IFERROR(INDEX('[2]Jizan Migration Plan'!$L:$L,MATCH(1,('[2]Jizan Migration Plan'!$AA:$AA=$S25)*('[2]Jizan Migration Plan'!$Z:$Z=Y$19),0)),0)</f>
        <v>0</v>
      </c>
      <c r="Z25" s="1123" cm="1">
        <f t="array" ref="Z25">IFERROR(INDEX('[2]Jizan Migration Plan'!$L:$L,MATCH(1,('[2]Jizan Migration Plan'!$AA:$AA=$S25)*('[2]Jizan Migration Plan'!$Z:$Z=Z$19),0)),0)</f>
        <v>0</v>
      </c>
    </row>
    <row r="26" spans="1:26" ht="14.25" customHeight="1">
      <c r="A26" s="1120" t="s">
        <v>74</v>
      </c>
      <c r="B26" s="1124"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2">
        <f t="shared" si="3"/>
        <v>0</v>
      </c>
      <c r="D26" s="1123" cm="1">
        <f t="array" ref="D26">IFERROR(INDEX('[2]ABHA Migration Plan'!$L:$L,MATCH(1,('[2]ABHA Migration Plan'!$AA:$AA=$A26)*('[2]ABHA Migration Plan'!$Z:$Z=D$19),0)),0)</f>
        <v>0</v>
      </c>
      <c r="E26" s="1123" cm="1">
        <f t="array" ref="E26">IFERROR(INDEX('[2]ABHA Migration Plan'!$L:$L,MATCH(1,('[2]ABHA Migration Plan'!$AA:$AA=$A26)*('[2]ABHA Migration Plan'!$Z:$Z=E$19),0)),0)</f>
        <v>0</v>
      </c>
      <c r="F26" s="1123" cm="1">
        <f t="array" ref="F26">IFERROR(INDEX('[2]ABHA Migration Plan'!$L:$L,MATCH(1,('[2]ABHA Migration Plan'!$AA:$AA=$A26)*('[2]ABHA Migration Plan'!$Z:$Z=F$19),0)),0)</f>
        <v>0</v>
      </c>
      <c r="G26" s="1123" cm="1">
        <f t="array" ref="G26">IFERROR(INDEX('[2]ABHA Migration Plan'!$L:$L,MATCH(1,('[2]ABHA Migration Plan'!$AA:$AA=$A26)*('[2]ABHA Migration Plan'!$Z:$Z=G$19),0)),0)</f>
        <v>0</v>
      </c>
      <c r="H26" s="1123" cm="1">
        <f t="array" ref="H26">IFERROR(INDEX('[2]ABHA Migration Plan'!$L:$L,MATCH(1,('[2]ABHA Migration Plan'!$AA:$AA=$A26)*('[2]ABHA Migration Plan'!$Z:$Z=H$19),0)),0)</f>
        <v>0</v>
      </c>
      <c r="I26" s="1180"/>
      <c r="J26" s="1181"/>
      <c r="K26" s="1181"/>
      <c r="L26" s="1181"/>
      <c r="M26" s="1181"/>
      <c r="N26" s="1181"/>
      <c r="O26" s="1181"/>
      <c r="P26" s="1181"/>
      <c r="Q26" s="1181"/>
      <c r="R26" s="1182"/>
      <c r="S26" s="1120" t="s">
        <v>74</v>
      </c>
      <c r="T26" s="1124"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2">
        <f t="shared" si="4"/>
        <v>0</v>
      </c>
      <c r="V26" s="1123" cm="1">
        <f t="array" ref="V26">IFERROR(INDEX('[2]Jizan Migration Plan'!$L:$L,MATCH(1,('[2]Jizan Migration Plan'!$AA:$AA=$S26)*('[2]Jizan Migration Plan'!$Z:$Z=V$19),0)),0)</f>
        <v>0</v>
      </c>
      <c r="W26" s="1123" cm="1">
        <f t="array" ref="W26">IFERROR(INDEX('[2]Jizan Migration Plan'!$L:$L,MATCH(1,('[2]Jizan Migration Plan'!$AA:$AA=$S26)*('[2]Jizan Migration Plan'!$Z:$Z=W$19),0)),0)</f>
        <v>0</v>
      </c>
      <c r="X26" s="1123" cm="1">
        <f t="array" ref="X26">IFERROR(INDEX('[2]Jizan Migration Plan'!$L:$L,MATCH(1,('[2]Jizan Migration Plan'!$AA:$AA=$S26)*('[2]Jizan Migration Plan'!$Z:$Z=X$19),0)),0)</f>
        <v>0</v>
      </c>
      <c r="Y26" s="1123" cm="1">
        <f t="array" ref="Y26">IFERROR(INDEX('[2]Jizan Migration Plan'!$L:$L,MATCH(1,('[2]Jizan Migration Plan'!$AA:$AA=$S26)*('[2]Jizan Migration Plan'!$Z:$Z=Y$19),0)),0)</f>
        <v>0</v>
      </c>
      <c r="Z26" s="1123" cm="1">
        <f t="array" ref="Z26">IFERROR(INDEX('[2]Jizan Migration Plan'!$L:$L,MATCH(1,('[2]Jizan Migration Plan'!$AA:$AA=$S26)*('[2]Jizan Migration Plan'!$Z:$Z=Z$19),0)),0)</f>
        <v>0</v>
      </c>
    </row>
    <row r="27" spans="1:26" ht="14.25" customHeight="1">
      <c r="A27" s="1120" t="s">
        <v>75</v>
      </c>
      <c r="B27" s="1124"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2">
        <f t="shared" si="3"/>
        <v>0</v>
      </c>
      <c r="D27" s="1123" cm="1">
        <f t="array" ref="D27">IFERROR(INDEX('[2]ABHA Migration Plan'!$L:$L,MATCH(1,('[2]ABHA Migration Plan'!$AA:$AA=$A27)*('[2]ABHA Migration Plan'!$Z:$Z=D$19),0)),0)</f>
        <v>0</v>
      </c>
      <c r="E27" s="1123" cm="1">
        <f t="array" ref="E27">IFERROR(INDEX('[2]ABHA Migration Plan'!$L:$L,MATCH(1,('[2]ABHA Migration Plan'!$AA:$AA=$A27)*('[2]ABHA Migration Plan'!$Z:$Z=E$19),0)),0)</f>
        <v>0</v>
      </c>
      <c r="F27" s="1123" cm="1">
        <f t="array" ref="F27">IFERROR(INDEX('[2]ABHA Migration Plan'!$L:$L,MATCH(1,('[2]ABHA Migration Plan'!$AA:$AA=$A27)*('[2]ABHA Migration Plan'!$Z:$Z=F$19),0)),0)</f>
        <v>0</v>
      </c>
      <c r="G27" s="1123" cm="1">
        <f t="array" ref="G27">IFERROR(INDEX('[2]ABHA Migration Plan'!$L:$L,MATCH(1,('[2]ABHA Migration Plan'!$AA:$AA=$A27)*('[2]ABHA Migration Plan'!$Z:$Z=G$19),0)),0)</f>
        <v>0</v>
      </c>
      <c r="H27" s="1123" cm="1">
        <f t="array" ref="H27">IFERROR(INDEX('[2]ABHA Migration Plan'!$L:$L,MATCH(1,('[2]ABHA Migration Plan'!$AA:$AA=$A27)*('[2]ABHA Migration Plan'!$Z:$Z=H$19),0)),0)</f>
        <v>0</v>
      </c>
      <c r="I27" s="1183"/>
      <c r="J27" s="1184"/>
      <c r="K27" s="1184"/>
      <c r="L27" s="1184"/>
      <c r="M27" s="1184"/>
      <c r="N27" s="1184"/>
      <c r="O27" s="1184"/>
      <c r="P27" s="1184"/>
      <c r="Q27" s="1184"/>
      <c r="R27" s="1185"/>
      <c r="S27" s="1120" t="s">
        <v>75</v>
      </c>
      <c r="T27" s="1124"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2">
        <f t="shared" si="4"/>
        <v>0</v>
      </c>
      <c r="V27" s="1123" cm="1">
        <f t="array" ref="V27">IFERROR(INDEX('[2]Jizan Migration Plan'!$L:$L,MATCH(1,('[2]Jizan Migration Plan'!$AA:$AA=$S27)*('[2]Jizan Migration Plan'!$Z:$Z=V$19),0)),0)</f>
        <v>0</v>
      </c>
      <c r="W27" s="1123" cm="1">
        <f t="array" ref="W27">IFERROR(INDEX('[2]Jizan Migration Plan'!$L:$L,MATCH(1,('[2]Jizan Migration Plan'!$AA:$AA=$S27)*('[2]Jizan Migration Plan'!$Z:$Z=W$19),0)),0)</f>
        <v>0</v>
      </c>
      <c r="X27" s="1123" cm="1">
        <f t="array" ref="X27">IFERROR(INDEX('[2]Jizan Migration Plan'!$L:$L,MATCH(1,('[2]Jizan Migration Plan'!$AA:$AA=$S27)*('[2]Jizan Migration Plan'!$Z:$Z=X$19),0)),0)</f>
        <v>0</v>
      </c>
      <c r="Y27" s="1123" cm="1">
        <f t="array" ref="Y27">IFERROR(INDEX('[2]Jizan Migration Plan'!$L:$L,MATCH(1,('[2]Jizan Migration Plan'!$AA:$AA=$S27)*('[2]Jizan Migration Plan'!$Z:$Z=Y$19),0)),0)</f>
        <v>0</v>
      </c>
      <c r="Z27" s="1123"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8" bestFit="1" customWidth="1"/>
    <col min="2" max="2" width="27.5" style="1108" bestFit="1" customWidth="1"/>
    <col min="3" max="3" width="11.625" style="1109" customWidth="1"/>
    <col min="4" max="4" width="12.875" style="1108" bestFit="1" customWidth="1"/>
    <col min="5" max="5" width="13.75" style="1108" bestFit="1" customWidth="1"/>
    <col min="6" max="6" width="12.75" style="1109" customWidth="1"/>
    <col min="7" max="7" width="2" style="1108" customWidth="1"/>
    <col min="8" max="8" width="10.625" style="1108" bestFit="1" customWidth="1"/>
    <col min="9" max="9" width="27.5" style="1108" bestFit="1" customWidth="1"/>
    <col min="10" max="10" width="11.625" style="1109" customWidth="1"/>
    <col min="11" max="11" width="12.875" style="1108" bestFit="1" customWidth="1"/>
    <col min="12" max="12" width="13.75" style="1108" bestFit="1" customWidth="1"/>
    <col min="13" max="13" width="12.75" style="1109" customWidth="1"/>
    <col min="14" max="16384" width="9" style="1108"/>
  </cols>
  <sheetData>
    <row r="1" spans="1:13" s="1128" customFormat="1" ht="18.75">
      <c r="A1" s="1197" t="s">
        <v>80</v>
      </c>
      <c r="B1" s="1198"/>
      <c r="C1" s="1198"/>
      <c r="D1" s="1198"/>
      <c r="E1" s="1198"/>
      <c r="F1" s="1199"/>
      <c r="H1" s="1197" t="s">
        <v>81</v>
      </c>
      <c r="I1" s="1198"/>
      <c r="J1" s="1198"/>
      <c r="K1" s="1198"/>
      <c r="L1" s="1198"/>
      <c r="M1" s="1199"/>
    </row>
    <row r="2" spans="1:13" s="1129" customFormat="1" ht="14.25" customHeight="1">
      <c r="A2" s="1130"/>
      <c r="B2" s="1131"/>
      <c r="C2" s="1132" t="s">
        <v>82</v>
      </c>
      <c r="D2" s="1131" t="s">
        <v>83</v>
      </c>
      <c r="E2" s="1132" t="s">
        <v>84</v>
      </c>
      <c r="F2" s="1133" t="s">
        <v>85</v>
      </c>
      <c r="H2" s="1130"/>
      <c r="I2" s="1131"/>
      <c r="J2" s="1132" t="s">
        <v>82</v>
      </c>
      <c r="K2" s="1131" t="s">
        <v>83</v>
      </c>
      <c r="L2" s="1132" t="s">
        <v>84</v>
      </c>
      <c r="M2" s="1133" t="s">
        <v>85</v>
      </c>
    </row>
    <row r="3" spans="1:13" ht="15.75">
      <c r="A3" s="1200" t="s">
        <v>86</v>
      </c>
      <c r="B3" s="1134" t="s">
        <v>87</v>
      </c>
      <c r="C3" s="1135"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6"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7"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8" t="e" vm="2">
        <f>E3-D3</f>
        <v>#VALUE!</v>
      </c>
      <c r="H3" s="1200" t="s">
        <v>86</v>
      </c>
      <c r="I3" s="1134" t="s">
        <v>87</v>
      </c>
      <c r="J3" s="1135"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6" t="e" vm="1">
        <f>'[3]ABHA Migration Plan'!G41</f>
        <v>#VALUE!</v>
      </c>
      <c r="L3" s="1136" t="e" vm="1">
        <f>'[3]ABHA Migration Plan'!I41</f>
        <v>#VALUE!</v>
      </c>
      <c r="M3" s="1138" t="e" vm="2">
        <f>L3-K3</f>
        <v>#VALUE!</v>
      </c>
    </row>
    <row r="4" spans="1:13" ht="15.75">
      <c r="A4" s="1200"/>
      <c r="B4" s="1134" t="s">
        <v>88</v>
      </c>
      <c r="C4" s="1135"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6"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7"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8" t="e" vm="2">
        <f>E4-D4</f>
        <v>#VALUE!</v>
      </c>
      <c r="H4" s="1200"/>
      <c r="I4" s="1134" t="s">
        <v>88</v>
      </c>
      <c r="J4" s="1135"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6" t="e" vm="1">
        <f>'[3]ABHA Migration Plan'!G43</f>
        <v>#VALUE!</v>
      </c>
      <c r="L4" s="1136" t="e" vm="1">
        <f>'[3]ABHA Migration Plan'!I43</f>
        <v>#VALUE!</v>
      </c>
      <c r="M4" s="1138" t="e" vm="2">
        <f>L4-K4</f>
        <v>#VALUE!</v>
      </c>
    </row>
    <row r="5" spans="1:13" ht="15.75">
      <c r="A5" s="1200"/>
      <c r="B5" s="1134" t="s">
        <v>89</v>
      </c>
      <c r="C5" s="1135" t="e" vm="1">
        <f>AVERAGE('[3]MADINAH Migration Plan-'!$L$62:$L$66)</f>
        <v>#VALUE!</v>
      </c>
      <c r="D5" s="1136" t="e" vm="1">
        <f>'[3]MADINAH Migration Plan-'!$G$66</f>
        <v>#VALUE!</v>
      </c>
      <c r="E5" s="1137" t="e" vm="1">
        <f>'[3]MADINAH Migration Plan-'!$I$66</f>
        <v>#VALUE!</v>
      </c>
      <c r="F5" s="1138" t="e" vm="2">
        <f>E5-D5</f>
        <v>#VALUE!</v>
      </c>
      <c r="H5" s="1200"/>
      <c r="I5" s="1134" t="s">
        <v>89</v>
      </c>
      <c r="J5" s="1135" t="e" vm="1">
        <f>AVERAGE('[3]ABHA Migration Plan'!L51:L55)</f>
        <v>#VALUE!</v>
      </c>
      <c r="K5" s="1136" t="e" vm="1">
        <f>'[3]ABHA Migration Plan'!G55</f>
        <v>#VALUE!</v>
      </c>
      <c r="L5" s="1136" t="e" vm="1">
        <f>'[3]ABHA Migration Plan'!I55</f>
        <v>#VALUE!</v>
      </c>
      <c r="M5" s="1138" t="e" vm="2">
        <f>L5-K5</f>
        <v>#VALUE!</v>
      </c>
    </row>
    <row r="6" spans="1:13" ht="15.75">
      <c r="A6" s="1200"/>
      <c r="B6" s="1134" t="s">
        <v>90</v>
      </c>
      <c r="C6" s="1135" t="e" vm="1">
        <f>'[3]MADINAH Migration Plan-'!$L$60</f>
        <v>#VALUE!</v>
      </c>
      <c r="D6" s="1136" t="e" vm="1">
        <f>'[3]MADINAH Migration Plan-'!$G$60</f>
        <v>#VALUE!</v>
      </c>
      <c r="E6" s="1137" t="e" vm="1">
        <f>'[3]MADINAH Migration Plan-'!$I$60</f>
        <v>#VALUE!</v>
      </c>
      <c r="F6" s="1138" t="e" vm="2">
        <f>E6-D6</f>
        <v>#VALUE!</v>
      </c>
      <c r="H6" s="1200"/>
      <c r="I6" s="1134" t="s">
        <v>90</v>
      </c>
      <c r="J6" s="1135" t="e" vm="1">
        <f>'[3]ABHA Migration Plan'!L49</f>
        <v>#VALUE!</v>
      </c>
      <c r="K6" s="1136" t="e" vm="1">
        <f>'[3]ABHA Migration Plan'!G49</f>
        <v>#VALUE!</v>
      </c>
      <c r="L6" s="1136" t="e" vm="1">
        <f>'[3]ABHA Migration Plan'!I49</f>
        <v>#VALUE!</v>
      </c>
      <c r="M6" s="1138" t="e" vm="2">
        <f>L6-K6</f>
        <v>#VALUE!</v>
      </c>
    </row>
    <row r="7" spans="1:13" ht="9" customHeight="1">
      <c r="A7" s="1201"/>
      <c r="B7" s="1202"/>
      <c r="C7" s="1202"/>
      <c r="D7" s="1202"/>
      <c r="E7" s="1202"/>
      <c r="F7" s="1203"/>
      <c r="H7" s="1201"/>
      <c r="I7" s="1202"/>
      <c r="J7" s="1202"/>
      <c r="K7" s="1202"/>
      <c r="L7" s="1202"/>
      <c r="M7" s="1203"/>
    </row>
    <row r="8" spans="1:13" ht="15.75">
      <c r="A8" s="1200" t="s">
        <v>91</v>
      </c>
      <c r="B8" s="1134" t="s">
        <v>87</v>
      </c>
      <c r="C8" s="1139" t="e" vm="1">
        <f>AVERAGE('[3]MADINAH Migration Plan-'!$L$75:$L$76)</f>
        <v>#VALUE!</v>
      </c>
      <c r="D8" s="1137" t="e" vm="1">
        <f>'[3]MADINAH Migration Plan-'!$G$76</f>
        <v>#VALUE!</v>
      </c>
      <c r="E8" s="1137" t="e" vm="1">
        <f>'[3]MADINAH Migration Plan-'!$I$76</f>
        <v>#VALUE!</v>
      </c>
      <c r="F8" s="1138" t="e" vm="2">
        <f>E8-D8</f>
        <v>#VALUE!</v>
      </c>
      <c r="H8" s="1200" t="s">
        <v>91</v>
      </c>
      <c r="I8" s="1134" t="s">
        <v>87</v>
      </c>
      <c r="J8" s="1139" t="e" vm="1">
        <f>AVERAGE('[3]ABHA Migration Plan'!L64:L65)</f>
        <v>#VALUE!</v>
      </c>
      <c r="K8" s="1137" t="e" vm="1">
        <f>'[3]ABHA Migration Plan'!G65</f>
        <v>#VALUE!</v>
      </c>
      <c r="L8" s="1137" t="e" vm="1">
        <f>'[3]ABHA Migration Plan'!I65</f>
        <v>#VALUE!</v>
      </c>
      <c r="M8" s="1138" t="e" vm="2">
        <f>L8-K8</f>
        <v>#VALUE!</v>
      </c>
    </row>
    <row r="9" spans="1:13" ht="15.75">
      <c r="A9" s="1200"/>
      <c r="B9" s="1134" t="s">
        <v>88</v>
      </c>
      <c r="C9" s="1135" t="e" vm="1">
        <f>'[3]MADINAH Migration Plan-'!$L$77</f>
        <v>#VALUE!</v>
      </c>
      <c r="D9" s="1137" t="e" vm="1">
        <f>'[3]MADINAH Migration Plan-'!$G$77</f>
        <v>#VALUE!</v>
      </c>
      <c r="E9" s="1137" t="e" vm="1">
        <f>'[3]MADINAH Migration Plan-'!$I$77</f>
        <v>#VALUE!</v>
      </c>
      <c r="F9" s="1138" t="e" vm="2">
        <f>E9-D9</f>
        <v>#VALUE!</v>
      </c>
      <c r="H9" s="1200"/>
      <c r="I9" s="1134" t="s">
        <v>88</v>
      </c>
      <c r="J9" s="1135" t="e" vm="1">
        <f>'[3]ABHA Migration Plan'!L66</f>
        <v>#VALUE!</v>
      </c>
      <c r="K9" s="1137" t="e" vm="1">
        <f>'[3]ABHA Migration Plan'!G66</f>
        <v>#VALUE!</v>
      </c>
      <c r="L9" s="1137" t="e" vm="1">
        <f>'[3]ABHA Migration Plan'!I66</f>
        <v>#VALUE!</v>
      </c>
      <c r="M9" s="1138" t="e" vm="2">
        <f>L9-K9</f>
        <v>#VALUE!</v>
      </c>
    </row>
    <row r="10" spans="1:13" ht="15.75">
      <c r="A10" s="1200"/>
      <c r="B10" s="1134" t="s">
        <v>89</v>
      </c>
      <c r="C10" s="1135" t="e" vm="1">
        <f>AVERAGE('[3]MADINAH Migration Plan-'!$L$80:$L$85)</f>
        <v>#VALUE!</v>
      </c>
      <c r="D10" s="1137" t="e" vm="1">
        <f>'[3]MADINAH Migration Plan-'!$G$85</f>
        <v>#VALUE!</v>
      </c>
      <c r="E10" s="1137" t="e" vm="1">
        <f>'[3]MADINAH Migration Plan-'!$I$85</f>
        <v>#VALUE!</v>
      </c>
      <c r="F10" s="1138" t="e" vm="2">
        <f>E10-D10</f>
        <v>#VALUE!</v>
      </c>
      <c r="H10" s="1200"/>
      <c r="I10" s="1134" t="s">
        <v>89</v>
      </c>
      <c r="J10" s="1135" t="e" vm="1">
        <f>AVERAGE('[3]ABHA Migration Plan'!L69:L74)</f>
        <v>#VALUE!</v>
      </c>
      <c r="K10" s="1137" t="e" vm="1">
        <f>'[3]ABHA Migration Plan'!G74</f>
        <v>#VALUE!</v>
      </c>
      <c r="L10" s="1137" t="e" vm="1">
        <f>'[3]ABHA Migration Plan'!I74</f>
        <v>#VALUE!</v>
      </c>
      <c r="M10" s="1138" t="e" vm="2">
        <f>L10-K10</f>
        <v>#VALUE!</v>
      </c>
    </row>
    <row r="11" spans="1:13" ht="15.75">
      <c r="A11" s="1204"/>
      <c r="B11" s="1134" t="s">
        <v>90</v>
      </c>
      <c r="C11" s="1140" t="e" vm="1">
        <f>'[3]MADINAH Migration Plan-'!$L$78</f>
        <v>#VALUE!</v>
      </c>
      <c r="D11" s="1141" t="e" vm="1">
        <f>'[3]MADINAH Migration Plan-'!$G$78</f>
        <v>#VALUE!</v>
      </c>
      <c r="E11" s="1141" t="e" vm="1">
        <f>'[3]MADINAH Migration Plan-'!$I$78</f>
        <v>#VALUE!</v>
      </c>
      <c r="F11" s="1142" t="e" vm="2">
        <f>E11-D11</f>
        <v>#VALUE!</v>
      </c>
      <c r="H11" s="1204"/>
      <c r="I11" s="1134" t="s">
        <v>90</v>
      </c>
      <c r="J11" s="1140" t="e" vm="1">
        <f>'[3]ABHA Migration Plan'!L67</f>
        <v>#VALUE!</v>
      </c>
      <c r="K11" s="1141" t="e" vm="1">
        <f>'[3]ABHA Migration Plan'!G67</f>
        <v>#VALUE!</v>
      </c>
      <c r="L11" s="1141" t="e" vm="1">
        <f>'[3]ABHA Migration Plan'!I67</f>
        <v>#VALUE!</v>
      </c>
      <c r="M11" s="1142" t="e" vm="2">
        <f>L11-K11</f>
        <v>#VALUE!</v>
      </c>
    </row>
    <row r="13" spans="1:13" ht="18.75">
      <c r="A13" s="1197" t="s">
        <v>92</v>
      </c>
      <c r="B13" s="1198"/>
      <c r="C13" s="1198"/>
      <c r="D13" s="1198"/>
      <c r="E13" s="1198"/>
      <c r="F13" s="1199"/>
      <c r="H13" s="1197" t="s">
        <v>93</v>
      </c>
      <c r="I13" s="1198"/>
      <c r="J13" s="1198"/>
      <c r="K13" s="1198"/>
      <c r="L13" s="1198"/>
      <c r="M13" s="1199"/>
    </row>
    <row r="14" spans="1:13" ht="14.25">
      <c r="A14" s="1130"/>
      <c r="B14" s="1131"/>
      <c r="C14" s="1132" t="s">
        <v>82</v>
      </c>
      <c r="D14" s="1131" t="s">
        <v>83</v>
      </c>
      <c r="E14" s="1132" t="s">
        <v>84</v>
      </c>
      <c r="F14" s="1133" t="s">
        <v>85</v>
      </c>
      <c r="H14" s="1130"/>
      <c r="I14" s="1131"/>
      <c r="J14" s="1132" t="s">
        <v>82</v>
      </c>
      <c r="K14" s="1131" t="s">
        <v>83</v>
      </c>
      <c r="L14" s="1132" t="s">
        <v>84</v>
      </c>
      <c r="M14" s="1133" t="s">
        <v>85</v>
      </c>
    </row>
    <row r="15" spans="1:13" ht="15.75">
      <c r="A15" s="1200" t="s">
        <v>86</v>
      </c>
      <c r="B15" s="1134" t="s">
        <v>87</v>
      </c>
      <c r="C15" s="1135"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6" t="e" vm="1">
        <f>'[3]Jeddah Migration Plan'!G53</f>
        <v>#VALUE!</v>
      </c>
      <c r="E15" s="1137" t="e" vm="1">
        <f>'[3]Jeddah Migration Plan'!I53</f>
        <v>#VALUE!</v>
      </c>
      <c r="F15" s="1138" t="e" vm="2">
        <f>E15-D15</f>
        <v>#VALUE!</v>
      </c>
      <c r="H15" s="1200" t="s">
        <v>86</v>
      </c>
      <c r="I15" s="1134" t="s">
        <v>87</v>
      </c>
      <c r="J15" s="1135"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6" t="e" vm="1">
        <f>'[3]Jizan Migration Plan'!G42</f>
        <v>#VALUE!</v>
      </c>
      <c r="L15" s="1136" t="e" vm="1">
        <f>'[3]Jizan Migration Plan'!I42</f>
        <v>#VALUE!</v>
      </c>
      <c r="M15" s="1138" t="e" vm="2">
        <f>L15-K15</f>
        <v>#VALUE!</v>
      </c>
    </row>
    <row r="16" spans="1:13" ht="15.75">
      <c r="A16" s="1200"/>
      <c r="B16" s="1134" t="s">
        <v>88</v>
      </c>
      <c r="C16" s="1135"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6" t="e" vm="1">
        <f>'[3]Jeddah Migration Plan'!G56</f>
        <v>#VALUE!</v>
      </c>
      <c r="E16" s="1137" t="e" vm="1">
        <f>'[3]Jeddah Migration Plan'!I56</f>
        <v>#VALUE!</v>
      </c>
      <c r="F16" s="1138" t="e" vm="2">
        <f>E16-D16</f>
        <v>#VALUE!</v>
      </c>
      <c r="H16" s="1200"/>
      <c r="I16" s="1134" t="s">
        <v>88</v>
      </c>
      <c r="J16" s="1135"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6" t="e" vm="1">
        <f>'[3]Jizan Migration Plan'!G44</f>
        <v>#VALUE!</v>
      </c>
      <c r="L16" s="1136" t="e" vm="1">
        <f>'[3]Jizan Migration Plan'!I44</f>
        <v>#VALUE!</v>
      </c>
      <c r="M16" s="1138" t="e" vm="2">
        <f>L16-K16</f>
        <v>#VALUE!</v>
      </c>
    </row>
    <row r="17" spans="1:13" ht="15.75">
      <c r="A17" s="1200"/>
      <c r="B17" s="1134" t="s">
        <v>89</v>
      </c>
      <c r="C17" s="1135" t="e" vm="1">
        <f>AVERAGE('[3]Jeddah Migration Plan'!L64:L68)</f>
        <v>#VALUE!</v>
      </c>
      <c r="D17" s="1136" t="e" vm="1">
        <f>'[3]Jeddah Migration Plan'!G68</f>
        <v>#VALUE!</v>
      </c>
      <c r="E17" s="1137" t="e" vm="1">
        <f>'[3]Jeddah Migration Plan'!I68</f>
        <v>#VALUE!</v>
      </c>
      <c r="F17" s="1138" t="e" vm="2">
        <f>E17-D17</f>
        <v>#VALUE!</v>
      </c>
      <c r="H17" s="1200"/>
      <c r="I17" s="1134" t="s">
        <v>89</v>
      </c>
      <c r="J17" s="1135" t="e" vm="1">
        <f>AVERAGE('[3]Jizan Migration Plan'!L52:L56)</f>
        <v>#VALUE!</v>
      </c>
      <c r="K17" s="1136" t="e" vm="1">
        <f>'[3]Jizan Migration Plan'!G56</f>
        <v>#VALUE!</v>
      </c>
      <c r="L17" s="1136" t="e" vm="1">
        <f>'[3]Jizan Migration Plan'!I56</f>
        <v>#VALUE!</v>
      </c>
      <c r="M17" s="1138" t="e" vm="2">
        <f>L17-K17</f>
        <v>#VALUE!</v>
      </c>
    </row>
    <row r="18" spans="1:13" ht="15.75">
      <c r="A18" s="1200"/>
      <c r="B18" s="1134" t="s">
        <v>90</v>
      </c>
      <c r="C18" s="1135" t="e" vm="1">
        <f>'[3]Jeddah Migration Plan'!$L$60</f>
        <v>#VALUE!</v>
      </c>
      <c r="D18" s="1136" t="e" vm="1">
        <f>'[3]Jeddah Migration Plan'!G62</f>
        <v>#VALUE!</v>
      </c>
      <c r="E18" s="1137" t="e" vm="1">
        <f>'[3]Jeddah Migration Plan'!I62</f>
        <v>#VALUE!</v>
      </c>
      <c r="F18" s="1138" t="e" vm="2">
        <f>E18-D18</f>
        <v>#VALUE!</v>
      </c>
      <c r="H18" s="1200"/>
      <c r="I18" s="1134" t="s">
        <v>90</v>
      </c>
      <c r="J18" s="1135" t="e" vm="1">
        <f>'[3]Jizan Migration Plan'!L502</f>
        <v>#VALUE!</v>
      </c>
      <c r="K18" s="1136" t="e" vm="1">
        <f>'[3]Jizan Migration Plan'!G50</f>
        <v>#VALUE!</v>
      </c>
      <c r="L18" s="1136" t="e" vm="1">
        <f>'[3]Jizan Migration Plan'!I50</f>
        <v>#VALUE!</v>
      </c>
      <c r="M18" s="1138" t="e" vm="2">
        <f>L18-K18</f>
        <v>#VALUE!</v>
      </c>
    </row>
    <row r="19" spans="1:13">
      <c r="A19" s="1201"/>
      <c r="B19" s="1202"/>
      <c r="C19" s="1202"/>
      <c r="D19" s="1202"/>
      <c r="E19" s="1202"/>
      <c r="F19" s="1203"/>
      <c r="H19" s="1201"/>
      <c r="I19" s="1202"/>
      <c r="J19" s="1202"/>
      <c r="K19" s="1202"/>
      <c r="L19" s="1202"/>
      <c r="M19" s="1203"/>
    </row>
    <row r="20" spans="1:13" ht="15.75">
      <c r="A20" s="1200" t="s">
        <v>91</v>
      </c>
      <c r="B20" s="1134" t="s">
        <v>87</v>
      </c>
      <c r="C20" s="1139" t="e" vm="1">
        <f>AVERAGE('[3]Jeddah Migration Plan'!L77:L78)</f>
        <v>#VALUE!</v>
      </c>
      <c r="D20" s="1137" t="e" vm="1">
        <f>'[3]Jeddah Migration Plan'!G78</f>
        <v>#VALUE!</v>
      </c>
      <c r="E20" s="1137" t="e" vm="1">
        <f>'[3]Jeddah Migration Plan'!I78</f>
        <v>#VALUE!</v>
      </c>
      <c r="F20" s="1138" t="e" vm="2">
        <f>E20-D20</f>
        <v>#VALUE!</v>
      </c>
      <c r="H20" s="1200" t="s">
        <v>91</v>
      </c>
      <c r="I20" s="1134" t="s">
        <v>87</v>
      </c>
      <c r="J20" s="1139" t="e" vm="1">
        <f>AVERAGE('[3]Jizan Migration Plan'!L65:L66)</f>
        <v>#VALUE!</v>
      </c>
      <c r="K20" s="1137" t="e" vm="1">
        <f>'[3]Jizan Migration Plan'!G66</f>
        <v>#VALUE!</v>
      </c>
      <c r="L20" s="1137" t="e" vm="1">
        <f>'[3]Jizan Migration Plan'!I66</f>
        <v>#VALUE!</v>
      </c>
      <c r="M20" s="1138" t="e" vm="2">
        <f>L20-K20</f>
        <v>#VALUE!</v>
      </c>
    </row>
    <row r="21" spans="1:13" ht="15.75">
      <c r="A21" s="1200"/>
      <c r="B21" s="1134" t="s">
        <v>88</v>
      </c>
      <c r="C21" s="1135" t="e" vm="1">
        <f>'[3]Jeddah Migration Plan'!L79</f>
        <v>#VALUE!</v>
      </c>
      <c r="D21" s="1137" t="e" vm="1">
        <f>'[3]Jeddah Migration Plan'!G79</f>
        <v>#VALUE!</v>
      </c>
      <c r="E21" s="1137" t="e" vm="1">
        <f>'[3]Jeddah Migration Plan'!I79</f>
        <v>#VALUE!</v>
      </c>
      <c r="F21" s="1138" t="e" vm="2">
        <f>E21-D21</f>
        <v>#VALUE!</v>
      </c>
      <c r="H21" s="1200"/>
      <c r="I21" s="1134" t="s">
        <v>88</v>
      </c>
      <c r="J21" s="1135" t="e" vm="1">
        <f>'[3]Jizan Migration Plan'!L67</f>
        <v>#VALUE!</v>
      </c>
      <c r="K21" s="1137" t="e" vm="1">
        <f>'[3]Jizan Migration Plan'!G67</f>
        <v>#VALUE!</v>
      </c>
      <c r="L21" s="1137" t="e" vm="1">
        <f>'[3]Jizan Migration Plan'!I67</f>
        <v>#VALUE!</v>
      </c>
      <c r="M21" s="1138" t="e" vm="2">
        <f>L21-K21</f>
        <v>#VALUE!</v>
      </c>
    </row>
    <row r="22" spans="1:13" ht="15.75">
      <c r="A22" s="1200"/>
      <c r="B22" s="1134" t="s">
        <v>89</v>
      </c>
      <c r="C22" s="1135" t="e" vm="1">
        <f>AVERAGE('[3]Jeddah Migration Plan'!L82:L87)</f>
        <v>#VALUE!</v>
      </c>
      <c r="D22" s="1137" t="e" vm="1">
        <f>'[3]Jeddah Migration Plan'!G87</f>
        <v>#VALUE!</v>
      </c>
      <c r="E22" s="1137" t="e" vm="1">
        <f>'[3]Jeddah Migration Plan'!I87</f>
        <v>#VALUE!</v>
      </c>
      <c r="F22" s="1138" t="e" vm="2">
        <f>E22-D22</f>
        <v>#VALUE!</v>
      </c>
      <c r="H22" s="1200"/>
      <c r="I22" s="1134" t="s">
        <v>89</v>
      </c>
      <c r="J22" s="1135" t="e" vm="1">
        <f>AVERAGE('[3]Jizan Migration Plan'!L70:L75)</f>
        <v>#VALUE!</v>
      </c>
      <c r="K22" s="1137" t="e" vm="1">
        <f>'[3]Jizan Migration Plan'!G75</f>
        <v>#VALUE!</v>
      </c>
      <c r="L22" s="1137" t="e" vm="1">
        <f>'[3]Jizan Migration Plan'!I75</f>
        <v>#VALUE!</v>
      </c>
      <c r="M22" s="1138" t="e" vm="2">
        <f>L22-K22</f>
        <v>#VALUE!</v>
      </c>
    </row>
    <row r="23" spans="1:13" ht="15.75">
      <c r="A23" s="1204"/>
      <c r="B23" s="1134" t="s">
        <v>90</v>
      </c>
      <c r="C23" s="1140" t="e" vm="1">
        <f>'[3]Jeddah Migration Plan'!L80</f>
        <v>#VALUE!</v>
      </c>
      <c r="D23" s="1141" t="e" vm="1">
        <f>'[3]Jeddah Migration Plan'!G80</f>
        <v>#VALUE!</v>
      </c>
      <c r="E23" s="1141" t="e" vm="1">
        <f>'[3]Jeddah Migration Plan'!I80</f>
        <v>#VALUE!</v>
      </c>
      <c r="F23" s="1142" t="e" vm="2">
        <f>E23-D23</f>
        <v>#VALUE!</v>
      </c>
      <c r="H23" s="1204"/>
      <c r="I23" s="1134" t="s">
        <v>90</v>
      </c>
      <c r="J23" s="1140" t="e" vm="1">
        <f>'[3]Jizan Migration Plan'!L68</f>
        <v>#VALUE!</v>
      </c>
      <c r="K23" s="1141" t="e" vm="1">
        <f>'[3]Jizan Migration Plan'!G68</f>
        <v>#VALUE!</v>
      </c>
      <c r="L23" s="1141" t="e" vm="1">
        <f>'[3]Jizan Migration Plan'!I68</f>
        <v>#VALUE!</v>
      </c>
      <c r="M23" s="1142" t="e" vm="2">
        <f>L23-K23</f>
        <v>#VALUE!</v>
      </c>
    </row>
    <row r="25" spans="1:13" ht="18.75">
      <c r="A25" s="1197" t="s">
        <v>94</v>
      </c>
      <c r="B25" s="1198"/>
      <c r="C25" s="1198"/>
      <c r="D25" s="1198"/>
      <c r="E25" s="1198"/>
      <c r="F25" s="1199"/>
      <c r="H25" s="1205"/>
      <c r="I25" s="1206"/>
      <c r="J25" s="1206"/>
      <c r="K25" s="1206"/>
      <c r="L25" s="1206"/>
      <c r="M25" s="1207"/>
    </row>
    <row r="26" spans="1:13" ht="14.25" customHeight="1">
      <c r="A26" s="1130"/>
      <c r="B26" s="1131"/>
      <c r="C26" s="1132" t="s">
        <v>82</v>
      </c>
      <c r="D26" s="1131" t="s">
        <v>83</v>
      </c>
      <c r="E26" s="1132" t="s">
        <v>84</v>
      </c>
      <c r="F26" s="1133" t="s">
        <v>85</v>
      </c>
      <c r="H26" s="1208"/>
      <c r="I26" s="1209"/>
      <c r="J26" s="1209"/>
      <c r="K26" s="1209"/>
      <c r="L26" s="1209"/>
      <c r="M26" s="1210"/>
    </row>
    <row r="27" spans="1:13" ht="15.75" customHeight="1">
      <c r="A27" s="1200" t="s">
        <v>86</v>
      </c>
      <c r="B27" s="1134" t="s">
        <v>87</v>
      </c>
      <c r="C27" s="1135"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6" t="e" vm="1">
        <f>'[3]Makkah Migration Plan'!$G$54</f>
        <v>#VALUE!</v>
      </c>
      <c r="E27" s="1136" t="e" vm="1">
        <f>'[3]Makkah Migration Plan'!$I$54</f>
        <v>#VALUE!</v>
      </c>
      <c r="F27" s="1138" t="e" vm="2">
        <f>E27-D27</f>
        <v>#VALUE!</v>
      </c>
      <c r="H27" s="1208"/>
      <c r="I27" s="1209"/>
      <c r="J27" s="1209"/>
      <c r="K27" s="1209"/>
      <c r="L27" s="1209"/>
      <c r="M27" s="1210"/>
    </row>
    <row r="28" spans="1:13" ht="15.75" customHeight="1">
      <c r="A28" s="1200"/>
      <c r="B28" s="1134" t="s">
        <v>88</v>
      </c>
      <c r="C28" s="1135"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6" t="e" vm="1">
        <f>'[3]Makkah Migration Plan'!$G$56</f>
        <v>#VALUE!</v>
      </c>
      <c r="E28" s="1136" t="e" vm="1">
        <f>'[3]Makkah Migration Plan'!$I$56</f>
        <v>#VALUE!</v>
      </c>
      <c r="F28" s="1138" t="e" vm="2">
        <f>E28-D28</f>
        <v>#VALUE!</v>
      </c>
      <c r="H28" s="1208"/>
      <c r="I28" s="1209"/>
      <c r="J28" s="1209"/>
      <c r="K28" s="1209"/>
      <c r="L28" s="1209"/>
      <c r="M28" s="1210"/>
    </row>
    <row r="29" spans="1:13" ht="15.75" customHeight="1">
      <c r="A29" s="1200"/>
      <c r="B29" s="1134" t="s">
        <v>89</v>
      </c>
      <c r="C29" s="1135" t="e" vm="1">
        <f>AVERAGE('[3]Makkah Migration Plan'!L64:L68)</f>
        <v>#VALUE!</v>
      </c>
      <c r="D29" s="1136" t="e" vm="1">
        <f>'[3]Makkah Migration Plan'!$G$68</f>
        <v>#VALUE!</v>
      </c>
      <c r="E29" s="1136" t="e" vm="1">
        <f>'[3]Makkah Migration Plan'!$I$68</f>
        <v>#VALUE!</v>
      </c>
      <c r="F29" s="1138" t="e" vm="2">
        <f>E29-D29</f>
        <v>#VALUE!</v>
      </c>
      <c r="H29" s="1208"/>
      <c r="I29" s="1209"/>
      <c r="J29" s="1209"/>
      <c r="K29" s="1209"/>
      <c r="L29" s="1209"/>
      <c r="M29" s="1210"/>
    </row>
    <row r="30" spans="1:13" ht="15.75" customHeight="1">
      <c r="A30" s="1200"/>
      <c r="B30" s="1134" t="s">
        <v>90</v>
      </c>
      <c r="C30" s="1135" t="e" vm="1">
        <f>'[3]Makkah Migration Plan'!L62</f>
        <v>#VALUE!</v>
      </c>
      <c r="D30" s="1136" t="e" vm="1">
        <f>'[3]Makkah Migration Plan'!$G$62</f>
        <v>#VALUE!</v>
      </c>
      <c r="E30" s="1136" t="e" vm="1">
        <f>'[3]Makkah Migration Plan'!$I$62</f>
        <v>#VALUE!</v>
      </c>
      <c r="F30" s="1138" t="e" vm="2">
        <f>E30-D30</f>
        <v>#VALUE!</v>
      </c>
      <c r="H30" s="1208"/>
      <c r="I30" s="1209"/>
      <c r="J30" s="1209"/>
      <c r="K30" s="1209"/>
      <c r="L30" s="1209"/>
      <c r="M30" s="1210"/>
    </row>
    <row r="31" spans="1:13" ht="13.5" customHeight="1">
      <c r="A31" s="1201"/>
      <c r="B31" s="1202"/>
      <c r="C31" s="1202"/>
      <c r="D31" s="1202"/>
      <c r="E31" s="1202"/>
      <c r="F31" s="1203"/>
      <c r="H31" s="1208"/>
      <c r="I31" s="1209"/>
      <c r="J31" s="1209"/>
      <c r="K31" s="1209"/>
      <c r="L31" s="1209"/>
      <c r="M31" s="1210"/>
    </row>
    <row r="32" spans="1:13" ht="15.75" customHeight="1">
      <c r="A32" s="1200" t="s">
        <v>91</v>
      </c>
      <c r="B32" s="1134" t="s">
        <v>87</v>
      </c>
      <c r="C32" s="1139" t="e" vm="1">
        <f>AVERAGEA('[3]Makkah Migration Plan'!L77:L78)</f>
        <v>#VALUE!</v>
      </c>
      <c r="D32" s="1137" t="e" vm="1">
        <f>'[3]Makkah Migration Plan'!$G$78</f>
        <v>#VALUE!</v>
      </c>
      <c r="E32" s="1137" t="e" vm="1">
        <f>'[3]Makkah Migration Plan'!$I$78</f>
        <v>#VALUE!</v>
      </c>
      <c r="F32" s="1138" t="e" vm="2">
        <f>E32-D32</f>
        <v>#VALUE!</v>
      </c>
      <c r="H32" s="1208"/>
      <c r="I32" s="1209"/>
      <c r="J32" s="1209"/>
      <c r="K32" s="1209"/>
      <c r="L32" s="1209"/>
      <c r="M32" s="1210"/>
    </row>
    <row r="33" spans="1:13" ht="15.75" customHeight="1">
      <c r="A33" s="1200"/>
      <c r="B33" s="1134" t="s">
        <v>88</v>
      </c>
      <c r="C33" s="1135" t="e" vm="1">
        <f>'[3]Makkah Migration Plan'!L79</f>
        <v>#VALUE!</v>
      </c>
      <c r="D33" s="1137" t="e" vm="1">
        <f>'[3]Makkah Migration Plan'!$G$79</f>
        <v>#VALUE!</v>
      </c>
      <c r="E33" s="1137" t="e" vm="1">
        <f>'[3]Makkah Migration Plan'!$I$79</f>
        <v>#VALUE!</v>
      </c>
      <c r="F33" s="1138" t="e" vm="2">
        <f>E33-D33</f>
        <v>#VALUE!</v>
      </c>
      <c r="H33" s="1208"/>
      <c r="I33" s="1209"/>
      <c r="J33" s="1209"/>
      <c r="K33" s="1209"/>
      <c r="L33" s="1209"/>
      <c r="M33" s="1210"/>
    </row>
    <row r="34" spans="1:13" ht="15.75" customHeight="1">
      <c r="A34" s="1200"/>
      <c r="B34" s="1134" t="s">
        <v>89</v>
      </c>
      <c r="C34" s="1135" t="e" vm="1">
        <f>AVERAGE('[3]Makkah Migration Plan'!L82:L87)</f>
        <v>#VALUE!</v>
      </c>
      <c r="D34" s="1137" t="e" vm="1">
        <f>'[3]Makkah Migration Plan'!$G$87</f>
        <v>#VALUE!</v>
      </c>
      <c r="E34" s="1137" t="e" vm="1">
        <f>'[3]Makkah Migration Plan'!$I$87</f>
        <v>#VALUE!</v>
      </c>
      <c r="F34" s="1138" t="e" vm="2">
        <f>E34-D34</f>
        <v>#VALUE!</v>
      </c>
      <c r="H34" s="1208"/>
      <c r="I34" s="1209"/>
      <c r="J34" s="1209"/>
      <c r="K34" s="1209"/>
      <c r="L34" s="1209"/>
      <c r="M34" s="1210"/>
    </row>
    <row r="35" spans="1:13" ht="15.75" customHeight="1">
      <c r="A35" s="1204"/>
      <c r="B35" s="1143" t="s">
        <v>95</v>
      </c>
      <c r="C35" s="1140" t="e" vm="1">
        <f>'[3]Makkah Migration Plan'!L80</f>
        <v>#VALUE!</v>
      </c>
      <c r="D35" s="1141" t="e" vm="1">
        <f>'[3]Makkah Migration Plan'!$G$80</f>
        <v>#VALUE!</v>
      </c>
      <c r="E35" s="1141" t="e" vm="1">
        <f>'[3]Makkah Migration Plan'!$I$80</f>
        <v>#VALUE!</v>
      </c>
      <c r="F35" s="1142" t="e" vm="2">
        <f>E35-D35</f>
        <v>#VALUE!</v>
      </c>
      <c r="H35" s="1211"/>
      <c r="I35" s="1212"/>
      <c r="J35" s="1212"/>
      <c r="K35" s="1212"/>
      <c r="L35" s="1212"/>
      <c r="M35" s="1213"/>
    </row>
  </sheetData>
  <mergeCells count="21">
    <mergeCell ref="A19:F19"/>
    <mergeCell ref="H19:M19"/>
    <mergeCell ref="A20:A23"/>
    <mergeCell ref="H20:H23"/>
    <mergeCell ref="A25:F25"/>
    <mergeCell ref="H25:M35"/>
    <mergeCell ref="A27:A30"/>
    <mergeCell ref="A31:F31"/>
    <mergeCell ref="A32:A35"/>
    <mergeCell ref="A8:A11"/>
    <mergeCell ref="H8:H11"/>
    <mergeCell ref="A13:F13"/>
    <mergeCell ref="H13:M13"/>
    <mergeCell ref="A15:A18"/>
    <mergeCell ref="H15:H18"/>
    <mergeCell ref="A1:F1"/>
    <mergeCell ref="H1:M1"/>
    <mergeCell ref="A3:A6"/>
    <mergeCell ref="H3:H6"/>
    <mergeCell ref="A7:F7"/>
    <mergeCell ref="H7:M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G101"/>
  <sheetViews>
    <sheetView showGridLines="0" zoomScale="75" workbookViewId="0">
      <pane ySplit="2" topLeftCell="A22" activePane="bottomLeft" state="frozen"/>
      <selection pane="bottomLeft" activeCell="F51" sqref="F51:G51"/>
    </sheetView>
  </sheetViews>
  <sheetFormatPr defaultColWidth="9" defaultRowHeight="15.75" customHeight="1"/>
  <cols>
    <col min="1" max="1" width="0.625" style="154" customWidth="1"/>
    <col min="2" max="2" width="16" style="154" customWidth="1"/>
    <col min="3" max="3" width="6.25" style="154" bestFit="1" customWidth="1"/>
    <col min="4" max="4" width="32.375" style="264" customWidth="1"/>
    <col min="5" max="5" width="12.125" style="265" bestFit="1" customWidth="1"/>
    <col min="6" max="6" width="12.375" style="261" customWidth="1"/>
    <col min="7" max="8" width="13.25" style="261" bestFit="1" customWidth="1"/>
    <col min="9" max="9" width="14" style="261" bestFit="1" customWidth="1"/>
    <col min="10" max="10" width="22.625" style="261" customWidth="1"/>
    <col min="11" max="11" width="22" style="261" customWidth="1"/>
    <col min="12" max="12" width="10" style="306" bestFit="1" customWidth="1"/>
    <col min="13" max="13" width="14.875" style="306" customWidth="1"/>
    <col min="14" max="14" width="17.875" style="306" bestFit="1" customWidth="1"/>
    <col min="15" max="15" width="1.5" style="154" customWidth="1"/>
    <col min="16" max="22" width="9.125" style="154" hidden="1" customWidth="1"/>
    <col min="23" max="23" width="42.625" style="157" customWidth="1"/>
    <col min="24" max="24" width="37.375" style="157" customWidth="1"/>
    <col min="25" max="25" width="42.625" style="157" customWidth="1"/>
    <col min="26" max="26" width="8.375" style="154" hidden="1" customWidth="1"/>
    <col min="27" max="27" width="9" style="154"/>
    <col min="28" max="28" width="15.125" style="154" hidden="1" customWidth="1"/>
    <col min="29" max="29" width="12.125" style="158" hidden="1" customWidth="1"/>
    <col min="30" max="30" width="10.125" style="158" hidden="1" customWidth="1"/>
    <col min="31" max="32" width="9" style="154"/>
    <col min="33" max="33" width="10.125"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96</v>
      </c>
      <c r="D2" s="267" t="s">
        <v>1</v>
      </c>
      <c r="E2" s="267" t="s">
        <v>97</v>
      </c>
      <c r="F2" s="930" t="s">
        <v>98</v>
      </c>
      <c r="G2" s="931" t="s">
        <v>83</v>
      </c>
      <c r="H2" s="931" t="s">
        <v>99</v>
      </c>
      <c r="I2" s="931" t="s">
        <v>84</v>
      </c>
      <c r="J2" s="932" t="s">
        <v>100</v>
      </c>
      <c r="K2" s="932" t="s">
        <v>101</v>
      </c>
      <c r="L2" s="933" t="s">
        <v>82</v>
      </c>
      <c r="M2" s="933" t="s">
        <v>102</v>
      </c>
      <c r="N2" s="934" t="s">
        <v>103</v>
      </c>
      <c r="O2" s="782"/>
      <c r="P2" s="160">
        <v>46113</v>
      </c>
      <c r="Q2" s="161">
        <v>46143</v>
      </c>
      <c r="R2" s="161">
        <v>46174</v>
      </c>
      <c r="S2" s="161">
        <v>46204</v>
      </c>
      <c r="T2" s="161">
        <v>46235</v>
      </c>
      <c r="U2" s="161">
        <v>46266</v>
      </c>
      <c r="V2" s="161">
        <v>46296</v>
      </c>
      <c r="W2" s="162" t="s">
        <v>2</v>
      </c>
      <c r="X2" s="162" t="s">
        <v>104</v>
      </c>
      <c r="Y2" s="162" t="s">
        <v>105</v>
      </c>
    </row>
    <row r="3" spans="2:33" ht="45" hidden="1" customHeight="1">
      <c r="B3" s="163"/>
      <c r="C3" s="163"/>
      <c r="D3" s="270" t="s">
        <v>106</v>
      </c>
      <c r="E3" s="271"/>
      <c r="F3" s="928"/>
      <c r="G3" s="928" t="s">
        <v>55</v>
      </c>
      <c r="H3" s="928"/>
      <c r="I3" s="928" t="s">
        <v>55</v>
      </c>
      <c r="J3" s="928"/>
      <c r="K3" s="928"/>
      <c r="L3" s="929">
        <v>1</v>
      </c>
      <c r="M3" s="929" t="str">
        <f ca="1">IF(OR(L3=100%,K3&lt;&gt;""),"Completed",IF(AND(OR(L3="",L3=0),F3&gt;TODAY()),"Not Started",IF(AND(OR(L3="",L3=0),F3&lt;=TODAY()),"Delayed",IF(AND(L3&gt;0,L3&lt;100%,G3&lt;TODAY()),"Delayed",IF(AND(L3&gt;0,L3&lt;100%),"In Progress","")))))</f>
        <v>Completed</v>
      </c>
      <c r="N3" s="769"/>
      <c r="O3" s="773"/>
      <c r="P3" s="164"/>
      <c r="Q3" s="165"/>
      <c r="R3" s="165"/>
      <c r="S3" s="165"/>
      <c r="T3" s="165"/>
      <c r="U3" s="165"/>
      <c r="V3" s="165"/>
      <c r="W3" s="166" t="s">
        <v>107</v>
      </c>
      <c r="X3" s="234"/>
      <c r="Y3" s="234"/>
    </row>
    <row r="4" spans="2:33" s="153" customFormat="1" ht="4.5" hidden="1" customHeight="1">
      <c r="B4" s="167"/>
      <c r="C4" s="167"/>
      <c r="D4" s="255"/>
      <c r="E4" s="273"/>
      <c r="F4" s="258"/>
      <c r="G4" s="258"/>
      <c r="H4" s="258"/>
      <c r="I4" s="258"/>
      <c r="J4" s="258"/>
      <c r="K4" s="258"/>
      <c r="L4" s="289"/>
      <c r="M4" s="289"/>
      <c r="N4" s="289"/>
      <c r="O4" s="774"/>
      <c r="P4" s="167"/>
      <c r="Q4" s="167"/>
      <c r="R4" s="167"/>
      <c r="S4" s="167"/>
      <c r="T4" s="167"/>
      <c r="U4" s="167"/>
      <c r="V4" s="167"/>
      <c r="W4" s="941"/>
      <c r="X4" s="205"/>
      <c r="Y4" s="205"/>
      <c r="AC4" s="168"/>
      <c r="AD4" s="168"/>
    </row>
    <row r="5" spans="2:33" s="153" customFormat="1" ht="4.5" customHeight="1">
      <c r="B5" s="181"/>
      <c r="C5" s="181"/>
      <c r="D5" s="258"/>
      <c r="E5" s="288"/>
      <c r="F5" s="258"/>
      <c r="G5" s="258"/>
      <c r="H5" s="258"/>
      <c r="I5" s="258"/>
      <c r="J5" s="258"/>
      <c r="K5" s="258"/>
      <c r="L5" s="289"/>
      <c r="M5" s="289"/>
      <c r="N5" s="289"/>
      <c r="O5" s="775"/>
      <c r="P5" s="181"/>
      <c r="Q5" s="181"/>
      <c r="R5" s="181"/>
      <c r="S5" s="181"/>
      <c r="T5" s="181"/>
      <c r="U5" s="181"/>
      <c r="V5" s="181"/>
      <c r="W5" s="181"/>
      <c r="X5" s="205"/>
      <c r="Y5" s="205"/>
      <c r="AC5" s="168"/>
      <c r="AD5" s="168"/>
    </row>
    <row r="6" spans="2:33" ht="45" customHeight="1">
      <c r="B6" s="1155" t="s">
        <v>108</v>
      </c>
      <c r="C6" s="422" t="s">
        <v>86</v>
      </c>
      <c r="D6" s="274" t="s">
        <v>109</v>
      </c>
      <c r="E6" s="935">
        <f>NETWORKDAYS.INTL(F6,G6,"0000100",$AG$6:$AG$12)</f>
        <v>1</v>
      </c>
      <c r="F6" s="937">
        <v>46153</v>
      </c>
      <c r="G6" s="198">
        <v>46153</v>
      </c>
      <c r="H6" s="198">
        <v>46153</v>
      </c>
      <c r="I6" s="198">
        <v>46153</v>
      </c>
      <c r="J6" s="198">
        <v>46153</v>
      </c>
      <c r="K6" s="198">
        <v>46200</v>
      </c>
      <c r="L6" s="276">
        <v>1</v>
      </c>
      <c r="M6" s="276" t="str">
        <f ca="1">IF(L6=100%,"Completed",
IF(AND(L6&lt;100%,G6&lt;TODAY()),"Delayed",
IF(AND(OR(L6="",L6=0),F6&gt;TODAY()),"Not Started",
IF(AND(OR(L6="",L6=0),F6&lt;=TODAY()),"Delayed",
IF(AND(L6&gt;0,L6&lt;100%),"In Progress","")))))</f>
        <v>Completed</v>
      </c>
      <c r="N6" s="783"/>
      <c r="O6" s="816"/>
      <c r="P6" s="211"/>
      <c r="Q6" s="211"/>
      <c r="R6" s="211"/>
      <c r="S6" s="211"/>
      <c r="T6" s="211"/>
      <c r="U6" s="211"/>
      <c r="V6" s="940"/>
      <c r="W6" s="664"/>
      <c r="X6" s="169"/>
      <c r="Y6" s="469"/>
      <c r="Z6" s="154" t="s">
        <v>110</v>
      </c>
      <c r="AB6" s="170" t="s">
        <v>62</v>
      </c>
      <c r="AC6" s="158" t="s">
        <v>68</v>
      </c>
      <c r="AG6" s="173">
        <v>46166</v>
      </c>
    </row>
    <row r="7" spans="2:33" ht="45" customHeight="1">
      <c r="B7" s="1155"/>
      <c r="C7" s="423" t="s">
        <v>86</v>
      </c>
      <c r="D7" s="277" t="s">
        <v>111</v>
      </c>
      <c r="E7" s="287">
        <f>NETWORKDAYS.INTL(F7,G7,"0000100",$AG$6:$AG$12)</f>
        <v>42</v>
      </c>
      <c r="F7" s="938">
        <v>46154</v>
      </c>
      <c r="G7" s="200">
        <f>WORKDAY.INTL(F7,46,"0000100",$AH$6:$AH$10)</f>
        <v>46208</v>
      </c>
      <c r="H7" s="200">
        <v>46154</v>
      </c>
      <c r="I7" s="200">
        <f>WORKDAY.INTL(H7,46,"0000100",$AH$6:$AH$10)</f>
        <v>46208</v>
      </c>
      <c r="J7" s="200">
        <v>46174</v>
      </c>
      <c r="K7" s="200"/>
      <c r="L7" s="279">
        <v>1</v>
      </c>
      <c r="M7" s="279" t="str">
        <f ca="1">IF(L7=100%,"Completed",
IF(AND(L7&lt;100%,G7&lt;TODAY()),"Delayed",
IF(AND(OR(L7="",L7=0),F7&gt;TODAY()),"Not Started",
IF(AND(OR(L7="",L7=0),F7&lt;=TODAY()),"Delayed",
IF(AND(L7&gt;0,L7&lt;100%),"In Progress","")))))</f>
        <v>Completed</v>
      </c>
      <c r="N7" s="784"/>
      <c r="O7" s="826"/>
      <c r="P7" s="180"/>
      <c r="Q7" s="180"/>
      <c r="R7" s="180"/>
      <c r="S7" s="180"/>
      <c r="T7" s="180"/>
      <c r="U7" s="180"/>
      <c r="V7" s="803"/>
      <c r="W7" s="665"/>
      <c r="X7" s="170"/>
      <c r="Y7" s="470"/>
      <c r="Z7" s="154" t="s">
        <v>110</v>
      </c>
      <c r="AB7" s="170" t="s">
        <v>63</v>
      </c>
      <c r="AC7" s="158" t="s">
        <v>68</v>
      </c>
      <c r="AG7" s="173">
        <v>46167</v>
      </c>
    </row>
    <row r="8" spans="2:33" ht="135.94999999999999" customHeight="1">
      <c r="B8" s="1155"/>
      <c r="C8" s="423" t="s">
        <v>86</v>
      </c>
      <c r="D8" s="277" t="s">
        <v>112</v>
      </c>
      <c r="E8" s="287"/>
      <c r="F8" s="938" t="s">
        <v>113</v>
      </c>
      <c r="G8" s="200">
        <v>46233</v>
      </c>
      <c r="H8" s="200" t="s">
        <v>113</v>
      </c>
      <c r="I8" s="200">
        <v>46245</v>
      </c>
      <c r="J8" s="200" t="s">
        <v>114</v>
      </c>
      <c r="K8" s="200"/>
      <c r="L8" s="279">
        <v>0.71</v>
      </c>
      <c r="M8" s="279" t="str">
        <f ca="1">IF(L8=100%,"Completed",
IF(AND(L8&lt;100%,G8&lt;TODAY()),"Delayed",
IF(AND(OR(L8="",L8=0),F8&gt;TODAY()),"Not Started",
IF(AND(OR(L8="",L8=0),F8&lt;=TODAY()),"Delayed",
IF(AND(L8&gt;0,L8&lt;100%),"In Progress","")))))</f>
        <v>In Progress</v>
      </c>
      <c r="N8" s="784" t="s">
        <v>115</v>
      </c>
      <c r="O8" s="826"/>
      <c r="P8" s="180"/>
      <c r="Q8" s="180"/>
      <c r="R8" s="180"/>
      <c r="S8" s="180"/>
      <c r="T8" s="180"/>
      <c r="U8" s="180"/>
      <c r="V8" s="803"/>
      <c r="W8" s="665" t="s">
        <v>116</v>
      </c>
      <c r="X8" s="170"/>
      <c r="Y8" s="470"/>
      <c r="AB8" s="158"/>
      <c r="AG8" s="173">
        <v>46168</v>
      </c>
    </row>
    <row r="9" spans="2:33" ht="45" customHeight="1">
      <c r="B9" s="1155"/>
      <c r="C9" s="423" t="s">
        <v>86</v>
      </c>
      <c r="D9" s="280" t="s">
        <v>117</v>
      </c>
      <c r="E9" s="287">
        <f>NETWORKDAYS.INTL(F9,G9,"0000110",$AG$6:$AG$12)</f>
        <v>2</v>
      </c>
      <c r="F9" s="938">
        <f>WORKDAY.INTL(G8,1,"0000110",$AG$6:$AG$10)</f>
        <v>46236</v>
      </c>
      <c r="G9" s="200">
        <f>WORKDAY.INTL(F9,1,"0000110",$AG$6:$AG$11)</f>
        <v>46237</v>
      </c>
      <c r="H9" s="200">
        <f>WORKDAY.INTL(I8,1,"0000110",$AG$6:$AG$10)</f>
        <v>46246</v>
      </c>
      <c r="I9" s="200">
        <f>WORKDAY.INTL(H9,1,"0000110",$AG$6:$AG$11)</f>
        <v>46247</v>
      </c>
      <c r="J9" s="200"/>
      <c r="K9" s="200"/>
      <c r="L9" s="279"/>
      <c r="M9" s="279" t="str">
        <f ca="1">IF(L9=100%,"Completed",
IF(AND(L9&lt;100%,G9&lt;TODAY()),"Delayed",
IF(AND(OR(L9="",L9=0),F9&gt;TODAY()),"Not Started",
IF(AND(OR(L9="",L9=0),F9&lt;=TODAY()),"Delayed",
IF(AND(L9&gt;0,L9&lt;100%),"In Progress","")))))</f>
        <v>Not Started</v>
      </c>
      <c r="N9" s="784"/>
      <c r="O9" s="826"/>
      <c r="P9" s="199"/>
      <c r="Q9" s="199"/>
      <c r="R9" s="199"/>
      <c r="S9" s="199"/>
      <c r="T9" s="199"/>
      <c r="U9" s="199"/>
      <c r="V9" s="831"/>
      <c r="W9" s="665" t="s">
        <v>118</v>
      </c>
      <c r="X9" s="170" t="s">
        <v>119</v>
      </c>
      <c r="Y9" s="470" t="s">
        <v>120</v>
      </c>
      <c r="Z9" s="154" t="s">
        <v>121</v>
      </c>
      <c r="AB9" s="170" t="s">
        <v>64</v>
      </c>
      <c r="AC9" s="158" t="s">
        <v>68</v>
      </c>
      <c r="AG9" s="173">
        <v>46169</v>
      </c>
    </row>
    <row r="10" spans="2:33" ht="45" customHeight="1">
      <c r="B10" s="1155"/>
      <c r="C10" s="424" t="s">
        <v>86</v>
      </c>
      <c r="D10" s="281" t="s">
        <v>122</v>
      </c>
      <c r="E10" s="936">
        <f>NETWORKDAYS.INTL(F10,G10,"0000110",$AG$6:$AG$12)</f>
        <v>2</v>
      </c>
      <c r="F10" s="939">
        <f>WORKDAY.INTL(G9,1,"0000110",$AG$6:$AG$10)</f>
        <v>46238</v>
      </c>
      <c r="G10" s="256">
        <f>WORKDAY.INTL(F10,1,"0000110",$AG$6:$AG$11)</f>
        <v>46239</v>
      </c>
      <c r="H10" s="256">
        <f>WORKDAY.INTL(I9,1,"0000110",$AG$6:$AG$10)</f>
        <v>46250</v>
      </c>
      <c r="I10" s="256">
        <f>WORKDAY.INTL(H10,1,"0000110",$AG$6:$AG$11)</f>
        <v>46251</v>
      </c>
      <c r="J10" s="256"/>
      <c r="K10" s="256"/>
      <c r="L10" s="283"/>
      <c r="M10" s="283" t="str">
        <f ca="1">IF(L10=100%,"Completed",
IF(AND(L10&lt;100%,G10&lt;TODAY()),"Delayed",
IF(AND(OR(L10="",L10=0),F10&gt;TODAY()),"Not Started",
IF(AND(OR(L10="",L10=0),F10&lt;=TODAY()),"Delayed",
IF(AND(L10&gt;0,L10&lt;100%),"In Progress","")))))</f>
        <v>Not Started</v>
      </c>
      <c r="N10" s="785"/>
      <c r="O10" s="817"/>
      <c r="P10" s="190"/>
      <c r="Q10" s="190"/>
      <c r="R10" s="190"/>
      <c r="S10" s="190"/>
      <c r="T10" s="190"/>
      <c r="U10" s="190"/>
      <c r="V10" s="823"/>
      <c r="W10" s="786" t="s">
        <v>123</v>
      </c>
      <c r="X10" s="189"/>
      <c r="Y10" s="471"/>
      <c r="Z10" s="154" t="s">
        <v>121</v>
      </c>
      <c r="AB10" s="170" t="s">
        <v>65</v>
      </c>
      <c r="AC10" s="158" t="s">
        <v>68</v>
      </c>
      <c r="AG10" s="173">
        <v>46170</v>
      </c>
    </row>
    <row r="11" spans="2:33" s="153" customFormat="1" ht="4.5" customHeight="1">
      <c r="B11" s="181"/>
      <c r="C11" s="181"/>
      <c r="D11" s="258"/>
      <c r="E11" s="288"/>
      <c r="F11" s="314"/>
      <c r="G11" s="314"/>
      <c r="H11" s="314"/>
      <c r="I11" s="314"/>
      <c r="J11" s="314"/>
      <c r="K11" s="314"/>
      <c r="L11" s="316"/>
      <c r="M11" s="316"/>
      <c r="N11" s="316"/>
      <c r="O11" s="774"/>
      <c r="P11" s="167"/>
      <c r="Q11" s="167"/>
      <c r="R11" s="167"/>
      <c r="S11" s="167"/>
      <c r="T11" s="167"/>
      <c r="U11" s="167"/>
      <c r="V11" s="167"/>
      <c r="W11" s="205"/>
      <c r="X11" s="205"/>
      <c r="Y11" s="205"/>
      <c r="AB11" s="168"/>
      <c r="AC11" s="168"/>
      <c r="AG11" s="173">
        <v>46288</v>
      </c>
    </row>
    <row r="12" spans="2:33" ht="45" customHeight="1">
      <c r="B12" s="1161" t="s">
        <v>124</v>
      </c>
      <c r="C12" s="787" t="s">
        <v>86</v>
      </c>
      <c r="D12" s="788" t="s">
        <v>109</v>
      </c>
      <c r="E12" s="317">
        <f>NETWORKDAYS.INTL(F12,G12,"0000100",$AG$6:$AG$12)</f>
        <v>1</v>
      </c>
      <c r="F12" s="259">
        <v>46183</v>
      </c>
      <c r="G12" s="259">
        <v>46183</v>
      </c>
      <c r="H12" s="259">
        <v>46183</v>
      </c>
      <c r="I12" s="259">
        <v>46183</v>
      </c>
      <c r="J12" s="259">
        <v>46203</v>
      </c>
      <c r="K12" s="259"/>
      <c r="L12" s="292">
        <v>1</v>
      </c>
      <c r="M12" s="292" t="str">
        <f ca="1">IF(L12=100%,"Completed",
IF(AND(L12&lt;100%,G12&lt;TODAY()),"Delayed",
IF(AND(OR(L12="",L12=0),F12&gt;TODAY()),"Not Started",
IF(AND(OR(L12="",L12=0),F12&lt;=TODAY()),"Delayed",
IF(AND(L12&gt;0,L12&lt;100%),"In Progress","")))))</f>
        <v>Completed</v>
      </c>
      <c r="N12" s="789"/>
      <c r="O12" s="782"/>
      <c r="P12" s="175"/>
      <c r="Q12" s="175"/>
      <c r="R12" s="175"/>
      <c r="S12" s="175"/>
      <c r="T12" s="175"/>
      <c r="U12" s="175"/>
      <c r="V12" s="175"/>
      <c r="W12" s="799"/>
      <c r="X12" s="92"/>
      <c r="Y12" s="742"/>
      <c r="AB12" s="170" t="s">
        <v>62</v>
      </c>
      <c r="AC12" s="158" t="s">
        <v>69</v>
      </c>
      <c r="AG12" s="173">
        <v>46288</v>
      </c>
    </row>
    <row r="13" spans="2:33" ht="45" customHeight="1">
      <c r="B13" s="1161"/>
      <c r="C13" s="790" t="s">
        <v>86</v>
      </c>
      <c r="D13" s="791" t="s">
        <v>111</v>
      </c>
      <c r="E13" s="792">
        <f>NETWORKDAYS.INTL(F13,G13,"0000100",$AG$6:$AG$12)</f>
        <v>13</v>
      </c>
      <c r="F13" s="257">
        <v>46194</v>
      </c>
      <c r="G13" s="257">
        <f>WORKDAY.INTL(G12,21,"0000100",$AH$6:$AH$10)</f>
        <v>46208</v>
      </c>
      <c r="H13" s="257">
        <v>46194</v>
      </c>
      <c r="I13" s="257">
        <f>WORKDAY.INTL(I12,21,"0000100",$AH$6:$AH$10)</f>
        <v>46208</v>
      </c>
      <c r="J13" s="257">
        <v>46206</v>
      </c>
      <c r="K13" s="257"/>
      <c r="L13" s="286">
        <v>1</v>
      </c>
      <c r="M13" s="286" t="str">
        <f ca="1">IF(L13=100%,"Completed",
IF(AND(L13&lt;100%,G13&lt;TODAY()),"Delayed",
IF(AND(OR(L13="",L13=0),F13&gt;TODAY()),"Not Started",
IF(AND(OR(L13="",L13=0),F13&lt;=TODAY()),"Delayed",
IF(AND(L13&gt;0,L13&lt;100%),"In Progress","")))))</f>
        <v>Completed</v>
      </c>
      <c r="N13" s="793"/>
      <c r="O13" s="782"/>
      <c r="P13" s="176"/>
      <c r="Q13" s="176"/>
      <c r="R13" s="176"/>
      <c r="S13" s="176"/>
      <c r="T13" s="176"/>
      <c r="U13" s="176"/>
      <c r="V13" s="176"/>
      <c r="W13" s="800" t="s">
        <v>125</v>
      </c>
      <c r="X13" s="97"/>
      <c r="Y13" s="746"/>
      <c r="AB13" s="170" t="s">
        <v>63</v>
      </c>
      <c r="AC13" s="158" t="s">
        <v>69</v>
      </c>
    </row>
    <row r="14" spans="2:33" ht="45" customHeight="1">
      <c r="B14" s="1161"/>
      <c r="C14" s="790" t="s">
        <v>86</v>
      </c>
      <c r="D14" s="794" t="s">
        <v>117</v>
      </c>
      <c r="E14" s="792">
        <f>NETWORKDAYS.INTL(F14,G14,"0000110",$AG$6:$AG$12)</f>
        <v>4</v>
      </c>
      <c r="F14" s="257">
        <f>MAX(WORKDAY.INTL(G9,1,"0000100",$AF$6:$AF$11),G13+1)</f>
        <v>46238</v>
      </c>
      <c r="G14" s="257">
        <f>WORKDAY.INTL(F14,3,"0000110",$AG$6:$AG$11)</f>
        <v>46243</v>
      </c>
      <c r="H14" s="257">
        <f>MAX(WORKDAY.INTL(I9,1,"0000100",$AF$6:$AF$11),I13+1)</f>
        <v>46249</v>
      </c>
      <c r="I14" s="257">
        <f>WORKDAY.INTL(H14,3,"0000110",$AG$6:$AG$11)</f>
        <v>46252</v>
      </c>
      <c r="J14" s="257"/>
      <c r="K14" s="257"/>
      <c r="L14" s="286"/>
      <c r="M14" s="286" t="str">
        <f ca="1">IF(L14=100%,"Completed",
IF(AND(L14&lt;100%,G14&lt;TODAY()),"Delayed",
IF(AND(OR(L14="",L14=0),F14&gt;TODAY()),"Not Started",
IF(AND(OR(L14="",L14=0),F14&lt;=TODAY()),"Delayed",
IF(AND(L14&gt;0,L14&lt;100%),"In Progress","")))))</f>
        <v>Not Started</v>
      </c>
      <c r="N14" s="793"/>
      <c r="O14" s="782"/>
      <c r="P14" s="177"/>
      <c r="Q14" s="177"/>
      <c r="R14" s="177"/>
      <c r="S14" s="177"/>
      <c r="T14" s="177"/>
      <c r="U14" s="177"/>
      <c r="V14" s="177"/>
      <c r="W14" s="800" t="s">
        <v>126</v>
      </c>
      <c r="X14" s="97" t="s">
        <v>119</v>
      </c>
      <c r="Y14" s="746" t="s">
        <v>120</v>
      </c>
      <c r="AB14" s="170" t="s">
        <v>64</v>
      </c>
      <c r="AC14" s="158" t="s">
        <v>69</v>
      </c>
    </row>
    <row r="15" spans="2:33" ht="45" customHeight="1">
      <c r="B15" s="1161"/>
      <c r="C15" s="795" t="s">
        <v>86</v>
      </c>
      <c r="D15" s="796" t="s">
        <v>122</v>
      </c>
      <c r="E15" s="797">
        <f>NETWORKDAYS.INTL(F15,G15,"0000110",$AG$6:$AG$12)</f>
        <v>2</v>
      </c>
      <c r="F15" s="260">
        <f>WORKDAY.INTL(G14,1,"0000110",$AG$6:$AG$10)</f>
        <v>46244</v>
      </c>
      <c r="G15" s="260">
        <f>WORKDAY.INTL(F15,1,"0000110",$AG$6:$AG$11)</f>
        <v>46245</v>
      </c>
      <c r="H15" s="260">
        <f>WORKDAY.INTL(I14,1,"0000110",$AG$6:$AG$10)</f>
        <v>46253</v>
      </c>
      <c r="I15" s="260">
        <f>WORKDAY.INTL(H15,1,"0000110",$AG$6:$AG$11)</f>
        <v>46254</v>
      </c>
      <c r="J15" s="260"/>
      <c r="K15" s="260"/>
      <c r="L15" s="293"/>
      <c r="M15" s="293" t="str">
        <f ca="1">IF(L15=100%,"Completed",
IF(AND(L15&lt;100%,G15&lt;TODAY()),"Delayed",
IF(AND(OR(L15="",L15=0),F15&gt;TODAY()),"Not Started",
IF(AND(OR(L15="",L15=0),F15&lt;=TODAY()),"Delayed",
IF(AND(L15&gt;0,L15&lt;100%),"In Progress","")))))</f>
        <v>Not Started</v>
      </c>
      <c r="N15" s="798"/>
      <c r="O15" s="782"/>
      <c r="P15" s="177"/>
      <c r="Q15" s="177"/>
      <c r="R15" s="177"/>
      <c r="S15" s="177"/>
      <c r="T15" s="177"/>
      <c r="U15" s="177"/>
      <c r="V15" s="177"/>
      <c r="W15" s="801" t="s">
        <v>123</v>
      </c>
      <c r="X15" s="99"/>
      <c r="Y15" s="748"/>
      <c r="AB15" s="170" t="s">
        <v>65</v>
      </c>
      <c r="AC15" s="158" t="s">
        <v>69</v>
      </c>
    </row>
    <row r="16" spans="2:33" s="153" customFormat="1" ht="4.5" customHeight="1">
      <c r="B16" s="205"/>
      <c r="C16" s="205"/>
      <c r="D16" s="314"/>
      <c r="E16" s="315"/>
      <c r="F16" s="314"/>
      <c r="G16" s="314"/>
      <c r="H16" s="314"/>
      <c r="I16" s="314"/>
      <c r="J16" s="314"/>
      <c r="K16" s="314"/>
      <c r="L16" s="316"/>
      <c r="M16" s="316"/>
      <c r="N16" s="316"/>
      <c r="O16" s="774"/>
      <c r="P16" s="167"/>
      <c r="Q16" s="167"/>
      <c r="R16" s="167"/>
      <c r="S16" s="167"/>
      <c r="T16" s="167"/>
      <c r="U16" s="167"/>
      <c r="V16" s="167"/>
      <c r="W16" s="205"/>
      <c r="X16" s="205"/>
      <c r="Y16" s="205"/>
      <c r="AB16" s="168"/>
      <c r="AC16" s="168"/>
    </row>
    <row r="17" spans="2:33" ht="45" customHeight="1">
      <c r="B17" s="1155" t="s">
        <v>127</v>
      </c>
      <c r="C17" s="422" t="s">
        <v>86</v>
      </c>
      <c r="D17" s="274" t="s">
        <v>109</v>
      </c>
      <c r="E17" s="275">
        <f>NETWORKDAYS.INTL(F17,G17,"0000100",$AG$6:$AG$12)</f>
        <v>7</v>
      </c>
      <c r="F17" s="198">
        <f>WORKDAY.INTL(G13,1,"0000100",$AH$6:$AH$10)</f>
        <v>46209</v>
      </c>
      <c r="G17" s="198">
        <f>WORKDAY.INTL(F17,6,"0000100",$AH$6:$AH$10)</f>
        <v>46216</v>
      </c>
      <c r="H17" s="198">
        <f>WORKDAY.INTL(I13,1,"0000100",$AH$6:$AH$10)</f>
        <v>46209</v>
      </c>
      <c r="I17" s="198">
        <f>WORKDAY.INTL(H17,6,"0000100",$AH$6:$AH$10)</f>
        <v>46216</v>
      </c>
      <c r="J17" s="198">
        <v>46209</v>
      </c>
      <c r="K17" s="198"/>
      <c r="L17" s="276">
        <v>1</v>
      </c>
      <c r="M17" s="276" t="str">
        <f ca="1">IF(L17=100%,"Completed",
IF(AND(L17&lt;100%,G17&lt;TODAY()),"Delayed",
IF(AND(OR(L17="",L17=0),F17&gt;TODAY()),"Not Started",
IF(AND(OR(L17="",L17=0),F17&lt;=TODAY()),"Delayed",
IF(AND(L17&gt;0,L17&lt;100%),"In Progress","")))))</f>
        <v>Completed</v>
      </c>
      <c r="N17" s="783"/>
      <c r="O17" s="782"/>
      <c r="P17" s="171"/>
      <c r="Q17" s="171"/>
      <c r="R17" s="171"/>
      <c r="S17" s="171"/>
      <c r="T17" s="171"/>
      <c r="U17" s="171"/>
      <c r="V17" s="171"/>
      <c r="W17" s="664"/>
      <c r="X17" s="169"/>
      <c r="Y17" s="469"/>
      <c r="AB17" s="170" t="s">
        <v>62</v>
      </c>
      <c r="AC17" s="158" t="s">
        <v>70</v>
      </c>
    </row>
    <row r="18" spans="2:33" ht="45" customHeight="1">
      <c r="B18" s="1155"/>
      <c r="C18" s="423" t="s">
        <v>86</v>
      </c>
      <c r="D18" s="277" t="s">
        <v>111</v>
      </c>
      <c r="E18" s="278">
        <f>NETWORKDAYS.INTL(F18,G18,"0000100",$AG$6:$AG$12)</f>
        <v>3</v>
      </c>
      <c r="F18" s="200">
        <f>WORKDAY.INTL(G17,1,"0000100",$AH$6:$AH$10)</f>
        <v>46217</v>
      </c>
      <c r="G18" s="200">
        <f>WORKDAY.INTL(F18,2,"0000100",$AH$6:$AH$10)</f>
        <v>46219</v>
      </c>
      <c r="H18" s="200">
        <f>WORKDAY.INTL(I17,1,"0000100",$AH$6:$AH$10)</f>
        <v>46217</v>
      </c>
      <c r="I18" s="200">
        <f>WORKDAY.INTL(H18,2,"0000100",$AH$6:$AH$10)</f>
        <v>46219</v>
      </c>
      <c r="J18" s="200"/>
      <c r="K18" s="200"/>
      <c r="L18" s="279">
        <v>1</v>
      </c>
      <c r="M18" s="279" t="str">
        <f ca="1">IF(L18=100%,"Completed",
IF(AND(L18&lt;100%,G18&lt;TODAY()),"Delayed",
IF(AND(OR(L18="",L18=0),F18&gt;TODAY()),"Not Started",
IF(AND(OR(L18="",L18=0),F18&lt;=TODAY()),"Delayed",
IF(AND(L18&gt;0,L18&lt;100%),"In Progress","")))))</f>
        <v>Completed</v>
      </c>
      <c r="N18" s="784"/>
      <c r="O18" s="782"/>
      <c r="P18" s="171"/>
      <c r="Q18" s="171"/>
      <c r="R18" s="171"/>
      <c r="S18" s="171"/>
      <c r="T18" s="171"/>
      <c r="U18" s="171"/>
      <c r="V18" s="171"/>
      <c r="W18" s="665" t="s">
        <v>128</v>
      </c>
      <c r="X18" s="170"/>
      <c r="Y18" s="470"/>
      <c r="AB18" s="170" t="s">
        <v>63</v>
      </c>
      <c r="AC18" s="158" t="s">
        <v>70</v>
      </c>
    </row>
    <row r="19" spans="2:33" ht="45" customHeight="1">
      <c r="B19" s="1155"/>
      <c r="C19" s="423" t="s">
        <v>86</v>
      </c>
      <c r="D19" s="277" t="s">
        <v>117</v>
      </c>
      <c r="E19" s="278">
        <f>NETWORKDAYS.INTL(F19,G19,"0000110",$AG$6:$AG$12)</f>
        <v>5</v>
      </c>
      <c r="F19" s="200">
        <f>MAX(WORKDAY.INTL(G14,1,"0000100",$AF$6:$AF$11),G18+1)</f>
        <v>46244</v>
      </c>
      <c r="G19" s="200">
        <f>WORKDAY.INTL(F19,4,"0000110",$AG$6:$AG$11)</f>
        <v>46250</v>
      </c>
      <c r="H19" s="200">
        <f>MAX(WORKDAY.INTL(I14,1,"0000100",$AF$6:$AF$11),I18+1)</f>
        <v>46253</v>
      </c>
      <c r="I19" s="200">
        <f>WORKDAY.INTL(H19,4,"0000110",$AG$6:$AG$11)</f>
        <v>46259</v>
      </c>
      <c r="J19" s="200"/>
      <c r="K19" s="200"/>
      <c r="L19" s="279"/>
      <c r="M19" s="279" t="str">
        <f ca="1">IF(L19=100%,"Completed",
IF(AND(L19&lt;100%,G19&lt;TODAY()),"Delayed",
IF(AND(OR(L19="",L19=0),F19&gt;TODAY()),"Not Started",
IF(AND(OR(L19="",L19=0),F19&lt;=TODAY()),"Delayed",
IF(AND(L19&gt;0,L19&lt;100%),"In Progress","")))))</f>
        <v>Not Started</v>
      </c>
      <c r="N19" s="784"/>
      <c r="O19" s="782"/>
      <c r="P19" s="171"/>
      <c r="Q19" s="171"/>
      <c r="R19" s="171"/>
      <c r="S19" s="171"/>
      <c r="T19" s="171"/>
      <c r="U19" s="171"/>
      <c r="V19" s="171"/>
      <c r="W19" s="665" t="s">
        <v>126</v>
      </c>
      <c r="X19" s="170" t="s">
        <v>119</v>
      </c>
      <c r="Y19" s="470" t="s">
        <v>120</v>
      </c>
      <c r="AB19" s="170" t="s">
        <v>64</v>
      </c>
      <c r="AC19" s="158" t="s">
        <v>70</v>
      </c>
    </row>
    <row r="20" spans="2:33" ht="45" customHeight="1">
      <c r="B20" s="1155"/>
      <c r="C20" s="424" t="s">
        <v>86</v>
      </c>
      <c r="D20" s="281" t="s">
        <v>122</v>
      </c>
      <c r="E20" s="282">
        <f>NETWORKDAYS.INTL(F20,G20,"0000110",$AG$6:$AG$12)</f>
        <v>2</v>
      </c>
      <c r="F20" s="256">
        <f>WORKDAY.INTL(G19,1,"0000110",$AG$6:$AG$10)</f>
        <v>46251</v>
      </c>
      <c r="G20" s="256">
        <f>WORKDAY.INTL(F20,1,"0000110",$AG$6:$AG$11)</f>
        <v>46252</v>
      </c>
      <c r="H20" s="256">
        <f>WORKDAY.INTL(I19,1,"0000110",$AG$6:$AG$10)</f>
        <v>46260</v>
      </c>
      <c r="I20" s="256">
        <f>WORKDAY.INTL(H20,1,"0000110",$AG$6:$AG$11)</f>
        <v>46261</v>
      </c>
      <c r="J20" s="256"/>
      <c r="K20" s="256"/>
      <c r="L20" s="283"/>
      <c r="M20" s="283" t="str">
        <f ca="1">IF(L20=100%,"Completed",
IF(AND(L20&lt;100%,G20&lt;TODAY()),"Delayed",
IF(AND(OR(L20="",L20=0),F20&gt;TODAY()),"Not Started",
IF(AND(OR(L20="",L20=0),F20&lt;=TODAY()),"Delayed",
IF(AND(L20&gt;0,L20&lt;100%),"In Progress","")))))</f>
        <v>Not Started</v>
      </c>
      <c r="N20" s="785"/>
      <c r="O20" s="782"/>
      <c r="P20" s="174"/>
      <c r="Q20" s="174"/>
      <c r="R20" s="174"/>
      <c r="S20" s="174"/>
      <c r="T20" s="174"/>
      <c r="U20" s="174"/>
      <c r="V20" s="174"/>
      <c r="W20" s="786" t="s">
        <v>123</v>
      </c>
      <c r="X20" s="189"/>
      <c r="Y20" s="471"/>
      <c r="AB20" s="170" t="s">
        <v>65</v>
      </c>
      <c r="AC20" s="158" t="s">
        <v>70</v>
      </c>
    </row>
    <row r="21" spans="2:33" s="153" customFormat="1" ht="4.5" customHeight="1">
      <c r="B21" s="205"/>
      <c r="C21" s="205"/>
      <c r="D21" s="314"/>
      <c r="E21" s="315"/>
      <c r="F21" s="314"/>
      <c r="G21" s="314"/>
      <c r="H21" s="314"/>
      <c r="I21" s="314"/>
      <c r="J21" s="314"/>
      <c r="K21" s="314"/>
      <c r="L21" s="316"/>
      <c r="M21" s="316"/>
      <c r="N21" s="316"/>
      <c r="O21" s="774"/>
      <c r="P21" s="167"/>
      <c r="Q21" s="167"/>
      <c r="R21" s="167"/>
      <c r="S21" s="167"/>
      <c r="T21" s="167"/>
      <c r="U21" s="167"/>
      <c r="V21" s="167"/>
      <c r="W21" s="205"/>
      <c r="X21" s="205"/>
      <c r="Y21" s="205"/>
      <c r="AB21" s="168"/>
      <c r="AC21" s="168"/>
    </row>
    <row r="22" spans="2:33" ht="45" customHeight="1">
      <c r="B22" s="1161" t="s">
        <v>129</v>
      </c>
      <c r="C22" s="787" t="s">
        <v>86</v>
      </c>
      <c r="D22" s="788" t="s">
        <v>109</v>
      </c>
      <c r="E22" s="317">
        <f>NETWORKDAYS.INTL(F22,G22,"0000100",$AG$6:$AG$12)</f>
        <v>6</v>
      </c>
      <c r="F22" s="259">
        <f>WORKDAY.INTL(G18,1,"0000100",$AH$6:$AH$10)</f>
        <v>46221</v>
      </c>
      <c r="G22" s="259">
        <f>WORKDAY.INTL(F22,5,"0000100",$AH$6:$AH$10)</f>
        <v>46226</v>
      </c>
      <c r="H22" s="259">
        <f>WORKDAY.INTL(I18,1,"0000100",$AH$6:$AH$10)</f>
        <v>46221</v>
      </c>
      <c r="I22" s="259">
        <f>WORKDAY.INTL(H22,5,"0000100",$AH$6:$AH$10)</f>
        <v>46226</v>
      </c>
      <c r="J22" s="259">
        <v>46217</v>
      </c>
      <c r="K22" s="259">
        <v>46221</v>
      </c>
      <c r="L22" s="292">
        <v>1</v>
      </c>
      <c r="M22" s="292" t="str">
        <f ca="1">IF(L22=100%,"Completed",
IF(AND(L22&lt;100%,G22&lt;TODAY()),"Delayed",
IF(AND(OR(L22="",L22=0),F22&gt;TODAY()),"Not Started",
IF(AND(OR(L22="",L22=0),F22&lt;=TODAY()),"Delayed",
IF(AND(L22&gt;0,L22&lt;100%),"In Progress","")))))</f>
        <v>Completed</v>
      </c>
      <c r="N22" s="789"/>
      <c r="O22" s="782"/>
      <c r="P22" s="175"/>
      <c r="Q22" s="175"/>
      <c r="R22" s="175"/>
      <c r="S22" s="175"/>
      <c r="T22" s="175"/>
      <c r="U22" s="175"/>
      <c r="V22" s="175"/>
      <c r="W22" s="799"/>
      <c r="X22" s="92" t="s">
        <v>130</v>
      </c>
      <c r="Y22" s="742" t="s">
        <v>131</v>
      </c>
      <c r="AB22" s="170" t="s">
        <v>62</v>
      </c>
      <c r="AC22" s="158" t="s">
        <v>71</v>
      </c>
      <c r="AG22" s="173"/>
    </row>
    <row r="23" spans="2:33" ht="45" customHeight="1">
      <c r="B23" s="1161"/>
      <c r="C23" s="790" t="s">
        <v>86</v>
      </c>
      <c r="D23" s="791" t="s">
        <v>111</v>
      </c>
      <c r="E23" s="792">
        <f>NETWORKDAYS.INTL(F23,G23,"0000100",$AG$6:$AG$12)</f>
        <v>3</v>
      </c>
      <c r="F23" s="257">
        <f>WORKDAY.INTL(G22,1,"0000100",$AH$6:$AH$10)</f>
        <v>46228</v>
      </c>
      <c r="G23" s="257">
        <f>WORKDAY.INTL(F23,2,"0000100",$AH$6:$AH$10)</f>
        <v>46230</v>
      </c>
      <c r="H23" s="257">
        <f>WORKDAY.INTL(I22,1,"0000100",$AH$6:$AH$10)</f>
        <v>46228</v>
      </c>
      <c r="I23" s="257">
        <f>WORKDAY.INTL(H23,2,"0000100",$AH$6:$AH$10)</f>
        <v>46230</v>
      </c>
      <c r="J23" s="257">
        <v>46221</v>
      </c>
      <c r="K23" s="257">
        <v>46225</v>
      </c>
      <c r="L23" s="286">
        <v>0.8</v>
      </c>
      <c r="M23" s="286" t="str">
        <f ca="1">IF(L23=100%,"Completed",
IF(AND(L23&lt;100%,G23&lt;TODAY()),"Delayed",
IF(AND(OR(L23="",L23=0),F23&gt;TODAY()),"Not Started",
IF(AND(OR(L23="",L23=0),F23&lt;=TODAY()),"Delayed",
IF(AND(L23&gt;0,L23&lt;100%),"In Progress","")))))</f>
        <v>In Progress</v>
      </c>
      <c r="N23" s="793"/>
      <c r="O23" s="782"/>
      <c r="P23" s="176"/>
      <c r="Q23" s="176"/>
      <c r="R23" s="176"/>
      <c r="S23" s="176"/>
      <c r="T23" s="176"/>
      <c r="U23" s="176"/>
      <c r="V23" s="176"/>
      <c r="W23" s="800"/>
      <c r="X23" s="97"/>
      <c r="Y23" s="746"/>
      <c r="AB23" s="170" t="s">
        <v>63</v>
      </c>
      <c r="AC23" s="158" t="s">
        <v>71</v>
      </c>
    </row>
    <row r="24" spans="2:33" ht="45" customHeight="1">
      <c r="B24" s="1161"/>
      <c r="C24" s="790" t="s">
        <v>86</v>
      </c>
      <c r="D24" s="794" t="s">
        <v>117</v>
      </c>
      <c r="E24" s="792">
        <f>NETWORKDAYS.INTL(F24,G24,"0000110",$AG$6:$AG$12)</f>
        <v>6</v>
      </c>
      <c r="F24" s="257">
        <f>MAX(WORKDAY.INTL(G19,1,"0000100",$AF$6:$AF$11),G23+1)</f>
        <v>46251</v>
      </c>
      <c r="G24" s="257">
        <f>WORKDAY.INTL(F24,5,"0000110",$AG$6:$AG$11)</f>
        <v>46258</v>
      </c>
      <c r="H24" s="257">
        <f>MAX(WORKDAY.INTL(I19,1,"0000100",$AF$6:$AF$11),I23+1)</f>
        <v>46260</v>
      </c>
      <c r="I24" s="257">
        <f>WORKDAY.INTL(H24,5,"0000110",$AG$6:$AG$11)</f>
        <v>46267</v>
      </c>
      <c r="J24" s="257"/>
      <c r="K24" s="257"/>
      <c r="L24" s="286"/>
      <c r="M24" s="286" t="str">
        <f ca="1">IF(L24=100%,"Completed",
IF(AND(L24&lt;100%,G24&lt;TODAY()),"Delayed",
IF(AND(OR(L24="",L24=0),F24&gt;TODAY()),"Not Started",
IF(AND(OR(L24="",L24=0),F24&lt;=TODAY()),"Delayed",
IF(AND(L24&gt;0,L24&lt;100%),"In Progress","")))))</f>
        <v>Not Started</v>
      </c>
      <c r="N24" s="793"/>
      <c r="O24" s="782"/>
      <c r="P24" s="177"/>
      <c r="Q24" s="177"/>
      <c r="R24" s="177"/>
      <c r="S24" s="177"/>
      <c r="T24" s="177"/>
      <c r="U24" s="177"/>
      <c r="V24" s="177"/>
      <c r="W24" s="800" t="s">
        <v>126</v>
      </c>
      <c r="X24" s="97" t="s">
        <v>119</v>
      </c>
      <c r="Y24" s="746" t="s">
        <v>120</v>
      </c>
      <c r="AB24" s="170" t="s">
        <v>64</v>
      </c>
      <c r="AC24" s="158" t="s">
        <v>71</v>
      </c>
    </row>
    <row r="25" spans="2:33" ht="45" customHeight="1">
      <c r="B25" s="1161"/>
      <c r="C25" s="795" t="s">
        <v>86</v>
      </c>
      <c r="D25" s="796" t="s">
        <v>122</v>
      </c>
      <c r="E25" s="797">
        <f>NETWORKDAYS.INTL(F25,G25,"0000110",$AG$6:$AG$12)</f>
        <v>2</v>
      </c>
      <c r="F25" s="260">
        <f>WORKDAY.INTL(G24,1,"0000110",$AG$6:$AG$11)</f>
        <v>46259</v>
      </c>
      <c r="G25" s="260">
        <f>WORKDAY.INTL(F25,1,"0000110",$AG$6:$AG$11)</f>
        <v>46260</v>
      </c>
      <c r="H25" s="260">
        <f>WORKDAY.INTL(I24,1,"0000110",$AG$6:$AG$11)</f>
        <v>46268</v>
      </c>
      <c r="I25" s="260">
        <f>WORKDAY.INTL(H25,1,"0000110",$AG$6:$AG$11)</f>
        <v>46271</v>
      </c>
      <c r="J25" s="260"/>
      <c r="K25" s="260"/>
      <c r="L25" s="293"/>
      <c r="M25" s="293" t="str">
        <f ca="1">IF(L25=100%,"Completed",
IF(AND(L25&lt;100%,G25&lt;TODAY()),"Delayed",
IF(AND(OR(L25="",L25=0),F25&gt;TODAY()),"Not Started",
IF(AND(OR(L25="",L25=0),F25&lt;=TODAY()),"Delayed",
IF(AND(L25&gt;0,L25&lt;100%),"In Progress","")))))</f>
        <v>Not Started</v>
      </c>
      <c r="N25" s="798"/>
      <c r="O25" s="782"/>
      <c r="P25" s="177"/>
      <c r="Q25" s="177"/>
      <c r="R25" s="177"/>
      <c r="S25" s="177"/>
      <c r="T25" s="177"/>
      <c r="U25" s="177"/>
      <c r="V25" s="177"/>
      <c r="W25" s="801" t="s">
        <v>123</v>
      </c>
      <c r="X25" s="99"/>
      <c r="Y25" s="748"/>
      <c r="AB25" s="170" t="s">
        <v>65</v>
      </c>
      <c r="AC25" s="158" t="s">
        <v>71</v>
      </c>
    </row>
    <row r="26" spans="2:33" s="153" customFormat="1" ht="4.5" customHeight="1">
      <c r="B26" s="205"/>
      <c r="C26" s="205"/>
      <c r="D26" s="314"/>
      <c r="E26" s="315"/>
      <c r="F26" s="314"/>
      <c r="G26" s="314"/>
      <c r="H26" s="314"/>
      <c r="I26" s="314"/>
      <c r="J26" s="314"/>
      <c r="K26" s="314"/>
      <c r="L26" s="316"/>
      <c r="M26" s="316"/>
      <c r="N26" s="316"/>
      <c r="O26" s="774"/>
      <c r="P26" s="167"/>
      <c r="Q26" s="167"/>
      <c r="R26" s="167"/>
      <c r="S26" s="167"/>
      <c r="T26" s="167"/>
      <c r="U26" s="167"/>
      <c r="V26" s="167"/>
      <c r="W26" s="205"/>
      <c r="X26" s="205"/>
      <c r="Y26" s="205"/>
      <c r="AB26" s="168"/>
      <c r="AC26" s="168"/>
    </row>
    <row r="27" spans="2:33" ht="68.099999999999994" customHeight="1">
      <c r="B27" s="1155" t="s">
        <v>132</v>
      </c>
      <c r="C27" s="422" t="s">
        <v>86</v>
      </c>
      <c r="D27" s="274" t="s">
        <v>109</v>
      </c>
      <c r="E27" s="275">
        <f>NETWORKDAYS.INTL(F27,G27,"0000100",$AG$6:$AG$12)</f>
        <v>6</v>
      </c>
      <c r="F27" s="198">
        <f>WORKDAY.INTL(G23,1,"0000100",$AH$6:$AH$10)</f>
        <v>46231</v>
      </c>
      <c r="G27" s="198">
        <f>WORKDAY.INTL(F27,5,"0000100",$AH$6:$AH$10)</f>
        <v>46237</v>
      </c>
      <c r="H27" s="198">
        <f>WORKDAY.INTL(I23,1,"0000100",$AH$6:$AH$10)</f>
        <v>46231</v>
      </c>
      <c r="I27" s="198">
        <f>WORKDAY.INTL(H27,5,"0000100",$AH$6:$AH$10)</f>
        <v>46237</v>
      </c>
      <c r="J27" s="198">
        <v>46221</v>
      </c>
      <c r="K27" s="198"/>
      <c r="L27" s="276">
        <v>0.43</v>
      </c>
      <c r="M27" s="276" t="str">
        <f ca="1">IF(L27=100%,"Completed",
IF(AND(L27&lt;100%,G27&lt;TODAY()),"Delayed",
IF(AND(OR(L27="",L27=0),F27&gt;TODAY()),"Not Started",
IF(AND(OR(L27="",L27=0),F27&lt;=TODAY()),"Delayed",
IF(AND(L27&gt;0,L27&lt;100%),"In Progress","")))))</f>
        <v>In Progress</v>
      </c>
      <c r="N27" s="783"/>
      <c r="O27" s="782"/>
      <c r="P27" s="171"/>
      <c r="Q27" s="171"/>
      <c r="R27" s="171"/>
      <c r="S27" s="171"/>
      <c r="T27" s="171"/>
      <c r="U27" s="171"/>
      <c r="V27" s="171"/>
      <c r="W27" s="664"/>
      <c r="X27" s="169" t="s">
        <v>130</v>
      </c>
      <c r="Y27" s="469" t="s">
        <v>133</v>
      </c>
      <c r="AB27" s="170" t="s">
        <v>62</v>
      </c>
      <c r="AC27" s="158" t="s">
        <v>72</v>
      </c>
    </row>
    <row r="28" spans="2:33" ht="45" customHeight="1">
      <c r="B28" s="1155"/>
      <c r="C28" s="423" t="s">
        <v>86</v>
      </c>
      <c r="D28" s="277" t="s">
        <v>111</v>
      </c>
      <c r="E28" s="278">
        <f>NETWORKDAYS.INTL(F28,G28,"0000100",$AG$6:$AG$12)</f>
        <v>3</v>
      </c>
      <c r="F28" s="200">
        <f>WORKDAY.INTL(G27,1,"0000100",$AH$6:$AH$10)</f>
        <v>46238</v>
      </c>
      <c r="G28" s="200">
        <f>WORKDAY.INTL(F28,2,"0000100",$AH$6:$AH$10)</f>
        <v>46240</v>
      </c>
      <c r="H28" s="200">
        <f>WORKDAY.INTL(I27,1,"0000100",$AH$6:$AH$10)</f>
        <v>46238</v>
      </c>
      <c r="I28" s="200">
        <f>WORKDAY.INTL(H28,2,"0000100",$AH$6:$AH$10)</f>
        <v>46240</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c r="X28" s="170"/>
      <c r="Y28" s="470"/>
      <c r="AB28" s="170" t="s">
        <v>63</v>
      </c>
      <c r="AC28" s="158" t="s">
        <v>72</v>
      </c>
    </row>
    <row r="29" spans="2:33" ht="45" customHeight="1">
      <c r="B29" s="1155"/>
      <c r="C29" s="423" t="s">
        <v>86</v>
      </c>
      <c r="D29" s="277" t="s">
        <v>117</v>
      </c>
      <c r="E29" s="278">
        <f>NETWORKDAYS.INTL(F29,G29,"0000110",$AG$6:$AG$12)</f>
        <v>6</v>
      </c>
      <c r="F29" s="200">
        <f>MAX(WORKDAY.INTL(G24,1,"0000100",$AF$6:$AF$11),G28+1)</f>
        <v>46259</v>
      </c>
      <c r="G29" s="200">
        <f t="shared" ref="G29" si="0">WORKDAY.INTL(F29,5,"0000110")</f>
        <v>46266</v>
      </c>
      <c r="H29" s="200">
        <f>MAX(WORKDAY.INTL(I24,1,"0000100",$AF$6:$AF$11),I28+1)</f>
        <v>46268</v>
      </c>
      <c r="I29" s="200">
        <f>WORKDAY.INTL(H29,5,"0000110")</f>
        <v>46275</v>
      </c>
      <c r="J29" s="200"/>
      <c r="K29" s="200"/>
      <c r="L29" s="279"/>
      <c r="M29" s="279" t="str">
        <f ca="1">IF(L29=100%,"Completed",
IF(AND(L29&lt;100%,G29&lt;TODAY()),"Delayed",
IF(AND(OR(L29="",L29=0),F29&gt;TODAY()),"Not Started",
IF(AND(OR(L29="",L29=0),F29&lt;=TODAY()),"Delayed",
IF(AND(L29&gt;0,L29&lt;100%),"In Progress","")))))</f>
        <v>Not Started</v>
      </c>
      <c r="N29" s="784"/>
      <c r="O29" s="782"/>
      <c r="P29" s="171"/>
      <c r="Q29" s="171"/>
      <c r="R29" s="171"/>
      <c r="S29" s="171"/>
      <c r="T29" s="171"/>
      <c r="U29" s="171"/>
      <c r="V29" s="171"/>
      <c r="W29" s="665" t="s">
        <v>126</v>
      </c>
      <c r="X29" s="170" t="s">
        <v>119</v>
      </c>
      <c r="Y29" s="470" t="s">
        <v>120</v>
      </c>
      <c r="AB29" s="170" t="s">
        <v>64</v>
      </c>
      <c r="AC29" s="158" t="s">
        <v>72</v>
      </c>
    </row>
    <row r="30" spans="2:33" ht="45" customHeight="1">
      <c r="B30" s="1155"/>
      <c r="C30" s="424" t="s">
        <v>86</v>
      </c>
      <c r="D30" s="281" t="s">
        <v>122</v>
      </c>
      <c r="E30" s="282">
        <f>NETWORKDAYS.INTL(F30,G30,"0000110",$AG$6:$AG$12)</f>
        <v>2</v>
      </c>
      <c r="F30" s="256">
        <f t="shared" ref="F30" si="1">WORKDAY.INTL(G29,1,"0000110")</f>
        <v>46267</v>
      </c>
      <c r="G30" s="256">
        <f t="shared" ref="G30" si="2">WORKDAY.INTL(F30,1,"0000110")</f>
        <v>46268</v>
      </c>
      <c r="H30" s="256">
        <f>WORKDAY.INTL(I29,1,"0000110")</f>
        <v>46278</v>
      </c>
      <c r="I30" s="256">
        <f>WORKDAY.INTL(H30,1,"0000110")</f>
        <v>46279</v>
      </c>
      <c r="J30" s="256"/>
      <c r="K30" s="256"/>
      <c r="L30" s="283"/>
      <c r="M30" s="283" t="str">
        <f ca="1">IF(L30=100%,"Completed",
IF(AND(L30&lt;100%,G30&lt;TODAY()),"Delayed",
IF(AND(OR(L30="",L30=0),F30&gt;TODAY()),"Not Started",
IF(AND(OR(L30="",L30=0),F30&lt;=TODAY()),"Delayed",
IF(AND(L30&gt;0,L30&lt;100%),"In Progress","")))))</f>
        <v>Not Started</v>
      </c>
      <c r="N30" s="785"/>
      <c r="O30" s="782"/>
      <c r="P30" s="174"/>
      <c r="Q30" s="174"/>
      <c r="R30" s="174"/>
      <c r="S30" s="174"/>
      <c r="T30" s="174"/>
      <c r="U30" s="174"/>
      <c r="V30" s="174"/>
      <c r="W30" s="786" t="s">
        <v>123</v>
      </c>
      <c r="X30" s="189"/>
      <c r="Y30" s="471"/>
      <c r="AB30" s="170" t="s">
        <v>65</v>
      </c>
      <c r="AC30" s="158" t="s">
        <v>72</v>
      </c>
    </row>
    <row r="31" spans="2:33" s="153" customFormat="1" ht="4.5" customHeight="1">
      <c r="B31" s="205"/>
      <c r="C31" s="205"/>
      <c r="D31" s="314"/>
      <c r="E31" s="315"/>
      <c r="F31" s="314"/>
      <c r="G31" s="314"/>
      <c r="H31" s="314"/>
      <c r="I31" s="314"/>
      <c r="J31" s="314"/>
      <c r="K31" s="314"/>
      <c r="L31" s="316"/>
      <c r="M31" s="316"/>
      <c r="N31" s="316"/>
      <c r="O31" s="774"/>
      <c r="P31" s="167"/>
      <c r="Q31" s="167"/>
      <c r="R31" s="167"/>
      <c r="S31" s="167"/>
      <c r="T31" s="167"/>
      <c r="U31" s="167"/>
      <c r="V31" s="167"/>
      <c r="W31" s="205"/>
      <c r="X31" s="205"/>
      <c r="Y31" s="205"/>
      <c r="AB31" s="168"/>
      <c r="AC31" s="168"/>
    </row>
    <row r="32" spans="2:33" ht="45" customHeight="1">
      <c r="B32" s="1161" t="s">
        <v>134</v>
      </c>
      <c r="C32" s="787" t="s">
        <v>86</v>
      </c>
      <c r="D32" s="788" t="s">
        <v>109</v>
      </c>
      <c r="E32" s="317">
        <f>NETWORKDAYS.INTL(F32,G32,"0000100",$AG$6:$AG$12)</f>
        <v>6</v>
      </c>
      <c r="F32" s="259">
        <f>WORKDAY.INTL(G28,1,"0000100",$AH$6:$AH$10)</f>
        <v>46242</v>
      </c>
      <c r="G32" s="259">
        <f>WORKDAY.INTL(F32,5,"0000100",$AH$6:$AH$10)</f>
        <v>46247</v>
      </c>
      <c r="H32" s="259">
        <f>WORKDAY.INTL(I28,1,"0000100",$AH$6:$AH$10)</f>
        <v>46242</v>
      </c>
      <c r="I32" s="259">
        <f>WORKDAY.INTL(H32,5,"0000100",$AH$6:$AH$10)</f>
        <v>46247</v>
      </c>
      <c r="J32" s="259"/>
      <c r="K32" s="259"/>
      <c r="L32" s="292"/>
      <c r="M32" s="292" t="str">
        <f ca="1">IF(L32=100%,"Completed",
IF(AND(L32&lt;100%,G32&lt;TODAY()),"Delayed",
IF(AND(OR(L32="",L32=0),F32&gt;TODAY()),"Not Started",
IF(AND(OR(L32="",L32=0),F32&lt;=TODAY()),"Delayed",
IF(AND(L32&gt;0,L32&lt;100%),"In Progress","")))))</f>
        <v>Not Started</v>
      </c>
      <c r="N32" s="789"/>
      <c r="O32" s="782"/>
      <c r="P32" s="175"/>
      <c r="Q32" s="175"/>
      <c r="R32" s="175"/>
      <c r="S32" s="175"/>
      <c r="T32" s="175"/>
      <c r="U32" s="175"/>
      <c r="V32" s="175"/>
      <c r="W32" s="799"/>
      <c r="X32" s="92" t="s">
        <v>130</v>
      </c>
      <c r="Y32" s="742" t="s">
        <v>133</v>
      </c>
      <c r="AB32" s="170" t="s">
        <v>62</v>
      </c>
      <c r="AC32" s="158" t="s">
        <v>73</v>
      </c>
      <c r="AG32" s="173"/>
    </row>
    <row r="33" spans="2:33" ht="45" customHeight="1">
      <c r="B33" s="1161"/>
      <c r="C33" s="790" t="s">
        <v>86</v>
      </c>
      <c r="D33" s="791" t="s">
        <v>111</v>
      </c>
      <c r="E33" s="792">
        <f>NETWORKDAYS.INTL(F33,G33,"0000100",$AG$6:$AG$12)</f>
        <v>3</v>
      </c>
      <c r="F33" s="257">
        <f>WORKDAY.INTL(G32,1,"0000100",$AH$6:$AH$10)</f>
        <v>46249</v>
      </c>
      <c r="G33" s="257">
        <f>WORKDAY.INTL(F33,2,"0000100",$AH$6:$AH$10)</f>
        <v>46251</v>
      </c>
      <c r="H33" s="257">
        <f>WORKDAY.INTL(I32,1,"0000100",$AH$6:$AH$10)</f>
        <v>46249</v>
      </c>
      <c r="I33" s="257">
        <f>WORKDAY.INTL(H33,2,"0000100",$AH$6:$AH$10)</f>
        <v>46251</v>
      </c>
      <c r="J33" s="257"/>
      <c r="K33" s="257"/>
      <c r="L33" s="286"/>
      <c r="M33" s="286" t="str">
        <f ca="1">IF(L33=100%,"Completed",
IF(AND(L33&lt;100%,G33&lt;TODAY()),"Delayed",
IF(AND(OR(L33="",L33=0),F33&gt;TODAY()),"Not Started",
IF(AND(OR(L33="",L33=0),F33&lt;=TODAY()),"Delayed",
IF(AND(L33&gt;0,L33&lt;100%),"In Progress","")))))</f>
        <v>Not Started</v>
      </c>
      <c r="N33" s="793"/>
      <c r="O33" s="782"/>
      <c r="P33" s="176"/>
      <c r="Q33" s="176"/>
      <c r="R33" s="176"/>
      <c r="S33" s="176"/>
      <c r="T33" s="176"/>
      <c r="U33" s="176"/>
      <c r="V33" s="176"/>
      <c r="W33" s="800"/>
      <c r="X33" s="97"/>
      <c r="Y33" s="746"/>
      <c r="AB33" s="170" t="s">
        <v>63</v>
      </c>
      <c r="AC33" s="158" t="s">
        <v>73</v>
      </c>
    </row>
    <row r="34" spans="2:33" ht="45" customHeight="1">
      <c r="B34" s="1161"/>
      <c r="C34" s="790" t="s">
        <v>86</v>
      </c>
      <c r="D34" s="794" t="s">
        <v>117</v>
      </c>
      <c r="E34" s="792">
        <f>NETWORKDAYS.INTL(F34,G34,"0000110",$AG$6:$AG$12)</f>
        <v>5</v>
      </c>
      <c r="F34" s="257">
        <f>MAX(WORKDAY.INTL(G29,1,"0000100",$AF$6:$AF$11),G33+1)</f>
        <v>46267</v>
      </c>
      <c r="G34" s="257">
        <f>WORKDAY.INTL(F34,4,"0000110",$AG$6:$AG$11)</f>
        <v>46273</v>
      </c>
      <c r="H34" s="257">
        <f>MAX(WORKDAY.INTL(I29,1,"0000100",$AF$6:$AF$11),I33+1)</f>
        <v>46277</v>
      </c>
      <c r="I34" s="257">
        <f>WORKDAY.INTL(H34,4,"0000110",$AG$6:$AG$11)</f>
        <v>46281</v>
      </c>
      <c r="J34" s="257"/>
      <c r="K34" s="257"/>
      <c r="L34" s="286"/>
      <c r="M34" s="286" t="str">
        <f ca="1">IF(L34=100%,"Completed",
IF(AND(L34&lt;100%,G34&lt;TODAY()),"Delayed",
IF(AND(OR(L34="",L34=0),F34&gt;TODAY()),"Not Started",
IF(AND(OR(L34="",L34=0),F34&lt;=TODAY()),"Delayed",
IF(AND(L34&gt;0,L34&lt;100%),"In Progress","")))))</f>
        <v>Not Started</v>
      </c>
      <c r="N34" s="793"/>
      <c r="O34" s="782"/>
      <c r="P34" s="177"/>
      <c r="Q34" s="177"/>
      <c r="R34" s="177"/>
      <c r="S34" s="177"/>
      <c r="T34" s="177"/>
      <c r="U34" s="177"/>
      <c r="V34" s="177"/>
      <c r="W34" s="800" t="s">
        <v>126</v>
      </c>
      <c r="X34" s="97" t="s">
        <v>135</v>
      </c>
      <c r="Y34" s="746" t="s">
        <v>120</v>
      </c>
      <c r="AB34" s="170" t="s">
        <v>64</v>
      </c>
      <c r="AC34" s="158" t="s">
        <v>73</v>
      </c>
    </row>
    <row r="35" spans="2:33" ht="45" customHeight="1">
      <c r="B35" s="1161"/>
      <c r="C35" s="795" t="s">
        <v>86</v>
      </c>
      <c r="D35" s="796" t="s">
        <v>122</v>
      </c>
      <c r="E35" s="797">
        <f>NETWORKDAYS.INTL(F35,G35,"0000110",$AG$6:$AG$12)</f>
        <v>2</v>
      </c>
      <c r="F35" s="260">
        <f>WORKDAY.INTL(G34,1,"0000110",$AG$6:$AG$11)</f>
        <v>46274</v>
      </c>
      <c r="G35" s="257">
        <f>WORKDAY.INTL(F35,1,"0000110",$AG$6:$AG$11)</f>
        <v>46275</v>
      </c>
      <c r="H35" s="260">
        <f>WORKDAY.INTL(I34,1,"0000110",$AG$6:$AG$11)</f>
        <v>46282</v>
      </c>
      <c r="I35" s="260">
        <f>WORKDAY.INTL(H35,1,"0000110",$AG$6:$AG$11)</f>
        <v>46285</v>
      </c>
      <c r="J35" s="260"/>
      <c r="K35" s="260"/>
      <c r="L35" s="293"/>
      <c r="M35" s="293" t="str">
        <f ca="1">IF(L35=100%,"Completed",
IF(AND(L35&lt;100%,G35&lt;TODAY()),"Delayed",
IF(AND(OR(L35="",L35=0),F35&gt;TODAY()),"Not Started",
IF(AND(OR(L35="",L35=0),F35&lt;=TODAY()),"Delayed",
IF(AND(L35&gt;0,L35&lt;100%),"In Progress","")))))</f>
        <v>Not Started</v>
      </c>
      <c r="N35" s="798"/>
      <c r="O35" s="782"/>
      <c r="P35" s="177"/>
      <c r="Q35" s="177"/>
      <c r="R35" s="177"/>
      <c r="S35" s="177"/>
      <c r="T35" s="177"/>
      <c r="U35" s="177"/>
      <c r="V35" s="177"/>
      <c r="W35" s="801" t="s">
        <v>123</v>
      </c>
      <c r="X35" s="99"/>
      <c r="Y35" s="748"/>
      <c r="AB35" s="170" t="s">
        <v>65</v>
      </c>
      <c r="AC35" s="158" t="s">
        <v>73</v>
      </c>
    </row>
    <row r="36" spans="2:33" s="153" customFormat="1" ht="4.5" customHeight="1">
      <c r="B36" s="205"/>
      <c r="C36" s="205"/>
      <c r="D36" s="314"/>
      <c r="E36" s="315"/>
      <c r="F36" s="314"/>
      <c r="G36" s="314"/>
      <c r="H36" s="314"/>
      <c r="I36" s="314"/>
      <c r="J36" s="314"/>
      <c r="K36" s="314"/>
      <c r="L36" s="316"/>
      <c r="M36" s="316"/>
      <c r="N36" s="316"/>
      <c r="O36" s="774"/>
      <c r="P36" s="167"/>
      <c r="Q36" s="167"/>
      <c r="R36" s="167"/>
      <c r="S36" s="167"/>
      <c r="T36" s="167"/>
      <c r="U36" s="167"/>
      <c r="V36" s="167"/>
      <c r="W36" s="205"/>
      <c r="X36" s="205"/>
      <c r="Y36" s="205"/>
      <c r="AB36" s="168"/>
      <c r="AC36" s="168"/>
    </row>
    <row r="37" spans="2:33" ht="45" customHeight="1">
      <c r="B37" s="1155" t="s">
        <v>136</v>
      </c>
      <c r="C37" s="422" t="s">
        <v>86</v>
      </c>
      <c r="D37" s="274" t="s">
        <v>109</v>
      </c>
      <c r="E37" s="275">
        <f>NETWORKDAYS.INTL(F37,G37,"0000100",$AG$6:$AG$12)</f>
        <v>6</v>
      </c>
      <c r="F37" s="198">
        <f>WORKDAY.INTL(G33,1,"0000100",$AH$6:$AH$10)</f>
        <v>46252</v>
      </c>
      <c r="G37" s="198">
        <f>WORKDAY.INTL(F37,5,"0000100",$AH$6:$AH$10)</f>
        <v>46258</v>
      </c>
      <c r="H37" s="198">
        <f>WORKDAY.INTL(I33,1,"0000100",$AH$6:$AH$10)</f>
        <v>46252</v>
      </c>
      <c r="I37" s="198">
        <f>WORKDAY.INTL(H37,5,"0000100",$AH$6:$AH$10)</f>
        <v>46258</v>
      </c>
      <c r="J37" s="198"/>
      <c r="K37" s="198"/>
      <c r="L37" s="276"/>
      <c r="M37" s="276" t="str">
        <f ca="1">IF(L37=100%,"Completed",
IF(AND(L37&lt;100%,G37&lt;TODAY()),"Delayed",
IF(AND(OR(L37="",L37=0),F37&gt;TODAY()),"Not Started",
IF(AND(OR(L37="",L37=0),F37&lt;=TODAY()),"Delayed",
IF(AND(L37&gt;0,L37&lt;100%),"In Progress","")))))</f>
        <v>Not Started</v>
      </c>
      <c r="N37" s="783"/>
      <c r="O37" s="782"/>
      <c r="P37" s="171"/>
      <c r="Q37" s="171"/>
      <c r="R37" s="171"/>
      <c r="S37" s="171"/>
      <c r="T37" s="171"/>
      <c r="U37" s="171"/>
      <c r="V37" s="171"/>
      <c r="W37" s="664"/>
      <c r="X37" s="169" t="s">
        <v>130</v>
      </c>
      <c r="Y37" s="469" t="s">
        <v>133</v>
      </c>
      <c r="AB37" s="170" t="s">
        <v>62</v>
      </c>
      <c r="AC37" s="158" t="s">
        <v>74</v>
      </c>
    </row>
    <row r="38" spans="2:33" ht="45" customHeight="1">
      <c r="B38" s="1155"/>
      <c r="C38" s="423" t="s">
        <v>86</v>
      </c>
      <c r="D38" s="277" t="s">
        <v>111</v>
      </c>
      <c r="E38" s="278">
        <f>NETWORKDAYS.INTL(F38,G38,"0000100",$AG$6:$AG$12)</f>
        <v>3</v>
      </c>
      <c r="F38" s="200">
        <f>WORKDAY.INTL(G37,1,"0000100",$AH$6:$AH$10)</f>
        <v>46259</v>
      </c>
      <c r="G38" s="200">
        <f>WORKDAY.INTL(F38,2,"0000100",$AH$6:$AH$10)</f>
        <v>46261</v>
      </c>
      <c r="H38" s="200">
        <f>WORKDAY.INTL(I37,1,"0000100",$AH$6:$AH$10)</f>
        <v>46259</v>
      </c>
      <c r="I38" s="200">
        <f>WORKDAY.INTL(H38,2,"0000100",$AH$6:$AH$10)</f>
        <v>46261</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c r="X38" s="170"/>
      <c r="Y38" s="470"/>
      <c r="AB38" s="170" t="s">
        <v>63</v>
      </c>
      <c r="AC38" s="158" t="s">
        <v>74</v>
      </c>
    </row>
    <row r="39" spans="2:33" ht="45" customHeight="1">
      <c r="B39" s="1155"/>
      <c r="C39" s="423" t="s">
        <v>86</v>
      </c>
      <c r="D39" s="277" t="s">
        <v>117</v>
      </c>
      <c r="E39" s="278">
        <f>NETWORKDAYS.INTL(F39,G39,"0000110",$AG$6:$AG$12)</f>
        <v>5</v>
      </c>
      <c r="F39" s="200">
        <f>MAX(WORKDAY.INTL(G34,1,"0000100",$AF$6:$AF$11),G38+1)</f>
        <v>46274</v>
      </c>
      <c r="G39" s="200">
        <f>WORKDAY.INTL(F39,4,"0000110",$AG$6:$AG$11)</f>
        <v>46280</v>
      </c>
      <c r="H39" s="200">
        <f>MAX(WORKDAY.INTL(I34,1,"0000100",$AF$6:$AF$11),I38+1)</f>
        <v>46282</v>
      </c>
      <c r="I39" s="200">
        <f>WORKDAY.INTL(H39,4,"0000110",$AG$6:$AG$11)</f>
        <v>46289</v>
      </c>
      <c r="J39" s="200"/>
      <c r="K39" s="200"/>
      <c r="L39" s="279"/>
      <c r="M39" s="279" t="str">
        <f ca="1">IF(L39=100%,"Completed",
IF(AND(L39&lt;100%,G39&lt;TODAY()),"Delayed",
IF(AND(OR(L39="",L39=0),F39&gt;TODAY()),"Not Started",
IF(AND(OR(L39="",L39=0),F39&lt;=TODAY()),"Delayed",
IF(AND(L39&gt;0,L39&lt;100%),"In Progress","")))))</f>
        <v>Not Started</v>
      </c>
      <c r="N39" s="784"/>
      <c r="O39" s="782"/>
      <c r="P39" s="171"/>
      <c r="Q39" s="171"/>
      <c r="R39" s="171"/>
      <c r="S39" s="171"/>
      <c r="T39" s="171"/>
      <c r="U39" s="171"/>
      <c r="V39" s="171"/>
      <c r="W39" s="665" t="s">
        <v>126</v>
      </c>
      <c r="X39" s="170" t="s">
        <v>119</v>
      </c>
      <c r="Y39" s="470" t="s">
        <v>120</v>
      </c>
      <c r="AB39" s="170" t="s">
        <v>64</v>
      </c>
      <c r="AC39" s="158" t="s">
        <v>74</v>
      </c>
    </row>
    <row r="40" spans="2:33" ht="45" customHeight="1">
      <c r="B40" s="1155"/>
      <c r="C40" s="424" t="s">
        <v>86</v>
      </c>
      <c r="D40" s="281" t="s">
        <v>122</v>
      </c>
      <c r="E40" s="282">
        <f>NETWORKDAYS.INTL(F40,G40,"0000110",$AG$6:$AG$12)</f>
        <v>2</v>
      </c>
      <c r="F40" s="256">
        <f>WORKDAY.INTL(G39,1,"0000110",$AG$6:$AG$11)</f>
        <v>46281</v>
      </c>
      <c r="G40" s="256">
        <f>WORKDAY.INTL(F40,1,"0000110",$AG$6:$AG$11)</f>
        <v>46282</v>
      </c>
      <c r="H40" s="256">
        <f>WORKDAY.INTL(I39,1,"0000110",$AG$6:$AG$11)</f>
        <v>46292</v>
      </c>
      <c r="I40" s="256">
        <f>WORKDAY.INTL(H40,1,"0000110",$AG$6:$AG$11)</f>
        <v>46293</v>
      </c>
      <c r="J40" s="256"/>
      <c r="K40" s="256"/>
      <c r="L40" s="283"/>
      <c r="M40" s="283" t="str">
        <f ca="1">IF(L40=100%,"Completed",
IF(AND(L40&lt;100%,G40&lt;TODAY()),"Delayed",
IF(AND(OR(L40="",L40=0),F40&gt;TODAY()),"Not Started",
IF(AND(OR(L40="",L40=0),F40&lt;=TODAY()),"Delayed",
IF(AND(L40&gt;0,L40&lt;100%),"In Progress","")))))</f>
        <v>Not Started</v>
      </c>
      <c r="N40" s="785"/>
      <c r="O40" s="782"/>
      <c r="P40" s="174"/>
      <c r="Q40" s="174"/>
      <c r="R40" s="174"/>
      <c r="S40" s="174"/>
      <c r="T40" s="174"/>
      <c r="U40" s="174"/>
      <c r="V40" s="174"/>
      <c r="W40" s="786" t="s">
        <v>123</v>
      </c>
      <c r="X40" s="189"/>
      <c r="Y40" s="471"/>
      <c r="AB40" s="170" t="s">
        <v>65</v>
      </c>
      <c r="AC40" s="158" t="s">
        <v>74</v>
      </c>
    </row>
    <row r="41" spans="2:33" s="153" customFormat="1" ht="4.5" customHeight="1">
      <c r="B41" s="205"/>
      <c r="C41" s="205"/>
      <c r="D41" s="314"/>
      <c r="E41" s="315"/>
      <c r="F41" s="314"/>
      <c r="G41" s="314"/>
      <c r="H41" s="314"/>
      <c r="I41" s="314"/>
      <c r="J41" s="314"/>
      <c r="K41" s="314"/>
      <c r="L41" s="316"/>
      <c r="M41" s="316"/>
      <c r="N41" s="316"/>
      <c r="O41" s="774"/>
      <c r="P41" s="167"/>
      <c r="Q41" s="167"/>
      <c r="R41" s="167"/>
      <c r="S41" s="167"/>
      <c r="T41" s="167"/>
      <c r="U41" s="167"/>
      <c r="V41" s="167"/>
      <c r="W41" s="205"/>
      <c r="X41" s="205"/>
      <c r="Y41" s="205"/>
      <c r="AB41" s="168"/>
      <c r="AC41" s="168"/>
    </row>
    <row r="42" spans="2:33" ht="45" customHeight="1">
      <c r="B42" s="1161" t="s">
        <v>137</v>
      </c>
      <c r="C42" s="787" t="s">
        <v>86</v>
      </c>
      <c r="D42" s="788" t="s">
        <v>109</v>
      </c>
      <c r="E42" s="317">
        <f>NETWORKDAYS.INTL(F42,G42,"0000100",$AG$6:$AG$12)</f>
        <v>6</v>
      </c>
      <c r="F42" s="259">
        <f>WORKDAY.INTL(G38,1,"0000100",$AH$6:$AH$10)</f>
        <v>46263</v>
      </c>
      <c r="G42" s="259">
        <f>WORKDAY.INTL(F42,5,"0000100",$AH$6:$AH$10)</f>
        <v>46268</v>
      </c>
      <c r="H42" s="259">
        <f>WORKDAY.INTL(I38,1,"0000100",$AH$6:$AH$10)</f>
        <v>46263</v>
      </c>
      <c r="I42" s="259">
        <f>WORKDAY.INTL(H42,5,"0000100",$AH$6:$AH$10)</f>
        <v>46268</v>
      </c>
      <c r="J42" s="259"/>
      <c r="K42" s="259"/>
      <c r="L42" s="292"/>
      <c r="M42" s="292" t="str">
        <f ca="1">IF(L42=100%,"Completed",
IF(AND(L42&lt;100%,G42&lt;TODAY()),"Delayed",
IF(AND(OR(L42="",L42=0),F42&gt;TODAY()),"Not Started",
IF(AND(OR(L42="",L42=0),F42&lt;=TODAY()),"Delayed",
IF(AND(L42&gt;0,L42&lt;100%),"In Progress","")))))</f>
        <v>Not Started</v>
      </c>
      <c r="N42" s="789"/>
      <c r="O42" s="782"/>
      <c r="P42" s="175"/>
      <c r="Q42" s="175"/>
      <c r="R42" s="175"/>
      <c r="S42" s="175"/>
      <c r="T42" s="175"/>
      <c r="U42" s="175"/>
      <c r="V42" s="175"/>
      <c r="W42" s="799"/>
      <c r="X42" s="92" t="s">
        <v>130</v>
      </c>
      <c r="Y42" s="742" t="s">
        <v>133</v>
      </c>
      <c r="AB42" s="170" t="s">
        <v>62</v>
      </c>
      <c r="AC42" s="158" t="s">
        <v>75</v>
      </c>
      <c r="AG42" s="173"/>
    </row>
    <row r="43" spans="2:33" ht="45" customHeight="1">
      <c r="B43" s="1161"/>
      <c r="C43" s="790" t="s">
        <v>86</v>
      </c>
      <c r="D43" s="791" t="s">
        <v>111</v>
      </c>
      <c r="E43" s="792">
        <f>NETWORKDAYS.INTL(F43,G43,"0000100",$AG$6:$AG$12)</f>
        <v>3</v>
      </c>
      <c r="F43" s="257">
        <f>WORKDAY.INTL(G42,1,"0000100",$AH$6:$AH$10)</f>
        <v>46270</v>
      </c>
      <c r="G43" s="257">
        <f>WORKDAY.INTL(F43,2,"0000100",$AH$6:$AH$10)</f>
        <v>46272</v>
      </c>
      <c r="H43" s="257">
        <f>WORKDAY.INTL(I42,1,"0000100",$AH$6:$AH$10)</f>
        <v>46270</v>
      </c>
      <c r="I43" s="257">
        <f>WORKDAY.INTL(H43,2,"0000100",$AH$6:$AH$10)</f>
        <v>46272</v>
      </c>
      <c r="J43" s="257"/>
      <c r="K43" s="257"/>
      <c r="L43" s="286"/>
      <c r="M43" s="286" t="str">
        <f ca="1">IF(L43=100%,"Completed",
IF(AND(L43&lt;100%,G43&lt;TODAY()),"Delayed",
IF(AND(OR(L43="",L43=0),F43&gt;TODAY()),"Not Started",
IF(AND(OR(L43="",L43=0),F43&lt;=TODAY()),"Delayed",
IF(AND(L43&gt;0,L43&lt;100%),"In Progress","")))))</f>
        <v>Not Started</v>
      </c>
      <c r="N43" s="793"/>
      <c r="O43" s="782"/>
      <c r="P43" s="176"/>
      <c r="Q43" s="176"/>
      <c r="R43" s="176"/>
      <c r="S43" s="176"/>
      <c r="T43" s="176"/>
      <c r="U43" s="176"/>
      <c r="V43" s="176"/>
      <c r="W43" s="800"/>
      <c r="X43" s="97"/>
      <c r="Y43" s="746"/>
      <c r="AB43" s="170" t="s">
        <v>63</v>
      </c>
      <c r="AC43" s="158" t="s">
        <v>75</v>
      </c>
    </row>
    <row r="44" spans="2:33" ht="45" customHeight="1">
      <c r="B44" s="1161"/>
      <c r="C44" s="790" t="s">
        <v>86</v>
      </c>
      <c r="D44" s="794" t="s">
        <v>117</v>
      </c>
      <c r="E44" s="792">
        <f>NETWORKDAYS.INTL(F44,G44,"0000110",$AG$6:$AG$12)</f>
        <v>5</v>
      </c>
      <c r="F44" s="257">
        <f>MAX(WORKDAY.INTL(G39,1,"0000100",$AF$6:$AF$11),G43+1)</f>
        <v>46281</v>
      </c>
      <c r="G44" s="257">
        <f>WORKDAY.INTL(F44,4,"0000110",$AG$6:$AG$11)</f>
        <v>46287</v>
      </c>
      <c r="H44" s="257">
        <f>MAX(WORKDAY.INTL(I39,1,"0000100",$AF$6:$AF$11),I43+1)</f>
        <v>46291</v>
      </c>
      <c r="I44" s="257">
        <f>WORKDAY.INTL(H44,4,"0000110",$AG$6:$AG$11)</f>
        <v>46295</v>
      </c>
      <c r="J44" s="257"/>
      <c r="K44" s="257"/>
      <c r="L44" s="286"/>
      <c r="M44" s="286" t="str">
        <f ca="1">IF(L44=100%,"Completed",
IF(AND(L44&lt;100%,G44&lt;TODAY()),"Delayed",
IF(AND(OR(L44="",L44=0),F44&gt;TODAY()),"Not Started",
IF(AND(OR(L44="",L44=0),F44&lt;=TODAY()),"Delayed",
IF(AND(L44&gt;0,L44&lt;100%),"In Progress","")))))</f>
        <v>Not Started</v>
      </c>
      <c r="N44" s="793"/>
      <c r="O44" s="782"/>
      <c r="P44" s="177"/>
      <c r="Q44" s="177"/>
      <c r="R44" s="177"/>
      <c r="S44" s="177"/>
      <c r="T44" s="177"/>
      <c r="U44" s="177"/>
      <c r="V44" s="177"/>
      <c r="W44" s="800" t="s">
        <v>126</v>
      </c>
      <c r="X44" s="97" t="s">
        <v>119</v>
      </c>
      <c r="Y44" s="746" t="s">
        <v>120</v>
      </c>
      <c r="AB44" s="170" t="s">
        <v>64</v>
      </c>
      <c r="AC44" s="158" t="s">
        <v>75</v>
      </c>
    </row>
    <row r="45" spans="2:33" ht="45" customHeight="1">
      <c r="B45" s="1161"/>
      <c r="C45" s="795" t="s">
        <v>86</v>
      </c>
      <c r="D45" s="796" t="s">
        <v>122</v>
      </c>
      <c r="E45" s="797">
        <f>NETWORKDAYS.INTL(F45,G45,"0000110",$AG$6:$AG$12)</f>
        <v>2</v>
      </c>
      <c r="F45" s="260">
        <f>WORKDAY.INTL(G44,1,"0000110",$AG$6:$AG$11)</f>
        <v>46289</v>
      </c>
      <c r="G45" s="260">
        <f>WORKDAY.INTL(F45,1,"0000110",$AG$6:$AG$11)</f>
        <v>46292</v>
      </c>
      <c r="H45" s="260">
        <f>WORKDAY.INTL(I44,1,"0000110",$AG$6:$AG$11)</f>
        <v>46296</v>
      </c>
      <c r="I45" s="260">
        <f>WORKDAY.INTL(H45,1,"0000110",$AG$6:$AG$11)</f>
        <v>46299</v>
      </c>
      <c r="J45" s="260"/>
      <c r="K45" s="260"/>
      <c r="L45" s="293"/>
      <c r="M45" s="293" t="str">
        <f ca="1">IF(L45=100%,"Completed",
IF(AND(L45&lt;100%,G45&lt;TODAY()),"Delayed",
IF(AND(OR(L45="",L45=0),F45&gt;TODAY()),"Not Started",
IF(AND(OR(L45="",L45=0),F45&lt;=TODAY()),"Delayed",
IF(AND(L45&gt;0,L45&lt;100%),"In Progress","")))))</f>
        <v>Not Started</v>
      </c>
      <c r="N45" s="798"/>
      <c r="O45" s="782"/>
      <c r="P45" s="177"/>
      <c r="Q45" s="177"/>
      <c r="R45" s="177"/>
      <c r="S45" s="177"/>
      <c r="T45" s="177"/>
      <c r="U45" s="177"/>
      <c r="V45" s="177"/>
      <c r="W45" s="801" t="s">
        <v>123</v>
      </c>
      <c r="X45" s="99"/>
      <c r="Y45" s="748"/>
      <c r="AB45" s="170" t="s">
        <v>65</v>
      </c>
      <c r="AC45" s="158" t="s">
        <v>75</v>
      </c>
    </row>
    <row r="46" spans="2:33" s="153" customFormat="1" ht="4.5" customHeight="1">
      <c r="B46" s="205"/>
      <c r="C46" s="205"/>
      <c r="D46" s="314"/>
      <c r="E46" s="315"/>
      <c r="F46" s="314"/>
      <c r="G46" s="314"/>
      <c r="H46" s="314"/>
      <c r="I46" s="314"/>
      <c r="J46" s="314"/>
      <c r="K46" s="314"/>
      <c r="L46" s="316"/>
      <c r="M46" s="316"/>
      <c r="N46" s="316"/>
      <c r="O46" s="774"/>
      <c r="P46" s="167"/>
      <c r="Q46" s="167"/>
      <c r="R46" s="167"/>
      <c r="S46" s="167"/>
      <c r="T46" s="167"/>
      <c r="U46" s="167"/>
      <c r="V46" s="167"/>
      <c r="W46" s="944"/>
      <c r="X46" s="205"/>
      <c r="Y46" s="205"/>
      <c r="AB46" s="168"/>
      <c r="AC46" s="168"/>
    </row>
    <row r="47" spans="2:33" ht="45" customHeight="1">
      <c r="B47" s="1155" t="s">
        <v>138</v>
      </c>
      <c r="C47" s="422" t="s">
        <v>138</v>
      </c>
      <c r="D47" s="274" t="s">
        <v>139</v>
      </c>
      <c r="E47" s="275">
        <f>NETWORKDAYS.INTL(F47,G47,"0000100",$AF$6:$AF$12)</f>
        <v>19</v>
      </c>
      <c r="F47" s="198">
        <f>WORKDAY.INTL(G48,1,"0000100",$AF$6:$AF$11)</f>
        <v>46252</v>
      </c>
      <c r="G47" s="198">
        <f>WORKDAY.INTL(F47,18,"0000100",$AF$6:$AF$11)</f>
        <v>46273</v>
      </c>
      <c r="H47" s="198">
        <f>WORKDAY.INTL(I48,1,"0000100",$AF$6:$AF$11)</f>
        <v>46252</v>
      </c>
      <c r="I47" s="198">
        <f>WORKDAY.INTL(H47,18,"0000100",$AF$6:$AF$11)</f>
        <v>46273</v>
      </c>
      <c r="J47" s="198"/>
      <c r="K47" s="198"/>
      <c r="L47" s="276"/>
      <c r="M47" s="276" t="str">
        <f ca="1">IF(L47=100%,"Completed",
IF(AND(L47&lt;100%,G47&lt;TODAY()),"Delayed",
IF(AND(OR(L47="",L47=0),F47&gt;TODAY()),"Not Started",
IF(AND(OR(L47="",L47=0),F47&lt;=TODAY()),"Delayed",
IF(AND(L47&gt;0,L47&lt;100%),"In Progress","")))))</f>
        <v>Not Started</v>
      </c>
      <c r="N47" s="783"/>
      <c r="O47" s="782"/>
      <c r="P47" s="172"/>
      <c r="Q47" s="180"/>
      <c r="R47" s="180"/>
      <c r="S47" s="180"/>
      <c r="T47" s="180"/>
      <c r="U47" s="180"/>
      <c r="V47" s="803"/>
      <c r="W47" s="664" t="s">
        <v>140</v>
      </c>
      <c r="X47" s="169" t="s">
        <v>141</v>
      </c>
      <c r="Y47" s="469"/>
      <c r="Z47" s="155" t="s">
        <v>110</v>
      </c>
      <c r="AB47" s="170"/>
    </row>
    <row r="48" spans="2:33" ht="43.5" customHeight="1">
      <c r="B48" s="1155"/>
      <c r="C48" s="423" t="s">
        <v>138</v>
      </c>
      <c r="D48" s="277" t="s">
        <v>142</v>
      </c>
      <c r="E48" s="278">
        <f>NETWORKDAYS.INTL(F48,G48,"0000100",$AF$6:$AF$12)</f>
        <v>19</v>
      </c>
      <c r="F48" s="200">
        <f>WORKDAY.INTL(G60,2,"0000100",$AF$6:$AF$11)</f>
        <v>46230</v>
      </c>
      <c r="G48" s="200">
        <f>WORKDAY.INTL(F48,18,"0000100",$AF$6:$AF$11)</f>
        <v>46251</v>
      </c>
      <c r="H48" s="200">
        <f>WORKDAY.INTL(I60,2,"0000100",$AF$6:$AF$11)</f>
        <v>46230</v>
      </c>
      <c r="I48" s="200">
        <f>WORKDAY.INTL(H48,18,"0000100",$AF$6:$AF$11)</f>
        <v>46251</v>
      </c>
      <c r="J48" s="200"/>
      <c r="K48" s="200"/>
      <c r="L48" s="279"/>
      <c r="M48" s="279" t="str">
        <f ca="1">IF(L48=100%,"Completed",
IF(AND(L48&lt;100%,G48&lt;TODAY()),"Delayed",
IF(AND(OR(L48="",L48=0),F48&gt;TODAY()),"Not Started",
IF(AND(OR(L48="",L48=0),F48&lt;=TODAY()),"Delayed",
IF(AND(L48&gt;0,L48&lt;100%),"In Progress","")))))</f>
        <v>Not Started</v>
      </c>
      <c r="N48" s="784"/>
      <c r="O48" s="782"/>
      <c r="P48" s="172"/>
      <c r="Q48" s="180"/>
      <c r="R48" s="180"/>
      <c r="S48" s="180"/>
      <c r="T48" s="180"/>
      <c r="U48" s="180"/>
      <c r="V48" s="803"/>
      <c r="W48" s="665" t="s">
        <v>140</v>
      </c>
      <c r="X48" s="170" t="s">
        <v>141</v>
      </c>
      <c r="Y48" s="470"/>
      <c r="Z48" s="155" t="s">
        <v>110</v>
      </c>
      <c r="AB48" s="170"/>
    </row>
    <row r="49" spans="2:29" ht="56.25">
      <c r="B49" s="1155"/>
      <c r="C49" s="424" t="s">
        <v>138</v>
      </c>
      <c r="D49" s="802" t="s">
        <v>143</v>
      </c>
      <c r="E49" s="282">
        <f>NETWORKDAYS.INTL(F49,G49,"0000100",$AF$6:$AF$12)</f>
        <v>66</v>
      </c>
      <c r="F49" s="256">
        <f>F48</f>
        <v>46230</v>
      </c>
      <c r="G49" s="256">
        <f>WORKDAY.INTL(F49,65,"0000100",$AF$6:$AF$11)</f>
        <v>46306</v>
      </c>
      <c r="H49" s="256">
        <f>H48</f>
        <v>46230</v>
      </c>
      <c r="I49" s="256">
        <f>WORKDAY.INTL(H49,65,"0000100",$AF$6:$AF$11)</f>
        <v>46306</v>
      </c>
      <c r="J49" s="256"/>
      <c r="K49" s="256"/>
      <c r="L49" s="283"/>
      <c r="M49" s="283" t="str">
        <f ca="1">IF(L49=100%,"Completed",
IF(AND(L49&lt;100%,G49&lt;TODAY()),"Delayed",
IF(AND(OR(L49="",L49=0),F49&gt;TODAY()),"Not Started",
IF(AND(OR(L49="",L49=0),F49&lt;=TODAY()),"Delayed",
IF(AND(L49&gt;0,L49&lt;100%),"In Progress","")))))</f>
        <v>Not Started</v>
      </c>
      <c r="N49" s="785"/>
      <c r="O49" s="782"/>
      <c r="P49" s="171"/>
      <c r="Q49" s="171"/>
      <c r="R49" s="171"/>
      <c r="S49" s="171"/>
      <c r="T49" s="171"/>
      <c r="U49" s="171"/>
      <c r="V49" s="171"/>
      <c r="W49" s="786" t="s">
        <v>144</v>
      </c>
      <c r="X49" s="189" t="s">
        <v>141</v>
      </c>
      <c r="Y49" s="471"/>
      <c r="Z49" s="155" t="s">
        <v>110</v>
      </c>
      <c r="AB49" s="170"/>
    </row>
    <row r="50" spans="2:29"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AB50" s="168"/>
      <c r="AC50" s="168"/>
    </row>
    <row r="51" spans="2:29" s="153" customFormat="1" ht="85.5" customHeight="1">
      <c r="B51" s="805" t="s">
        <v>145</v>
      </c>
      <c r="C51" s="809" t="s">
        <v>146</v>
      </c>
      <c r="D51" s="810" t="s">
        <v>147</v>
      </c>
      <c r="E51" s="811">
        <f>NETWORKDAYS.INTL(F51,G51,"0000110",$AF$6:$AF$12)</f>
        <v>2</v>
      </c>
      <c r="F51" s="806">
        <f>MAX(WORKDAY.INTL(G45,1,"0000110"),WORKDAY.INTL(G53,1,"0000110"),WORKDAY.INTL(G94,1,"0000110"))</f>
        <v>46294</v>
      </c>
      <c r="G51" s="806">
        <f>WORKDAY.INTL(F51,1,"0000000")</f>
        <v>46295</v>
      </c>
      <c r="H51" s="806">
        <f>MAX(WORKDAY.INTL(I45,1,"0000110"),WORKDAY.INTL(I53,1,"0000110"),WORKDAY.INTL(I94,1,"0000110"))</f>
        <v>46302</v>
      </c>
      <c r="I51" s="806">
        <f>WORKDAY.INTL(H51,1,"0000000")</f>
        <v>46303</v>
      </c>
      <c r="J51" s="806"/>
      <c r="K51" s="806"/>
      <c r="L51" s="807"/>
      <c r="M51" s="807" t="str">
        <f ca="1">IF(L51=100%,"Completed",
IF(AND(L51&lt;100%,G51&lt;TODAY()),"Delayed",
IF(AND(OR(L51="",L51=0),F51&gt;TODAY()),"Not Started",
IF(AND(OR(L51="",L51=0),F51&lt;=TODAY()),"Delayed",
IF(AND(L51&gt;0,L51&lt;100%),"In Progress","")))))</f>
        <v>Not Started</v>
      </c>
      <c r="N51" s="812"/>
      <c r="O51" s="808"/>
      <c r="P51" s="236"/>
      <c r="Q51" s="236"/>
      <c r="R51" s="236"/>
      <c r="S51" s="236"/>
      <c r="T51" s="236"/>
      <c r="U51" s="236"/>
      <c r="V51" s="236"/>
      <c r="W51" s="813" t="s">
        <v>148</v>
      </c>
      <c r="X51" s="814" t="s">
        <v>149</v>
      </c>
      <c r="Y51" s="815"/>
      <c r="AB51" s="168"/>
      <c r="AC51" s="168"/>
    </row>
    <row r="52" spans="2:29" s="153" customFormat="1" ht="4.5" customHeight="1">
      <c r="B52" s="181"/>
      <c r="C52" s="181"/>
      <c r="D52" s="258"/>
      <c r="E52" s="288"/>
      <c r="F52" s="258"/>
      <c r="G52" s="258"/>
      <c r="H52" s="258"/>
      <c r="I52" s="258"/>
      <c r="J52" s="258"/>
      <c r="K52" s="258"/>
      <c r="L52" s="289"/>
      <c r="M52" s="289"/>
      <c r="N52" s="289"/>
      <c r="O52" s="774"/>
      <c r="P52" s="167"/>
      <c r="Q52" s="167"/>
      <c r="R52" s="167"/>
      <c r="S52" s="167"/>
      <c r="T52" s="167"/>
      <c r="U52" s="167"/>
      <c r="V52" s="167"/>
      <c r="W52" s="181"/>
      <c r="X52" s="181"/>
      <c r="Y52" s="181"/>
    </row>
    <row r="53" spans="2:29" ht="34.5" customHeight="1">
      <c r="B53" s="1155" t="s">
        <v>150</v>
      </c>
      <c r="C53" s="422" t="s">
        <v>150</v>
      </c>
      <c r="D53" s="294" t="s">
        <v>47</v>
      </c>
      <c r="E53" s="275">
        <f>NETWORKDAYS.INTL(F53,G53,"0000110",$AG$6:$AG$12)</f>
        <v>30</v>
      </c>
      <c r="F53" s="198">
        <v>46249</v>
      </c>
      <c r="G53" s="198">
        <f>WORKDAY.INTL(F53,31,"0000110",$AF$6:$AF$11)</f>
        <v>46292</v>
      </c>
      <c r="H53" s="198">
        <v>46249</v>
      </c>
      <c r="I53" s="198">
        <f>WORKDAY.INTL(H53,31,"0000110",$AF$6:$AF$11)</f>
        <v>46292</v>
      </c>
      <c r="J53" s="198"/>
      <c r="K53" s="198"/>
      <c r="L53" s="276"/>
      <c r="M53" s="276" t="str">
        <f ca="1">IF(L53=100%,"Completed",
IF(AND(L53&lt;100%,G53&lt;TODAY()),"Delayed",
IF(AND(OR(L53="",L53=0),F53&gt;TODAY()),"Not Started",
IF(AND(OR(L53="",L53=0),F53&lt;=TODAY()),"Delayed",
IF(AND(L53&gt;0,L53&lt;100%),"In Progress","")))))</f>
        <v>Not Started</v>
      </c>
      <c r="N53" s="783"/>
      <c r="O53" s="816"/>
      <c r="P53" s="188"/>
      <c r="Q53" s="188"/>
      <c r="R53" s="188"/>
      <c r="S53" s="188"/>
      <c r="T53" s="188"/>
      <c r="U53" s="188"/>
      <c r="V53" s="822"/>
      <c r="W53" s="664" t="s">
        <v>151</v>
      </c>
      <c r="X53" s="169" t="s">
        <v>152</v>
      </c>
      <c r="Y53" s="469"/>
      <c r="Z53" s="155" t="s">
        <v>121</v>
      </c>
    </row>
    <row r="54" spans="2:29" ht="45.75" customHeight="1">
      <c r="B54" s="1153"/>
      <c r="C54" s="424" t="s">
        <v>150</v>
      </c>
      <c r="D54" s="281" t="s">
        <v>153</v>
      </c>
      <c r="E54" s="282">
        <f>NETWORKDAYS.INTL(F54,G54,"0000110",$AG$6:$AG$12)</f>
        <v>30</v>
      </c>
      <c r="F54" s="256">
        <f>G51+32</f>
        <v>46327</v>
      </c>
      <c r="G54" s="256">
        <f>WORKDAY.INTL(F54,29,"0000110",$AF$6:$AF$11)</f>
        <v>46366</v>
      </c>
      <c r="H54" s="256">
        <f>I51+32</f>
        <v>46335</v>
      </c>
      <c r="I54" s="256">
        <f>WORKDAY.INTL(H54,29,"0000110",$AF$6:$AF$11)</f>
        <v>46376</v>
      </c>
      <c r="J54" s="256"/>
      <c r="K54" s="256"/>
      <c r="L54" s="283"/>
      <c r="M54" s="283" t="str">
        <f ca="1">IF(L54=100%,"Completed",
IF(AND(L54&lt;100%,G54&lt;TODAY()),"Delayed",
IF(AND(OR(L54="",L54=0),F54&gt;TODAY()),"Not Started",
IF(AND(OR(L54="",L54=0),F54&lt;=TODAY()),"Delayed",
IF(AND(L54&gt;0,L54&lt;100%),"In Progress","")))))</f>
        <v>Not Started</v>
      </c>
      <c r="N54" s="785"/>
      <c r="O54" s="817"/>
      <c r="P54" s="190"/>
      <c r="Q54" s="190"/>
      <c r="R54" s="190"/>
      <c r="S54" s="190"/>
      <c r="T54" s="190"/>
      <c r="U54" s="190"/>
      <c r="V54" s="823"/>
      <c r="W54" s="786" t="s">
        <v>154</v>
      </c>
      <c r="X54" s="189"/>
      <c r="Y54" s="471"/>
      <c r="Z54" s="155" t="s">
        <v>121</v>
      </c>
    </row>
    <row r="55" spans="2:29" s="153" customFormat="1" ht="45.75" customHeight="1">
      <c r="B55" s="181"/>
      <c r="C55" s="181"/>
      <c r="D55" s="258"/>
      <c r="E55" s="288"/>
      <c r="F55" s="258"/>
      <c r="G55" s="258"/>
      <c r="H55" s="258"/>
      <c r="I55" s="258"/>
      <c r="J55" s="258"/>
      <c r="K55" s="258"/>
      <c r="L55" s="289"/>
      <c r="M55" s="289"/>
      <c r="N55" s="289"/>
      <c r="O55" s="774"/>
      <c r="P55" s="167"/>
      <c r="Q55" s="167"/>
      <c r="R55" s="167"/>
      <c r="S55" s="167"/>
      <c r="T55" s="167"/>
      <c r="U55" s="167"/>
      <c r="V55" s="167"/>
      <c r="W55" s="181"/>
      <c r="X55" s="181"/>
      <c r="Y55" s="181"/>
    </row>
    <row r="56" spans="2:29" ht="165.75" customHeight="1">
      <c r="B56" s="1220" t="s">
        <v>155</v>
      </c>
      <c r="C56" s="140" t="s">
        <v>155</v>
      </c>
      <c r="D56" s="350" t="s">
        <v>156</v>
      </c>
      <c r="E56" s="351">
        <f>NETWORKDAYS.INTL(F56,G56,"0000100",$AE$6:$AE$12)</f>
        <v>31</v>
      </c>
      <c r="F56" s="342">
        <v>46211</v>
      </c>
      <c r="G56" s="342">
        <f>WORKDAY.INTL(F56,25,"0000110",$AH$6:$AH$11)</f>
        <v>46246</v>
      </c>
      <c r="H56" s="76">
        <v>46211</v>
      </c>
      <c r="I56" s="76">
        <f>WORKDAY.INTL(H56,25,"0000110",$AH$6:$AH$11)</f>
        <v>46246</v>
      </c>
      <c r="J56" s="76"/>
      <c r="K56" s="76"/>
      <c r="L56" s="407">
        <v>0.2</v>
      </c>
      <c r="M56" s="407" t="str">
        <f ca="1">IF(L56=100%,"Completed",
IF(AND(L56&lt;100%,G56&lt;TODAY()),"Delayed",
IF(AND(OR(L56="",L56=0),F56&gt;TODAY()),"Not Started",
IF(AND(OR(L56="",L56=0),F56&lt;=TODAY()),"Delayed",
IF(AND(L56&gt;0,L56&lt;100%),"In Progress","")))))</f>
        <v>In Progress</v>
      </c>
      <c r="N56" s="676"/>
      <c r="O56" s="947"/>
      <c r="P56" s="73"/>
      <c r="Q56" s="73"/>
      <c r="R56" s="73"/>
      <c r="S56" s="73"/>
      <c r="T56" s="73"/>
      <c r="U56" s="73"/>
      <c r="V56" s="78"/>
      <c r="W56" s="678" t="s">
        <v>157</v>
      </c>
      <c r="X56" s="74"/>
      <c r="Y56" s="679"/>
      <c r="Z56" s="155"/>
    </row>
    <row r="57" spans="2:29" ht="45.75" customHeight="1">
      <c r="B57" s="1221"/>
      <c r="C57" s="141" t="s">
        <v>155</v>
      </c>
      <c r="D57" s="352" t="s">
        <v>51</v>
      </c>
      <c r="E57" s="353">
        <f>NETWORKDAYS.INTL(F57,G57,"0000110",$AE$6:$AE$12)</f>
        <v>16</v>
      </c>
      <c r="F57" s="345">
        <f>WORKDAY.INTL(G56,15,"0000110",$AH$6:$AH$11)</f>
        <v>46267</v>
      </c>
      <c r="G57" s="345">
        <f>WORKDAY.INTL(F57,15,"0000110",$AH$6:$AH$11)</f>
        <v>46288</v>
      </c>
      <c r="H57" s="144">
        <f>WORKDAY.INTL(I56,15,"0000110",$AH$6:$AH$11)</f>
        <v>46267</v>
      </c>
      <c r="I57" s="144">
        <f>WORKDAY.INTL(H57,15,"0000110",$AH$6:$AH$11)</f>
        <v>46288</v>
      </c>
      <c r="J57" s="144"/>
      <c r="K57" s="144"/>
      <c r="L57" s="408"/>
      <c r="M57" s="408" t="str">
        <f ca="1">IF(L57=100%,"Completed",
IF(AND(L57&lt;100%,G57&lt;TODAY()),"Delayed",
IF(AND(OR(L57="",L57=0),F57&gt;TODAY()),"Not Started",
IF(AND(OR(L57="",L57=0),F57&lt;=TODAY()),"Delayed",
IF(AND(L57&gt;0,L57&lt;100%),"In Progress","")))))</f>
        <v>Not Started</v>
      </c>
      <c r="N57" s="677"/>
      <c r="O57" s="948"/>
      <c r="P57" s="142"/>
      <c r="Q57" s="142"/>
      <c r="R57" s="142"/>
      <c r="S57" s="142"/>
      <c r="T57" s="142"/>
      <c r="U57" s="142"/>
      <c r="V57" s="624"/>
      <c r="W57" s="680" t="s">
        <v>158</v>
      </c>
      <c r="X57" s="143"/>
      <c r="Y57" s="681"/>
      <c r="Z57" s="155"/>
    </row>
    <row r="58" spans="2:29" ht="8.25" customHeight="1">
      <c r="B58" s="832"/>
      <c r="C58" s="832"/>
      <c r="D58" s="949"/>
      <c r="E58" s="834"/>
      <c r="F58" s="835"/>
      <c r="G58" s="835"/>
      <c r="H58" s="835"/>
      <c r="I58" s="835"/>
      <c r="J58" s="835"/>
      <c r="K58" s="835"/>
      <c r="L58" s="950"/>
      <c r="M58" s="950"/>
      <c r="N58" s="950"/>
      <c r="O58" s="926"/>
      <c r="P58" s="943"/>
      <c r="Q58" s="943"/>
      <c r="R58" s="943"/>
      <c r="S58" s="943"/>
      <c r="T58" s="943"/>
      <c r="U58" s="943"/>
      <c r="V58" s="943"/>
      <c r="W58" s="234"/>
      <c r="X58" s="839"/>
      <c r="Y58" s="839"/>
      <c r="Z58" s="155"/>
    </row>
    <row r="59" spans="2:29" ht="45.75" customHeight="1">
      <c r="B59" s="1152" t="s">
        <v>159</v>
      </c>
      <c r="C59" s="779" t="s">
        <v>91</v>
      </c>
      <c r="D59" s="294" t="s">
        <v>160</v>
      </c>
      <c r="E59" s="275">
        <f>NETWORKDAYS.INTL(F59,G59,"0000100",$AF$6:$AF$12)</f>
        <v>1</v>
      </c>
      <c r="F59" s="198">
        <f>G59</f>
        <v>46215</v>
      </c>
      <c r="G59" s="198">
        <v>46215</v>
      </c>
      <c r="H59" s="198">
        <f>I59</f>
        <v>46215</v>
      </c>
      <c r="I59" s="198">
        <v>46215</v>
      </c>
      <c r="J59" s="198"/>
      <c r="K59" s="198"/>
      <c r="L59" s="276">
        <v>1</v>
      </c>
      <c r="M59" s="276" t="str">
        <f ca="1">IF(L59=100%,"Completed",
IF(AND(L59&lt;100%,G59&lt;TODAY()),"Delayed",
IF(AND(OR(L59="",L59=0),F59&gt;TODAY()),"Not Started",
IF(AND(OR(L59="",L59=0),F59&lt;=TODAY()),"Delayed",
IF(AND(L59&gt;0,L59&lt;100%),"In Progress","")))))</f>
        <v>Completed</v>
      </c>
      <c r="N59" s="783"/>
      <c r="O59" s="816"/>
      <c r="P59" s="188"/>
      <c r="Q59" s="188"/>
      <c r="R59" s="188"/>
      <c r="S59" s="188"/>
      <c r="T59" s="188"/>
      <c r="U59" s="188"/>
      <c r="V59" s="822"/>
      <c r="W59" s="664"/>
      <c r="X59" s="198"/>
      <c r="Y59" s="827"/>
      <c r="Z59" s="155"/>
    </row>
    <row r="60" spans="2:29" ht="65.25" customHeight="1">
      <c r="B60" s="1156"/>
      <c r="C60" s="780" t="s">
        <v>91</v>
      </c>
      <c r="D60" s="280" t="s">
        <v>161</v>
      </c>
      <c r="E60" s="278">
        <f>NETWORKDAYS.INTL(F60,G60,"0000100",$AF$6:$AF$13)</f>
        <v>6</v>
      </c>
      <c r="F60" s="200">
        <f>WORKDAY.INTL(G59,6,"0000100",$AF$6:$AF$12)</f>
        <v>46222</v>
      </c>
      <c r="G60" s="200">
        <f>WORKDAY.INTL(F60,5,"0000100",$AF$6:$AF$12)</f>
        <v>46228</v>
      </c>
      <c r="H60" s="200">
        <f>WORKDAY.INTL(I59,6,"0000100",$AF$6:$AF$12)</f>
        <v>46222</v>
      </c>
      <c r="I60" s="200">
        <f>WORKDAY.INTL(H60,5,"0000100",$AF$6:$AF$12)</f>
        <v>46228</v>
      </c>
      <c r="J60" s="200"/>
      <c r="K60" s="200"/>
      <c r="L60" s="279">
        <v>0.3</v>
      </c>
      <c r="M60" s="279" t="str">
        <f ca="1">IF(L60=100%,"Completed",
IF(AND(L60&lt;100%,G60&lt;TODAY()),"Delayed",
IF(AND(OR(L60="",L60=0),F60&gt;TODAY()),"Not Started",
IF(AND(OR(L60="",L60=0),F60&lt;=TODAY()),"Delayed",
IF(AND(L60&gt;0,L60&lt;100%),"In Progress","")))))</f>
        <v>In Progress</v>
      </c>
      <c r="N60" s="784"/>
      <c r="O60" s="826"/>
      <c r="P60" s="199"/>
      <c r="Q60" s="199"/>
      <c r="R60" s="199"/>
      <c r="S60" s="199"/>
      <c r="T60" s="199"/>
      <c r="U60" s="199"/>
      <c r="V60" s="831"/>
      <c r="W60" s="828" t="s">
        <v>162</v>
      </c>
      <c r="X60" s="200" t="s">
        <v>163</v>
      </c>
      <c r="Y60" s="829" t="s">
        <v>164</v>
      </c>
      <c r="Z60" s="155"/>
    </row>
    <row r="61" spans="2:29" ht="45.75" customHeight="1">
      <c r="B61" s="1153"/>
      <c r="C61" s="203" t="s">
        <v>91</v>
      </c>
      <c r="D61" s="281" t="s">
        <v>165</v>
      </c>
      <c r="E61" s="282">
        <f t="shared" ref="E61:E82" si="3">NETWORKDAYS.INTL(F61,G61,"0000100",$AF$6:$AF$13)</f>
        <v>4</v>
      </c>
      <c r="F61" s="256">
        <f t="shared" ref="F61:F67" si="4">WORKDAY.INTL(G60,1,"0000100",$AF$6:$AF$12)</f>
        <v>46229</v>
      </c>
      <c r="G61" s="256">
        <f>WORKDAY.INTL(F61,3,"0000100",$AF$6:$AF$12)</f>
        <v>46232</v>
      </c>
      <c r="H61" s="256">
        <f>WORKDAY.INTL(I60,1,"0000100",$AF$6:$AF$12)</f>
        <v>46229</v>
      </c>
      <c r="I61" s="256">
        <f>WORKDAY.INTL(H61,3,"0000100",$AF$6:$AF$12)</f>
        <v>46232</v>
      </c>
      <c r="J61" s="256">
        <v>46224</v>
      </c>
      <c r="K61" s="256"/>
      <c r="L61" s="283">
        <v>0.05</v>
      </c>
      <c r="M61" s="283" t="str">
        <f ca="1">IF(L61=100%,"Completed",
IF(AND(L61&lt;100%,G61&lt;TODAY()),"Delayed",
IF(AND(OR(L61="",L61=0),F61&gt;TODAY()),"Not Started",
IF(AND(OR(L61="",L61=0),F61&lt;=TODAY()),"Delayed",
IF(AND(L61&gt;0,L61&lt;100%),"In Progress","")))))</f>
        <v>In Progress</v>
      </c>
      <c r="N61" s="785"/>
      <c r="O61" s="826"/>
      <c r="P61" s="199"/>
      <c r="Q61" s="199"/>
      <c r="R61" s="199"/>
      <c r="S61" s="199"/>
      <c r="T61" s="199"/>
      <c r="U61" s="199"/>
      <c r="V61" s="831"/>
      <c r="W61" s="786"/>
      <c r="X61" s="256"/>
      <c r="Y61" s="830"/>
      <c r="Z61" s="155"/>
    </row>
    <row r="62" spans="2:29" ht="45.75" customHeight="1">
      <c r="B62" s="832"/>
      <c r="C62" s="832"/>
      <c r="D62" s="949"/>
      <c r="E62" s="834"/>
      <c r="F62" s="835"/>
      <c r="G62" s="835"/>
      <c r="H62" s="835"/>
      <c r="I62" s="835"/>
      <c r="J62" s="835"/>
      <c r="K62" s="835"/>
      <c r="L62" s="952"/>
      <c r="M62" s="952"/>
      <c r="N62" s="952"/>
      <c r="O62" s="926"/>
      <c r="P62" s="943"/>
      <c r="Q62" s="943"/>
      <c r="R62" s="943"/>
      <c r="S62" s="943"/>
      <c r="T62" s="943"/>
      <c r="U62" s="943"/>
      <c r="V62" s="943"/>
      <c r="W62" s="234"/>
      <c r="X62" s="839"/>
      <c r="Y62" s="839"/>
      <c r="Z62" s="155"/>
    </row>
    <row r="63" spans="2:29" ht="67.5" customHeight="1">
      <c r="B63" s="1218" t="s">
        <v>166</v>
      </c>
      <c r="C63" s="779" t="s">
        <v>91</v>
      </c>
      <c r="D63" s="840" t="s">
        <v>167</v>
      </c>
      <c r="E63" s="841">
        <f t="shared" si="3"/>
        <v>4</v>
      </c>
      <c r="F63" s="842">
        <f>WORKDAY.INTL(G60,1,"0000100",$AF$6:$AF$12)</f>
        <v>46229</v>
      </c>
      <c r="G63" s="842">
        <f>WORKDAY.INTL(F63,3,"0000100",$AF$6:$AF$12)</f>
        <v>46232</v>
      </c>
      <c r="H63" s="842">
        <f>WORKDAY.INTL(I60,1,"0000100",$AF$6:$AF$12)</f>
        <v>46229</v>
      </c>
      <c r="I63" s="842">
        <f>WORKDAY.INTL(H63,3,"0000100",$AF$6:$AF$12)</f>
        <v>46232</v>
      </c>
      <c r="J63" s="842"/>
      <c r="K63" s="842"/>
      <c r="L63" s="843"/>
      <c r="M63" s="843" t="str">
        <f ca="1">IF(L63=100%,"Completed",
IF(AND(L63&lt;100%,G63&lt;TODAY()),"Delayed",
IF(AND(OR(L63="",L63=0),F63&gt;TODAY()),"Not Started",
IF(AND(OR(L63="",L63=0),F63&lt;=TODAY()),"Delayed",
IF(AND(L63&gt;0,L63&lt;100%),"In Progress","")))))</f>
        <v>Not Started</v>
      </c>
      <c r="N63" s="844"/>
      <c r="O63" s="826"/>
      <c r="P63" s="201"/>
      <c r="Q63" s="201"/>
      <c r="R63" s="201"/>
      <c r="S63" s="201"/>
      <c r="T63" s="201"/>
      <c r="U63" s="201"/>
      <c r="V63" s="854"/>
      <c r="W63" s="850" t="s">
        <v>162</v>
      </c>
      <c r="X63" s="842" t="s">
        <v>163</v>
      </c>
      <c r="Y63" s="851" t="s">
        <v>168</v>
      </c>
      <c r="Z63" s="155"/>
    </row>
    <row r="64" spans="2:29" ht="45.75" customHeight="1">
      <c r="B64" s="1219"/>
      <c r="C64" s="203" t="s">
        <v>91</v>
      </c>
      <c r="D64" s="845" t="s">
        <v>165</v>
      </c>
      <c r="E64" s="846">
        <f t="shared" si="3"/>
        <v>5</v>
      </c>
      <c r="F64" s="847">
        <f t="shared" si="4"/>
        <v>46233</v>
      </c>
      <c r="G64" s="847">
        <f t="shared" ref="G64:G67" si="5">WORKDAY.INTL(G63,5,"0000100",$AF$6:$AF$12)</f>
        <v>46238</v>
      </c>
      <c r="H64" s="847">
        <f>WORKDAY.INTL(I63,1,"0000100",$AF$6:$AF$12)</f>
        <v>46233</v>
      </c>
      <c r="I64" s="847">
        <f>WORKDAY.INTL(I63,5,"0000100",$AF$6:$AF$12)</f>
        <v>46238</v>
      </c>
      <c r="J64" s="847"/>
      <c r="K64" s="847"/>
      <c r="L64" s="848"/>
      <c r="M64" s="848" t="str">
        <f ca="1">IF(L64=100%,"Completed",
IF(AND(L64&lt;100%,G64&lt;TODAY()),"Delayed",
IF(AND(OR(L64="",L64=0),F64&gt;TODAY()),"Not Started",
IF(AND(OR(L64="",L64=0),F64&lt;=TODAY()),"Delayed",
IF(AND(L64&gt;0,L64&lt;100%),"In Progress","")))))</f>
        <v>Not Started</v>
      </c>
      <c r="N64" s="849"/>
      <c r="O64" s="826"/>
      <c r="P64" s="201"/>
      <c r="Q64" s="201"/>
      <c r="R64" s="201"/>
      <c r="S64" s="201"/>
      <c r="T64" s="201"/>
      <c r="U64" s="201"/>
      <c r="V64" s="854"/>
      <c r="W64" s="852"/>
      <c r="X64" s="847"/>
      <c r="Y64" s="853"/>
      <c r="Z64" s="155"/>
    </row>
    <row r="65" spans="2:26" ht="45.75" customHeight="1">
      <c r="B65" s="832"/>
      <c r="C65" s="832"/>
      <c r="D65" s="949"/>
      <c r="E65" s="834"/>
      <c r="F65" s="835"/>
      <c r="G65" s="835"/>
      <c r="H65" s="835"/>
      <c r="I65" s="835"/>
      <c r="J65" s="835"/>
      <c r="K65" s="835"/>
      <c r="L65" s="952"/>
      <c r="M65" s="952"/>
      <c r="N65" s="952"/>
      <c r="O65" s="926"/>
      <c r="P65" s="943"/>
      <c r="Q65" s="943"/>
      <c r="R65" s="943"/>
      <c r="S65" s="943"/>
      <c r="T65" s="943"/>
      <c r="U65" s="943"/>
      <c r="V65" s="943"/>
      <c r="W65" s="234"/>
      <c r="X65" s="839"/>
      <c r="Y65" s="839"/>
      <c r="Z65" s="155"/>
    </row>
    <row r="66" spans="2:26" ht="70.5" customHeight="1">
      <c r="B66" s="1152" t="s">
        <v>169</v>
      </c>
      <c r="C66" s="779" t="s">
        <v>91</v>
      </c>
      <c r="D66" s="294" t="s">
        <v>170</v>
      </c>
      <c r="E66" s="275">
        <f t="shared" si="3"/>
        <v>5</v>
      </c>
      <c r="F66" s="198">
        <f>WORKDAY.INTL(G63,1,"0000100",$AF$6:$AF$12)</f>
        <v>46233</v>
      </c>
      <c r="G66" s="198">
        <f t="shared" ref="G66:G72" si="6">WORKDAY.INTL(F66,4,"0000100",$AF$6:$AF$12)</f>
        <v>46238</v>
      </c>
      <c r="H66" s="198">
        <f>WORKDAY.INTL(I63,1,"0000100",$AF$6:$AF$12)</f>
        <v>46233</v>
      </c>
      <c r="I66" s="198">
        <f>WORKDAY.INTL(H66,4,"0000100",$AF$6:$AF$12)</f>
        <v>46238</v>
      </c>
      <c r="J66" s="198"/>
      <c r="K66" s="198"/>
      <c r="L66" s="276"/>
      <c r="M66" s="276" t="str">
        <f ca="1">IF(L66=100%,"Completed",
IF(AND(L66&lt;100%,G66&lt;TODAY()),"Delayed",
IF(AND(OR(L66="",L66=0),F66&gt;TODAY()),"Not Started",
IF(AND(OR(L66="",L66=0),F66&lt;=TODAY()),"Delayed",
IF(AND(L66&gt;0,L66&lt;100%),"In Progress","")))))</f>
        <v>Not Started</v>
      </c>
      <c r="N66" s="783"/>
      <c r="O66" s="826"/>
      <c r="P66" s="199"/>
      <c r="Q66" s="199"/>
      <c r="R66" s="199"/>
      <c r="S66" s="199"/>
      <c r="T66" s="199"/>
      <c r="U66" s="199"/>
      <c r="V66" s="831"/>
      <c r="W66" s="664"/>
      <c r="X66" s="198" t="s">
        <v>163</v>
      </c>
      <c r="Y66" s="827" t="s">
        <v>168</v>
      </c>
      <c r="Z66" s="155"/>
    </row>
    <row r="67" spans="2:26" ht="45.75" customHeight="1">
      <c r="B67" s="1153"/>
      <c r="C67" s="203" t="s">
        <v>91</v>
      </c>
      <c r="D67" s="281" t="s">
        <v>165</v>
      </c>
      <c r="E67" s="282">
        <f t="shared" si="3"/>
        <v>5</v>
      </c>
      <c r="F67" s="256">
        <f t="shared" si="4"/>
        <v>46239</v>
      </c>
      <c r="G67" s="256">
        <f t="shared" si="5"/>
        <v>46244</v>
      </c>
      <c r="H67" s="256">
        <f>WORKDAY.INTL(I66,1,"0000100",$AF$6:$AF$12)</f>
        <v>46239</v>
      </c>
      <c r="I67" s="256">
        <f>WORKDAY.INTL(I66,5,"0000100",$AF$6:$AF$12)</f>
        <v>46244</v>
      </c>
      <c r="J67" s="256"/>
      <c r="K67" s="256"/>
      <c r="L67" s="283"/>
      <c r="M67" s="283" t="str">
        <f ca="1">IF(L67=100%,"Completed",
IF(AND(L67&lt;100%,G67&lt;TODAY()),"Delayed",
IF(AND(OR(L67="",L67=0),F67&gt;TODAY()),"Not Started",
IF(AND(OR(L67="",L67=0),F67&lt;=TODAY()),"Delayed",
IF(AND(L67&gt;0,L67&lt;100%),"In Progress","")))))</f>
        <v>Not Started</v>
      </c>
      <c r="N67" s="785"/>
      <c r="O67" s="826"/>
      <c r="P67" s="199"/>
      <c r="Q67" s="199"/>
      <c r="R67" s="199"/>
      <c r="S67" s="199"/>
      <c r="T67" s="199"/>
      <c r="U67" s="199"/>
      <c r="V67" s="831"/>
      <c r="W67" s="786"/>
      <c r="X67" s="256"/>
      <c r="Y67" s="830"/>
      <c r="Z67" s="155"/>
    </row>
    <row r="68" spans="2:26" ht="45.75" customHeight="1">
      <c r="B68" s="832"/>
      <c r="C68" s="832"/>
      <c r="D68" s="949"/>
      <c r="E68" s="834"/>
      <c r="F68" s="835"/>
      <c r="G68" s="835"/>
      <c r="H68" s="835"/>
      <c r="I68" s="835"/>
      <c r="J68" s="835"/>
      <c r="K68" s="835"/>
      <c r="L68" s="952"/>
      <c r="M68" s="952"/>
      <c r="N68" s="952"/>
      <c r="O68" s="926"/>
      <c r="P68" s="943"/>
      <c r="Q68" s="943"/>
      <c r="R68" s="943"/>
      <c r="S68" s="943"/>
      <c r="T68" s="943"/>
      <c r="U68" s="943"/>
      <c r="V68" s="943"/>
      <c r="W68" s="234"/>
      <c r="X68" s="839"/>
      <c r="Y68" s="839"/>
      <c r="Z68" s="155"/>
    </row>
    <row r="69" spans="2:26" ht="60.75" customHeight="1">
      <c r="B69" s="1216" t="s">
        <v>171</v>
      </c>
      <c r="C69" s="779" t="s">
        <v>91</v>
      </c>
      <c r="D69" s="840" t="s">
        <v>172</v>
      </c>
      <c r="E69" s="841">
        <f t="shared" si="3"/>
        <v>5</v>
      </c>
      <c r="F69" s="842">
        <f t="shared" ref="F69" si="7">WORKDAY.INTL(G66,1,"0000100",$AF$6:$AF$12)</f>
        <v>46239</v>
      </c>
      <c r="G69" s="842">
        <f t="shared" si="6"/>
        <v>46244</v>
      </c>
      <c r="H69" s="842">
        <f>WORKDAY.INTL(I66,1,"0000100",$AF$6:$AF$12)</f>
        <v>46239</v>
      </c>
      <c r="I69" s="842">
        <f>WORKDAY.INTL(H69,4,"0000100",$AF$6:$AF$12)</f>
        <v>46244</v>
      </c>
      <c r="J69" s="842"/>
      <c r="K69" s="842"/>
      <c r="L69" s="843"/>
      <c r="M69" s="843" t="str">
        <f ca="1">IF(L69=100%,"Completed",
IF(AND(L69&lt;100%,G69&lt;TODAY()),"Delayed",
IF(AND(OR(L69="",L69=0),F69&gt;TODAY()),"Not Started",
IF(AND(OR(L69="",L69=0),F69&lt;=TODAY()),"Delayed",
IF(AND(L69&gt;0,L69&lt;100%),"In Progress","")))))</f>
        <v>Not Started</v>
      </c>
      <c r="N69" s="844"/>
      <c r="O69" s="826"/>
      <c r="P69" s="201"/>
      <c r="Q69" s="201"/>
      <c r="R69" s="201"/>
      <c r="S69" s="201"/>
      <c r="T69" s="201"/>
      <c r="U69" s="201"/>
      <c r="V69" s="854"/>
      <c r="W69" s="856"/>
      <c r="X69" s="842" t="s">
        <v>163</v>
      </c>
      <c r="Y69" s="851" t="s">
        <v>173</v>
      </c>
      <c r="Z69" s="155"/>
    </row>
    <row r="70" spans="2:26" ht="45.75" customHeight="1">
      <c r="B70" s="1217"/>
      <c r="C70" s="203" t="s">
        <v>91</v>
      </c>
      <c r="D70" s="845" t="s">
        <v>165</v>
      </c>
      <c r="E70" s="846">
        <f t="shared" si="3"/>
        <v>5</v>
      </c>
      <c r="F70" s="847">
        <f t="shared" ref="F70:F76" si="8">WORKDAY.INTL(G69,1,"0000100",$AF$6:$AF$12)</f>
        <v>46245</v>
      </c>
      <c r="G70" s="847">
        <f t="shared" ref="G70:G73" si="9">WORKDAY.INTL(G69,5,"0000100",$AF$6:$AF$12)</f>
        <v>46250</v>
      </c>
      <c r="H70" s="847">
        <f>WORKDAY.INTL(I69,1,"0000100",$AF$6:$AF$12)</f>
        <v>46245</v>
      </c>
      <c r="I70" s="847">
        <f>WORKDAY.INTL(I69,5,"0000100",$AF$6:$AF$12)</f>
        <v>46250</v>
      </c>
      <c r="J70" s="847"/>
      <c r="K70" s="847"/>
      <c r="L70" s="848"/>
      <c r="M70" s="848" t="str">
        <f ca="1">IF(L70=100%,"Completed",
IF(AND(L70&lt;100%,G70&lt;TODAY()),"Delayed",
IF(AND(OR(L70="",L70=0),F70&gt;TODAY()),"Not Started",
IF(AND(OR(L70="",L70=0),F70&lt;=TODAY()),"Delayed",
IF(AND(L70&gt;0,L70&lt;100%),"In Progress","")))))</f>
        <v>Not Started</v>
      </c>
      <c r="N70" s="849"/>
      <c r="O70" s="826"/>
      <c r="P70" s="201"/>
      <c r="Q70" s="201"/>
      <c r="R70" s="201"/>
      <c r="S70" s="201"/>
      <c r="T70" s="201"/>
      <c r="U70" s="201"/>
      <c r="V70" s="854"/>
      <c r="W70" s="852"/>
      <c r="X70" s="847"/>
      <c r="Y70" s="853"/>
      <c r="Z70" s="155"/>
    </row>
    <row r="71" spans="2:26" ht="45.75" customHeight="1">
      <c r="B71" s="832"/>
      <c r="C71" s="832"/>
      <c r="D71" s="949"/>
      <c r="E71" s="834"/>
      <c r="F71" s="835"/>
      <c r="G71" s="835"/>
      <c r="H71" s="835"/>
      <c r="I71" s="835"/>
      <c r="J71" s="835"/>
      <c r="K71" s="835"/>
      <c r="L71" s="952"/>
      <c r="M71" s="952"/>
      <c r="N71" s="952"/>
      <c r="O71" s="926"/>
      <c r="P71" s="943"/>
      <c r="Q71" s="943"/>
      <c r="R71" s="943"/>
      <c r="S71" s="943"/>
      <c r="T71" s="943"/>
      <c r="U71" s="943"/>
      <c r="V71" s="943"/>
      <c r="W71" s="234"/>
      <c r="X71" s="839"/>
      <c r="Y71" s="839"/>
      <c r="Z71" s="155"/>
    </row>
    <row r="72" spans="2:26" ht="82.5" customHeight="1">
      <c r="B72" s="1152" t="s">
        <v>174</v>
      </c>
      <c r="C72" s="779" t="s">
        <v>91</v>
      </c>
      <c r="D72" s="294" t="s">
        <v>175</v>
      </c>
      <c r="E72" s="275">
        <f t="shared" si="3"/>
        <v>5</v>
      </c>
      <c r="F72" s="198">
        <f>WORKDAY.INTL(G69,1,"0000100",$AF$6:$AF$12)</f>
        <v>46245</v>
      </c>
      <c r="G72" s="198">
        <f t="shared" si="6"/>
        <v>46250</v>
      </c>
      <c r="H72" s="198">
        <f>WORKDAY.INTL(I69,1,"0000100",$AF$6:$AF$12)</f>
        <v>46245</v>
      </c>
      <c r="I72" s="198">
        <f>WORKDAY.INTL(H72,4,"0000100",$AF$6:$AF$12)</f>
        <v>46250</v>
      </c>
      <c r="J72" s="198"/>
      <c r="K72" s="198"/>
      <c r="L72" s="276"/>
      <c r="M72" s="276" t="str">
        <f ca="1">IF(L72=100%,"Completed",
IF(AND(L72&lt;100%,G72&lt;TODAY()),"Delayed",
IF(AND(OR(L72="",L72=0),F72&gt;TODAY()),"Not Started",
IF(AND(OR(L72="",L72=0),F72&lt;=TODAY()),"Delayed",
IF(AND(L72&gt;0,L72&lt;100%),"In Progress","")))))</f>
        <v>Not Started</v>
      </c>
      <c r="N72" s="783"/>
      <c r="O72" s="826"/>
      <c r="P72" s="199"/>
      <c r="Q72" s="199"/>
      <c r="R72" s="199"/>
      <c r="S72" s="199"/>
      <c r="T72" s="199"/>
      <c r="U72" s="199"/>
      <c r="V72" s="831"/>
      <c r="W72" s="664"/>
      <c r="X72" s="198" t="s">
        <v>163</v>
      </c>
      <c r="Y72" s="827" t="s">
        <v>176</v>
      </c>
      <c r="Z72" s="155"/>
    </row>
    <row r="73" spans="2:26" ht="45.75" customHeight="1">
      <c r="B73" s="1153"/>
      <c r="C73" s="203" t="s">
        <v>91</v>
      </c>
      <c r="D73" s="281" t="s">
        <v>165</v>
      </c>
      <c r="E73" s="282">
        <f t="shared" si="3"/>
        <v>5</v>
      </c>
      <c r="F73" s="256">
        <f t="shared" si="8"/>
        <v>46251</v>
      </c>
      <c r="G73" s="256">
        <f t="shared" si="9"/>
        <v>46256</v>
      </c>
      <c r="H73" s="256">
        <f>WORKDAY.INTL(I72,1,"0000100",$AF$6:$AF$12)</f>
        <v>46251</v>
      </c>
      <c r="I73" s="256">
        <f>WORKDAY.INTL(I72,5,"0000100",$AF$6:$AF$12)</f>
        <v>46256</v>
      </c>
      <c r="J73" s="256"/>
      <c r="K73" s="256"/>
      <c r="L73" s="283"/>
      <c r="M73" s="283" t="str">
        <f ca="1">IF(L73=100%,"Completed",
IF(AND(L73&lt;100%,G73&lt;TODAY()),"Delayed",
IF(AND(OR(L73="",L73=0),F73&gt;TODAY()),"Not Started",
IF(AND(OR(L73="",L73=0),F73&lt;=TODAY()),"Delayed",
IF(AND(L73&gt;0,L73&lt;100%),"In Progress","")))))</f>
        <v>Not Started</v>
      </c>
      <c r="N73" s="785"/>
      <c r="O73" s="826"/>
      <c r="P73" s="199"/>
      <c r="Q73" s="199"/>
      <c r="R73" s="199"/>
      <c r="S73" s="199"/>
      <c r="T73" s="199"/>
      <c r="U73" s="199"/>
      <c r="V73" s="831"/>
      <c r="W73" s="786"/>
      <c r="X73" s="256"/>
      <c r="Y73" s="830"/>
      <c r="Z73" s="155"/>
    </row>
    <row r="74" spans="2:26" ht="45.75" customHeight="1">
      <c r="B74" s="832"/>
      <c r="C74" s="832"/>
      <c r="D74" s="949"/>
      <c r="E74" s="834"/>
      <c r="F74" s="835"/>
      <c r="G74" s="835"/>
      <c r="H74" s="835"/>
      <c r="I74" s="835"/>
      <c r="J74" s="835"/>
      <c r="K74" s="835"/>
      <c r="L74" s="952"/>
      <c r="M74" s="952"/>
      <c r="N74" s="952"/>
      <c r="O74" s="926"/>
      <c r="P74" s="943"/>
      <c r="Q74" s="943"/>
      <c r="R74" s="943"/>
      <c r="S74" s="943"/>
      <c r="T74" s="943"/>
      <c r="U74" s="943"/>
      <c r="V74" s="943"/>
      <c r="W74" s="234"/>
      <c r="X74" s="839"/>
      <c r="Y74" s="839"/>
      <c r="Z74" s="155"/>
    </row>
    <row r="75" spans="2:26" ht="63.75" customHeight="1">
      <c r="B75" s="1216" t="s">
        <v>177</v>
      </c>
      <c r="C75" s="779" t="s">
        <v>91</v>
      </c>
      <c r="D75" s="840" t="s">
        <v>178</v>
      </c>
      <c r="E75" s="841">
        <f t="shared" si="3"/>
        <v>4</v>
      </c>
      <c r="F75" s="842">
        <f>WORKDAY.INTL(G72,1,"0000100",$AF$6:$AF$12)</f>
        <v>46251</v>
      </c>
      <c r="G75" s="842">
        <f t="shared" ref="G75:G81" si="10">WORKDAY.INTL(F75,3,"0000100",$AF$6:$AF$12)</f>
        <v>46254</v>
      </c>
      <c r="H75" s="842">
        <f>WORKDAY.INTL(I72,1,"0000100",$AF$6:$AF$12)</f>
        <v>46251</v>
      </c>
      <c r="I75" s="842">
        <f>WORKDAY.INTL(H75,3,"0000100",$AF$6:$AF$12)</f>
        <v>46254</v>
      </c>
      <c r="J75" s="842"/>
      <c r="K75" s="842"/>
      <c r="L75" s="843"/>
      <c r="M75" s="843" t="str">
        <f ca="1">IF(L75=100%,"Completed",
IF(AND(L75&lt;100%,G75&lt;TODAY()),"Delayed",
IF(AND(OR(L75="",L75=0),F75&gt;TODAY()),"Not Started",
IF(AND(OR(L75="",L75=0),F75&lt;=TODAY()),"Delayed",
IF(AND(L75&gt;0,L75&lt;100%),"In Progress","")))))</f>
        <v>Not Started</v>
      </c>
      <c r="N75" s="844"/>
      <c r="O75" s="826"/>
      <c r="P75" s="201"/>
      <c r="Q75" s="201"/>
      <c r="R75" s="201"/>
      <c r="S75" s="201"/>
      <c r="T75" s="201"/>
      <c r="U75" s="201"/>
      <c r="V75" s="854"/>
      <c r="W75" s="856"/>
      <c r="X75" s="842" t="s">
        <v>163</v>
      </c>
      <c r="Y75" s="851" t="s">
        <v>179</v>
      </c>
      <c r="Z75" s="155"/>
    </row>
    <row r="76" spans="2:26" ht="45.75" customHeight="1">
      <c r="B76" s="1217"/>
      <c r="C76" s="203" t="s">
        <v>91</v>
      </c>
      <c r="D76" s="845" t="s">
        <v>165</v>
      </c>
      <c r="E76" s="846">
        <f t="shared" si="3"/>
        <v>4</v>
      </c>
      <c r="F76" s="847">
        <f t="shared" si="8"/>
        <v>46256</v>
      </c>
      <c r="G76" s="847">
        <f t="shared" ref="G76:G82" si="11">WORKDAY.INTL(G75,4,"0000100",$AF$6:$AF$12)</f>
        <v>46259</v>
      </c>
      <c r="H76" s="847">
        <f>WORKDAY.INTL(I75,1,"0000100",$AF$6:$AF$12)</f>
        <v>46256</v>
      </c>
      <c r="I76" s="847">
        <f>WORKDAY.INTL(I75,4,"0000100",$AF$6:$AF$12)</f>
        <v>46259</v>
      </c>
      <c r="J76" s="847"/>
      <c r="K76" s="847"/>
      <c r="L76" s="848"/>
      <c r="M76" s="848" t="str">
        <f ca="1">IF(L76=100%,"Completed",
IF(AND(L76&lt;100%,G76&lt;TODAY()),"Delayed",
IF(AND(OR(L76="",L76=0),F76&gt;TODAY()),"Not Started",
IF(AND(OR(L76="",L76=0),F76&lt;=TODAY()),"Delayed",
IF(AND(L76&gt;0,L76&lt;100%),"In Progress","")))))</f>
        <v>Not Started</v>
      </c>
      <c r="N76" s="849"/>
      <c r="O76" s="826"/>
      <c r="P76" s="201"/>
      <c r="Q76" s="201"/>
      <c r="R76" s="201"/>
      <c r="S76" s="201"/>
      <c r="T76" s="201"/>
      <c r="U76" s="201"/>
      <c r="V76" s="854"/>
      <c r="W76" s="852"/>
      <c r="X76" s="847"/>
      <c r="Y76" s="853"/>
      <c r="Z76" s="155"/>
    </row>
    <row r="77" spans="2:26" ht="45.75" customHeight="1">
      <c r="B77" s="832"/>
      <c r="C77" s="832"/>
      <c r="D77" s="949"/>
      <c r="E77" s="834"/>
      <c r="F77" s="835"/>
      <c r="G77" s="835"/>
      <c r="H77" s="835"/>
      <c r="I77" s="835"/>
      <c r="J77" s="835"/>
      <c r="K77" s="835"/>
      <c r="L77" s="952"/>
      <c r="M77" s="952"/>
      <c r="N77" s="952"/>
      <c r="O77" s="926"/>
      <c r="P77" s="943"/>
      <c r="Q77" s="943"/>
      <c r="R77" s="943"/>
      <c r="S77" s="943"/>
      <c r="T77" s="943"/>
      <c r="U77" s="943"/>
      <c r="V77" s="943"/>
      <c r="W77" s="234"/>
      <c r="X77" s="839"/>
      <c r="Y77" s="839"/>
      <c r="Z77" s="155"/>
    </row>
    <row r="78" spans="2:26" ht="73.5" customHeight="1">
      <c r="B78" s="1152" t="s">
        <v>180</v>
      </c>
      <c r="C78" s="779" t="s">
        <v>91</v>
      </c>
      <c r="D78" s="294" t="s">
        <v>181</v>
      </c>
      <c r="E78" s="275">
        <f t="shared" si="3"/>
        <v>4</v>
      </c>
      <c r="F78" s="198">
        <f t="shared" ref="F78" si="12">WORKDAY.INTL(G75,1,"0000100",$AF$6:$AF$12)</f>
        <v>46256</v>
      </c>
      <c r="G78" s="198">
        <f t="shared" si="10"/>
        <v>46259</v>
      </c>
      <c r="H78" s="198">
        <f>WORKDAY.INTL(I75,1,"0000100",$AF$6:$AF$12)</f>
        <v>46256</v>
      </c>
      <c r="I78" s="198">
        <f>WORKDAY.INTL(H78,3,"0000100",$AF$6:$AF$12)</f>
        <v>46259</v>
      </c>
      <c r="J78" s="198"/>
      <c r="K78" s="198"/>
      <c r="L78" s="276"/>
      <c r="M78" s="276" t="str">
        <f ca="1">IF(L78=100%,"Completed",
IF(AND(L78&lt;100%,G78&lt;TODAY()),"Delayed",
IF(AND(OR(L78="",L78=0),F78&gt;TODAY()),"Not Started",
IF(AND(OR(L78="",L78=0),F78&lt;=TODAY()),"Delayed",
IF(AND(L78&gt;0,L78&lt;100%),"In Progress","")))))</f>
        <v>Not Started</v>
      </c>
      <c r="N78" s="783"/>
      <c r="O78" s="826"/>
      <c r="P78" s="199"/>
      <c r="Q78" s="199"/>
      <c r="R78" s="199"/>
      <c r="S78" s="199"/>
      <c r="T78" s="199"/>
      <c r="U78" s="199"/>
      <c r="V78" s="831"/>
      <c r="W78" s="664"/>
      <c r="X78" s="198" t="s">
        <v>163</v>
      </c>
      <c r="Y78" s="827" t="s">
        <v>182</v>
      </c>
      <c r="Z78" s="155"/>
    </row>
    <row r="79" spans="2:26" ht="45.75" customHeight="1">
      <c r="B79" s="1153"/>
      <c r="C79" s="203" t="s">
        <v>91</v>
      </c>
      <c r="D79" s="281" t="s">
        <v>165</v>
      </c>
      <c r="E79" s="282">
        <f t="shared" si="3"/>
        <v>4</v>
      </c>
      <c r="F79" s="256">
        <f t="shared" ref="F79:F82" si="13">WORKDAY.INTL(G78,1,"0000100",$AF$6:$AF$12)</f>
        <v>46260</v>
      </c>
      <c r="G79" s="256">
        <f t="shared" si="11"/>
        <v>46264</v>
      </c>
      <c r="H79" s="256">
        <f>WORKDAY.INTL(I78,1,"0000100",$AF$6:$AF$12)</f>
        <v>46260</v>
      </c>
      <c r="I79" s="256">
        <f>WORKDAY.INTL(I78,4,"0000100",$AF$6:$AF$12)</f>
        <v>46264</v>
      </c>
      <c r="J79" s="256"/>
      <c r="K79" s="256"/>
      <c r="L79" s="283"/>
      <c r="M79" s="283" t="str">
        <f ca="1">IF(L79=100%,"Completed",
IF(AND(L79&lt;100%,G79&lt;TODAY()),"Delayed",
IF(AND(OR(L79="",L79=0),F79&gt;TODAY()),"Not Started",
IF(AND(OR(L79="",L79=0),F79&lt;=TODAY()),"Delayed",
IF(AND(L79&gt;0,L79&lt;100%),"In Progress","")))))</f>
        <v>Not Started</v>
      </c>
      <c r="N79" s="785"/>
      <c r="O79" s="826"/>
      <c r="P79" s="199"/>
      <c r="Q79" s="199"/>
      <c r="R79" s="199"/>
      <c r="S79" s="199"/>
      <c r="T79" s="199"/>
      <c r="U79" s="199"/>
      <c r="V79" s="831"/>
      <c r="W79" s="786"/>
      <c r="X79" s="256"/>
      <c r="Y79" s="830"/>
      <c r="Z79" s="155"/>
    </row>
    <row r="80" spans="2:26" ht="45.75" customHeight="1">
      <c r="B80" s="832"/>
      <c r="C80" s="832"/>
      <c r="D80" s="949"/>
      <c r="E80" s="834"/>
      <c r="F80" s="835"/>
      <c r="G80" s="835"/>
      <c r="H80" s="835"/>
      <c r="I80" s="835"/>
      <c r="J80" s="835"/>
      <c r="K80" s="835"/>
      <c r="L80" s="952"/>
      <c r="M80" s="952"/>
      <c r="N80" s="952"/>
      <c r="O80" s="926"/>
      <c r="P80" s="943"/>
      <c r="Q80" s="943"/>
      <c r="R80" s="943"/>
      <c r="S80" s="943"/>
      <c r="T80" s="943"/>
      <c r="U80" s="943"/>
      <c r="V80" s="943"/>
      <c r="W80" s="234"/>
      <c r="X80" s="839"/>
      <c r="Y80" s="839"/>
      <c r="Z80" s="155"/>
    </row>
    <row r="81" spans="2:30" ht="68.25" customHeight="1">
      <c r="B81" s="1216" t="s">
        <v>183</v>
      </c>
      <c r="C81" s="779" t="s">
        <v>91</v>
      </c>
      <c r="D81" s="840" t="s">
        <v>184</v>
      </c>
      <c r="E81" s="841">
        <f t="shared" si="3"/>
        <v>4</v>
      </c>
      <c r="F81" s="842">
        <f t="shared" ref="F81" si="14">WORKDAY.INTL(G78,1,"0000100",$AF$6:$AF$12)</f>
        <v>46260</v>
      </c>
      <c r="G81" s="842">
        <f t="shared" si="10"/>
        <v>46264</v>
      </c>
      <c r="H81" s="842">
        <f>WORKDAY.INTL(I78,1,"0000100",$AF$6:$AF$12)</f>
        <v>46260</v>
      </c>
      <c r="I81" s="842">
        <f>WORKDAY.INTL(H81,3,"0000100",$AF$6:$AF$12)</f>
        <v>46264</v>
      </c>
      <c r="J81" s="842"/>
      <c r="K81" s="842"/>
      <c r="L81" s="843"/>
      <c r="M81" s="843" t="str">
        <f ca="1">IF(L81=100%,"Completed",
IF(AND(L81&lt;100%,G81&lt;TODAY()),"Delayed",
IF(AND(OR(L81="",L81=0),F81&gt;TODAY()),"Not Started",
IF(AND(OR(L81="",L81=0),F81&lt;=TODAY()),"Delayed",
IF(AND(L81&gt;0,L81&lt;100%),"In Progress","")))))</f>
        <v>Not Started</v>
      </c>
      <c r="N81" s="844"/>
      <c r="O81" s="826"/>
      <c r="P81" s="201"/>
      <c r="Q81" s="201"/>
      <c r="R81" s="201"/>
      <c r="S81" s="201"/>
      <c r="T81" s="201"/>
      <c r="U81" s="201"/>
      <c r="V81" s="854"/>
      <c r="W81" s="856"/>
      <c r="X81" s="842" t="s">
        <v>163</v>
      </c>
      <c r="Y81" s="851" t="s">
        <v>179</v>
      </c>
      <c r="Z81" s="155"/>
    </row>
    <row r="82" spans="2:30" s="153" customFormat="1" ht="40.5" customHeight="1">
      <c r="B82" s="1217"/>
      <c r="C82" s="203" t="s">
        <v>91</v>
      </c>
      <c r="D82" s="845" t="s">
        <v>165</v>
      </c>
      <c r="E82" s="846">
        <f t="shared" si="3"/>
        <v>4</v>
      </c>
      <c r="F82" s="847">
        <f t="shared" si="13"/>
        <v>46265</v>
      </c>
      <c r="G82" s="847">
        <f t="shared" si="11"/>
        <v>46268</v>
      </c>
      <c r="H82" s="847">
        <f>WORKDAY.INTL(I81,1,"0000100",$AF$6:$AF$12)</f>
        <v>46265</v>
      </c>
      <c r="I82" s="847">
        <f>WORKDAY.INTL(I81,4,"0000100",$AF$6:$AF$12)</f>
        <v>46268</v>
      </c>
      <c r="J82" s="847"/>
      <c r="K82" s="847"/>
      <c r="L82" s="848"/>
      <c r="M82" s="848" t="str">
        <f ca="1">IF(L82=100%,"Completed",
IF(AND(L82&lt;100%,G82&lt;TODAY()),"Delayed",
IF(AND(OR(L82="",L82=0),F82&gt;TODAY()),"Not Started",
IF(AND(OR(L82="",L82=0),F82&lt;=TODAY()),"Delayed",
IF(AND(L82&gt;0,L82&lt;100%),"In Progress","")))))</f>
        <v>Not Started</v>
      </c>
      <c r="N82" s="849"/>
      <c r="O82" s="826"/>
      <c r="P82" s="201"/>
      <c r="Q82" s="201"/>
      <c r="R82" s="201"/>
      <c r="S82" s="201"/>
      <c r="T82" s="201"/>
      <c r="U82" s="201"/>
      <c r="V82" s="854"/>
      <c r="W82" s="852"/>
      <c r="X82" s="847"/>
      <c r="Y82" s="853"/>
      <c r="AC82" s="158"/>
      <c r="AD82" s="158"/>
    </row>
    <row r="83" spans="2:30" ht="19.5" customHeight="1">
      <c r="B83" s="832"/>
      <c r="C83" s="832"/>
      <c r="D83" s="949"/>
      <c r="E83" s="834"/>
      <c r="F83" s="835"/>
      <c r="G83" s="835"/>
      <c r="H83" s="835"/>
      <c r="I83" s="835"/>
      <c r="J83" s="835"/>
      <c r="K83" s="835"/>
      <c r="L83" s="952"/>
      <c r="M83" s="952"/>
      <c r="N83" s="952"/>
      <c r="O83" s="926"/>
      <c r="P83" s="943"/>
      <c r="Q83" s="943"/>
      <c r="R83" s="943"/>
      <c r="S83" s="943"/>
      <c r="T83" s="943"/>
      <c r="U83" s="943"/>
      <c r="V83" s="943"/>
      <c r="W83" s="234"/>
      <c r="X83" s="839"/>
      <c r="Y83" s="839"/>
      <c r="Z83" s="155"/>
    </row>
    <row r="84" spans="2:30" ht="159.75" customHeight="1">
      <c r="B84" s="857" t="s">
        <v>185</v>
      </c>
      <c r="C84" s="858" t="s">
        <v>91</v>
      </c>
      <c r="D84" s="859" t="s">
        <v>186</v>
      </c>
      <c r="E84" s="860">
        <f>NETWORKDAYS.INTL(F84,G84,"0000110",$AF$6:$AF$13)</f>
        <v>33</v>
      </c>
      <c r="F84" s="861">
        <f>WORKDAY.INTL(G61,1,"0000110")</f>
        <v>46233</v>
      </c>
      <c r="G84" s="953">
        <f>WORKDAY.INTL(F84,32,"0000110")</f>
        <v>46279</v>
      </c>
      <c r="H84" s="861">
        <f>WORKDAY.INTL(I61,1,"0000110")</f>
        <v>46233</v>
      </c>
      <c r="I84" s="861">
        <f>WORKDAY.INTL(H84,32,"0000110")</f>
        <v>46279</v>
      </c>
      <c r="J84" s="861"/>
      <c r="K84" s="861"/>
      <c r="L84" s="862"/>
      <c r="M84" s="862" t="str">
        <f ca="1">IF(L84=100%,"Completed",
IF(AND(L84&lt;100%,G84&lt;TODAY()),"Delayed",
IF(AND(OR(L84="",L84=0),F84&gt;TODAY()),"Not Started",
IF(AND(OR(L84="",L84=0),F84&lt;=TODAY()),"Delayed",
IF(AND(L84&gt;0,L84&lt;100%),"In Progress","")))))</f>
        <v>Not Started</v>
      </c>
      <c r="N84" s="863"/>
      <c r="O84" s="826"/>
      <c r="P84" s="199"/>
      <c r="Q84" s="199"/>
      <c r="R84" s="199"/>
      <c r="S84" s="199"/>
      <c r="T84" s="199"/>
      <c r="U84" s="199"/>
      <c r="V84" s="831"/>
      <c r="W84" s="460" t="s">
        <v>187</v>
      </c>
      <c r="X84" s="954" t="s">
        <v>188</v>
      </c>
      <c r="Y84" s="955" t="s">
        <v>189</v>
      </c>
      <c r="Z84" s="155" t="s">
        <v>110</v>
      </c>
      <c r="AC84" s="168"/>
      <c r="AD84" s="168"/>
    </row>
    <row r="85" spans="2:30" ht="159.75" customHeight="1">
      <c r="B85" s="832"/>
      <c r="C85" s="832"/>
      <c r="D85" s="949"/>
      <c r="E85" s="834"/>
      <c r="F85" s="835"/>
      <c r="G85" s="835"/>
      <c r="H85" s="835"/>
      <c r="I85" s="835"/>
      <c r="J85" s="835"/>
      <c r="K85" s="835"/>
      <c r="L85" s="952"/>
      <c r="M85" s="952"/>
      <c r="N85" s="952"/>
      <c r="O85" s="926"/>
      <c r="P85" s="943"/>
      <c r="Q85" s="943"/>
      <c r="R85" s="943"/>
      <c r="S85" s="943"/>
      <c r="T85" s="943"/>
      <c r="U85" s="943"/>
      <c r="V85" s="943"/>
      <c r="W85" s="234"/>
      <c r="X85" s="839"/>
      <c r="Y85" s="839"/>
      <c r="Z85" s="155"/>
    </row>
    <row r="86" spans="2:30" ht="70.5" customHeight="1">
      <c r="B86" s="866" t="s">
        <v>190</v>
      </c>
      <c r="C86" s="867" t="s">
        <v>191</v>
      </c>
      <c r="D86" s="810" t="s">
        <v>192</v>
      </c>
      <c r="E86" s="811">
        <f>NETWORKDAYS.INTL(F86,G86,"0000110",$AF$6:$AF$13)</f>
        <v>2</v>
      </c>
      <c r="F86" s="806">
        <f>MAX(WORKDAY.INTL(G82,1,"0000100"),WORKDAY.INTL(G94,1,"0000100"))</f>
        <v>46294</v>
      </c>
      <c r="G86" s="806">
        <f>WORKDAY.INTL(F86,1,"0000000")</f>
        <v>46295</v>
      </c>
      <c r="H86" s="806">
        <f>MAX(WORKDAY.INTL(I82,1,"0000100"),WORKDAY.INTL(I94,1,"0000100"))</f>
        <v>46302</v>
      </c>
      <c r="I86" s="806">
        <f>WORKDAY.INTL(H86,1,"0000000")</f>
        <v>46303</v>
      </c>
      <c r="J86" s="806"/>
      <c r="K86" s="806"/>
      <c r="L86" s="807"/>
      <c r="M86" s="807" t="str">
        <f ca="1">IF(L86=100%,"Completed",
IF(AND(L86&lt;100%,G86&lt;TODAY()),"Delayed",
IF(AND(OR(L86="",L86=0),F86&gt;TODAY()),"Not Started",
IF(AND(OR(L86="",L86=0),F86&lt;=TODAY()),"Delayed",
IF(AND(L86&gt;0,L86&lt;100%),"In Progress","")))))</f>
        <v>Not Started</v>
      </c>
      <c r="N86" s="812"/>
      <c r="O86" s="817"/>
      <c r="P86" s="202"/>
      <c r="Q86" s="202"/>
      <c r="R86" s="202"/>
      <c r="S86" s="202"/>
      <c r="T86" s="202"/>
      <c r="U86" s="202"/>
      <c r="V86" s="865"/>
      <c r="W86" s="813" t="s">
        <v>193</v>
      </c>
      <c r="X86" s="956" t="s">
        <v>194</v>
      </c>
      <c r="Y86" s="957"/>
      <c r="Z86" s="155" t="s">
        <v>121</v>
      </c>
    </row>
    <row r="87" spans="2:30" ht="6.75" customHeight="1">
      <c r="L87" s="295"/>
      <c r="M87" s="295"/>
      <c r="N87" s="295"/>
      <c r="X87" s="156"/>
      <c r="Y87" s="156"/>
      <c r="AB87" s="158"/>
    </row>
    <row r="88" spans="2:30" ht="27" customHeight="1">
      <c r="B88" s="1155" t="s">
        <v>195</v>
      </c>
      <c r="C88" s="422" t="s">
        <v>34</v>
      </c>
      <c r="D88" s="294" t="s">
        <v>196</v>
      </c>
      <c r="E88" s="275">
        <f>NETWORKDAYS.INTL(F88,G88,"0000110")</f>
        <v>2</v>
      </c>
      <c r="F88" s="198">
        <f>MAX(WORKDAY.INTL(G82,1,"0000110",$AF$6:$AF$11),WORKDAY.INTL(G35,1,"0000110",$AF$6:$AF$11),WORKDAY.INTL(G43,1,"0000110",$AF$6:$AF$11))</f>
        <v>46278</v>
      </c>
      <c r="G88" s="198">
        <f>WORKDAY.INTL(F88,1,"0000110",$AF$6:$AF$11)</f>
        <v>46279</v>
      </c>
      <c r="H88" s="198">
        <f>MAX(WORKDAY.INTL(I82,1,"0000110",$AF$6:$AF$11),WORKDAY.INTL(I35,1,"0000110",$AF$6:$AF$11),WORKDAY.INTL(I43,1,"0000110",$AF$6:$AF$11))</f>
        <v>46286</v>
      </c>
      <c r="I88" s="198">
        <f>WORKDAY.INTL(H88,1,"0000110",$AF$6:$AF$11)</f>
        <v>46287</v>
      </c>
      <c r="J88" s="198"/>
      <c r="K88" s="198"/>
      <c r="L88" s="276"/>
      <c r="M88" s="276" t="str">
        <f t="shared" ref="M88:M94" ca="1" si="15">IF(L88=100%,"Completed",
IF(AND(L88&lt;100%,G88&lt;TODAY()),"Delayed",
IF(AND(OR(L88="",L88=0),F88&gt;TODAY()),"Not Started",
IF(AND(OR(L88="",L88=0),F88&lt;=TODAY()),"Delayed",
IF(AND(L88&gt;0,L88&lt;100%),"In Progress","")))))</f>
        <v>Not Started</v>
      </c>
      <c r="N88" s="783"/>
      <c r="O88" s="816"/>
      <c r="P88" s="213"/>
      <c r="Q88" s="213"/>
      <c r="R88" s="213"/>
      <c r="S88" s="213"/>
      <c r="T88" s="213"/>
      <c r="U88" s="213"/>
      <c r="V88" s="958"/>
      <c r="W88" s="960"/>
      <c r="X88" s="1144" t="s">
        <v>197</v>
      </c>
      <c r="Y88" s="469"/>
      <c r="Z88" s="155"/>
      <c r="AB88" s="158"/>
      <c r="AC88" s="168"/>
      <c r="AD88" s="168"/>
    </row>
    <row r="89" spans="2:30" ht="30.75" customHeight="1">
      <c r="B89" s="1156"/>
      <c r="C89" s="423" t="s">
        <v>34</v>
      </c>
      <c r="D89" s="280" t="s">
        <v>198</v>
      </c>
      <c r="E89" s="278">
        <f t="shared" ref="E89:E94" si="16">NETWORKDAYS.INTL(F89,G89,"0000110",$AF$6:$AF$12)</f>
        <v>4</v>
      </c>
      <c r="F89" s="200">
        <f t="shared" ref="F89:F92" si="17">WORKDAY.INTL(G88,1,"0000100",$AF$6:$AF$12)</f>
        <v>46280</v>
      </c>
      <c r="G89" s="200">
        <f>WORKDAY.INTL(F89,3,"0000110",$AF$6:$AF$10)</f>
        <v>46285</v>
      </c>
      <c r="H89" s="200">
        <f>WORKDAY.INTL(I88,1,"0000100",$AF$6:$AF$12)</f>
        <v>46288</v>
      </c>
      <c r="I89" s="200">
        <f>WORKDAY.INTL(H89,3,"0000110",$AF$6:$AF$10)</f>
        <v>46293</v>
      </c>
      <c r="J89" s="200"/>
      <c r="K89" s="200"/>
      <c r="L89" s="279"/>
      <c r="M89" s="279" t="str">
        <f t="shared" ca="1" si="15"/>
        <v>Not Started</v>
      </c>
      <c r="N89" s="784"/>
      <c r="O89" s="826"/>
      <c r="P89" s="94"/>
      <c r="Q89" s="94"/>
      <c r="R89" s="94"/>
      <c r="S89" s="94"/>
      <c r="T89" s="94"/>
      <c r="U89" s="94"/>
      <c r="V89" s="871"/>
      <c r="W89" s="895"/>
      <c r="X89" s="1145"/>
      <c r="Y89" s="470"/>
      <c r="Z89" s="155"/>
      <c r="AB89" s="158"/>
    </row>
    <row r="90" spans="2:30" ht="125.25" customHeight="1">
      <c r="B90" s="1156"/>
      <c r="C90" s="423" t="s">
        <v>34</v>
      </c>
      <c r="D90" s="280" t="s">
        <v>199</v>
      </c>
      <c r="E90" s="278">
        <f t="shared" si="16"/>
        <v>4</v>
      </c>
      <c r="F90" s="200">
        <f>WORKDAY.INTL(G88,1,"0000100",$AF$6:$AF$12)</f>
        <v>46280</v>
      </c>
      <c r="G90" s="200">
        <f>WORKDAY.INTL(F90,3,"0000110",$AF$6:$AF$10)</f>
        <v>46285</v>
      </c>
      <c r="H90" s="200">
        <f>WORKDAY.INTL(I88,1,"0000100",$AF$6:$AF$12)</f>
        <v>46288</v>
      </c>
      <c r="I90" s="200">
        <f>WORKDAY.INTL(H90,3,"0000110",$AF$6:$AF$10)</f>
        <v>46293</v>
      </c>
      <c r="J90" s="200"/>
      <c r="K90" s="200"/>
      <c r="L90" s="279"/>
      <c r="M90" s="279" t="str">
        <f t="shared" ca="1" si="15"/>
        <v>Not Started</v>
      </c>
      <c r="N90" s="784"/>
      <c r="O90" s="826"/>
      <c r="P90" s="94"/>
      <c r="Q90" s="94"/>
      <c r="R90" s="94"/>
      <c r="S90" s="94"/>
      <c r="T90" s="94"/>
      <c r="U90" s="94"/>
      <c r="V90" s="871"/>
      <c r="W90" s="896" t="s">
        <v>200</v>
      </c>
      <c r="X90" s="1145"/>
      <c r="Y90" s="470"/>
      <c r="Z90" s="155"/>
      <c r="AB90" s="158"/>
      <c r="AC90" s="168"/>
      <c r="AD90" s="168"/>
    </row>
    <row r="91" spans="2:30" ht="30.75" customHeight="1">
      <c r="B91" s="1156"/>
      <c r="C91" s="423" t="s">
        <v>34</v>
      </c>
      <c r="D91" s="280" t="s">
        <v>201</v>
      </c>
      <c r="E91" s="278">
        <f t="shared" si="16"/>
        <v>2</v>
      </c>
      <c r="F91" s="200">
        <f t="shared" si="17"/>
        <v>46286</v>
      </c>
      <c r="G91" s="200">
        <f>WORKDAY.INTL(F91,1,"0000110",$AF$6:$AF$10)</f>
        <v>46287</v>
      </c>
      <c r="H91" s="200">
        <f>WORKDAY.INTL(I90,1,"0000100",$AF$6:$AF$12)</f>
        <v>46294</v>
      </c>
      <c r="I91" s="200">
        <f>WORKDAY.INTL(H91,1,"0000110",$AF$6:$AF$10)</f>
        <v>46295</v>
      </c>
      <c r="J91" s="200"/>
      <c r="K91" s="200"/>
      <c r="L91" s="279"/>
      <c r="M91" s="279" t="str">
        <f t="shared" ca="1" si="15"/>
        <v>Not Started</v>
      </c>
      <c r="N91" s="784"/>
      <c r="O91" s="826"/>
      <c r="P91" s="94"/>
      <c r="Q91" s="94"/>
      <c r="R91" s="94"/>
      <c r="S91" s="94"/>
      <c r="T91" s="94"/>
      <c r="U91" s="94"/>
      <c r="V91" s="871"/>
      <c r="W91" s="895"/>
      <c r="X91" s="1145"/>
      <c r="Y91" s="470"/>
      <c r="Z91" s="155"/>
      <c r="AB91" s="158"/>
    </row>
    <row r="92" spans="2:30" ht="30.75" customHeight="1">
      <c r="B92" s="1156"/>
      <c r="C92" s="423" t="s">
        <v>34</v>
      </c>
      <c r="D92" s="280" t="s">
        <v>202</v>
      </c>
      <c r="E92" s="278">
        <f t="shared" si="16"/>
        <v>2</v>
      </c>
      <c r="F92" s="200">
        <f t="shared" si="17"/>
        <v>46288</v>
      </c>
      <c r="G92" s="200">
        <f>WORKDAY.INTL(F92,2,"0000100",$AF$6:$AF$10)</f>
        <v>46291</v>
      </c>
      <c r="H92" s="200">
        <f>WORKDAY.INTL(I91,1,"0000100",$AF$6:$AF$12)</f>
        <v>46296</v>
      </c>
      <c r="I92" s="200">
        <f>WORKDAY.INTL(H92,2,"0000100",$AF$6:$AF$10)</f>
        <v>46299</v>
      </c>
      <c r="J92" s="200"/>
      <c r="K92" s="200"/>
      <c r="L92" s="279"/>
      <c r="M92" s="279" t="str">
        <f t="shared" ca="1" si="15"/>
        <v>Not Started</v>
      </c>
      <c r="N92" s="784"/>
      <c r="O92" s="826"/>
      <c r="P92" s="94"/>
      <c r="Q92" s="94"/>
      <c r="R92" s="94"/>
      <c r="S92" s="94"/>
      <c r="T92" s="94"/>
      <c r="U92" s="94"/>
      <c r="V92" s="871"/>
      <c r="W92" s="895"/>
      <c r="X92" s="1145"/>
      <c r="Y92" s="470"/>
      <c r="Z92" s="155"/>
      <c r="AB92" s="158"/>
    </row>
    <row r="93" spans="2:30" ht="30.75" customHeight="1">
      <c r="B93" s="1156"/>
      <c r="C93" s="423" t="s">
        <v>34</v>
      </c>
      <c r="D93" s="280" t="s">
        <v>203</v>
      </c>
      <c r="E93" s="278">
        <f t="shared" si="16"/>
        <v>1</v>
      </c>
      <c r="F93" s="200">
        <f>WORKDAY.INTL(G92,1,"0000110",$AF$6:$AF$11)</f>
        <v>46292</v>
      </c>
      <c r="G93" s="200">
        <f>WORKDAY.INTL(F93,0,"0000110",$AF$6:$AF$11)</f>
        <v>46292</v>
      </c>
      <c r="H93" s="200">
        <f>WORKDAY.INTL(I92,1,"0000110",$AF$6:$AF$11)</f>
        <v>46300</v>
      </c>
      <c r="I93" s="200">
        <f>WORKDAY.INTL(H93,0,"0000110",$AF$6:$AF$11)</f>
        <v>46300</v>
      </c>
      <c r="J93" s="200"/>
      <c r="K93" s="200"/>
      <c r="L93" s="279"/>
      <c r="M93" s="279" t="str">
        <f t="shared" ca="1" si="15"/>
        <v>Not Started</v>
      </c>
      <c r="N93" s="784"/>
      <c r="O93" s="942"/>
      <c r="P93" s="214"/>
      <c r="Q93" s="214"/>
      <c r="R93" s="214"/>
      <c r="S93" s="214"/>
      <c r="T93" s="214"/>
      <c r="U93" s="214"/>
      <c r="V93" s="959"/>
      <c r="W93" s="895"/>
      <c r="X93" s="1145"/>
      <c r="Y93" s="470"/>
      <c r="Z93" s="155"/>
      <c r="AB93" s="158"/>
    </row>
    <row r="94" spans="2:30" ht="30.75" customHeight="1">
      <c r="B94" s="1153"/>
      <c r="C94" s="424" t="s">
        <v>34</v>
      </c>
      <c r="D94" s="281" t="s">
        <v>204</v>
      </c>
      <c r="E94" s="282">
        <f t="shared" si="16"/>
        <v>1</v>
      </c>
      <c r="F94" s="256">
        <f>WORKDAY.INTL(G93,1,"0000110",$AF$6:$AF$11)</f>
        <v>46293</v>
      </c>
      <c r="G94" s="256">
        <f>WORKDAY.INTL(F94,0,"0000110",$AF$6:$AF$11)</f>
        <v>46293</v>
      </c>
      <c r="H94" s="256">
        <f>WORKDAY.INTL(I93,1,"0000110",$AF$6:$AF$11)</f>
        <v>46301</v>
      </c>
      <c r="I94" s="256">
        <f>WORKDAY.INTL(H94,0,"0000110",$AF$6:$AF$11)</f>
        <v>46301</v>
      </c>
      <c r="J94" s="256"/>
      <c r="K94" s="256"/>
      <c r="L94" s="283"/>
      <c r="M94" s="283" t="str">
        <f t="shared" ca="1" si="15"/>
        <v>Not Started</v>
      </c>
      <c r="N94" s="785"/>
      <c r="O94" s="817"/>
      <c r="P94" s="98"/>
      <c r="Q94" s="98"/>
      <c r="R94" s="98"/>
      <c r="S94" s="98"/>
      <c r="T94" s="98"/>
      <c r="U94" s="98"/>
      <c r="V94" s="873"/>
      <c r="W94" s="897"/>
      <c r="X94" s="1146"/>
      <c r="Y94" s="471"/>
      <c r="Z94" s="155"/>
      <c r="AB94" s="158"/>
    </row>
    <row r="95" spans="2:30" ht="8.25" customHeight="1">
      <c r="L95" s="295"/>
      <c r="M95" s="295"/>
      <c r="N95" s="295"/>
      <c r="X95" s="156"/>
      <c r="Y95" s="156"/>
    </row>
    <row r="96" spans="2:30" ht="76.5" customHeight="1">
      <c r="B96" s="1214" t="s">
        <v>205</v>
      </c>
      <c r="C96" s="875" t="s">
        <v>150</v>
      </c>
      <c r="D96" s="318" t="s">
        <v>206</v>
      </c>
      <c r="E96" s="319">
        <f>NETWORKDAYS.INTL(F96,G96,"0000110",$AF$6:$AF$12)</f>
        <v>16</v>
      </c>
      <c r="F96" s="320">
        <f>WORKDAY.INTL(G96,-15,"0000110",$AF$6:$AF$11)</f>
        <v>46254</v>
      </c>
      <c r="G96" s="320">
        <f>WORKDAY.INTL(F88,-1,"0000110",$AF$6:$AF$11)</f>
        <v>46275</v>
      </c>
      <c r="H96" s="320">
        <f>WORKDAY.INTL(I96,-15,"0000110",$AF$6:$AF$11)</f>
        <v>46264</v>
      </c>
      <c r="I96" s="320">
        <f>WORKDAY.INTL(H88,-1,"0000110",$AF$6:$AF$11)</f>
        <v>46285</v>
      </c>
      <c r="J96" s="320"/>
      <c r="K96" s="320"/>
      <c r="L96" s="321"/>
      <c r="M96" s="321" t="str">
        <f ca="1">IF(L96=100%,"Completed",
IF(AND(L96&lt;100%,G96&lt;TODAY()),"Delayed",
IF(AND(OR(L96="",L96=0),F96&gt;TODAY()),"Not Started",
IF(AND(OR(L96="",L96=0),F96&lt;=TODAY()),"Delayed",
IF(AND(L96&gt;0,L96&lt;100%),"In Progress","")))))</f>
        <v>Not Started</v>
      </c>
      <c r="N96" s="876"/>
      <c r="O96" s="808"/>
      <c r="P96" s="216"/>
      <c r="Q96" s="216"/>
      <c r="R96" s="216"/>
      <c r="S96" s="216"/>
      <c r="T96" s="216"/>
      <c r="U96" s="216"/>
      <c r="V96" s="961"/>
      <c r="W96" s="757" t="s">
        <v>207</v>
      </c>
      <c r="X96" s="101"/>
      <c r="Y96" s="478"/>
    </row>
    <row r="97" spans="2:25" ht="47.25">
      <c r="B97" s="1215"/>
      <c r="C97" s="877" t="s">
        <v>150</v>
      </c>
      <c r="D97" s="322" t="s">
        <v>208</v>
      </c>
      <c r="E97" s="323">
        <f>NETWORKDAYS.INTL(F97,G97,"0000110",$AF$6:$AF$12)</f>
        <v>20</v>
      </c>
      <c r="F97" s="263">
        <f>WORKDAY.INTL(G101,10,"0000110",$AF$6:$AF$11)</f>
        <v>46366</v>
      </c>
      <c r="G97" s="263">
        <f>WORKDAY.INTL(F97,19,"0000110",$AF$6:$AF$11)</f>
        <v>46393</v>
      </c>
      <c r="H97" s="263">
        <f>WORKDAY.INTL(I101,10,"0000110",$AF$6:$AF$11)</f>
        <v>46366</v>
      </c>
      <c r="I97" s="263">
        <f>WORKDAY.INTL(H97,19,"0000110",$AF$6:$AF$11)</f>
        <v>46393</v>
      </c>
      <c r="J97" s="263"/>
      <c r="K97" s="263"/>
      <c r="L97" s="324"/>
      <c r="M97" s="324" t="str">
        <f ca="1">IF(L97=100%,"Completed",
IF(AND(L97&lt;100%,G97&lt;TODAY()),"Delayed",
IF(AND(OR(L97="",L97=0),F97&gt;TODAY()),"Not Started",
IF(AND(OR(L97="",L97=0),F97&lt;=TODAY()),"Delayed",
IF(AND(L97&gt;0,L97&lt;100%),"In Progress","")))))</f>
        <v>Not Started</v>
      </c>
      <c r="N97" s="878"/>
      <c r="O97" s="808"/>
      <c r="P97" s="216"/>
      <c r="Q97" s="216"/>
      <c r="R97" s="216"/>
      <c r="S97" s="216"/>
      <c r="T97" s="216"/>
      <c r="U97" s="216"/>
      <c r="V97" s="961"/>
      <c r="W97" s="761" t="s">
        <v>209</v>
      </c>
      <c r="X97" s="102"/>
      <c r="Y97" s="485"/>
    </row>
    <row r="98" spans="2:25" ht="6" customHeight="1">
      <c r="L98" s="295"/>
      <c r="M98" s="295"/>
      <c r="N98" s="295"/>
      <c r="X98" s="156"/>
      <c r="Y98" s="156"/>
    </row>
    <row r="99" spans="2:25" ht="183.95" customHeight="1">
      <c r="B99" s="1149" t="s">
        <v>210</v>
      </c>
      <c r="C99" s="906" t="s">
        <v>210</v>
      </c>
      <c r="D99" s="907" t="s">
        <v>211</v>
      </c>
      <c r="E99" s="908">
        <f>NETWORKDAYS.INTL(F99,G99,"0000100",$AE$6:$AE$13)</f>
        <v>21</v>
      </c>
      <c r="F99" s="909">
        <v>46272</v>
      </c>
      <c r="G99" s="909">
        <f>WORKDAY.INTL(F99,17,"0000110")</f>
        <v>46295</v>
      </c>
      <c r="H99" s="909">
        <v>46272</v>
      </c>
      <c r="I99" s="909">
        <f>WORKDAY.INTL(H99,17,"0000110")</f>
        <v>46295</v>
      </c>
      <c r="J99" s="909"/>
      <c r="K99" s="910"/>
      <c r="L99" s="910"/>
      <c r="M99" s="910" t="str">
        <f ca="1">IF(L99=100%,"Completed",
IF(AND(L99&lt;100%,G99&lt;TODAY()),"Delayed",
IF(AND(OR(L99="",L99=0),F99&gt;TODAY()),"Not Started",
IF(AND(OR(L99="",L99=0),F99&lt;=TODAY()),"Delayed",
IF(AND(L99&gt;0,L99&lt;100%),"In Progress","")))))</f>
        <v>Not Started</v>
      </c>
      <c r="N99" s="911"/>
      <c r="O99" s="927"/>
      <c r="P99" s="209"/>
      <c r="Q99" s="209"/>
      <c r="R99" s="209"/>
      <c r="S99" s="209"/>
      <c r="T99" s="209"/>
      <c r="U99" s="210"/>
      <c r="V99" s="235"/>
      <c r="W99" s="767" t="s">
        <v>212</v>
      </c>
      <c r="X99" s="921"/>
      <c r="Y99" s="922"/>
    </row>
    <row r="100" spans="2:25" ht="63.75">
      <c r="B100" s="1150"/>
      <c r="C100" s="912" t="s">
        <v>210</v>
      </c>
      <c r="D100" s="304" t="s">
        <v>213</v>
      </c>
      <c r="E100" s="325">
        <f>NETWORKDAYS.INTL(F100,G100,"0000100",$AE$6:$AE$13)</f>
        <v>9</v>
      </c>
      <c r="F100" s="250">
        <v>46215</v>
      </c>
      <c r="G100" s="250">
        <f>WORKDAY.INTL(F100,7,"0000110")</f>
        <v>46224</v>
      </c>
      <c r="H100" s="250">
        <v>46215</v>
      </c>
      <c r="I100" s="250">
        <f>WORKDAY.INTL(H100,7,"0000110")</f>
        <v>46224</v>
      </c>
      <c r="J100" s="250"/>
      <c r="K100" s="305"/>
      <c r="L100" s="305">
        <v>1</v>
      </c>
      <c r="M100" s="305" t="str">
        <f ca="1">IF(L100=100%,"Completed",
IF(AND(L100&lt;100%,G100&lt;TODAY()),"Delayed",
IF(AND(OR(L100="",L100=0),F100&gt;TODAY()),"Not Started",
IF(AND(OR(L100="",L100=0),F100&lt;=TODAY()),"Delayed",
IF(AND(L100&gt;0,L100&lt;100%),"In Progress","")))))</f>
        <v>Completed</v>
      </c>
      <c r="N100" s="913"/>
      <c r="O100" s="927"/>
      <c r="P100" s="209"/>
      <c r="Q100" s="209"/>
      <c r="R100" s="209"/>
      <c r="S100" s="209"/>
      <c r="T100" s="209"/>
      <c r="U100" s="210"/>
      <c r="V100" s="962"/>
      <c r="W100" s="768" t="s">
        <v>214</v>
      </c>
      <c r="X100" s="208"/>
      <c r="Y100" s="923"/>
    </row>
    <row r="101" spans="2:25" ht="88.5" customHeight="1">
      <c r="B101" s="1151"/>
      <c r="C101" s="914" t="s">
        <v>210</v>
      </c>
      <c r="D101" s="915" t="s">
        <v>215</v>
      </c>
      <c r="E101" s="916">
        <f>NETWORKDAYS.INTL(F101,G101,"0000100",$AE$6:$AE$13)</f>
        <v>37</v>
      </c>
      <c r="F101" s="917">
        <v>46310</v>
      </c>
      <c r="G101" s="917">
        <f>WORKDAY.INTL(F101,30,"0000110")</f>
        <v>46352</v>
      </c>
      <c r="H101" s="917">
        <v>46310</v>
      </c>
      <c r="I101" s="917">
        <f>WORKDAY.INTL(H101,30,"0000110")</f>
        <v>46352</v>
      </c>
      <c r="J101" s="917"/>
      <c r="K101" s="918"/>
      <c r="L101" s="918"/>
      <c r="M101" s="918" t="str">
        <f ca="1">IF(L101=100%,"Completed",
IF(AND(L101&lt;100%,G101&lt;TODAY()),"Delayed",
IF(AND(OR(L101="",L101=0),F101&gt;TODAY()),"Not Started",
IF(AND(OR(L101="",L101=0),F101&lt;=TODAY()),"Delayed",
IF(AND(L101&gt;0,L101&lt;100%),"In Progress","")))))</f>
        <v>Not Started</v>
      </c>
      <c r="N101" s="919"/>
      <c r="O101" s="927"/>
      <c r="P101" s="209"/>
      <c r="Q101" s="209"/>
      <c r="R101" s="209"/>
      <c r="S101" s="209"/>
      <c r="T101" s="209"/>
      <c r="U101" s="210"/>
      <c r="V101" s="235"/>
      <c r="W101" s="562" t="s">
        <v>216</v>
      </c>
      <c r="X101" s="924"/>
      <c r="Y101" s="925"/>
    </row>
  </sheetData>
  <sheetProtection formatCells="0" formatColumns="0" formatRows="0" insertColumns="0" insertRows="0" insertHyperlinks="0" deleteColumns="0" deleteRows="0" sort="0" autoFilter="0" pivotTables="0"/>
  <mergeCells count="23">
    <mergeCell ref="B32:B35"/>
    <mergeCell ref="B37:B40"/>
    <mergeCell ref="B42:B45"/>
    <mergeCell ref="B47:B49"/>
    <mergeCell ref="B6:B10"/>
    <mergeCell ref="B12:B15"/>
    <mergeCell ref="B17:B20"/>
    <mergeCell ref="B22:B25"/>
    <mergeCell ref="B27:B30"/>
    <mergeCell ref="B53:B54"/>
    <mergeCell ref="B59:B61"/>
    <mergeCell ref="B63:B64"/>
    <mergeCell ref="B66:B67"/>
    <mergeCell ref="B69:B70"/>
    <mergeCell ref="B56:B57"/>
    <mergeCell ref="X88:X94"/>
    <mergeCell ref="B96:B97"/>
    <mergeCell ref="B99:B101"/>
    <mergeCell ref="B88:B94"/>
    <mergeCell ref="B72:B73"/>
    <mergeCell ref="B75:B76"/>
    <mergeCell ref="B78:B79"/>
    <mergeCell ref="B81:B82"/>
  </mergeCells>
  <phoneticPr fontId="30"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Z51 Z88:Z94" xr:uid="{00000000-0002-0000-0100-000000000000}">
      <formula1>$AA$2:$AA$6</formula1>
    </dataValidation>
    <dataValidation type="list" allowBlank="1" showInputMessage="1" showErrorMessage="1" sqref="Z3:Z50 Z52:Z86" xr:uid="{00000000-0002-0000-0100-000001000000}">
      <formula1>$AB$2:$AB$4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H105"/>
  <sheetViews>
    <sheetView showGridLines="0" zoomScale="70" zoomScaleNormal="70" workbookViewId="0">
      <pane ySplit="2" topLeftCell="A61" activePane="bottomLeft" state="frozen"/>
      <selection pane="bottomLeft" activeCell="M64" sqref="M64"/>
    </sheetView>
  </sheetViews>
  <sheetFormatPr defaultColWidth="41.625" defaultRowHeight="15.75" customHeight="1"/>
  <cols>
    <col min="1" max="1" width="2.125" style="20" customWidth="1"/>
    <col min="2" max="2" width="12.625" style="20" customWidth="1"/>
    <col min="3" max="3" width="3" style="20" hidden="1" customWidth="1"/>
    <col min="4" max="4" width="39" style="326" customWidth="1"/>
    <col min="5" max="5" width="13.625" style="327" customWidth="1"/>
    <col min="6" max="6" width="15.5" style="359" customWidth="1"/>
    <col min="7" max="7" width="16.25" style="359" customWidth="1"/>
    <col min="8" max="8" width="14.625" style="22" hidden="1" customWidth="1"/>
    <col min="9" max="9" width="15.5" style="22" hidden="1" customWidth="1"/>
    <col min="10" max="10" width="18.25" style="22" customWidth="1"/>
    <col min="11" max="11" width="13.375" style="22" customWidth="1"/>
    <col min="12" max="12" width="17.75" style="402" customWidth="1"/>
    <col min="13" max="13" width="25.25" style="402"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2" customWidth="1"/>
    <col min="23" max="23" width="2" style="516" customWidth="1"/>
    <col min="24" max="24" width="48.625" style="23" customWidth="1"/>
    <col min="25" max="25" width="41.625" style="23" customWidth="1"/>
    <col min="26" max="26" width="48.625" style="23" customWidth="1"/>
    <col min="27" max="27" width="15.5" style="20" hidden="1" customWidth="1"/>
    <col min="28" max="28" width="0" style="20" hidden="1" customWidth="1"/>
    <col min="29" max="29" width="12.875" style="20" hidden="1" customWidth="1"/>
    <col min="30" max="30" width="8.875" style="24" hidden="1" customWidth="1"/>
    <col min="31" max="31" width="10.125" style="24" hidden="1" customWidth="1"/>
    <col min="32" max="32" width="6.625" style="20" hidden="1" customWidth="1"/>
    <col min="33" max="33" width="9" style="20" hidden="1" customWidth="1"/>
    <col min="34" max="36" width="9" style="20" customWidth="1"/>
    <col min="37" max="16384" width="41.625" style="20"/>
  </cols>
  <sheetData>
    <row r="1" spans="1:34">
      <c r="A1" s="20" t="s">
        <v>217</v>
      </c>
      <c r="F1" s="328"/>
      <c r="G1" s="328"/>
      <c r="H1" s="25"/>
      <c r="I1" s="25"/>
      <c r="J1" s="25"/>
      <c r="K1" s="25"/>
      <c r="L1" s="363"/>
      <c r="M1" s="363"/>
      <c r="N1" s="105"/>
      <c r="V1" s="363"/>
      <c r="W1" s="508"/>
    </row>
    <row r="2" spans="1:34" ht="76.5">
      <c r="B2" s="640"/>
      <c r="C2" s="641" t="s">
        <v>96</v>
      </c>
      <c r="D2" s="642" t="s">
        <v>1</v>
      </c>
      <c r="E2" s="642" t="s">
        <v>97</v>
      </c>
      <c r="F2" s="643" t="s">
        <v>98</v>
      </c>
      <c r="G2" s="643" t="s">
        <v>83</v>
      </c>
      <c r="H2" s="644" t="s">
        <v>99</v>
      </c>
      <c r="I2" s="644" t="s">
        <v>84</v>
      </c>
      <c r="J2" s="1067" t="s">
        <v>100</v>
      </c>
      <c r="K2" s="1067" t="s">
        <v>101</v>
      </c>
      <c r="L2" s="542" t="s">
        <v>82</v>
      </c>
      <c r="M2" s="542" t="s">
        <v>102</v>
      </c>
      <c r="N2" s="440"/>
      <c r="O2" s="645">
        <v>46113</v>
      </c>
      <c r="P2" s="645">
        <v>46143</v>
      </c>
      <c r="Q2" s="645">
        <v>46174</v>
      </c>
      <c r="R2" s="645">
        <v>46204</v>
      </c>
      <c r="S2" s="645">
        <v>46235</v>
      </c>
      <c r="T2" s="645">
        <v>46266</v>
      </c>
      <c r="U2" s="645">
        <v>46296</v>
      </c>
      <c r="V2" s="1068" t="s">
        <v>103</v>
      </c>
      <c r="W2" s="532"/>
      <c r="X2" s="637" t="s">
        <v>2</v>
      </c>
      <c r="Y2" s="530" t="s">
        <v>104</v>
      </c>
      <c r="Z2" s="531" t="s">
        <v>105</v>
      </c>
      <c r="AA2" s="20" t="s">
        <v>218</v>
      </c>
    </row>
    <row r="3" spans="1:34" ht="4.5" hidden="1" customHeight="1">
      <c r="B3" s="29"/>
      <c r="C3" s="29"/>
      <c r="D3" s="533" t="s">
        <v>219</v>
      </c>
      <c r="E3" s="534"/>
      <c r="F3" s="638"/>
      <c r="G3" s="638"/>
      <c r="H3" s="639"/>
      <c r="I3" s="639"/>
      <c r="J3" s="639"/>
      <c r="K3" s="639"/>
      <c r="L3" s="536">
        <v>1</v>
      </c>
      <c r="M3" s="536" t="e">
        <f ca="1">IF(OR(L3=100%,#REF!&lt;&gt;""),"Completed",IF(AND(OR(L3="",L3=0),F3&gt;TODAY()),"Not Started",IF(AND(OR(L3="",L3=0),F3&lt;=TODAY()),"Delayed",IF(AND(L3&gt;0,L3&lt;100%,G3&lt;TODAY()),"Delayed",IF(AND(L3&gt;0,L3&lt;100%),"In Progress","")))))</f>
        <v>#REF!</v>
      </c>
      <c r="N3" s="106"/>
      <c r="O3" s="537"/>
      <c r="P3" s="538"/>
      <c r="Q3" s="538"/>
      <c r="R3" s="538"/>
      <c r="S3" s="538"/>
      <c r="T3" s="538"/>
      <c r="U3" s="538"/>
      <c r="V3" s="536"/>
      <c r="W3" s="509"/>
      <c r="X3" s="527" t="s">
        <v>220</v>
      </c>
      <c r="Y3" s="234"/>
      <c r="Z3" s="234"/>
      <c r="AA3" s="20" t="s">
        <v>110</v>
      </c>
    </row>
    <row r="4" spans="1:34" s="19" customFormat="1" ht="8.25" customHeight="1">
      <c r="B4" s="51"/>
      <c r="C4" s="51"/>
      <c r="D4" s="339"/>
      <c r="E4" s="340"/>
      <c r="F4" s="341"/>
      <c r="G4" s="341"/>
      <c r="H4" s="51"/>
      <c r="I4" s="51"/>
      <c r="J4" s="51"/>
      <c r="K4" s="51"/>
      <c r="L4" s="375"/>
      <c r="M4" s="375"/>
      <c r="N4" s="51"/>
      <c r="O4" s="51"/>
      <c r="P4" s="51"/>
      <c r="Q4" s="51"/>
      <c r="R4" s="51"/>
      <c r="S4" s="51"/>
      <c r="T4" s="51"/>
      <c r="U4" s="51"/>
      <c r="V4" s="375"/>
      <c r="W4" s="510"/>
      <c r="X4" s="53"/>
      <c r="Y4" s="205"/>
      <c r="Z4" s="205"/>
      <c r="AD4" s="33"/>
      <c r="AE4" s="33"/>
    </row>
    <row r="5" spans="1:34" ht="61.5">
      <c r="B5" s="1234" t="s">
        <v>221</v>
      </c>
      <c r="C5" s="428" t="s">
        <v>86</v>
      </c>
      <c r="D5" s="376" t="s">
        <v>109</v>
      </c>
      <c r="E5" s="347">
        <f>NETWORKDAYS.INTL(F5,G5,"0000100",$AF$5:$AF$11)</f>
        <v>1</v>
      </c>
      <c r="F5" s="146">
        <v>46153</v>
      </c>
      <c r="G5" s="146">
        <v>46153</v>
      </c>
      <c r="H5" s="67">
        <v>46153</v>
      </c>
      <c r="I5" s="67">
        <v>46153</v>
      </c>
      <c r="J5" s="67"/>
      <c r="K5" s="67"/>
      <c r="L5" s="377">
        <v>1</v>
      </c>
      <c r="M5" s="377" t="str">
        <f t="shared" ref="M5:M9" ca="1" si="0">IF(L5=100%,"Completed",
IF(AND(L5&lt;100%,G5&lt;TODAY()),"Delayed",
IF(AND(OR(L5="",L5=0),F5&gt;TODAY()),"Not Started",
IF(AND(OR(L5="",L5=0),F5&lt;=TODAY()),"Delayed",
IF(AND(L5&gt;0,L5&lt;100%),"In Progress","")))))</f>
        <v>Completed</v>
      </c>
      <c r="N5" s="68"/>
      <c r="O5" s="112"/>
      <c r="P5" s="112"/>
      <c r="Q5" s="112"/>
      <c r="R5" s="112"/>
      <c r="S5" s="112"/>
      <c r="T5" s="112"/>
      <c r="U5" s="112"/>
      <c r="V5" s="517"/>
      <c r="W5" s="1222"/>
      <c r="X5" s="522"/>
      <c r="Y5" s="66"/>
      <c r="Z5" s="634"/>
      <c r="AA5" s="20" t="s">
        <v>121</v>
      </c>
      <c r="AC5" s="34" t="s">
        <v>62</v>
      </c>
      <c r="AD5" s="24" t="s">
        <v>68</v>
      </c>
      <c r="AF5" s="20">
        <v>46166</v>
      </c>
      <c r="AH5" s="37"/>
    </row>
    <row r="6" spans="1:34" ht="61.5">
      <c r="B6" s="1237"/>
      <c r="C6" s="429" t="s">
        <v>86</v>
      </c>
      <c r="D6" s="518" t="s">
        <v>111</v>
      </c>
      <c r="E6" s="355">
        <f>NETWORKDAYS.INTL(F6,G6,"0000100",$AF$5:$AF$11)</f>
        <v>38</v>
      </c>
      <c r="F6" s="147">
        <v>46159</v>
      </c>
      <c r="G6" s="147">
        <f>WORKDAY.INTL(F6,37,"0000100",$AF$5:$AF$10)</f>
        <v>46208</v>
      </c>
      <c r="H6" s="34">
        <v>46159</v>
      </c>
      <c r="I6" s="34">
        <f>WORKDAY.INTL(H6,37,"0000100",$AF$5:$AF$10)</f>
        <v>46208</v>
      </c>
      <c r="J6" s="34"/>
      <c r="K6" s="34"/>
      <c r="L6" s="367">
        <v>1</v>
      </c>
      <c r="M6" s="367" t="str">
        <f t="shared" ca="1" si="0"/>
        <v>Completed</v>
      </c>
      <c r="N6" s="85"/>
      <c r="O6" s="50"/>
      <c r="P6" s="50"/>
      <c r="Q6" s="50"/>
      <c r="R6" s="50"/>
      <c r="S6" s="50"/>
      <c r="T6" s="50"/>
      <c r="U6" s="50"/>
      <c r="V6" s="519"/>
      <c r="W6" s="1223"/>
      <c r="X6" s="523"/>
      <c r="Y6" s="83"/>
      <c r="Z6" s="635"/>
      <c r="AC6" s="34" t="s">
        <v>63</v>
      </c>
      <c r="AD6" s="24" t="s">
        <v>68</v>
      </c>
      <c r="AF6" s="20">
        <v>46167</v>
      </c>
      <c r="AH6" s="37"/>
    </row>
    <row r="7" spans="1:34" ht="61.5">
      <c r="B7" s="1237"/>
      <c r="C7" s="429" t="s">
        <v>86</v>
      </c>
      <c r="D7" s="518" t="s">
        <v>112</v>
      </c>
      <c r="E7" s="355"/>
      <c r="F7" s="147" t="s">
        <v>113</v>
      </c>
      <c r="G7" s="147">
        <v>46229</v>
      </c>
      <c r="H7" s="34" t="s">
        <v>113</v>
      </c>
      <c r="I7" s="34">
        <v>46229</v>
      </c>
      <c r="J7" s="34"/>
      <c r="K7" s="34"/>
      <c r="L7" s="367">
        <v>0.94</v>
      </c>
      <c r="M7" s="367" t="str">
        <f t="shared" ca="1" si="0"/>
        <v>In Progress</v>
      </c>
      <c r="N7" s="85"/>
      <c r="O7" s="50"/>
      <c r="P7" s="50"/>
      <c r="Q7" s="50"/>
      <c r="R7" s="50"/>
      <c r="S7" s="50"/>
      <c r="T7" s="50"/>
      <c r="U7" s="50"/>
      <c r="V7" s="519"/>
      <c r="W7" s="1223"/>
      <c r="X7" s="523" t="s">
        <v>222</v>
      </c>
      <c r="Y7" s="83"/>
      <c r="Z7" s="635"/>
      <c r="AC7" s="24"/>
      <c r="AF7" s="20">
        <v>46168</v>
      </c>
      <c r="AH7" s="37"/>
    </row>
    <row r="8" spans="1:34" ht="61.5">
      <c r="B8" s="1237"/>
      <c r="C8" s="429" t="s">
        <v>86</v>
      </c>
      <c r="D8" s="354" t="s">
        <v>117</v>
      </c>
      <c r="E8" s="355">
        <f>NETWORKDAYS.INTL(F8,G8,"0000110",$AF$5:$AF$11)</f>
        <v>3</v>
      </c>
      <c r="F8" s="147">
        <f t="shared" ref="F8:F9" si="1">WORKDAY.INTL(G7,1,"0000110")</f>
        <v>46230</v>
      </c>
      <c r="G8" s="147">
        <f t="shared" ref="G8" si="2">WORKDAY.INTL(F8,2,"0000110")</f>
        <v>46232</v>
      </c>
      <c r="H8" s="34">
        <f>WORKDAY.INTL(I7,1,"0000110")</f>
        <v>46230</v>
      </c>
      <c r="I8" s="34">
        <f>WORKDAY.INTL(H8,2,"0000110")</f>
        <v>46232</v>
      </c>
      <c r="J8" s="34"/>
      <c r="K8" s="34"/>
      <c r="L8" s="367"/>
      <c r="M8" s="367" t="str">
        <f t="shared" ca="1" si="0"/>
        <v>Not Started</v>
      </c>
      <c r="N8" s="85"/>
      <c r="O8" s="82"/>
      <c r="P8" s="82"/>
      <c r="Q8" s="82"/>
      <c r="R8" s="82"/>
      <c r="S8" s="82"/>
      <c r="T8" s="82"/>
      <c r="U8" s="82"/>
      <c r="V8" s="519"/>
      <c r="W8" s="1223"/>
      <c r="X8" s="523" t="s">
        <v>223</v>
      </c>
      <c r="Y8" s="83" t="s">
        <v>224</v>
      </c>
      <c r="Z8" s="635" t="s">
        <v>120</v>
      </c>
      <c r="AC8" s="34" t="s">
        <v>64</v>
      </c>
      <c r="AD8" s="24" t="s">
        <v>68</v>
      </c>
      <c r="AF8" s="20">
        <v>46169</v>
      </c>
      <c r="AH8" s="37"/>
    </row>
    <row r="9" spans="1:34" ht="61.5">
      <c r="B9" s="1235"/>
      <c r="C9" s="430" t="s">
        <v>86</v>
      </c>
      <c r="D9" s="490" t="s">
        <v>122</v>
      </c>
      <c r="E9" s="348">
        <f>NETWORKDAYS.INTL(F9,G9,"0000110",$AF$5:$AF$11)</f>
        <v>2</v>
      </c>
      <c r="F9" s="349">
        <f t="shared" si="1"/>
        <v>46233</v>
      </c>
      <c r="G9" s="349">
        <f t="shared" ref="G9" si="3">WORKDAY.INTL(F9,1,"0000110")</f>
        <v>46236</v>
      </c>
      <c r="H9" s="70">
        <f>WORKDAY.INTL(I8,1,"0000110")</f>
        <v>46233</v>
      </c>
      <c r="I9" s="70">
        <f>WORKDAY.INTL(H9,1,"0000110")</f>
        <v>46236</v>
      </c>
      <c r="J9" s="70"/>
      <c r="K9" s="70"/>
      <c r="L9" s="380"/>
      <c r="M9" s="380" t="str">
        <f t="shared" ca="1" si="0"/>
        <v>Not Started</v>
      </c>
      <c r="N9" s="71"/>
      <c r="O9" s="72"/>
      <c r="P9" s="72"/>
      <c r="Q9" s="72"/>
      <c r="R9" s="72"/>
      <c r="S9" s="72"/>
      <c r="T9" s="72"/>
      <c r="U9" s="72"/>
      <c r="V9" s="520"/>
      <c r="W9" s="1224"/>
      <c r="X9" s="525" t="s">
        <v>123</v>
      </c>
      <c r="Y9" s="69"/>
      <c r="Z9" s="636"/>
      <c r="AC9" s="34" t="s">
        <v>65</v>
      </c>
      <c r="AD9" s="24" t="s">
        <v>68</v>
      </c>
      <c r="AF9" s="20">
        <v>46170</v>
      </c>
      <c r="AH9" s="37"/>
    </row>
    <row r="10" spans="1:34" s="19" customFormat="1" ht="12" customHeight="1">
      <c r="B10" s="114"/>
      <c r="C10" s="114"/>
      <c r="D10" s="381" t="s">
        <v>225</v>
      </c>
      <c r="E10" s="382"/>
      <c r="F10" s="650"/>
      <c r="G10" s="650"/>
      <c r="H10" s="114"/>
      <c r="I10" s="114"/>
      <c r="J10" s="114"/>
      <c r="K10" s="114"/>
      <c r="L10" s="383"/>
      <c r="M10" s="383"/>
      <c r="N10" s="114"/>
      <c r="O10" s="114"/>
      <c r="P10" s="114"/>
      <c r="Q10" s="114"/>
      <c r="R10" s="114"/>
      <c r="S10" s="114"/>
      <c r="T10" s="114"/>
      <c r="U10" s="114"/>
      <c r="V10" s="383"/>
      <c r="W10" s="510"/>
      <c r="X10" s="661"/>
      <c r="Y10" s="662"/>
      <c r="Z10" s="663"/>
      <c r="AC10" s="33"/>
      <c r="AD10" s="33"/>
      <c r="AF10" s="19">
        <v>46288</v>
      </c>
      <c r="AH10" s="37"/>
    </row>
    <row r="11" spans="1:34" ht="45.95" customHeight="1">
      <c r="B11" s="1240" t="s">
        <v>226</v>
      </c>
      <c r="C11" s="564" t="s">
        <v>86</v>
      </c>
      <c r="D11" s="390" t="s">
        <v>109</v>
      </c>
      <c r="E11" s="391">
        <f>NETWORKDAYS.INTL(F11,G11,"0000100",$AF$5:$AF$11)</f>
        <v>1</v>
      </c>
      <c r="F11" s="342">
        <v>46184</v>
      </c>
      <c r="G11" s="342">
        <f>WORKDAY.INTL(F11,0,"0000100",$AF$5:$AF$10)</f>
        <v>46184</v>
      </c>
      <c r="H11" s="54">
        <v>46184</v>
      </c>
      <c r="I11" s="54">
        <f>WORKDAY.INTL(H11,0,"0000100",$AF$5:$AF$10)</f>
        <v>46184</v>
      </c>
      <c r="J11" s="54"/>
      <c r="K11" s="54"/>
      <c r="L11" s="393">
        <v>1</v>
      </c>
      <c r="M11" s="393"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5"/>
      <c r="W11" s="1225"/>
      <c r="X11" s="652"/>
      <c r="Y11" s="653"/>
      <c r="Z11" s="654"/>
      <c r="AC11" s="34" t="s">
        <v>62</v>
      </c>
      <c r="AD11" s="24" t="s">
        <v>69</v>
      </c>
      <c r="AF11" s="20">
        <v>46288</v>
      </c>
      <c r="AH11" s="37"/>
    </row>
    <row r="12" spans="1:34" ht="45.95" customHeight="1">
      <c r="B12" s="1241"/>
      <c r="C12" s="566" t="s">
        <v>86</v>
      </c>
      <c r="D12" s="646" t="s">
        <v>111</v>
      </c>
      <c r="E12" s="399">
        <f>NETWORKDAYS.INTL(F12,G12,"0000100",$AF$5:$AF$11)</f>
        <v>20</v>
      </c>
      <c r="F12" s="338">
        <f>WORKDAY.INTL(G11,1,"0000100",$AF$5:$AF$10)</f>
        <v>46186</v>
      </c>
      <c r="G12" s="338">
        <f>WORKDAY.INTL(F12,19,"0000100",$AF$5:$AF$10)</f>
        <v>46208</v>
      </c>
      <c r="H12" s="41">
        <f>WORKDAY.INTL(I11,1,"0000100",$AF$5:$AF$10)</f>
        <v>46186</v>
      </c>
      <c r="I12" s="41">
        <f>WORKDAY.INTL(H12,19,"0000100",$AF$5:$AF$10)</f>
        <v>46208</v>
      </c>
      <c r="J12" s="41"/>
      <c r="K12" s="41"/>
      <c r="L12" s="401">
        <v>1</v>
      </c>
      <c r="M12" s="401" t="str">
        <f t="shared" ca="1" si="4"/>
        <v>Completed</v>
      </c>
      <c r="N12" s="131"/>
      <c r="O12" s="647"/>
      <c r="P12" s="647"/>
      <c r="Q12" s="647"/>
      <c r="R12" s="647"/>
      <c r="S12" s="647"/>
      <c r="T12" s="647"/>
      <c r="U12" s="647"/>
      <c r="V12" s="567"/>
      <c r="W12" s="1226"/>
      <c r="X12" s="655"/>
      <c r="Y12" s="656"/>
      <c r="Z12" s="657"/>
      <c r="AC12" s="34" t="s">
        <v>63</v>
      </c>
      <c r="AD12" s="24" t="s">
        <v>69</v>
      </c>
    </row>
    <row r="13" spans="1:34" ht="45.95" customHeight="1">
      <c r="B13" s="1241"/>
      <c r="C13" s="566" t="s">
        <v>86</v>
      </c>
      <c r="D13" s="648" t="s">
        <v>117</v>
      </c>
      <c r="E13" s="399">
        <f>NETWORKDAYS.INTL(F13,G13,"0000110",$AF$5:$AF$11)</f>
        <v>2</v>
      </c>
      <c r="F13" s="338">
        <f>MAX(WORKDAY.INTL(G12,1,"0000100",$AI$5:$AI$10),WORKDAY.INTL(G8,1,"0000100",$AI$5:$AI$10))</f>
        <v>46233</v>
      </c>
      <c r="G13" s="338">
        <f t="shared" ref="G13:G14" si="5">WORKDAY.INTL(F13,1,"0000110")</f>
        <v>46236</v>
      </c>
      <c r="H13" s="41">
        <f>MAX(WORKDAY.INTL(I12,1,"0000100",$AI$5:$AI$10),WORKDAY.INTL(I8,1,"0000100",$AI$5:$AI$10))</f>
        <v>46233</v>
      </c>
      <c r="I13" s="41">
        <f>WORKDAY.INTL(H13,1,"0000110")</f>
        <v>46236</v>
      </c>
      <c r="J13" s="41"/>
      <c r="K13" s="41"/>
      <c r="L13" s="401"/>
      <c r="M13" s="401" t="str">
        <f t="shared" ca="1" si="4"/>
        <v>Not Started</v>
      </c>
      <c r="N13" s="131"/>
      <c r="O13" s="132"/>
      <c r="P13" s="132"/>
      <c r="Q13" s="132"/>
      <c r="R13" s="132"/>
      <c r="S13" s="132"/>
      <c r="T13" s="132"/>
      <c r="U13" s="132"/>
      <c r="V13" s="567"/>
      <c r="W13" s="1226"/>
      <c r="X13" s="655"/>
      <c r="Y13" s="656" t="s">
        <v>224</v>
      </c>
      <c r="Z13" s="657" t="s">
        <v>120</v>
      </c>
      <c r="AC13" s="34" t="s">
        <v>64</v>
      </c>
      <c r="AD13" s="24" t="s">
        <v>69</v>
      </c>
    </row>
    <row r="14" spans="1:34" ht="45.95" customHeight="1">
      <c r="B14" s="1242"/>
      <c r="C14" s="568" t="s">
        <v>86</v>
      </c>
      <c r="D14" s="649" t="s">
        <v>122</v>
      </c>
      <c r="E14" s="395">
        <f>NETWORKDAYS.INTL(F14,G14,"0000110",$AF$5:$AF$11)</f>
        <v>2</v>
      </c>
      <c r="F14" s="345">
        <f t="shared" ref="F14" si="6">WORKDAY.INTL(G13,1,"0000110")</f>
        <v>46237</v>
      </c>
      <c r="G14" s="345">
        <f t="shared" si="5"/>
        <v>46238</v>
      </c>
      <c r="H14" s="60">
        <f>WORKDAY.INTL(I13,1,"0000110")</f>
        <v>46237</v>
      </c>
      <c r="I14" s="60">
        <f>WORKDAY.INTL(H14,1,"0000110")</f>
        <v>46238</v>
      </c>
      <c r="J14" s="60"/>
      <c r="K14" s="60"/>
      <c r="L14" s="397"/>
      <c r="M14" s="397" t="str">
        <f t="shared" ca="1" si="4"/>
        <v>Not Started</v>
      </c>
      <c r="N14" s="126"/>
      <c r="O14" s="133"/>
      <c r="P14" s="133"/>
      <c r="Q14" s="133"/>
      <c r="R14" s="133"/>
      <c r="S14" s="133"/>
      <c r="T14" s="133"/>
      <c r="U14" s="133"/>
      <c r="V14" s="569"/>
      <c r="W14" s="1227"/>
      <c r="X14" s="658"/>
      <c r="Y14" s="659"/>
      <c r="Z14" s="660"/>
      <c r="AC14" s="34" t="s">
        <v>65</v>
      </c>
      <c r="AD14" s="24" t="s">
        <v>69</v>
      </c>
    </row>
    <row r="15" spans="1:34" s="19" customFormat="1" ht="9" customHeight="1">
      <c r="B15" s="114"/>
      <c r="C15" s="114"/>
      <c r="D15" s="381" t="s">
        <v>225</v>
      </c>
      <c r="E15" s="382"/>
      <c r="F15" s="650"/>
      <c r="G15" s="650"/>
      <c r="H15" s="114"/>
      <c r="I15" s="114"/>
      <c r="J15" s="114"/>
      <c r="K15" s="114"/>
      <c r="L15" s="383"/>
      <c r="M15" s="383"/>
      <c r="N15" s="114"/>
      <c r="O15" s="114"/>
      <c r="P15" s="114"/>
      <c r="Q15" s="114"/>
      <c r="R15" s="114"/>
      <c r="S15" s="114"/>
      <c r="T15" s="114"/>
      <c r="U15" s="114"/>
      <c r="V15" s="383"/>
      <c r="W15" s="510"/>
      <c r="X15" s="661"/>
      <c r="Y15" s="662"/>
      <c r="Z15" s="663"/>
      <c r="AC15" s="33"/>
      <c r="AD15" s="33"/>
    </row>
    <row r="16" spans="1:34" ht="47.1" customHeight="1">
      <c r="B16" s="1234" t="s">
        <v>127</v>
      </c>
      <c r="C16" s="428" t="s">
        <v>86</v>
      </c>
      <c r="D16" s="376" t="s">
        <v>109</v>
      </c>
      <c r="E16" s="347">
        <f>NETWORKDAYS.INTL(F16,G16,"0000100",$AF$5:$AF$11)</f>
        <v>16</v>
      </c>
      <c r="F16" s="146">
        <f>WORKDAY.INTL(G11,5,"0000100",$AF$5:$AF$10)</f>
        <v>46190</v>
      </c>
      <c r="G16" s="146">
        <f>WORKDAY.INTL(F16,15,"0000100",$AF$5:$AF$10)</f>
        <v>46208</v>
      </c>
      <c r="H16" s="67">
        <f>WORKDAY.INTL(I11,5,"0000100",$AF$5:$AF$10)</f>
        <v>46190</v>
      </c>
      <c r="I16" s="67">
        <f>WORKDAY.INTL(H16,15,"0000100",$AF$5:$AF$10)</f>
        <v>46208</v>
      </c>
      <c r="J16" s="67"/>
      <c r="K16" s="67"/>
      <c r="L16" s="377">
        <v>1</v>
      </c>
      <c r="M16" s="377"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7"/>
      <c r="W16" s="626"/>
      <c r="X16" s="522"/>
      <c r="Y16" s="66"/>
      <c r="Z16" s="634"/>
      <c r="AC16" s="34" t="s">
        <v>62</v>
      </c>
      <c r="AD16" s="24" t="s">
        <v>70</v>
      </c>
    </row>
    <row r="17" spans="2:34" ht="47.1" customHeight="1">
      <c r="B17" s="1237"/>
      <c r="C17" s="429" t="s">
        <v>86</v>
      </c>
      <c r="D17" s="518" t="s">
        <v>111</v>
      </c>
      <c r="E17" s="355">
        <f>NETWORKDAYS.INTL(F17,G17,"0000100",$AF$5:$AF$11)</f>
        <v>3</v>
      </c>
      <c r="F17" s="147">
        <f>WORKDAY.INTL(G16,1,"0000100",$AF$5:$AF$10)</f>
        <v>46209</v>
      </c>
      <c r="G17" s="147">
        <f>WORKDAY.INTL(F17,2,"0000100",$AF$5:$AF$10)</f>
        <v>46211</v>
      </c>
      <c r="H17" s="34">
        <f>WORKDAY.INTL(I16,1,"0000100",$AF$5:$AF$10)</f>
        <v>46209</v>
      </c>
      <c r="I17" s="34">
        <f>WORKDAY.INTL(H17,2,"0000100",$AF$5:$AF$10)</f>
        <v>46211</v>
      </c>
      <c r="J17" s="34"/>
      <c r="K17" s="34"/>
      <c r="L17" s="367">
        <v>1</v>
      </c>
      <c r="M17" s="367" t="str">
        <f t="shared" ca="1" si="7"/>
        <v>Completed</v>
      </c>
      <c r="N17" s="85"/>
      <c r="O17" s="50"/>
      <c r="P17" s="50"/>
      <c r="Q17" s="50"/>
      <c r="R17" s="50"/>
      <c r="S17" s="50"/>
      <c r="T17" s="50"/>
      <c r="U17" s="50"/>
      <c r="V17" s="519"/>
      <c r="W17" s="626"/>
      <c r="X17" s="523"/>
      <c r="Y17" s="83"/>
      <c r="Z17" s="635"/>
      <c r="AC17" s="34" t="s">
        <v>63</v>
      </c>
      <c r="AD17" s="24" t="s">
        <v>70</v>
      </c>
    </row>
    <row r="18" spans="2:34" ht="47.1" customHeight="1">
      <c r="B18" s="1237"/>
      <c r="C18" s="429" t="s">
        <v>86</v>
      </c>
      <c r="D18" s="518" t="s">
        <v>117</v>
      </c>
      <c r="E18" s="355">
        <f>NETWORKDAYS.INTL(F18,G18,"0000110",$AF$5:$AF$11)</f>
        <v>5</v>
      </c>
      <c r="F18" s="147">
        <f>MAX(WORKDAY.INTL(G17,1,"0000100",$AI$5:$AI$10),WORKDAY.INTL(G13,1,"0000100",$AI$5:$AI$10))</f>
        <v>46237</v>
      </c>
      <c r="G18" s="147">
        <f t="shared" ref="G18" si="8">WORKDAY.INTL(F18,4,"0000110")</f>
        <v>46243</v>
      </c>
      <c r="H18" s="34">
        <f>MAX(WORKDAY.INTL(I17,1,"0000100",$AI$5:$AI$10),WORKDAY.INTL(I13,1,"0000100",$AI$5:$AI$10))</f>
        <v>46237</v>
      </c>
      <c r="I18" s="34">
        <f>WORKDAY.INTL(H18,4,"0000110")</f>
        <v>46243</v>
      </c>
      <c r="J18" s="34"/>
      <c r="K18" s="34"/>
      <c r="L18" s="367"/>
      <c r="M18" s="367" t="str">
        <f t="shared" ca="1" si="7"/>
        <v>Not Started</v>
      </c>
      <c r="N18" s="85"/>
      <c r="O18" s="50"/>
      <c r="P18" s="50"/>
      <c r="Q18" s="50"/>
      <c r="R18" s="50"/>
      <c r="S18" s="50"/>
      <c r="T18" s="50"/>
      <c r="U18" s="50"/>
      <c r="V18" s="519"/>
      <c r="W18" s="626"/>
      <c r="X18" s="523"/>
      <c r="Y18" s="83" t="s">
        <v>224</v>
      </c>
      <c r="Z18" s="635" t="s">
        <v>120</v>
      </c>
      <c r="AC18" s="34" t="s">
        <v>64</v>
      </c>
      <c r="AD18" s="24" t="s">
        <v>70</v>
      </c>
    </row>
    <row r="19" spans="2:34" ht="47.1" customHeight="1">
      <c r="B19" s="1235"/>
      <c r="C19" s="430" t="s">
        <v>86</v>
      </c>
      <c r="D19" s="490" t="s">
        <v>122</v>
      </c>
      <c r="E19" s="348">
        <f>NETWORKDAYS.INTL(F19,G19,"0000110",$AF$5:$AF$11)</f>
        <v>2</v>
      </c>
      <c r="F19" s="349">
        <f t="shared" ref="F19" si="9">WORKDAY.INTL(G18,1,"0000110")</f>
        <v>46244</v>
      </c>
      <c r="G19" s="349">
        <f t="shared" ref="G19" si="10">WORKDAY.INTL(F19,1,"0000110")</f>
        <v>46245</v>
      </c>
      <c r="H19" s="70">
        <f>WORKDAY.INTL(I18,1,"0000110")</f>
        <v>46244</v>
      </c>
      <c r="I19" s="70">
        <f>WORKDAY.INTL(H19,1,"0000110")</f>
        <v>46245</v>
      </c>
      <c r="J19" s="70"/>
      <c r="K19" s="70"/>
      <c r="L19" s="380"/>
      <c r="M19" s="380" t="str">
        <f t="shared" ca="1" si="7"/>
        <v>Not Started</v>
      </c>
      <c r="N19" s="71"/>
      <c r="O19" s="72"/>
      <c r="P19" s="72"/>
      <c r="Q19" s="72"/>
      <c r="R19" s="72"/>
      <c r="S19" s="72"/>
      <c r="T19" s="72"/>
      <c r="U19" s="72"/>
      <c r="V19" s="520"/>
      <c r="W19" s="626"/>
      <c r="X19" s="525"/>
      <c r="Y19" s="69"/>
      <c r="Z19" s="636"/>
      <c r="AC19" s="34" t="s">
        <v>65</v>
      </c>
      <c r="AD19" s="24" t="s">
        <v>70</v>
      </c>
    </row>
    <row r="20" spans="2:34" s="19" customFormat="1" ht="4.5" customHeight="1">
      <c r="B20" s="114"/>
      <c r="C20" s="114"/>
      <c r="D20" s="381" t="s">
        <v>225</v>
      </c>
      <c r="E20" s="382"/>
      <c r="F20" s="650"/>
      <c r="G20" s="650"/>
      <c r="H20" s="114"/>
      <c r="I20" s="114"/>
      <c r="J20" s="114"/>
      <c r="K20" s="114"/>
      <c r="L20" s="383"/>
      <c r="M20" s="383"/>
      <c r="N20" s="114"/>
      <c r="O20" s="114"/>
      <c r="P20" s="114"/>
      <c r="Q20" s="114"/>
      <c r="R20" s="114"/>
      <c r="S20" s="114"/>
      <c r="T20" s="114"/>
      <c r="U20" s="114"/>
      <c r="V20" s="383"/>
      <c r="W20" s="510"/>
      <c r="X20" s="661"/>
      <c r="Y20" s="662"/>
      <c r="Z20" s="663"/>
      <c r="AC20" s="33"/>
      <c r="AD20" s="33"/>
    </row>
    <row r="21" spans="2:34" ht="39" customHeight="1">
      <c r="B21" s="1240" t="s">
        <v>227</v>
      </c>
      <c r="C21" s="564" t="s">
        <v>86</v>
      </c>
      <c r="D21" s="390" t="s">
        <v>109</v>
      </c>
      <c r="E21" s="391">
        <f>NETWORKDAYS.INTL(F21,G21,"0000100",$AF$5:$AF$11)</f>
        <v>7</v>
      </c>
      <c r="F21" s="342">
        <f>WORKDAY.INTL(G17,1,"0000100",$AF$5:$AF$10)</f>
        <v>46212</v>
      </c>
      <c r="G21" s="342">
        <f>WORKDAY.INTL(F21,6,"0000100",$AF$5:$AF$10)</f>
        <v>46219</v>
      </c>
      <c r="H21" s="54">
        <f>WORKDAY.INTL(I17,1,"0000100",$AF$5:$AF$10)</f>
        <v>46212</v>
      </c>
      <c r="I21" s="54">
        <f>WORKDAY.INTL(H21,6,"0000100",$AF$5:$AF$10)</f>
        <v>46219</v>
      </c>
      <c r="J21" s="54"/>
      <c r="K21" s="54"/>
      <c r="L21" s="393">
        <v>1</v>
      </c>
      <c r="M21" s="393"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5"/>
      <c r="W21" s="651"/>
      <c r="X21" s="652"/>
      <c r="Y21" s="653"/>
      <c r="Z21" s="654"/>
      <c r="AC21" s="34" t="s">
        <v>62</v>
      </c>
      <c r="AD21" s="24" t="s">
        <v>71</v>
      </c>
      <c r="AH21" s="37"/>
    </row>
    <row r="22" spans="2:34" ht="39" customHeight="1">
      <c r="B22" s="1241"/>
      <c r="C22" s="566" t="s">
        <v>86</v>
      </c>
      <c r="D22" s="646" t="s">
        <v>111</v>
      </c>
      <c r="E22" s="399">
        <f>NETWORKDAYS.INTL(F22,G22,"0000100",$AF$5:$AF$11)</f>
        <v>3</v>
      </c>
      <c r="F22" s="338">
        <f>WORKDAY.INTL(G21,1,"0000100",$AF$5:$AF$10)</f>
        <v>46221</v>
      </c>
      <c r="G22" s="338">
        <f>WORKDAY.INTL(F22,2,"0000100",$AF$5:$AF$10)</f>
        <v>46223</v>
      </c>
      <c r="H22" s="41">
        <f>WORKDAY.INTL(I21,1,"0000100",$AF$5:$AF$10)</f>
        <v>46221</v>
      </c>
      <c r="I22" s="41">
        <f>WORKDAY.INTL(H22,2,"0000100",$AF$5:$AF$10)</f>
        <v>46223</v>
      </c>
      <c r="J22" s="41"/>
      <c r="K22" s="41"/>
      <c r="L22" s="401">
        <v>1</v>
      </c>
      <c r="M22" s="401" t="str">
        <f t="shared" ca="1" si="11"/>
        <v>Completed</v>
      </c>
      <c r="N22" s="131"/>
      <c r="O22" s="647"/>
      <c r="P22" s="647"/>
      <c r="Q22" s="647"/>
      <c r="R22" s="647"/>
      <c r="S22" s="647"/>
      <c r="T22" s="647"/>
      <c r="U22" s="647"/>
      <c r="V22" s="567"/>
      <c r="W22" s="626"/>
      <c r="X22" s="655" t="s">
        <v>228</v>
      </c>
      <c r="Y22" s="656"/>
      <c r="Z22" s="657"/>
      <c r="AC22" s="34" t="s">
        <v>63</v>
      </c>
      <c r="AD22" s="24" t="s">
        <v>71</v>
      </c>
    </row>
    <row r="23" spans="2:34" ht="39" customHeight="1">
      <c r="B23" s="1241"/>
      <c r="C23" s="566" t="s">
        <v>86</v>
      </c>
      <c r="D23" s="648" t="s">
        <v>117</v>
      </c>
      <c r="E23" s="399">
        <f>NETWORKDAYS.INTL(F23,G23,"0000110",$AF$5:$AF$11)</f>
        <v>5</v>
      </c>
      <c r="F23" s="338">
        <f>MAX(WORKDAY.INTL(G22,1,"0000100",$AI$5:$AI$10),WORKDAY.INTL(G18,1,"0000100",$AI$5:$AI$10))</f>
        <v>46244</v>
      </c>
      <c r="G23" s="338">
        <f>WORKDAY.INTL(F23,4,"0000110")</f>
        <v>46250</v>
      </c>
      <c r="H23" s="41">
        <f>MAX(WORKDAY.INTL(I22,1,"0000100",$AI$5:$AI$10),WORKDAY.INTL(I18,1,"0000100",$AI$5:$AI$10))</f>
        <v>46244</v>
      </c>
      <c r="I23" s="41">
        <f>WORKDAY.INTL(H23,4,"0000110")</f>
        <v>46250</v>
      </c>
      <c r="J23" s="41"/>
      <c r="K23" s="41"/>
      <c r="L23" s="401"/>
      <c r="M23" s="401" t="str">
        <f t="shared" ca="1" si="11"/>
        <v>Not Started</v>
      </c>
      <c r="N23" s="131"/>
      <c r="O23" s="132"/>
      <c r="P23" s="132"/>
      <c r="Q23" s="132"/>
      <c r="R23" s="132"/>
      <c r="S23" s="132"/>
      <c r="T23" s="132"/>
      <c r="U23" s="132"/>
      <c r="V23" s="567"/>
      <c r="W23" s="626"/>
      <c r="X23" s="655"/>
      <c r="Y23" s="656" t="s">
        <v>224</v>
      </c>
      <c r="Z23" s="657" t="s">
        <v>120</v>
      </c>
      <c r="AC23" s="34" t="s">
        <v>64</v>
      </c>
      <c r="AD23" s="24" t="s">
        <v>71</v>
      </c>
    </row>
    <row r="24" spans="2:34" ht="39" customHeight="1">
      <c r="B24" s="1242"/>
      <c r="C24" s="568" t="s">
        <v>86</v>
      </c>
      <c r="D24" s="649" t="s">
        <v>122</v>
      </c>
      <c r="E24" s="395">
        <f>NETWORKDAYS.INTL(F24,G24,"0000110",$AF$5:$AF$11)</f>
        <v>2</v>
      </c>
      <c r="F24" s="345">
        <f t="shared" ref="F24" si="12">WORKDAY.INTL(G23,1,"0000110")</f>
        <v>46251</v>
      </c>
      <c r="G24" s="345">
        <f t="shared" ref="G24" si="13">WORKDAY.INTL(F24,1,"0000110")</f>
        <v>46252</v>
      </c>
      <c r="H24" s="60">
        <f>WORKDAY.INTL(I23,1,"0000110")</f>
        <v>46251</v>
      </c>
      <c r="I24" s="60">
        <f>WORKDAY.INTL(H24,1,"0000110")</f>
        <v>46252</v>
      </c>
      <c r="J24" s="60"/>
      <c r="K24" s="60"/>
      <c r="L24" s="397"/>
      <c r="M24" s="397" t="str">
        <f t="shared" ca="1" si="11"/>
        <v>Not Started</v>
      </c>
      <c r="N24" s="126"/>
      <c r="O24" s="133"/>
      <c r="P24" s="133"/>
      <c r="Q24" s="133"/>
      <c r="R24" s="133"/>
      <c r="S24" s="133"/>
      <c r="T24" s="133"/>
      <c r="U24" s="133"/>
      <c r="V24" s="569"/>
      <c r="W24" s="626"/>
      <c r="X24" s="658"/>
      <c r="Y24" s="659"/>
      <c r="Z24" s="660"/>
      <c r="AC24" s="34" t="s">
        <v>65</v>
      </c>
      <c r="AD24" s="24" t="s">
        <v>71</v>
      </c>
    </row>
    <row r="25" spans="2:34" s="19" customFormat="1" ht="4.5" customHeight="1">
      <c r="B25" s="114"/>
      <c r="C25" s="114"/>
      <c r="D25" s="381" t="s">
        <v>225</v>
      </c>
      <c r="E25" s="382"/>
      <c r="F25" s="650"/>
      <c r="G25" s="650"/>
      <c r="H25" s="114"/>
      <c r="I25" s="114"/>
      <c r="J25" s="114"/>
      <c r="K25" s="114"/>
      <c r="L25" s="383"/>
      <c r="M25" s="383"/>
      <c r="N25" s="114"/>
      <c r="O25" s="114"/>
      <c r="P25" s="114"/>
      <c r="Q25" s="114"/>
      <c r="R25" s="114"/>
      <c r="S25" s="114"/>
      <c r="T25" s="114"/>
      <c r="U25" s="114"/>
      <c r="V25" s="383"/>
      <c r="W25" s="510"/>
      <c r="X25" s="661"/>
      <c r="Y25" s="662"/>
      <c r="Z25" s="663"/>
      <c r="AC25" s="33"/>
      <c r="AD25" s="33"/>
    </row>
    <row r="26" spans="2:34" ht="45.95" customHeight="1">
      <c r="B26" s="1234" t="s">
        <v>229</v>
      </c>
      <c r="C26" s="428" t="s">
        <v>86</v>
      </c>
      <c r="D26" s="376" t="s">
        <v>109</v>
      </c>
      <c r="E26" s="347">
        <f>NETWORKDAYS.INTL(F26,G26,"0000100",$AF$5:$AF$11)</f>
        <v>7</v>
      </c>
      <c r="F26" s="146">
        <f>WORKDAY.INTL(G22,1,"0000100",$AF$5:$AF$10)</f>
        <v>46224</v>
      </c>
      <c r="G26" s="146">
        <f>WORKDAY.INTL(F26,6,"0000100",$AF$5:$AF$10)</f>
        <v>46231</v>
      </c>
      <c r="H26" s="67">
        <f>WORKDAY.INTL(I22,1,"0000100",$AF$5:$AF$10)</f>
        <v>46224</v>
      </c>
      <c r="I26" s="67">
        <f>WORKDAY.INTL(H26,6,"0000100",$AF$5:$AF$10)</f>
        <v>46231</v>
      </c>
      <c r="J26" s="67"/>
      <c r="K26" s="67">
        <v>46218</v>
      </c>
      <c r="L26" s="377">
        <v>1</v>
      </c>
      <c r="M26" s="377"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7"/>
      <c r="W26" s="626"/>
      <c r="X26" s="522" t="s">
        <v>230</v>
      </c>
      <c r="Y26" s="66" t="s">
        <v>231</v>
      </c>
      <c r="Z26" s="634" t="s">
        <v>232</v>
      </c>
      <c r="AC26" s="34" t="s">
        <v>62</v>
      </c>
      <c r="AD26" s="24" t="s">
        <v>72</v>
      </c>
    </row>
    <row r="27" spans="2:34" ht="45.95" customHeight="1">
      <c r="B27" s="1237"/>
      <c r="C27" s="429" t="s">
        <v>86</v>
      </c>
      <c r="D27" s="518" t="s">
        <v>111</v>
      </c>
      <c r="E27" s="355">
        <f>NETWORKDAYS.INTL(F27,G27,"0000100",$AF$5:$AF$11)</f>
        <v>3</v>
      </c>
      <c r="F27" s="147">
        <f>WORKDAY.INTL(G26,1,"0000100",$AF$5:$AF$10)</f>
        <v>46232</v>
      </c>
      <c r="G27" s="147">
        <f>WORKDAY.INTL(F27,2,"0000100",$AF$5:$AF$10)</f>
        <v>46235</v>
      </c>
      <c r="H27" s="34">
        <f>WORKDAY.INTL(I26,1,"0000100",$AF$5:$AF$10)</f>
        <v>46232</v>
      </c>
      <c r="I27" s="34">
        <f>WORKDAY.INTL(H27,2,"0000100",$AF$5:$AF$10)</f>
        <v>46235</v>
      </c>
      <c r="J27" s="34">
        <v>46219</v>
      </c>
      <c r="K27" s="34">
        <v>46222</v>
      </c>
      <c r="L27" s="367">
        <v>1</v>
      </c>
      <c r="M27" s="367" t="str">
        <f t="shared" ca="1" si="14"/>
        <v>Completed</v>
      </c>
      <c r="N27" s="85"/>
      <c r="O27" s="50"/>
      <c r="P27" s="50"/>
      <c r="Q27" s="50"/>
      <c r="R27" s="50"/>
      <c r="S27" s="50"/>
      <c r="T27" s="50"/>
      <c r="U27" s="50"/>
      <c r="V27" s="519"/>
      <c r="W27" s="626"/>
      <c r="X27" s="523"/>
      <c r="Y27" s="83"/>
      <c r="Z27" s="635"/>
      <c r="AC27" s="34" t="s">
        <v>63</v>
      </c>
      <c r="AD27" s="24" t="s">
        <v>72</v>
      </c>
    </row>
    <row r="28" spans="2:34" ht="45.95" customHeight="1">
      <c r="B28" s="1237"/>
      <c r="C28" s="429" t="s">
        <v>86</v>
      </c>
      <c r="D28" s="518" t="s">
        <v>117</v>
      </c>
      <c r="E28" s="355">
        <f>NETWORKDAYS.INTL(F28,G28,"0000110",$AF$5:$AF$11)</f>
        <v>4</v>
      </c>
      <c r="F28" s="147">
        <f>MAX(WORKDAY.INTL(G27,1,"0000100",$AI$5:$AI$10),WORKDAY.INTL(G23,1,"0000100",$AI$5:$AI$10))</f>
        <v>46251</v>
      </c>
      <c r="G28" s="147">
        <f t="shared" ref="G28" si="15">WORKDAY.INTL(F28,3,"0000110")</f>
        <v>46254</v>
      </c>
      <c r="H28" s="34">
        <f>MAX(WORKDAY.INTL(I27,1,"0000100",$AI$5:$AI$10),WORKDAY.INTL(I23,1,"0000100",$AI$5:$AI$10))</f>
        <v>46251</v>
      </c>
      <c r="I28" s="34">
        <f>WORKDAY.INTL(H28,3,"0000110")</f>
        <v>46254</v>
      </c>
      <c r="J28" s="34"/>
      <c r="K28" s="34"/>
      <c r="L28" s="367"/>
      <c r="M28" s="367" t="str">
        <f t="shared" ca="1" si="14"/>
        <v>Not Started</v>
      </c>
      <c r="N28" s="85"/>
      <c r="O28" s="50"/>
      <c r="P28" s="50"/>
      <c r="Q28" s="50"/>
      <c r="R28" s="50"/>
      <c r="S28" s="50"/>
      <c r="T28" s="50"/>
      <c r="U28" s="50"/>
      <c r="V28" s="519"/>
      <c r="W28" s="626"/>
      <c r="X28" s="523"/>
      <c r="Y28" s="83" t="s">
        <v>224</v>
      </c>
      <c r="Z28" s="635" t="s">
        <v>120</v>
      </c>
      <c r="AC28" s="34" t="s">
        <v>64</v>
      </c>
      <c r="AD28" s="24" t="s">
        <v>72</v>
      </c>
    </row>
    <row r="29" spans="2:34" ht="45.95" customHeight="1">
      <c r="B29" s="1235"/>
      <c r="C29" s="430" t="s">
        <v>86</v>
      </c>
      <c r="D29" s="490" t="s">
        <v>122</v>
      </c>
      <c r="E29" s="348">
        <f>NETWORKDAYS.INTL(F29,G29,"0000110",$AF$5:$AF$11)</f>
        <v>2</v>
      </c>
      <c r="F29" s="349">
        <f t="shared" ref="F29" si="16">WORKDAY.INTL(G28,1,"0000110")</f>
        <v>46257</v>
      </c>
      <c r="G29" s="349">
        <f t="shared" ref="G29" si="17">WORKDAY.INTL(F29,1,"0000110")</f>
        <v>46258</v>
      </c>
      <c r="H29" s="70">
        <f>WORKDAY.INTL(I28,1,"0000110")</f>
        <v>46257</v>
      </c>
      <c r="I29" s="70">
        <f>WORKDAY.INTL(H29,1,"0000110")</f>
        <v>46258</v>
      </c>
      <c r="J29" s="70"/>
      <c r="K29" s="70"/>
      <c r="L29" s="380"/>
      <c r="M29" s="380" t="str">
        <f t="shared" ca="1" si="14"/>
        <v>Not Started</v>
      </c>
      <c r="N29" s="71"/>
      <c r="O29" s="72"/>
      <c r="P29" s="72"/>
      <c r="Q29" s="72"/>
      <c r="R29" s="72"/>
      <c r="S29" s="72"/>
      <c r="T29" s="72"/>
      <c r="U29" s="72"/>
      <c r="V29" s="520"/>
      <c r="W29" s="626"/>
      <c r="X29" s="525"/>
      <c r="Y29" s="69"/>
      <c r="Z29" s="636"/>
      <c r="AC29" s="34" t="s">
        <v>65</v>
      </c>
      <c r="AD29" s="24" t="s">
        <v>72</v>
      </c>
    </row>
    <row r="30" spans="2:34" s="19" customFormat="1" ht="9.9499999999999993" customHeight="1">
      <c r="B30" s="114"/>
      <c r="C30" s="114"/>
      <c r="D30" s="381" t="s">
        <v>225</v>
      </c>
      <c r="E30" s="382"/>
      <c r="F30" s="650"/>
      <c r="G30" s="650"/>
      <c r="H30" s="114"/>
      <c r="I30" s="114"/>
      <c r="J30" s="114"/>
      <c r="K30" s="114"/>
      <c r="L30" s="383"/>
      <c r="M30" s="383"/>
      <c r="N30" s="114"/>
      <c r="O30" s="114"/>
      <c r="P30" s="114"/>
      <c r="Q30" s="114"/>
      <c r="R30" s="114"/>
      <c r="S30" s="114"/>
      <c r="T30" s="114"/>
      <c r="U30" s="114"/>
      <c r="V30" s="383"/>
      <c r="W30" s="510"/>
      <c r="X30" s="661"/>
      <c r="Y30" s="662"/>
      <c r="Z30" s="663"/>
      <c r="AC30" s="33"/>
      <c r="AD30" s="33"/>
    </row>
    <row r="31" spans="2:34" ht="42" customHeight="1">
      <c r="B31" s="1240" t="s">
        <v>233</v>
      </c>
      <c r="C31" s="564" t="s">
        <v>86</v>
      </c>
      <c r="D31" s="390" t="s">
        <v>109</v>
      </c>
      <c r="E31" s="391">
        <f>NETWORKDAYS.INTL(F31,G31,"0000100",$AF$5:$AF$11)</f>
        <v>7</v>
      </c>
      <c r="F31" s="342">
        <f>WORKDAY.INTL(G27,1,"0000100",$AF$5:$AF$10)</f>
        <v>46236</v>
      </c>
      <c r="G31" s="342">
        <f>WORKDAY.INTL(F31,6,"0000100",$AF$5:$AF$10)</f>
        <v>46243</v>
      </c>
      <c r="H31" s="54">
        <f>WORKDAY.INTL(I27,1,"0000100",$AF$5:$AF$10)</f>
        <v>46236</v>
      </c>
      <c r="I31" s="54">
        <f>WORKDAY.INTL(H31,6,"0000100",$AF$5:$AF$10)</f>
        <v>46243</v>
      </c>
      <c r="J31" s="54">
        <v>46217</v>
      </c>
      <c r="K31" s="54">
        <v>46225</v>
      </c>
      <c r="L31" s="393">
        <v>0.95</v>
      </c>
      <c r="M31" s="393" t="str">
        <f t="shared" ref="M31:M34" ca="1" si="18">IF(L31=100%,"Completed",
IF(AND(L31&lt;100%,G31&lt;TODAY()),"Delayed",
IF(AND(OR(L31="",L31=0),F31&gt;TODAY()),"Not Started",
IF(AND(OR(L31="",L31=0),F31&lt;=TODAY()),"Delayed",
IF(AND(L31&gt;0,L31&lt;100%),"In Progress","")))))</f>
        <v>In Progress</v>
      </c>
      <c r="N31" s="124"/>
      <c r="O31" s="122"/>
      <c r="P31" s="122"/>
      <c r="Q31" s="122"/>
      <c r="R31" s="122"/>
      <c r="S31" s="122"/>
      <c r="T31" s="122"/>
      <c r="U31" s="122"/>
      <c r="V31" s="565"/>
      <c r="W31" s="651"/>
      <c r="X31" s="652"/>
      <c r="Y31" s="653" t="s">
        <v>231</v>
      </c>
      <c r="Z31" s="654" t="s">
        <v>232</v>
      </c>
      <c r="AC31" s="34" t="s">
        <v>62</v>
      </c>
      <c r="AD31" s="24" t="s">
        <v>73</v>
      </c>
      <c r="AH31" s="37"/>
    </row>
    <row r="32" spans="2:34" ht="42" customHeight="1">
      <c r="B32" s="1241"/>
      <c r="C32" s="566" t="s">
        <v>86</v>
      </c>
      <c r="D32" s="646" t="s">
        <v>111</v>
      </c>
      <c r="E32" s="399">
        <f>NETWORKDAYS.INTL(F32,G32,"0000100",$AF$5:$AF$11)</f>
        <v>3</v>
      </c>
      <c r="F32" s="338">
        <f>WORKDAY.INTL(G31,1,"0000100",$AF$5:$AF$10)</f>
        <v>46244</v>
      </c>
      <c r="G32" s="338">
        <f>WORKDAY.INTL(F32,2,"0000100",$AF$5:$AF$10)</f>
        <v>46246</v>
      </c>
      <c r="H32" s="41">
        <f>WORKDAY.INTL(I31,1,"0000100",$AF$5:$AF$10)</f>
        <v>46244</v>
      </c>
      <c r="I32" s="41">
        <f>WORKDAY.INTL(H32,2,"0000100",$AF$5:$AF$10)</f>
        <v>46246</v>
      </c>
      <c r="J32" s="41"/>
      <c r="K32" s="41"/>
      <c r="L32" s="401"/>
      <c r="M32" s="401" t="str">
        <f t="shared" ca="1" si="18"/>
        <v>Not Started</v>
      </c>
      <c r="N32" s="131"/>
      <c r="O32" s="647"/>
      <c r="P32" s="647"/>
      <c r="Q32" s="647"/>
      <c r="R32" s="647"/>
      <c r="S32" s="647"/>
      <c r="T32" s="647"/>
      <c r="U32" s="647"/>
      <c r="V32" s="567"/>
      <c r="W32" s="626"/>
      <c r="X32" s="655"/>
      <c r="Y32" s="656"/>
      <c r="Z32" s="657"/>
      <c r="AC32" s="34" t="s">
        <v>63</v>
      </c>
      <c r="AD32" s="24" t="s">
        <v>73</v>
      </c>
    </row>
    <row r="33" spans="2:34" ht="42" customHeight="1">
      <c r="B33" s="1241"/>
      <c r="C33" s="566" t="s">
        <v>86</v>
      </c>
      <c r="D33" s="648" t="s">
        <v>117</v>
      </c>
      <c r="E33" s="399">
        <f>NETWORKDAYS.INTL(F33,G33,"0000110",$AF$5:$AF$11)</f>
        <v>3</v>
      </c>
      <c r="F33" s="338">
        <f>MAX(WORKDAY.INTL(G32,1,"0000100",$AI$5:$AI$10),WORKDAY.INTL(G28,1,"0000100",$AI$5:$AI$10))</f>
        <v>46256</v>
      </c>
      <c r="G33" s="338">
        <f t="shared" ref="G33" si="19">WORKDAY.INTL(F33,3,"0000110")</f>
        <v>46259</v>
      </c>
      <c r="H33" s="41">
        <f>MAX(WORKDAY.INTL(I32,1,"0000100",$AI$5:$AI$10),WORKDAY.INTL(I28,1,"0000100",$AI$5:$AI$10))</f>
        <v>46256</v>
      </c>
      <c r="I33" s="41">
        <f>WORKDAY.INTL(H33,3,"0000110")</f>
        <v>46259</v>
      </c>
      <c r="J33" s="41"/>
      <c r="K33" s="41"/>
      <c r="L33" s="401"/>
      <c r="M33" s="401" t="str">
        <f t="shared" ca="1" si="18"/>
        <v>Not Started</v>
      </c>
      <c r="N33" s="131"/>
      <c r="O33" s="132"/>
      <c r="P33" s="132"/>
      <c r="Q33" s="132"/>
      <c r="R33" s="132"/>
      <c r="S33" s="132"/>
      <c r="T33" s="132"/>
      <c r="U33" s="132"/>
      <c r="V33" s="567"/>
      <c r="W33" s="626"/>
      <c r="X33" s="655"/>
      <c r="Y33" s="656" t="s">
        <v>224</v>
      </c>
      <c r="Z33" s="657" t="s">
        <v>234</v>
      </c>
      <c r="AC33" s="34" t="s">
        <v>64</v>
      </c>
      <c r="AD33" s="24" t="s">
        <v>73</v>
      </c>
    </row>
    <row r="34" spans="2:34" ht="42" customHeight="1">
      <c r="B34" s="1242"/>
      <c r="C34" s="568" t="s">
        <v>86</v>
      </c>
      <c r="D34" s="649" t="s">
        <v>122</v>
      </c>
      <c r="E34" s="395">
        <f>NETWORKDAYS.INTL(F34,G34,"0000110",$AF$5:$AF$11)</f>
        <v>2</v>
      </c>
      <c r="F34" s="345">
        <f t="shared" ref="F34" si="20">WORKDAY.INTL(G33,1,"0000110")</f>
        <v>46260</v>
      </c>
      <c r="G34" s="345">
        <f t="shared" ref="G34" si="21">WORKDAY.INTL(F34,1,"0000110")</f>
        <v>46261</v>
      </c>
      <c r="H34" s="60">
        <f>WORKDAY.INTL(I33,1,"0000110")</f>
        <v>46260</v>
      </c>
      <c r="I34" s="60">
        <f>WORKDAY.INTL(H34,1,"0000110")</f>
        <v>46261</v>
      </c>
      <c r="J34" s="60"/>
      <c r="K34" s="60"/>
      <c r="L34" s="397"/>
      <c r="M34" s="397" t="str">
        <f t="shared" ca="1" si="18"/>
        <v>Not Started</v>
      </c>
      <c r="N34" s="126"/>
      <c r="O34" s="133"/>
      <c r="P34" s="133"/>
      <c r="Q34" s="133"/>
      <c r="R34" s="133"/>
      <c r="S34" s="133"/>
      <c r="T34" s="133"/>
      <c r="U34" s="133"/>
      <c r="V34" s="569"/>
      <c r="W34" s="626"/>
      <c r="X34" s="658"/>
      <c r="Y34" s="659"/>
      <c r="Z34" s="660"/>
      <c r="AC34" s="34" t="s">
        <v>65</v>
      </c>
      <c r="AD34" s="24" t="s">
        <v>73</v>
      </c>
    </row>
    <row r="35" spans="2:34" s="19" customFormat="1" ht="9" customHeight="1">
      <c r="B35" s="114"/>
      <c r="C35" s="114"/>
      <c r="D35" s="381" t="s">
        <v>225</v>
      </c>
      <c r="E35" s="382"/>
      <c r="F35" s="650"/>
      <c r="G35" s="650"/>
      <c r="H35" s="114"/>
      <c r="I35" s="114"/>
      <c r="J35" s="114"/>
      <c r="K35" s="114"/>
      <c r="L35" s="383"/>
      <c r="M35" s="383"/>
      <c r="N35" s="114"/>
      <c r="O35" s="114"/>
      <c r="P35" s="114"/>
      <c r="Q35" s="114"/>
      <c r="R35" s="114"/>
      <c r="S35" s="114"/>
      <c r="T35" s="114"/>
      <c r="U35" s="114"/>
      <c r="V35" s="383"/>
      <c r="W35" s="510"/>
      <c r="X35" s="661"/>
      <c r="Y35" s="662"/>
      <c r="Z35" s="663"/>
      <c r="AC35" s="33"/>
      <c r="AD35" s="33"/>
    </row>
    <row r="36" spans="2:34" ht="45" customHeight="1">
      <c r="B36" s="1234" t="s">
        <v>235</v>
      </c>
      <c r="C36" s="428" t="s">
        <v>86</v>
      </c>
      <c r="D36" s="376" t="s">
        <v>109</v>
      </c>
      <c r="E36" s="347">
        <f>NETWORKDAYS.INTL(F36,G36,"0000100",$AF$5:$AF$11)</f>
        <v>7</v>
      </c>
      <c r="F36" s="146">
        <f>WORKDAY.INTL(G32,1,"0000100",$AF$5:$AF$10)</f>
        <v>46247</v>
      </c>
      <c r="G36" s="146">
        <f>WORKDAY.INTL(F36,6,"0000100",$AF$5:$AF$10)</f>
        <v>46254</v>
      </c>
      <c r="H36" s="67">
        <f>WORKDAY.INTL(I32,1,"0000100",$AF$5:$AF$10)</f>
        <v>46247</v>
      </c>
      <c r="I36" s="67">
        <f>WORKDAY.INTL(H36,6,"0000100",$AF$5:$AF$10)</f>
        <v>46254</v>
      </c>
      <c r="J36" s="67"/>
      <c r="K36" s="67"/>
      <c r="L36" s="377"/>
      <c r="M36" s="377" t="str">
        <f t="shared" ref="M36:M50" ca="1" si="22">IF(L36=100%,"Completed",
IF(AND(L36&lt;100%,G36&lt;TODAY()),"Delayed",
IF(AND(OR(L36="",L36=0),F36&gt;TODAY()),"Not Started",
IF(AND(OR(L36="",L36=0),F36&lt;=TODAY()),"Delayed",
IF(AND(L36&gt;0,L36&lt;100%),"In Progress","")))))</f>
        <v>Not Started</v>
      </c>
      <c r="N36" s="68"/>
      <c r="O36" s="112"/>
      <c r="P36" s="112"/>
      <c r="Q36" s="112"/>
      <c r="R36" s="112"/>
      <c r="S36" s="112"/>
      <c r="T36" s="112"/>
      <c r="U36" s="112"/>
      <c r="V36" s="517"/>
      <c r="W36" s="626"/>
      <c r="X36" s="522"/>
      <c r="Y36" s="66" t="s">
        <v>231</v>
      </c>
      <c r="Z36" s="634" t="s">
        <v>232</v>
      </c>
      <c r="AC36" s="34" t="s">
        <v>62</v>
      </c>
      <c r="AD36" s="24" t="s">
        <v>74</v>
      </c>
    </row>
    <row r="37" spans="2:34" ht="45" customHeight="1">
      <c r="B37" s="1237"/>
      <c r="C37" s="429" t="s">
        <v>86</v>
      </c>
      <c r="D37" s="518" t="s">
        <v>111</v>
      </c>
      <c r="E37" s="355">
        <f>NETWORKDAYS.INTL(F37,G37,"0000100",$AF$5:$AF$11)</f>
        <v>3</v>
      </c>
      <c r="F37" s="147">
        <f>WORKDAY.INTL(G36,1,"0000100",$AF$5:$AF$10)</f>
        <v>46256</v>
      </c>
      <c r="G37" s="147">
        <f>WORKDAY.INTL(F37,2,"0000100",$AF$5:$AF$10)</f>
        <v>46258</v>
      </c>
      <c r="H37" s="34">
        <f>WORKDAY.INTL(I36,1,"0000100",$AF$5:$AF$10)</f>
        <v>46256</v>
      </c>
      <c r="I37" s="34">
        <f>WORKDAY.INTL(H37,2,"0000100",$AF$5:$AF$10)</f>
        <v>46258</v>
      </c>
      <c r="J37" s="34"/>
      <c r="K37" s="34"/>
      <c r="L37" s="367"/>
      <c r="M37" s="367" t="str">
        <f t="shared" ca="1" si="22"/>
        <v>Not Started</v>
      </c>
      <c r="N37" s="85"/>
      <c r="O37" s="50"/>
      <c r="P37" s="50"/>
      <c r="Q37" s="50"/>
      <c r="R37" s="50"/>
      <c r="S37" s="50"/>
      <c r="T37" s="50"/>
      <c r="U37" s="50"/>
      <c r="V37" s="519"/>
      <c r="W37" s="626"/>
      <c r="X37" s="523"/>
      <c r="Y37" s="83"/>
      <c r="Z37" s="635"/>
      <c r="AC37" s="34" t="s">
        <v>63</v>
      </c>
      <c r="AD37" s="24" t="s">
        <v>74</v>
      </c>
    </row>
    <row r="38" spans="2:34" ht="45" customHeight="1">
      <c r="B38" s="1237"/>
      <c r="C38" s="429" t="s">
        <v>86</v>
      </c>
      <c r="D38" s="518" t="s">
        <v>117</v>
      </c>
      <c r="E38" s="355">
        <f>NETWORKDAYS.INTL(F38,G38,"0000110",$AF$5:$AF$11)</f>
        <v>4</v>
      </c>
      <c r="F38" s="147">
        <f>MAX(WORKDAY.INTL(G37,1,"0000100",$AI$5:$AI$10),WORKDAY.INTL(G33,1,"0000100",$AI$5:$AI$10))</f>
        <v>46260</v>
      </c>
      <c r="G38" s="147">
        <f t="shared" ref="G38" si="23">WORKDAY.INTL(F38,3,"0000110")</f>
        <v>46265</v>
      </c>
      <c r="H38" s="34">
        <f>MAX(WORKDAY.INTL(I37,1,"0000100",$AI$5:$AI$10),WORKDAY.INTL(I33,1,"0000100",$AI$5:$AI$10))</f>
        <v>46260</v>
      </c>
      <c r="I38" s="34">
        <f>WORKDAY.INTL(H38,3,"0000110")</f>
        <v>46265</v>
      </c>
      <c r="J38" s="34"/>
      <c r="K38" s="34"/>
      <c r="L38" s="367"/>
      <c r="M38" s="367" t="str">
        <f t="shared" ca="1" si="22"/>
        <v>Not Started</v>
      </c>
      <c r="N38" s="85"/>
      <c r="O38" s="50"/>
      <c r="P38" s="50"/>
      <c r="Q38" s="50"/>
      <c r="R38" s="50"/>
      <c r="S38" s="50"/>
      <c r="T38" s="50"/>
      <c r="U38" s="50"/>
      <c r="V38" s="519"/>
      <c r="W38" s="626"/>
      <c r="X38" s="523"/>
      <c r="Y38" s="83" t="s">
        <v>224</v>
      </c>
      <c r="Z38" s="635" t="s">
        <v>120</v>
      </c>
      <c r="AC38" s="34" t="s">
        <v>64</v>
      </c>
      <c r="AD38" s="24" t="s">
        <v>74</v>
      </c>
    </row>
    <row r="39" spans="2:34" ht="45" customHeight="1">
      <c r="B39" s="1235"/>
      <c r="C39" s="430" t="s">
        <v>86</v>
      </c>
      <c r="D39" s="490" t="s">
        <v>122</v>
      </c>
      <c r="E39" s="348">
        <f>NETWORKDAYS.INTL(F39,G39,"0000110",$AF$5:$AF$11)</f>
        <v>2</v>
      </c>
      <c r="F39" s="349">
        <f t="shared" ref="F39" si="24">WORKDAY.INTL(G38,1,"0000110")</f>
        <v>46266</v>
      </c>
      <c r="G39" s="349">
        <f t="shared" ref="G39" si="25">WORKDAY.INTL(F39,1,"0000110")</f>
        <v>46267</v>
      </c>
      <c r="H39" s="70">
        <f>WORKDAY.INTL(I38,1,"0000110")</f>
        <v>46266</v>
      </c>
      <c r="I39" s="70">
        <f>WORKDAY.INTL(H39,1,"0000110")</f>
        <v>46267</v>
      </c>
      <c r="J39" s="70"/>
      <c r="K39" s="70"/>
      <c r="L39" s="380"/>
      <c r="M39" s="380" t="str">
        <f t="shared" ca="1" si="22"/>
        <v>Not Started</v>
      </c>
      <c r="N39" s="71"/>
      <c r="O39" s="72"/>
      <c r="P39" s="72"/>
      <c r="Q39" s="72"/>
      <c r="R39" s="72"/>
      <c r="S39" s="72"/>
      <c r="T39" s="72"/>
      <c r="U39" s="72"/>
      <c r="V39" s="520"/>
      <c r="W39" s="626"/>
      <c r="X39" s="525"/>
      <c r="Y39" s="69"/>
      <c r="Z39" s="636"/>
      <c r="AC39" s="34" t="s">
        <v>65</v>
      </c>
      <c r="AD39" s="24" t="s">
        <v>74</v>
      </c>
    </row>
    <row r="40" spans="2:34" s="19" customFormat="1" ht="7.5" customHeight="1">
      <c r="B40" s="114"/>
      <c r="C40" s="114"/>
      <c r="D40" s="381" t="s">
        <v>225</v>
      </c>
      <c r="E40" s="382"/>
      <c r="F40" s="650"/>
      <c r="G40" s="650"/>
      <c r="H40" s="114"/>
      <c r="I40" s="114"/>
      <c r="J40" s="114"/>
      <c r="K40" s="114"/>
      <c r="L40" s="383"/>
      <c r="M40" s="383"/>
      <c r="N40" s="114"/>
      <c r="O40" s="114"/>
      <c r="P40" s="114"/>
      <c r="Q40" s="114"/>
      <c r="R40" s="114"/>
      <c r="S40" s="114"/>
      <c r="T40" s="114"/>
      <c r="U40" s="114"/>
      <c r="V40" s="383"/>
      <c r="W40" s="510"/>
      <c r="X40" s="661"/>
      <c r="Y40" s="662"/>
      <c r="Z40" s="663"/>
      <c r="AC40" s="33"/>
      <c r="AD40" s="33"/>
    </row>
    <row r="41" spans="2:34" ht="44.1" customHeight="1">
      <c r="B41" s="1240" t="s">
        <v>236</v>
      </c>
      <c r="C41" s="564" t="s">
        <v>86</v>
      </c>
      <c r="D41" s="390" t="s">
        <v>109</v>
      </c>
      <c r="E41" s="391">
        <f>NETWORKDAYS.INTL(F41,G41,"0000100",$AF$5:$AF$11)</f>
        <v>7</v>
      </c>
      <c r="F41" s="342">
        <f>WORKDAY.INTL(G37,1,"0000100",$AH$5:$AH$9)</f>
        <v>46259</v>
      </c>
      <c r="G41" s="342">
        <f>WORKDAY.INTL(F41,6,"0000100",$AF$5:$AF$10)</f>
        <v>46266</v>
      </c>
      <c r="H41" s="54">
        <f>WORKDAY.INTL(I37,1,"0000100",$AH$5:$AH$9)</f>
        <v>46259</v>
      </c>
      <c r="I41" s="54">
        <f>WORKDAY.INTL(H41,6,"0000100",$AF$5:$AF$10)</f>
        <v>46266</v>
      </c>
      <c r="J41" s="54"/>
      <c r="K41" s="54"/>
      <c r="L41" s="393"/>
      <c r="M41" s="393" t="str">
        <f t="shared" ca="1" si="22"/>
        <v>Not Started</v>
      </c>
      <c r="N41" s="124"/>
      <c r="O41" s="122"/>
      <c r="P41" s="122"/>
      <c r="Q41" s="122"/>
      <c r="R41" s="122"/>
      <c r="S41" s="122"/>
      <c r="T41" s="122"/>
      <c r="U41" s="122"/>
      <c r="V41" s="565"/>
      <c r="W41" s="651"/>
      <c r="X41" s="652"/>
      <c r="Y41" s="653" t="s">
        <v>231</v>
      </c>
      <c r="Z41" s="654" t="s">
        <v>232</v>
      </c>
      <c r="AC41" s="34" t="s">
        <v>62</v>
      </c>
      <c r="AD41" s="24" t="s">
        <v>75</v>
      </c>
      <c r="AH41" s="37"/>
    </row>
    <row r="42" spans="2:34" ht="44.1" customHeight="1">
      <c r="B42" s="1241"/>
      <c r="C42" s="566" t="s">
        <v>86</v>
      </c>
      <c r="D42" s="646" t="s">
        <v>111</v>
      </c>
      <c r="E42" s="399">
        <f>NETWORKDAYS.INTL(F42,G42,"0000100",$AF$5:$AF$11)</f>
        <v>3</v>
      </c>
      <c r="F42" s="338">
        <f>WORKDAY.INTL(G41,1,"0000100",$AF$5:$AF$10)</f>
        <v>46267</v>
      </c>
      <c r="G42" s="338">
        <f>WORKDAY.INTL(F42,2,"0000100",$AF$5:$AF$10)</f>
        <v>46270</v>
      </c>
      <c r="H42" s="41">
        <f>WORKDAY.INTL(I41,1,"0000100",$AF$5:$AF$10)</f>
        <v>46267</v>
      </c>
      <c r="I42" s="41">
        <f>WORKDAY.INTL(H42,2,"0000100",$AF$5:$AF$10)</f>
        <v>46270</v>
      </c>
      <c r="J42" s="41"/>
      <c r="K42" s="41"/>
      <c r="L42" s="401"/>
      <c r="M42" s="401" t="str">
        <f t="shared" ca="1" si="22"/>
        <v>Not Started</v>
      </c>
      <c r="N42" s="131"/>
      <c r="O42" s="647"/>
      <c r="P42" s="647"/>
      <c r="Q42" s="647"/>
      <c r="R42" s="647"/>
      <c r="S42" s="647"/>
      <c r="T42" s="647"/>
      <c r="U42" s="647"/>
      <c r="V42" s="567"/>
      <c r="W42" s="626"/>
      <c r="X42" s="655"/>
      <c r="Y42" s="656"/>
      <c r="Z42" s="657"/>
      <c r="AC42" s="34" t="s">
        <v>63</v>
      </c>
      <c r="AD42" s="24" t="s">
        <v>75</v>
      </c>
    </row>
    <row r="43" spans="2:34" ht="44.1" customHeight="1">
      <c r="B43" s="1241"/>
      <c r="C43" s="566" t="s">
        <v>86</v>
      </c>
      <c r="D43" s="648" t="s">
        <v>117</v>
      </c>
      <c r="E43" s="399">
        <f>NETWORKDAYS.INTL(F43,G43,"0000110",$AF$5:$AF$11)</f>
        <v>6</v>
      </c>
      <c r="F43" s="338">
        <f>MAX(WORKDAY.INTL(G42,1,"0000100",$AI$5:$AI$10),WORKDAY.INTL(G38,1,"0000100",$AI$5:$AI$10))</f>
        <v>46271</v>
      </c>
      <c r="G43" s="338">
        <f t="shared" ref="G43" si="26">WORKDAY.INTL(F43,5,"0000110")</f>
        <v>46278</v>
      </c>
      <c r="H43" s="41">
        <f>MAX(WORKDAY.INTL(I42,1,"0000100",$AI$5:$AI$10),WORKDAY.INTL(I38,1,"0000100",$AI$5:$AI$10))</f>
        <v>46271</v>
      </c>
      <c r="I43" s="41">
        <f>WORKDAY.INTL(H43,5,"0000110")</f>
        <v>46278</v>
      </c>
      <c r="J43" s="41"/>
      <c r="K43" s="41"/>
      <c r="L43" s="401"/>
      <c r="M43" s="401" t="str">
        <f t="shared" ca="1" si="22"/>
        <v>Not Started</v>
      </c>
      <c r="N43" s="131"/>
      <c r="O43" s="132"/>
      <c r="P43" s="132"/>
      <c r="Q43" s="132"/>
      <c r="R43" s="132"/>
      <c r="S43" s="132"/>
      <c r="T43" s="132"/>
      <c r="U43" s="132"/>
      <c r="V43" s="567"/>
      <c r="W43" s="626"/>
      <c r="X43" s="655"/>
      <c r="Y43" s="656" t="s">
        <v>224</v>
      </c>
      <c r="Z43" s="657" t="s">
        <v>120</v>
      </c>
      <c r="AC43" s="34" t="s">
        <v>64</v>
      </c>
      <c r="AD43" s="24" t="s">
        <v>75</v>
      </c>
    </row>
    <row r="44" spans="2:34" ht="44.1" customHeight="1">
      <c r="B44" s="1242"/>
      <c r="C44" s="568" t="s">
        <v>86</v>
      </c>
      <c r="D44" s="649" t="s">
        <v>122</v>
      </c>
      <c r="E44" s="395">
        <f>NETWORKDAYS.INTL(F44,G44,"0000110",$AF$5:$AF$11)</f>
        <v>2</v>
      </c>
      <c r="F44" s="345">
        <f t="shared" ref="F44" si="27">WORKDAY.INTL(G43,1,"0000110")</f>
        <v>46279</v>
      </c>
      <c r="G44" s="345">
        <f t="shared" ref="G44" si="28">WORKDAY.INTL(F44,1,"0000110")</f>
        <v>46280</v>
      </c>
      <c r="H44" s="60">
        <f>WORKDAY.INTL(I43,1,"0000110")</f>
        <v>46279</v>
      </c>
      <c r="I44" s="60">
        <f>WORKDAY.INTL(H44,1,"0000110")</f>
        <v>46280</v>
      </c>
      <c r="J44" s="60"/>
      <c r="K44" s="60"/>
      <c r="L44" s="397"/>
      <c r="M44" s="397" t="str">
        <f t="shared" ca="1" si="22"/>
        <v>Not Started</v>
      </c>
      <c r="N44" s="126"/>
      <c r="O44" s="133"/>
      <c r="P44" s="133"/>
      <c r="Q44" s="133"/>
      <c r="R44" s="133"/>
      <c r="S44" s="133"/>
      <c r="T44" s="133"/>
      <c r="U44" s="133"/>
      <c r="V44" s="569"/>
      <c r="W44" s="626"/>
      <c r="X44" s="658"/>
      <c r="Y44" s="659"/>
      <c r="Z44" s="660"/>
      <c r="AC44" s="34" t="s">
        <v>65</v>
      </c>
      <c r="AD44" s="24" t="s">
        <v>75</v>
      </c>
    </row>
    <row r="45" spans="2:34" s="19" customFormat="1">
      <c r="B45" s="114"/>
      <c r="C45" s="114"/>
      <c r="D45" s="381"/>
      <c r="E45" s="382"/>
      <c r="F45" s="650"/>
      <c r="G45" s="650"/>
      <c r="H45" s="114"/>
      <c r="I45" s="114"/>
      <c r="J45" s="114"/>
      <c r="K45" s="114"/>
      <c r="L45" s="383"/>
      <c r="M45" s="383"/>
      <c r="N45" s="114"/>
      <c r="O45" s="114"/>
      <c r="P45" s="114"/>
      <c r="Q45" s="114"/>
      <c r="R45" s="114"/>
      <c r="S45" s="114"/>
      <c r="T45" s="114"/>
      <c r="U45" s="114"/>
      <c r="V45" s="383"/>
      <c r="W45" s="510"/>
      <c r="X45" s="661"/>
      <c r="Y45" s="662"/>
      <c r="Z45" s="663"/>
      <c r="AC45" s="33"/>
      <c r="AD45" s="33"/>
    </row>
    <row r="46" spans="2:34" ht="58.5">
      <c r="B46" s="1234" t="s">
        <v>138</v>
      </c>
      <c r="C46" s="428" t="s">
        <v>138</v>
      </c>
      <c r="D46" s="376" t="s">
        <v>139</v>
      </c>
      <c r="E46" s="347">
        <f>NETWORKDAYS.INTL(F46,G46,"0000100",$AG$5:$AG$11)</f>
        <v>19</v>
      </c>
      <c r="F46" s="198">
        <f>WORKDAY.INTL(F47,3,"0000100",$AG$5:$AG$10)</f>
        <v>46250</v>
      </c>
      <c r="G46" s="198">
        <f>WORKDAY.INTL(F46,18,"0000100",$AG$5:$AG$9)</f>
        <v>46271</v>
      </c>
      <c r="H46" s="67">
        <f>WORKDAY.INTL(H47,3,"0000100",$AG$5:$AG$10)</f>
        <v>46250</v>
      </c>
      <c r="I46" s="67">
        <f>WORKDAY.INTL(H46,18,"0000100",$AG$5:$AG$9)</f>
        <v>46271</v>
      </c>
      <c r="J46" s="67"/>
      <c r="K46" s="67"/>
      <c r="L46" s="377"/>
      <c r="M46" s="377" t="str">
        <f t="shared" ca="1" si="22"/>
        <v>Not Started</v>
      </c>
      <c r="N46" s="68"/>
      <c r="O46" s="112"/>
      <c r="P46" s="112"/>
      <c r="Q46" s="112"/>
      <c r="R46" s="112"/>
      <c r="S46" s="112"/>
      <c r="T46" s="112"/>
      <c r="U46" s="112"/>
      <c r="V46" s="517"/>
      <c r="W46" s="626"/>
      <c r="X46" s="664" t="s">
        <v>140</v>
      </c>
      <c r="Y46" s="66" t="s">
        <v>237</v>
      </c>
      <c r="Z46" s="634"/>
      <c r="AA46" s="21"/>
      <c r="AC46" s="34"/>
    </row>
    <row r="47" spans="2:34" ht="58.5">
      <c r="B47" s="1237"/>
      <c r="C47" s="429" t="s">
        <v>138</v>
      </c>
      <c r="D47" s="518" t="s">
        <v>142</v>
      </c>
      <c r="E47" s="355">
        <f>NETWORKDAYS.INTL(F47,G47,"0000100",$AG$5:$AG$11)</f>
        <v>19</v>
      </c>
      <c r="F47" s="200">
        <f>WORKDAY.INTL(G65,10,"0000100",$AG$5:$AG$10)</f>
        <v>46246</v>
      </c>
      <c r="G47" s="200">
        <f>WORKDAY.INTL(F47,18,"0000100",$AG$5:$AG$9)</f>
        <v>46267</v>
      </c>
      <c r="H47" s="34">
        <f>WORKDAY.INTL(I65,10,"0000100",$AG$5:$AG$10)</f>
        <v>46246</v>
      </c>
      <c r="I47" s="34">
        <f>WORKDAY.INTL(H47,18,"0000100",$AG$5:$AG$9)</f>
        <v>46267</v>
      </c>
      <c r="J47" s="34"/>
      <c r="K47" s="34"/>
      <c r="L47" s="367"/>
      <c r="M47" s="367" t="str">
        <f t="shared" ca="1" si="22"/>
        <v>Not Started</v>
      </c>
      <c r="N47" s="85"/>
      <c r="O47" s="50"/>
      <c r="P47" s="50"/>
      <c r="Q47" s="50"/>
      <c r="R47" s="50"/>
      <c r="S47" s="50"/>
      <c r="T47" s="50"/>
      <c r="U47" s="50"/>
      <c r="V47" s="519"/>
      <c r="W47" s="626"/>
      <c r="X47" s="665" t="s">
        <v>140</v>
      </c>
      <c r="Y47" s="83" t="s">
        <v>237</v>
      </c>
      <c r="Z47" s="635"/>
      <c r="AA47" s="21"/>
      <c r="AC47" s="34"/>
    </row>
    <row r="48" spans="2:34" ht="58.5">
      <c r="B48" s="1235"/>
      <c r="C48" s="430" t="s">
        <v>138</v>
      </c>
      <c r="D48" s="378" t="s">
        <v>143</v>
      </c>
      <c r="E48" s="348">
        <f>NETWORKDAYS.INTL(F48,G48,"0000100",$AG$5:$AG$11)</f>
        <v>66</v>
      </c>
      <c r="F48" s="349">
        <f>F47</f>
        <v>46246</v>
      </c>
      <c r="G48" s="349">
        <f>WORKDAY.INTL(F48,65,"0000100",$AG$5:$AG$10)</f>
        <v>46322</v>
      </c>
      <c r="H48" s="70">
        <f>H47</f>
        <v>46246</v>
      </c>
      <c r="I48" s="70">
        <f>WORKDAY.INTL(H48,65,"0000100",$AG$5:$AG$10)</f>
        <v>46322</v>
      </c>
      <c r="J48" s="70"/>
      <c r="K48" s="70"/>
      <c r="L48" s="380"/>
      <c r="M48" s="380" t="str">
        <f t="shared" ca="1" si="22"/>
        <v>Not Started</v>
      </c>
      <c r="N48" s="71"/>
      <c r="O48" s="113"/>
      <c r="P48" s="113"/>
      <c r="Q48" s="113"/>
      <c r="R48" s="113"/>
      <c r="S48" s="113"/>
      <c r="T48" s="113"/>
      <c r="U48" s="113"/>
      <c r="V48" s="520"/>
      <c r="W48" s="626"/>
      <c r="X48" s="666" t="s">
        <v>238</v>
      </c>
      <c r="Y48" s="69" t="s">
        <v>237</v>
      </c>
      <c r="Z48" s="636"/>
      <c r="AA48" s="21"/>
      <c r="AC48" s="34"/>
    </row>
    <row r="49" spans="2:31" s="19" customFormat="1">
      <c r="B49" s="114"/>
      <c r="C49" s="114"/>
      <c r="D49" s="381"/>
      <c r="E49" s="382"/>
      <c r="F49" s="650"/>
      <c r="G49" s="650"/>
      <c r="H49" s="114"/>
      <c r="I49" s="114"/>
      <c r="J49" s="114"/>
      <c r="K49" s="114"/>
      <c r="L49" s="383"/>
      <c r="M49" s="383"/>
      <c r="N49" s="114"/>
      <c r="O49" s="114"/>
      <c r="P49" s="114"/>
      <c r="Q49" s="114"/>
      <c r="R49" s="114"/>
      <c r="S49" s="114"/>
      <c r="T49" s="114"/>
      <c r="U49" s="114"/>
      <c r="V49" s="383"/>
      <c r="W49" s="510"/>
      <c r="X49" s="661"/>
      <c r="Y49" s="662"/>
      <c r="Z49" s="663"/>
      <c r="AC49" s="33"/>
      <c r="AD49" s="33"/>
    </row>
    <row r="50" spans="2:31" s="19" customFormat="1" ht="153.75">
      <c r="B50" s="442" t="s">
        <v>145</v>
      </c>
      <c r="C50" s="545" t="s">
        <v>146</v>
      </c>
      <c r="D50" s="546" t="s">
        <v>239</v>
      </c>
      <c r="E50" s="547">
        <f>NETWORKDAYS.INTL(F50,G50,"0000110",$AG$5:$AG$11)</f>
        <v>3</v>
      </c>
      <c r="F50" s="667">
        <f>MAX(WORKDAY.INTL(G44,1,"0000110"),WORKDAY.INTL(G57,1,"0000110"),WORKDAY.INTL(G55,1,"0000110"))</f>
        <v>46287</v>
      </c>
      <c r="G50" s="667">
        <f t="shared" ref="G50" si="29">WORKDAY.INTL(F50,2,"0000110")</f>
        <v>46289</v>
      </c>
      <c r="H50" s="445">
        <f>MAX(WORKDAY.INTL(I44,1,"0000110"),WORKDAY.INTL(I57,1,"0000110"),WORKDAY.INTL(I55,1,"0000110"))</f>
        <v>46287</v>
      </c>
      <c r="I50" s="445">
        <f>WORKDAY.INTL(H50,2,"0000110")</f>
        <v>46289</v>
      </c>
      <c r="J50" s="445"/>
      <c r="K50" s="445"/>
      <c r="L50" s="444"/>
      <c r="M50" s="444" t="str">
        <f t="shared" ca="1" si="22"/>
        <v>Not Started</v>
      </c>
      <c r="N50" s="548"/>
      <c r="O50" s="549"/>
      <c r="P50" s="549"/>
      <c r="Q50" s="549"/>
      <c r="R50" s="549"/>
      <c r="S50" s="549"/>
      <c r="T50" s="549"/>
      <c r="U50" s="549"/>
      <c r="V50" s="669"/>
      <c r="W50" s="668"/>
      <c r="X50" s="673" t="s">
        <v>148</v>
      </c>
      <c r="Y50" s="674" t="s">
        <v>240</v>
      </c>
      <c r="Z50" s="675"/>
      <c r="AC50" s="33"/>
      <c r="AD50" s="33"/>
    </row>
    <row r="51" spans="2:31" ht="63" hidden="1" customHeight="1">
      <c r="B51" s="1243" t="s">
        <v>34</v>
      </c>
      <c r="C51" s="57" t="s">
        <v>241</v>
      </c>
      <c r="D51" s="670" t="s">
        <v>36</v>
      </c>
      <c r="E51" s="334">
        <f>NETWORKDAYS.INTL(F51,G51,"0000110",$AF$5:$AF$11)</f>
        <v>3</v>
      </c>
      <c r="F51" s="335">
        <f>MAX(WORKDAY.INTL(G42,1,"0000110",$AF$5:$AF$10),WORKDAY.INTL(G47,1,"0000110",$AF$5:$AF$10))</f>
        <v>46271</v>
      </c>
      <c r="G51" s="335">
        <f>WORKDAY.INTL(F51,2,"0000110",$AF$5:$AF$10)</f>
        <v>46273</v>
      </c>
      <c r="H51" s="48">
        <f>MAX(WORKDAY.INTL(I42,1,"0000110",$AF$5:$AF$10),WORKDAY.INTL(I47,1,"0000110",$AF$5:$AF$10))</f>
        <v>46271</v>
      </c>
      <c r="I51" s="48">
        <f>WORKDAY.INTL(H51,2,"0000110",$AF$5:$AF$10)</f>
        <v>46273</v>
      </c>
      <c r="J51" s="48"/>
      <c r="K51" s="48"/>
      <c r="L51" s="406"/>
      <c r="M51" s="406" t="str">
        <f t="shared" ref="M51:M55" ca="1" si="30">IF(OR(L51=100%,K51&lt;&gt;""),"Completed",IF(AND(OR(L51="",L51=0),F51&gt;TODAY()),"Not Started",IF(AND(OR(L51="",L51=0),F51&lt;=TODAY()),"Delayed",IF(AND(L51&gt;0,L51&lt;100%,G51&lt;TODAY()),"Delayed",IF(AND(L51&gt;0,L51&lt;100%),"In Progress","")))))</f>
        <v>Not Started</v>
      </c>
      <c r="N51" s="42"/>
      <c r="O51" s="671"/>
      <c r="P51" s="671"/>
      <c r="Q51" s="671"/>
      <c r="R51" s="671"/>
      <c r="S51" s="671"/>
      <c r="T51" s="671"/>
      <c r="U51" s="672"/>
      <c r="V51" s="406"/>
      <c r="W51" s="513"/>
      <c r="X51" s="230"/>
      <c r="Y51" s="40"/>
      <c r="Z51" s="135"/>
      <c r="AA51" s="21"/>
      <c r="AC51" s="34"/>
    </row>
    <row r="52" spans="2:31" ht="110.25" hidden="1">
      <c r="B52" s="1243"/>
      <c r="C52" s="57" t="s">
        <v>241</v>
      </c>
      <c r="D52" s="337" t="s">
        <v>38</v>
      </c>
      <c r="E52" s="336">
        <f>NETWORKDAYS.INTL(F52,G52,"0000110",$AF$5:$AF$11)</f>
        <v>5</v>
      </c>
      <c r="F52" s="338">
        <f>WORKDAY.INTL(G51,1,"0000110",$AF$5:$AF$10)</f>
        <v>46274</v>
      </c>
      <c r="G52" s="338">
        <f>WORKDAY.INTL(F52,4,"0000110",$AF$5:$AF$10)</f>
        <v>46280</v>
      </c>
      <c r="H52" s="41">
        <f>WORKDAY.INTL(I51,1,"0000110",$AF$5:$AF$10)</f>
        <v>46274</v>
      </c>
      <c r="I52" s="41">
        <f>WORKDAY.INTL(H52,4,"0000110",$AF$5:$AF$10)</f>
        <v>46280</v>
      </c>
      <c r="J52" s="41"/>
      <c r="K52" s="41"/>
      <c r="L52" s="401"/>
      <c r="M52" s="401" t="str">
        <f t="shared" ca="1" si="30"/>
        <v>Not Started</v>
      </c>
      <c r="N52" s="42"/>
      <c r="O52" s="46"/>
      <c r="P52" s="46"/>
      <c r="Q52" s="46"/>
      <c r="R52" s="46"/>
      <c r="S52" s="46"/>
      <c r="T52" s="46"/>
      <c r="U52" s="47"/>
      <c r="V52" s="401"/>
      <c r="W52" s="514"/>
      <c r="X52" s="138" t="s">
        <v>242</v>
      </c>
      <c r="Y52" s="44"/>
      <c r="Z52" s="136"/>
      <c r="AA52" s="21"/>
      <c r="AC52" s="19"/>
      <c r="AD52" s="19"/>
    </row>
    <row r="53" spans="2:31" ht="45" hidden="1" customHeight="1">
      <c r="B53" s="1243"/>
      <c r="C53" s="57" t="s">
        <v>241</v>
      </c>
      <c r="D53" s="337" t="s">
        <v>43</v>
      </c>
      <c r="E53" s="336">
        <f>NETWORKDAYS.INTL(F53,G53,"0000110",$AF$5:$AF$11)</f>
        <v>2</v>
      </c>
      <c r="F53" s="338">
        <f>WORKDAY.INTL(G52,1,"0000110",$AF$5:$AF$10)</f>
        <v>46281</v>
      </c>
      <c r="G53" s="338">
        <f>WORKDAY.INTL(F53,1,"0000110",$AF$5:$AF$10)</f>
        <v>46282</v>
      </c>
      <c r="H53" s="41">
        <f>WORKDAY.INTL(I52,1,"0000110",$AF$5:$AF$10)</f>
        <v>46281</v>
      </c>
      <c r="I53" s="41">
        <f>WORKDAY.INTL(H53,1,"0000110",$AF$5:$AF$10)</f>
        <v>46282</v>
      </c>
      <c r="J53" s="41"/>
      <c r="K53" s="41"/>
      <c r="L53" s="401"/>
      <c r="M53" s="401" t="str">
        <f t="shared" ca="1" si="30"/>
        <v>Not Started</v>
      </c>
      <c r="N53" s="42"/>
      <c r="O53" s="46"/>
      <c r="P53" s="46"/>
      <c r="Q53" s="46"/>
      <c r="R53" s="46"/>
      <c r="S53" s="46"/>
      <c r="T53" s="46"/>
      <c r="U53" s="47"/>
      <c r="V53" s="401"/>
      <c r="W53" s="514"/>
      <c r="X53" s="230"/>
      <c r="Y53" s="44"/>
      <c r="Z53" s="136"/>
      <c r="AA53" s="21"/>
      <c r="AC53" s="34"/>
    </row>
    <row r="54" spans="2:31" ht="45" hidden="1" customHeight="1">
      <c r="B54" s="1243"/>
      <c r="C54" s="57" t="s">
        <v>241</v>
      </c>
      <c r="D54" s="337" t="s">
        <v>44</v>
      </c>
      <c r="E54" s="336">
        <f>NETWORKDAYS.INTL(F54,G54,"0000110",$AF$5:$AF$11)</f>
        <v>1</v>
      </c>
      <c r="F54" s="338">
        <f>WORKDAY.INTL(G53,1,"0000110",$AF$5:$AF$10)</f>
        <v>46285</v>
      </c>
      <c r="G54" s="338">
        <f>WORKDAY.INTL(F54,0,"0000110",$AF$5:$AF$10)</f>
        <v>46285</v>
      </c>
      <c r="H54" s="41">
        <f>WORKDAY.INTL(I53,1,"0000110",$AF$5:$AF$10)</f>
        <v>46285</v>
      </c>
      <c r="I54" s="41">
        <f>WORKDAY.INTL(H54,0,"0000110",$AF$5:$AF$10)</f>
        <v>46285</v>
      </c>
      <c r="J54" s="41"/>
      <c r="K54" s="41"/>
      <c r="L54" s="401"/>
      <c r="M54" s="401" t="str">
        <f t="shared" ca="1" si="30"/>
        <v>Not Started</v>
      </c>
      <c r="N54" s="42"/>
      <c r="O54" s="46"/>
      <c r="P54" s="46"/>
      <c r="Q54" s="46"/>
      <c r="R54" s="46"/>
      <c r="S54" s="46"/>
      <c r="T54" s="46"/>
      <c r="U54" s="47"/>
      <c r="V54" s="401"/>
      <c r="W54" s="514"/>
      <c r="X54" s="230"/>
      <c r="Y54" s="44"/>
      <c r="Z54" s="136"/>
      <c r="AA54" s="21"/>
      <c r="AC54" s="34"/>
    </row>
    <row r="55" spans="2:31" ht="45" hidden="1" customHeight="1">
      <c r="B55" s="1244"/>
      <c r="C55" s="58" t="s">
        <v>241</v>
      </c>
      <c r="D55" s="343" t="s">
        <v>46</v>
      </c>
      <c r="E55" s="344">
        <f>NETWORKDAYS.INTL(F55,G55,"0000110",$AF$5:$AF$11)</f>
        <v>1</v>
      </c>
      <c r="F55" s="345">
        <f>WORKDAY.INTL(G54,1,"0000110",$AF$5:$AF$10)</f>
        <v>46286</v>
      </c>
      <c r="G55" s="345">
        <f>WORKDAY.INTL(F55,0,"0000110",$AF$5:$AF$10)</f>
        <v>46286</v>
      </c>
      <c r="H55" s="60">
        <f>WORKDAY.INTL(I54,1,"0000110",$AF$5:$AF$10)</f>
        <v>46286</v>
      </c>
      <c r="I55" s="60">
        <f>WORKDAY.INTL(H55,0,"0000110",$AF$5:$AF$10)</f>
        <v>46286</v>
      </c>
      <c r="J55" s="60"/>
      <c r="K55" s="60"/>
      <c r="L55" s="397"/>
      <c r="M55" s="397" t="str">
        <f t="shared" ca="1" si="30"/>
        <v>Not Started</v>
      </c>
      <c r="N55" s="61"/>
      <c r="O55" s="62"/>
      <c r="P55" s="62"/>
      <c r="Q55" s="62"/>
      <c r="R55" s="62"/>
      <c r="S55" s="62"/>
      <c r="T55" s="62"/>
      <c r="U55" s="63"/>
      <c r="V55" s="397"/>
      <c r="W55" s="515"/>
      <c r="X55" s="64"/>
      <c r="Y55" s="59"/>
      <c r="Z55" s="139"/>
      <c r="AA55" s="21"/>
      <c r="AC55" s="34"/>
    </row>
    <row r="56" spans="2:31" s="19" customFormat="1" ht="11.25" customHeight="1">
      <c r="B56" s="51"/>
      <c r="C56" s="51"/>
      <c r="D56" s="339"/>
      <c r="E56" s="340"/>
      <c r="F56" s="341"/>
      <c r="G56" s="341"/>
      <c r="H56" s="51"/>
      <c r="I56" s="51"/>
      <c r="J56" s="51"/>
      <c r="K56" s="51"/>
      <c r="L56" s="375"/>
      <c r="M56" s="375"/>
      <c r="N56" s="51"/>
      <c r="O56" s="51"/>
      <c r="P56" s="51"/>
      <c r="Q56" s="51"/>
      <c r="R56" s="51"/>
      <c r="S56" s="51"/>
      <c r="T56" s="51"/>
      <c r="U56" s="51"/>
      <c r="V56" s="375"/>
      <c r="W56" s="510"/>
      <c r="X56" s="53"/>
      <c r="Y56" s="52"/>
      <c r="Z56" s="137"/>
    </row>
    <row r="57" spans="2:31" ht="49.5">
      <c r="B57" s="1234" t="s">
        <v>150</v>
      </c>
      <c r="C57" s="428" t="s">
        <v>150</v>
      </c>
      <c r="D57" s="346" t="s">
        <v>47</v>
      </c>
      <c r="E57" s="347">
        <f>NETWORKDAYS.INTL(F57,G57,"0000110",$AF$5:$AF$11)</f>
        <v>30</v>
      </c>
      <c r="F57" s="146">
        <v>46244</v>
      </c>
      <c r="G57" s="146">
        <f>WORKDAY.INTL(F57,29,"0000110",$AI$5:$AI$10)</f>
        <v>46285</v>
      </c>
      <c r="H57" s="67">
        <v>46244</v>
      </c>
      <c r="I57" s="67">
        <f>WORKDAY.INTL(H57,29,"0000110",$AI$5:$AI$10)</f>
        <v>46285</v>
      </c>
      <c r="J57" s="67"/>
      <c r="K57" s="67"/>
      <c r="L57" s="377"/>
      <c r="M57" s="377"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7"/>
      <c r="W57" s="625"/>
      <c r="X57" s="522"/>
      <c r="Y57" s="66" t="s">
        <v>237</v>
      </c>
      <c r="Z57" s="634"/>
      <c r="AA57" s="21"/>
    </row>
    <row r="58" spans="2:31" ht="49.5">
      <c r="B58" s="1235"/>
      <c r="C58" s="430" t="s">
        <v>150</v>
      </c>
      <c r="D58" s="490" t="s">
        <v>153</v>
      </c>
      <c r="E58" s="348">
        <f>NETWORKDAYS.INTL(F58,G58,"0000110",$AF$5:$AF$11)</f>
        <v>30</v>
      </c>
      <c r="F58" s="349">
        <f>G50+35</f>
        <v>46324</v>
      </c>
      <c r="G58" s="349">
        <f>WORKDAY.INTL(F58,29,"0000110",$AI$5:$AI$10)</f>
        <v>46365</v>
      </c>
      <c r="H58" s="70">
        <f>I50+35</f>
        <v>46324</v>
      </c>
      <c r="I58" s="70">
        <f>WORKDAY.INTL(H58,29,"0000110",$AI$5:$AI$10)</f>
        <v>46365</v>
      </c>
      <c r="J58" s="70"/>
      <c r="K58" s="70"/>
      <c r="L58" s="380"/>
      <c r="M58" s="380" t="str">
        <f t="shared" ca="1" si="31"/>
        <v>Not Started</v>
      </c>
      <c r="N58" s="71"/>
      <c r="O58" s="72"/>
      <c r="P58" s="72"/>
      <c r="Q58" s="72"/>
      <c r="R58" s="72"/>
      <c r="S58" s="72"/>
      <c r="T58" s="72"/>
      <c r="U58" s="72"/>
      <c r="V58" s="520"/>
      <c r="W58" s="627"/>
      <c r="X58" s="786" t="s">
        <v>154</v>
      </c>
      <c r="Y58" s="69"/>
      <c r="Z58" s="636"/>
      <c r="AA58" s="21"/>
    </row>
    <row r="59" spans="2:31" s="19" customFormat="1">
      <c r="B59" s="114"/>
      <c r="C59" s="114"/>
      <c r="D59" s="381"/>
      <c r="E59" s="382"/>
      <c r="F59" s="650"/>
      <c r="G59" s="650"/>
      <c r="H59" s="114"/>
      <c r="I59" s="114"/>
      <c r="J59" s="114"/>
      <c r="K59" s="114"/>
      <c r="L59" s="383"/>
      <c r="M59" s="383"/>
      <c r="N59" s="114"/>
      <c r="O59" s="114"/>
      <c r="P59" s="114"/>
      <c r="Q59" s="114"/>
      <c r="R59" s="114"/>
      <c r="S59" s="114"/>
      <c r="T59" s="114"/>
      <c r="U59" s="114"/>
      <c r="V59" s="383"/>
      <c r="W59" s="511"/>
      <c r="X59" s="661"/>
      <c r="Y59" s="662"/>
      <c r="Z59" s="663"/>
      <c r="AD59" s="24"/>
      <c r="AE59" s="24"/>
    </row>
    <row r="60" spans="2:31" ht="154.5" customHeight="1">
      <c r="B60" s="1220" t="s">
        <v>155</v>
      </c>
      <c r="C60" s="140" t="s">
        <v>155</v>
      </c>
      <c r="D60" s="350" t="s">
        <v>156</v>
      </c>
      <c r="E60" s="351">
        <f>NETWORKDAYS.INTL(F60,G60,"0000100",$AF$5:$AF$11)</f>
        <v>30</v>
      </c>
      <c r="F60" s="418">
        <v>46232</v>
      </c>
      <c r="G60" s="418">
        <f>WORKDAY.INTL(F60,24,"0000110",$AG$5:$AG$10)</f>
        <v>46266</v>
      </c>
      <c r="H60" s="76">
        <v>46232</v>
      </c>
      <c r="I60" s="76">
        <f>WORKDAY.INTL(H60,24,"0000110",$AG$5:$AG$10)</f>
        <v>46266</v>
      </c>
      <c r="J60" s="76"/>
      <c r="K60" s="76"/>
      <c r="L60" s="407"/>
      <c r="M60" s="407"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6"/>
      <c r="W60" s="625"/>
      <c r="X60" s="678" t="s">
        <v>157</v>
      </c>
      <c r="Y60" s="74"/>
      <c r="Z60" s="679"/>
      <c r="AA60" s="21"/>
      <c r="AD60" s="33"/>
      <c r="AE60" s="33"/>
    </row>
    <row r="61" spans="2:31" ht="46.5">
      <c r="B61" s="1221"/>
      <c r="C61" s="141" t="s">
        <v>155</v>
      </c>
      <c r="D61" s="352" t="s">
        <v>51</v>
      </c>
      <c r="E61" s="353">
        <f>NETWORKDAYS.INTL(F61,G61,"0000110",$AF$5:$AF$11)</f>
        <v>15</v>
      </c>
      <c r="F61" s="419">
        <f>WORKDAY.INTL(G60,1,"0000110",$AG$5:$AG$10)</f>
        <v>46267</v>
      </c>
      <c r="G61" s="419">
        <f>WORKDAY.INTL(F61,15,"0000110",$AG$5:$AG$10)</f>
        <v>46288</v>
      </c>
      <c r="H61" s="144">
        <f>WORKDAY.INTL(I60,1,"0000110",$AG$5:$AG$10)</f>
        <v>46267</v>
      </c>
      <c r="I61" s="144">
        <f>WORKDAY.INTL(H61,15,"0000110",$AG$5:$AG$10)</f>
        <v>46288</v>
      </c>
      <c r="J61" s="144"/>
      <c r="K61" s="144"/>
      <c r="L61" s="408"/>
      <c r="M61" s="408" t="str">
        <f t="shared" ca="1" si="32"/>
        <v>Not Started</v>
      </c>
      <c r="N61" s="145"/>
      <c r="O61" s="142"/>
      <c r="P61" s="142"/>
      <c r="Q61" s="142"/>
      <c r="R61" s="142"/>
      <c r="S61" s="142"/>
      <c r="T61" s="142"/>
      <c r="U61" s="142"/>
      <c r="V61" s="677"/>
      <c r="W61" s="627"/>
      <c r="X61" s="680" t="s">
        <v>158</v>
      </c>
      <c r="Y61" s="143"/>
      <c r="Z61" s="681"/>
      <c r="AA61" s="21"/>
    </row>
    <row r="62" spans="2:31">
      <c r="B62" s="682"/>
      <c r="C62" s="682"/>
      <c r="D62" s="683"/>
      <c r="E62" s="684"/>
      <c r="F62" s="685"/>
      <c r="G62" s="685"/>
      <c r="H62" s="686"/>
      <c r="I62" s="686"/>
      <c r="J62" s="686"/>
      <c r="K62" s="686"/>
      <c r="L62" s="592"/>
      <c r="M62" s="592"/>
      <c r="O62" s="687"/>
      <c r="P62" s="687"/>
      <c r="Q62" s="687"/>
      <c r="R62" s="687"/>
      <c r="S62" s="687"/>
      <c r="T62" s="687"/>
      <c r="U62" s="687"/>
      <c r="V62" s="592"/>
      <c r="W62" s="593"/>
      <c r="X62" s="692"/>
      <c r="Y62" s="693"/>
      <c r="Z62" s="694"/>
      <c r="AA62" s="21"/>
    </row>
    <row r="63" spans="2:31" ht="51.95" customHeight="1">
      <c r="B63" s="1236" t="s">
        <v>243</v>
      </c>
      <c r="C63" s="438" t="s">
        <v>91</v>
      </c>
      <c r="D63" s="346" t="s">
        <v>160</v>
      </c>
      <c r="E63" s="347">
        <f>NETWORKDAYS.INTL(F63,G63,"0000100",$AG$5:$AG$11)</f>
        <v>1</v>
      </c>
      <c r="F63" s="146">
        <f>G63</f>
        <v>46215</v>
      </c>
      <c r="G63" s="146">
        <v>46215</v>
      </c>
      <c r="H63" s="67">
        <f>I63</f>
        <v>46215</v>
      </c>
      <c r="I63" s="67">
        <v>46215</v>
      </c>
      <c r="J63" s="81"/>
      <c r="K63" s="81"/>
      <c r="L63" s="377">
        <v>1</v>
      </c>
      <c r="M63" s="377"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7"/>
      <c r="W63" s="625"/>
      <c r="X63" s="522"/>
      <c r="Y63" s="66"/>
      <c r="Z63" s="688"/>
      <c r="AA63" s="21"/>
    </row>
    <row r="64" spans="2:31" ht="51.95" customHeight="1">
      <c r="B64" s="1237"/>
      <c r="C64" s="488" t="s">
        <v>91</v>
      </c>
      <c r="D64" s="354" t="s">
        <v>244</v>
      </c>
      <c r="E64" s="355">
        <f t="shared" ref="E64:E86" si="34">NETWORKDAYS.INTL(F64,G64,"0000100",$AG$5:$AG$12)</f>
        <v>6</v>
      </c>
      <c r="F64" s="147">
        <f>WORKDAY.INTL(G63,8,"0000100",$AG$5:$AG$11)</f>
        <v>46224</v>
      </c>
      <c r="G64" s="147">
        <f>WORKDAY.INTL(F64,5,"0000100",$AG$5:$AG$11)</f>
        <v>46230</v>
      </c>
      <c r="H64" s="34">
        <f>WORKDAY.INTL(I63,8,"0000100",$AG$5:$AG$11)</f>
        <v>46224</v>
      </c>
      <c r="I64" s="34">
        <f>WORKDAY.INTL(H64,5,"0000100",$AG$5:$AG$11)</f>
        <v>46230</v>
      </c>
      <c r="J64" s="84"/>
      <c r="K64" s="84"/>
      <c r="L64" s="367">
        <v>0.1</v>
      </c>
      <c r="M64" s="367" t="str">
        <f t="shared" ca="1" si="33"/>
        <v>In Progress</v>
      </c>
      <c r="N64" s="85"/>
      <c r="O64" s="82"/>
      <c r="P64" s="82"/>
      <c r="Q64" s="82"/>
      <c r="R64" s="82"/>
      <c r="S64" s="82"/>
      <c r="T64" s="82"/>
      <c r="U64" s="82"/>
      <c r="V64" s="519"/>
      <c r="W64" s="592"/>
      <c r="X64" s="689" t="s">
        <v>162</v>
      </c>
      <c r="Y64" s="83" t="s">
        <v>245</v>
      </c>
      <c r="Z64" s="690" t="s">
        <v>246</v>
      </c>
      <c r="AA64" s="21"/>
    </row>
    <row r="65" spans="2:31" ht="51.95" customHeight="1">
      <c r="B65" s="1235"/>
      <c r="C65" s="439" t="s">
        <v>91</v>
      </c>
      <c r="D65" s="490" t="s">
        <v>165</v>
      </c>
      <c r="E65" s="348">
        <f t="shared" si="34"/>
        <v>4</v>
      </c>
      <c r="F65" s="349">
        <f t="shared" ref="F65:F71" si="35">WORKDAY.INTL(G64,1,"0000100",$AG$5:$AG$11)</f>
        <v>46231</v>
      </c>
      <c r="G65" s="349">
        <f>WORKDAY.INTL(F65,3,"0000100",$AG$5:$AG$11)</f>
        <v>46235</v>
      </c>
      <c r="H65" s="70">
        <f>WORKDAY.INTL(I64,1,"0000100",$AG$5:$AG$11)</f>
        <v>46231</v>
      </c>
      <c r="I65" s="70">
        <f>WORKDAY.INTL(H65,3,"0000100",$AG$5:$AG$11)</f>
        <v>46235</v>
      </c>
      <c r="J65" s="379"/>
      <c r="K65" s="379"/>
      <c r="L65" s="380"/>
      <c r="M65" s="380" t="str">
        <f t="shared" ca="1" si="33"/>
        <v>Not Started</v>
      </c>
      <c r="N65" s="71"/>
      <c r="O65" s="72"/>
      <c r="P65" s="72"/>
      <c r="Q65" s="72"/>
      <c r="R65" s="72"/>
      <c r="S65" s="72"/>
      <c r="T65" s="72"/>
      <c r="U65" s="72"/>
      <c r="V65" s="520"/>
      <c r="W65" s="626"/>
      <c r="X65" s="525"/>
      <c r="Y65" s="69"/>
      <c r="Z65" s="691"/>
      <c r="AA65" s="21"/>
    </row>
    <row r="66" spans="2:31" s="19" customFormat="1">
      <c r="B66" s="114"/>
      <c r="C66" s="695"/>
      <c r="D66" s="381"/>
      <c r="E66" s="382"/>
      <c r="F66" s="650"/>
      <c r="G66" s="650"/>
      <c r="H66" s="114"/>
      <c r="I66" s="114"/>
      <c r="J66" s="114"/>
      <c r="K66" s="114"/>
      <c r="L66" s="383"/>
      <c r="M66" s="383"/>
      <c r="N66" s="114"/>
      <c r="O66" s="114"/>
      <c r="P66" s="114"/>
      <c r="Q66" s="114"/>
      <c r="R66" s="114"/>
      <c r="S66" s="114"/>
      <c r="T66" s="114"/>
      <c r="U66" s="114"/>
      <c r="V66" s="383"/>
      <c r="W66" s="511"/>
      <c r="X66" s="661"/>
      <c r="Y66" s="662"/>
      <c r="Z66" s="663"/>
      <c r="AD66" s="24"/>
      <c r="AE66" s="24"/>
    </row>
    <row r="67" spans="2:31" ht="51.95" customHeight="1">
      <c r="B67" s="1238" t="s">
        <v>247</v>
      </c>
      <c r="C67" s="438" t="s">
        <v>91</v>
      </c>
      <c r="D67" s="696" t="s">
        <v>248</v>
      </c>
      <c r="E67" s="697">
        <f t="shared" si="34"/>
        <v>5</v>
      </c>
      <c r="F67" s="698">
        <f>WORKDAY.INTL(G64,1,"0000100",$AG$5:$AG$11)</f>
        <v>46231</v>
      </c>
      <c r="G67" s="698">
        <f t="shared" ref="G67:G73" si="36">WORKDAY.INTL(F67,4,"0000100",$AG$5:$AG$11)</f>
        <v>46236</v>
      </c>
      <c r="H67" s="699">
        <f>WORKDAY.INTL(I64,1,"0000100",$AG$5:$AG$11)</f>
        <v>46231</v>
      </c>
      <c r="I67" s="699">
        <f>WORKDAY.INTL(H67,4,"0000100",$AG$5:$AG$11)</f>
        <v>46236</v>
      </c>
      <c r="J67" s="700"/>
      <c r="K67" s="700"/>
      <c r="L67" s="701"/>
      <c r="M67" s="701" t="str">
        <f t="shared" ca="1" si="33"/>
        <v>Not Started</v>
      </c>
      <c r="N67" s="702"/>
      <c r="O67" s="703"/>
      <c r="P67" s="703"/>
      <c r="Q67" s="703"/>
      <c r="R67" s="703"/>
      <c r="S67" s="703"/>
      <c r="T67" s="703"/>
      <c r="U67" s="703"/>
      <c r="V67" s="704"/>
      <c r="W67" s="592"/>
      <c r="X67" s="705" t="s">
        <v>162</v>
      </c>
      <c r="Y67" s="706" t="s">
        <v>245</v>
      </c>
      <c r="Z67" s="707" t="s">
        <v>249</v>
      </c>
      <c r="AA67" s="21"/>
    </row>
    <row r="68" spans="2:31" ht="51.95" customHeight="1">
      <c r="B68" s="1239"/>
      <c r="C68" s="439" t="s">
        <v>91</v>
      </c>
      <c r="D68" s="709" t="s">
        <v>165</v>
      </c>
      <c r="E68" s="710">
        <f t="shared" si="34"/>
        <v>5</v>
      </c>
      <c r="F68" s="711">
        <f t="shared" si="35"/>
        <v>46237</v>
      </c>
      <c r="G68" s="711">
        <f t="shared" ref="G68:G71" si="37">WORKDAY.INTL(G67,5,"0000100",$AG$5:$AG$11)</f>
        <v>46242</v>
      </c>
      <c r="H68" s="712">
        <f>WORKDAY.INTL(I67,1,"0000100",$AG$5:$AG$11)</f>
        <v>46237</v>
      </c>
      <c r="I68" s="712">
        <f>WORKDAY.INTL(I67,5,"0000100",$AG$5:$AG$11)</f>
        <v>46242</v>
      </c>
      <c r="J68" s="713"/>
      <c r="K68" s="713"/>
      <c r="L68" s="714"/>
      <c r="M68" s="714" t="str">
        <f t="shared" ca="1" si="33"/>
        <v>Not Started</v>
      </c>
      <c r="N68" s="715"/>
      <c r="O68" s="716"/>
      <c r="P68" s="716"/>
      <c r="Q68" s="716"/>
      <c r="R68" s="716"/>
      <c r="S68" s="716"/>
      <c r="T68" s="716"/>
      <c r="U68" s="716"/>
      <c r="V68" s="717"/>
      <c r="W68" s="626"/>
      <c r="X68" s="718"/>
      <c r="Y68" s="719"/>
      <c r="Z68" s="720"/>
      <c r="AA68" s="21"/>
    </row>
    <row r="69" spans="2:31" s="19" customFormat="1">
      <c r="B69" s="114"/>
      <c r="C69" s="695"/>
      <c r="D69" s="381"/>
      <c r="E69" s="382"/>
      <c r="F69" s="650"/>
      <c r="G69" s="650"/>
      <c r="H69" s="114"/>
      <c r="I69" s="114"/>
      <c r="J69" s="114"/>
      <c r="K69" s="114"/>
      <c r="L69" s="708"/>
      <c r="M69" s="708"/>
      <c r="N69" s="114"/>
      <c r="O69" s="114"/>
      <c r="P69" s="114"/>
      <c r="Q69" s="114"/>
      <c r="R69" s="114"/>
      <c r="S69" s="114"/>
      <c r="T69" s="114"/>
      <c r="U69" s="114"/>
      <c r="V69" s="708"/>
      <c r="W69" s="628"/>
      <c r="X69" s="661"/>
      <c r="Y69" s="662"/>
      <c r="Z69" s="663"/>
      <c r="AD69" s="24"/>
      <c r="AE69" s="24"/>
    </row>
    <row r="70" spans="2:31" ht="51.95" customHeight="1">
      <c r="B70" s="1236" t="s">
        <v>169</v>
      </c>
      <c r="C70" s="438" t="s">
        <v>91</v>
      </c>
      <c r="D70" s="346" t="s">
        <v>250</v>
      </c>
      <c r="E70" s="347">
        <f t="shared" si="34"/>
        <v>5</v>
      </c>
      <c r="F70" s="146">
        <f t="shared" ref="F70" si="38">WORKDAY.INTL(G67,1,"0000100",$AG$5:$AG$11)</f>
        <v>46237</v>
      </c>
      <c r="G70" s="146">
        <f t="shared" si="36"/>
        <v>46242</v>
      </c>
      <c r="H70" s="67">
        <f>WORKDAY.INTL(I67,1,"0000100",$AG$5:$AG$11)</f>
        <v>46237</v>
      </c>
      <c r="I70" s="67">
        <f>WORKDAY.INTL(H70,4,"0000100",$AG$5:$AG$11)</f>
        <v>46242</v>
      </c>
      <c r="J70" s="81"/>
      <c r="K70" s="81"/>
      <c r="L70" s="377"/>
      <c r="M70" s="377" t="str">
        <f t="shared" ca="1" si="33"/>
        <v>Not Started</v>
      </c>
      <c r="N70" s="68"/>
      <c r="O70" s="65"/>
      <c r="P70" s="65"/>
      <c r="Q70" s="65"/>
      <c r="R70" s="65"/>
      <c r="S70" s="65"/>
      <c r="T70" s="65"/>
      <c r="U70" s="65"/>
      <c r="V70" s="517"/>
      <c r="W70" s="626"/>
      <c r="X70" s="522"/>
      <c r="Y70" s="66" t="s">
        <v>245</v>
      </c>
      <c r="Z70" s="688" t="s">
        <v>173</v>
      </c>
      <c r="AA70" s="21"/>
    </row>
    <row r="71" spans="2:31" ht="51.95" customHeight="1">
      <c r="B71" s="1235"/>
      <c r="C71" s="439" t="s">
        <v>91</v>
      </c>
      <c r="D71" s="490" t="s">
        <v>165</v>
      </c>
      <c r="E71" s="348">
        <f t="shared" si="34"/>
        <v>5</v>
      </c>
      <c r="F71" s="349">
        <f t="shared" si="35"/>
        <v>46243</v>
      </c>
      <c r="G71" s="349">
        <f t="shared" si="37"/>
        <v>46247</v>
      </c>
      <c r="H71" s="70">
        <f>WORKDAY.INTL(I70,1,"0000100",$AG$5:$AG$11)</f>
        <v>46243</v>
      </c>
      <c r="I71" s="70">
        <f>WORKDAY.INTL(I70,5,"0000100",$AG$5:$AG$11)</f>
        <v>46247</v>
      </c>
      <c r="J71" s="379"/>
      <c r="K71" s="379"/>
      <c r="L71" s="380"/>
      <c r="M71" s="380" t="str">
        <f t="shared" ca="1" si="33"/>
        <v>Not Started</v>
      </c>
      <c r="N71" s="71"/>
      <c r="O71" s="72"/>
      <c r="P71" s="72"/>
      <c r="Q71" s="72"/>
      <c r="R71" s="72"/>
      <c r="S71" s="72"/>
      <c r="T71" s="72"/>
      <c r="U71" s="72"/>
      <c r="V71" s="520"/>
      <c r="W71" s="626"/>
      <c r="X71" s="525"/>
      <c r="Y71" s="69"/>
      <c r="Z71" s="691"/>
      <c r="AA71" s="21"/>
    </row>
    <row r="72" spans="2:31" s="19" customFormat="1">
      <c r="B72" s="114"/>
      <c r="C72" s="695"/>
      <c r="D72" s="381"/>
      <c r="E72" s="382"/>
      <c r="F72" s="650"/>
      <c r="G72" s="650"/>
      <c r="H72" s="114"/>
      <c r="I72" s="114"/>
      <c r="J72" s="114"/>
      <c r="K72" s="114"/>
      <c r="L72" s="383"/>
      <c r="M72" s="383"/>
      <c r="N72" s="114"/>
      <c r="O72" s="114"/>
      <c r="P72" s="114"/>
      <c r="Q72" s="114"/>
      <c r="R72" s="114"/>
      <c r="S72" s="114"/>
      <c r="T72" s="114"/>
      <c r="U72" s="114"/>
      <c r="V72" s="383"/>
      <c r="W72" s="511"/>
      <c r="X72" s="661"/>
      <c r="Y72" s="662"/>
      <c r="Z72" s="663"/>
      <c r="AD72" s="24"/>
      <c r="AE72" s="24"/>
    </row>
    <row r="73" spans="2:31" ht="51.95" customHeight="1">
      <c r="B73" s="1248" t="s">
        <v>251</v>
      </c>
      <c r="C73" s="438" t="s">
        <v>91</v>
      </c>
      <c r="D73" s="696" t="s">
        <v>252</v>
      </c>
      <c r="E73" s="697">
        <f t="shared" si="34"/>
        <v>5</v>
      </c>
      <c r="F73" s="698">
        <f>WORKDAY.INTL(G70,1,"0000100",$AG$5:$AG$11)</f>
        <v>46243</v>
      </c>
      <c r="G73" s="698">
        <f t="shared" si="36"/>
        <v>46247</v>
      </c>
      <c r="H73" s="699">
        <f>WORKDAY.INTL(I70,1,"0000100",$AG$5:$AG$11)</f>
        <v>46243</v>
      </c>
      <c r="I73" s="699">
        <f>WORKDAY.INTL(H73,4,"0000100",$AG$5:$AG$11)</f>
        <v>46247</v>
      </c>
      <c r="J73" s="700"/>
      <c r="K73" s="700"/>
      <c r="L73" s="701"/>
      <c r="M73" s="701" t="str">
        <f t="shared" ca="1" si="33"/>
        <v>Not Started</v>
      </c>
      <c r="N73" s="702"/>
      <c r="O73" s="703"/>
      <c r="P73" s="703"/>
      <c r="Q73" s="703"/>
      <c r="R73" s="703"/>
      <c r="S73" s="703"/>
      <c r="T73" s="703"/>
      <c r="U73" s="703"/>
      <c r="V73" s="704"/>
      <c r="W73" s="626"/>
      <c r="X73" s="486"/>
      <c r="Y73" s="706" t="s">
        <v>245</v>
      </c>
      <c r="Z73" s="707" t="s">
        <v>173</v>
      </c>
      <c r="AA73" s="21"/>
    </row>
    <row r="74" spans="2:31" ht="51.95" customHeight="1">
      <c r="B74" s="1249"/>
      <c r="C74" s="439" t="s">
        <v>91</v>
      </c>
      <c r="D74" s="709" t="s">
        <v>165</v>
      </c>
      <c r="E74" s="710">
        <f t="shared" si="34"/>
        <v>5</v>
      </c>
      <c r="F74" s="711">
        <f t="shared" ref="F74:F80" si="39">WORKDAY.INTL(G73,1,"0000100",$AG$5:$AG$11)</f>
        <v>46249</v>
      </c>
      <c r="G74" s="711">
        <f t="shared" ref="G74:G80" si="40">WORKDAY.INTL(G73,5,"0000100",$AG$5:$AG$11)</f>
        <v>46253</v>
      </c>
      <c r="H74" s="712">
        <f>WORKDAY.INTL(I73,1,"0000100",$AG$5:$AG$11)</f>
        <v>46249</v>
      </c>
      <c r="I74" s="712">
        <f>WORKDAY.INTL(I73,5,"0000100",$AG$5:$AG$11)</f>
        <v>46253</v>
      </c>
      <c r="J74" s="713"/>
      <c r="K74" s="713"/>
      <c r="L74" s="714"/>
      <c r="M74" s="714" t="str">
        <f t="shared" ca="1" si="33"/>
        <v>Not Started</v>
      </c>
      <c r="N74" s="715"/>
      <c r="O74" s="716"/>
      <c r="P74" s="716"/>
      <c r="Q74" s="716"/>
      <c r="R74" s="716"/>
      <c r="S74" s="716"/>
      <c r="T74" s="716"/>
      <c r="U74" s="716"/>
      <c r="V74" s="717"/>
      <c r="W74" s="626"/>
      <c r="X74" s="718"/>
      <c r="Y74" s="719"/>
      <c r="Z74" s="720"/>
      <c r="AA74" s="21"/>
    </row>
    <row r="75" spans="2:31" s="19" customFormat="1">
      <c r="B75" s="114"/>
      <c r="C75" s="695"/>
      <c r="D75" s="381"/>
      <c r="E75" s="382"/>
      <c r="F75" s="650"/>
      <c r="G75" s="650"/>
      <c r="H75" s="114"/>
      <c r="I75" s="114"/>
      <c r="J75" s="114"/>
      <c r="K75" s="114"/>
      <c r="L75" s="708"/>
      <c r="M75" s="708"/>
      <c r="N75" s="114"/>
      <c r="O75" s="114"/>
      <c r="P75" s="114"/>
      <c r="Q75" s="114"/>
      <c r="R75" s="114"/>
      <c r="S75" s="114"/>
      <c r="T75" s="114"/>
      <c r="U75" s="114"/>
      <c r="V75" s="708"/>
      <c r="W75" s="628"/>
      <c r="X75" s="661"/>
      <c r="Y75" s="662"/>
      <c r="Z75" s="663"/>
      <c r="AD75" s="24"/>
      <c r="AE75" s="24"/>
    </row>
    <row r="76" spans="2:31" ht="51.95" customHeight="1">
      <c r="B76" s="1236" t="s">
        <v>253</v>
      </c>
      <c r="C76" s="438" t="s">
        <v>91</v>
      </c>
      <c r="D76" s="346" t="s">
        <v>254</v>
      </c>
      <c r="E76" s="347">
        <f t="shared" si="34"/>
        <v>5</v>
      </c>
      <c r="F76" s="146">
        <f>WORKDAY.INTL(G73,1,"0000100",$AG$5:$AG$11)</f>
        <v>46249</v>
      </c>
      <c r="G76" s="146">
        <f t="shared" ref="G76:G82" si="41">WORKDAY.INTL(F76,4,"0000100",$AG$5:$AG$11)</f>
        <v>46253</v>
      </c>
      <c r="H76" s="67">
        <f>WORKDAY.INTL(I73,1,"0000100",$AG$5:$AG$11)</f>
        <v>46249</v>
      </c>
      <c r="I76" s="67">
        <f>WORKDAY.INTL(H76,4,"0000100",$AG$5:$AG$11)</f>
        <v>46253</v>
      </c>
      <c r="J76" s="81"/>
      <c r="K76" s="81"/>
      <c r="L76" s="377"/>
      <c r="M76" s="377" t="str">
        <f t="shared" ca="1" si="33"/>
        <v>Not Started</v>
      </c>
      <c r="N76" s="68"/>
      <c r="O76" s="65"/>
      <c r="P76" s="65"/>
      <c r="Q76" s="65"/>
      <c r="R76" s="65"/>
      <c r="S76" s="65"/>
      <c r="T76" s="65"/>
      <c r="U76" s="65"/>
      <c r="V76" s="517"/>
      <c r="W76" s="626"/>
      <c r="X76" s="522"/>
      <c r="Y76" s="66" t="s">
        <v>245</v>
      </c>
      <c r="Z76" s="688" t="s">
        <v>173</v>
      </c>
      <c r="AA76" s="21"/>
    </row>
    <row r="77" spans="2:31" ht="51.95" customHeight="1">
      <c r="B77" s="1235"/>
      <c r="C77" s="439" t="s">
        <v>91</v>
      </c>
      <c r="D77" s="490" t="s">
        <v>165</v>
      </c>
      <c r="E77" s="348">
        <f t="shared" si="34"/>
        <v>5</v>
      </c>
      <c r="F77" s="349">
        <f t="shared" si="39"/>
        <v>46254</v>
      </c>
      <c r="G77" s="349">
        <f t="shared" si="40"/>
        <v>46259</v>
      </c>
      <c r="H77" s="70">
        <f>WORKDAY.INTL(I76,1,"0000100",$AG$5:$AG$11)</f>
        <v>46254</v>
      </c>
      <c r="I77" s="70">
        <f>WORKDAY.INTL(I76,5,"0000100",$AG$5:$AG$11)</f>
        <v>46259</v>
      </c>
      <c r="J77" s="379"/>
      <c r="K77" s="379"/>
      <c r="L77" s="380"/>
      <c r="M77" s="380" t="str">
        <f t="shared" ca="1" si="33"/>
        <v>Not Started</v>
      </c>
      <c r="N77" s="71"/>
      <c r="O77" s="72"/>
      <c r="P77" s="72"/>
      <c r="Q77" s="72"/>
      <c r="R77" s="72"/>
      <c r="S77" s="72"/>
      <c r="T77" s="72"/>
      <c r="U77" s="72"/>
      <c r="V77" s="520"/>
      <c r="W77" s="626"/>
      <c r="X77" s="525"/>
      <c r="Y77" s="69"/>
      <c r="Z77" s="691"/>
      <c r="AA77" s="21"/>
    </row>
    <row r="78" spans="2:31" s="19" customFormat="1">
      <c r="B78" s="114"/>
      <c r="C78" s="695"/>
      <c r="D78" s="381"/>
      <c r="E78" s="382"/>
      <c r="F78" s="650"/>
      <c r="G78" s="650"/>
      <c r="H78" s="114"/>
      <c r="I78" s="114"/>
      <c r="J78" s="114"/>
      <c r="K78" s="114"/>
      <c r="L78" s="383"/>
      <c r="M78" s="383"/>
      <c r="N78" s="114"/>
      <c r="O78" s="114"/>
      <c r="P78" s="114"/>
      <c r="Q78" s="114"/>
      <c r="R78" s="114"/>
      <c r="S78" s="114"/>
      <c r="T78" s="114"/>
      <c r="U78" s="114"/>
      <c r="V78" s="383"/>
      <c r="W78" s="511"/>
      <c r="X78" s="661"/>
      <c r="Y78" s="662"/>
      <c r="Z78" s="663"/>
      <c r="AD78" s="24"/>
      <c r="AE78" s="24"/>
    </row>
    <row r="79" spans="2:31" ht="51.95" customHeight="1">
      <c r="B79" s="1248" t="s">
        <v>255</v>
      </c>
      <c r="C79" s="438" t="s">
        <v>91</v>
      </c>
      <c r="D79" s="696" t="s">
        <v>256</v>
      </c>
      <c r="E79" s="697">
        <f t="shared" si="34"/>
        <v>5</v>
      </c>
      <c r="F79" s="698">
        <f>WORKDAY.INTL(G76,1,"0000100",$AG$5:$AG$11)</f>
        <v>46254</v>
      </c>
      <c r="G79" s="698">
        <f t="shared" si="41"/>
        <v>46259</v>
      </c>
      <c r="H79" s="699">
        <f>WORKDAY.INTL(I76,1,"0000100",$AG$5:$AG$11)</f>
        <v>46254</v>
      </c>
      <c r="I79" s="699">
        <f>WORKDAY.INTL(H79,4,"0000100",$AG$5:$AG$11)</f>
        <v>46259</v>
      </c>
      <c r="J79" s="700"/>
      <c r="K79" s="700"/>
      <c r="L79" s="701"/>
      <c r="M79" s="701" t="str">
        <f t="shared" ca="1" si="33"/>
        <v>Not Started</v>
      </c>
      <c r="N79" s="702"/>
      <c r="O79" s="703"/>
      <c r="P79" s="703"/>
      <c r="Q79" s="703"/>
      <c r="R79" s="703"/>
      <c r="S79" s="703"/>
      <c r="T79" s="703"/>
      <c r="U79" s="703"/>
      <c r="V79" s="704"/>
      <c r="W79" s="626"/>
      <c r="X79" s="486"/>
      <c r="Y79" s="706" t="s">
        <v>245</v>
      </c>
      <c r="Z79" s="707" t="s">
        <v>173</v>
      </c>
      <c r="AA79" s="21"/>
    </row>
    <row r="80" spans="2:31" ht="51.95" customHeight="1">
      <c r="B80" s="1249"/>
      <c r="C80" s="439" t="s">
        <v>91</v>
      </c>
      <c r="D80" s="709" t="s">
        <v>165</v>
      </c>
      <c r="E80" s="710">
        <f t="shared" si="34"/>
        <v>5</v>
      </c>
      <c r="F80" s="711">
        <f t="shared" si="39"/>
        <v>46260</v>
      </c>
      <c r="G80" s="711">
        <f t="shared" si="40"/>
        <v>46265</v>
      </c>
      <c r="H80" s="712">
        <f>WORKDAY.INTL(I79,1,"0000100",$AG$5:$AG$11)</f>
        <v>46260</v>
      </c>
      <c r="I80" s="712">
        <f>WORKDAY.INTL(I79,5,"0000100",$AG$5:$AG$11)</f>
        <v>46265</v>
      </c>
      <c r="J80" s="713"/>
      <c r="K80" s="713"/>
      <c r="L80" s="714"/>
      <c r="M80" s="714" t="str">
        <f t="shared" ca="1" si="33"/>
        <v>Not Started</v>
      </c>
      <c r="N80" s="715"/>
      <c r="O80" s="716"/>
      <c r="P80" s="716"/>
      <c r="Q80" s="716"/>
      <c r="R80" s="716"/>
      <c r="S80" s="716"/>
      <c r="T80" s="716"/>
      <c r="U80" s="716"/>
      <c r="V80" s="717"/>
      <c r="W80" s="626"/>
      <c r="X80" s="718"/>
      <c r="Y80" s="719"/>
      <c r="Z80" s="720"/>
      <c r="AA80" s="21"/>
    </row>
    <row r="81" spans="2:31" s="19" customFormat="1">
      <c r="B81" s="114"/>
      <c r="C81" s="695"/>
      <c r="D81" s="381"/>
      <c r="E81" s="382"/>
      <c r="F81" s="650"/>
      <c r="G81" s="650"/>
      <c r="H81" s="114"/>
      <c r="I81" s="114"/>
      <c r="J81" s="114"/>
      <c r="K81" s="114"/>
      <c r="L81" s="708"/>
      <c r="M81" s="708"/>
      <c r="N81" s="114"/>
      <c r="O81" s="114"/>
      <c r="P81" s="114"/>
      <c r="Q81" s="114"/>
      <c r="R81" s="114"/>
      <c r="S81" s="114"/>
      <c r="T81" s="114"/>
      <c r="U81" s="114"/>
      <c r="V81" s="708"/>
      <c r="W81" s="628"/>
      <c r="X81" s="661"/>
      <c r="Y81" s="662"/>
      <c r="Z81" s="663"/>
      <c r="AD81" s="24"/>
      <c r="AE81" s="24"/>
    </row>
    <row r="82" spans="2:31" ht="51.95" customHeight="1">
      <c r="B82" s="1236" t="s">
        <v>257</v>
      </c>
      <c r="C82" s="438" t="s">
        <v>91</v>
      </c>
      <c r="D82" s="346" t="s">
        <v>258</v>
      </c>
      <c r="E82" s="347">
        <f t="shared" si="34"/>
        <v>5</v>
      </c>
      <c r="F82" s="146">
        <f t="shared" ref="F82" si="42">WORKDAY.INTL(G79,1,"0000100",$AG$5:$AG$11)</f>
        <v>46260</v>
      </c>
      <c r="G82" s="146">
        <f t="shared" si="41"/>
        <v>46265</v>
      </c>
      <c r="H82" s="67">
        <f>WORKDAY.INTL(I79,1,"0000100",$AG$5:$AG$11)</f>
        <v>46260</v>
      </c>
      <c r="I82" s="67">
        <f>WORKDAY.INTL(H82,4,"0000100",$AG$5:$AG$11)</f>
        <v>46265</v>
      </c>
      <c r="J82" s="81"/>
      <c r="K82" s="81"/>
      <c r="L82" s="377"/>
      <c r="M82" s="377" t="str">
        <f t="shared" ca="1" si="33"/>
        <v>Not Started</v>
      </c>
      <c r="N82" s="68"/>
      <c r="O82" s="65"/>
      <c r="P82" s="65"/>
      <c r="Q82" s="65"/>
      <c r="R82" s="65"/>
      <c r="S82" s="65"/>
      <c r="T82" s="65"/>
      <c r="U82" s="65"/>
      <c r="V82" s="517"/>
      <c r="W82" s="626"/>
      <c r="X82" s="522"/>
      <c r="Y82" s="66" t="s">
        <v>245</v>
      </c>
      <c r="Z82" s="688" t="s">
        <v>173</v>
      </c>
      <c r="AA82" s="21"/>
    </row>
    <row r="83" spans="2:31" ht="51.95" customHeight="1">
      <c r="B83" s="1235"/>
      <c r="C83" s="439" t="s">
        <v>91</v>
      </c>
      <c r="D83" s="490" t="s">
        <v>165</v>
      </c>
      <c r="E83" s="348">
        <f t="shared" si="34"/>
        <v>5</v>
      </c>
      <c r="F83" s="349">
        <f t="shared" ref="F83:F86" si="43">WORKDAY.INTL(G82,1,"0000100",$AG$5:$AG$11)</f>
        <v>46266</v>
      </c>
      <c r="G83" s="349">
        <f t="shared" ref="G83:G86" si="44">WORKDAY.INTL(G82,5,"0000100",$AG$5:$AG$11)</f>
        <v>46271</v>
      </c>
      <c r="H83" s="70">
        <f>WORKDAY.INTL(I82,1,"0000100",$AG$5:$AG$11)</f>
        <v>46266</v>
      </c>
      <c r="I83" s="70">
        <f>WORKDAY.INTL(I82,5,"0000100",$AG$5:$AG$11)</f>
        <v>46271</v>
      </c>
      <c r="J83" s="379"/>
      <c r="K83" s="379"/>
      <c r="L83" s="380"/>
      <c r="M83" s="380" t="str">
        <f t="shared" ca="1" si="33"/>
        <v>Not Started</v>
      </c>
      <c r="N83" s="71"/>
      <c r="O83" s="72"/>
      <c r="P83" s="72"/>
      <c r="Q83" s="72"/>
      <c r="R83" s="72"/>
      <c r="S83" s="72"/>
      <c r="T83" s="72"/>
      <c r="U83" s="72"/>
      <c r="V83" s="520"/>
      <c r="W83" s="626"/>
      <c r="X83" s="525"/>
      <c r="Y83" s="69"/>
      <c r="Z83" s="691"/>
      <c r="AA83" s="21"/>
    </row>
    <row r="84" spans="2:31" s="19" customFormat="1">
      <c r="B84" s="114"/>
      <c r="C84" s="695"/>
      <c r="D84" s="381"/>
      <c r="E84" s="382"/>
      <c r="F84" s="650"/>
      <c r="G84" s="650"/>
      <c r="H84" s="114"/>
      <c r="I84" s="114"/>
      <c r="J84" s="114"/>
      <c r="K84" s="114"/>
      <c r="L84" s="383"/>
      <c r="M84" s="383"/>
      <c r="N84" s="114"/>
      <c r="O84" s="114"/>
      <c r="P84" s="114"/>
      <c r="Q84" s="114"/>
      <c r="R84" s="114"/>
      <c r="S84" s="114"/>
      <c r="T84" s="114"/>
      <c r="U84" s="114"/>
      <c r="V84" s="383"/>
      <c r="W84" s="511"/>
      <c r="X84" s="661"/>
      <c r="Y84" s="662"/>
      <c r="Z84" s="663"/>
      <c r="AD84" s="24"/>
      <c r="AE84" s="24"/>
    </row>
    <row r="85" spans="2:31" ht="51.95" customHeight="1">
      <c r="B85" s="1248" t="s">
        <v>259</v>
      </c>
      <c r="C85" s="438" t="s">
        <v>91</v>
      </c>
      <c r="D85" s="696" t="s">
        <v>260</v>
      </c>
      <c r="E85" s="697">
        <f t="shared" si="34"/>
        <v>5</v>
      </c>
      <c r="F85" s="698">
        <f t="shared" ref="F85" si="45">WORKDAY.INTL(G82,1,"0000100",$AG$5:$AG$11)</f>
        <v>46266</v>
      </c>
      <c r="G85" s="698">
        <f>WORKDAY.INTL(F85,4,"0000100",$AG$5:$AG$11)</f>
        <v>46271</v>
      </c>
      <c r="H85" s="699">
        <f>WORKDAY.INTL(I82,1,"0000100",$AG$5:$AG$11)</f>
        <v>46266</v>
      </c>
      <c r="I85" s="699">
        <f>WORKDAY.INTL(H85,4,"0000100",$AG$5:$AG$11)</f>
        <v>46271</v>
      </c>
      <c r="J85" s="700"/>
      <c r="K85" s="700"/>
      <c r="L85" s="701"/>
      <c r="M85" s="701" t="str">
        <f t="shared" ca="1" si="33"/>
        <v>Not Started</v>
      </c>
      <c r="N85" s="702"/>
      <c r="O85" s="703"/>
      <c r="P85" s="703"/>
      <c r="Q85" s="703"/>
      <c r="R85" s="703"/>
      <c r="S85" s="703"/>
      <c r="T85" s="703"/>
      <c r="U85" s="703"/>
      <c r="V85" s="704"/>
      <c r="W85" s="626"/>
      <c r="X85" s="486"/>
      <c r="Y85" s="706" t="s">
        <v>245</v>
      </c>
      <c r="Z85" s="707" t="s">
        <v>173</v>
      </c>
      <c r="AA85" s="21"/>
    </row>
    <row r="86" spans="2:31" ht="51.95" customHeight="1">
      <c r="B86" s="1249"/>
      <c r="C86" s="439" t="s">
        <v>91</v>
      </c>
      <c r="D86" s="709" t="s">
        <v>165</v>
      </c>
      <c r="E86" s="710">
        <f t="shared" si="34"/>
        <v>5</v>
      </c>
      <c r="F86" s="711">
        <f t="shared" si="43"/>
        <v>46272</v>
      </c>
      <c r="G86" s="721">
        <f t="shared" si="44"/>
        <v>46277</v>
      </c>
      <c r="H86" s="712">
        <f>WORKDAY.INTL(I85,1,"0000100",$AG$5:$AG$11)</f>
        <v>46272</v>
      </c>
      <c r="I86" s="712">
        <f>WORKDAY.INTL(I85,5,"0000100",$AG$5:$AG$11)</f>
        <v>46277</v>
      </c>
      <c r="J86" s="713"/>
      <c r="K86" s="713"/>
      <c r="L86" s="714"/>
      <c r="M86" s="714" t="str">
        <f t="shared" ca="1" si="33"/>
        <v>Not Started</v>
      </c>
      <c r="N86" s="715"/>
      <c r="O86" s="716"/>
      <c r="P86" s="716"/>
      <c r="Q86" s="716"/>
      <c r="R86" s="716"/>
      <c r="S86" s="716"/>
      <c r="T86" s="716"/>
      <c r="U86" s="716"/>
      <c r="V86" s="717"/>
      <c r="W86" s="626"/>
      <c r="X86" s="718"/>
      <c r="Y86" s="719"/>
      <c r="Z86" s="720"/>
      <c r="AA86" s="21"/>
    </row>
    <row r="87" spans="2:31" s="19" customFormat="1">
      <c r="B87" s="114"/>
      <c r="C87" s="695"/>
      <c r="D87" s="381"/>
      <c r="E87" s="382"/>
      <c r="F87" s="650"/>
      <c r="G87" s="650"/>
      <c r="H87" s="114"/>
      <c r="I87" s="114"/>
      <c r="J87" s="114"/>
      <c r="K87" s="114"/>
      <c r="L87" s="383"/>
      <c r="M87" s="383"/>
      <c r="N87" s="114"/>
      <c r="O87" s="114"/>
      <c r="P87" s="114"/>
      <c r="Q87" s="114"/>
      <c r="R87" s="114"/>
      <c r="S87" s="114"/>
      <c r="T87" s="114"/>
      <c r="U87" s="114"/>
      <c r="V87" s="383"/>
      <c r="W87" s="511"/>
      <c r="X87" s="661"/>
      <c r="Y87" s="662"/>
      <c r="Z87" s="663"/>
      <c r="AD87" s="24"/>
      <c r="AE87" s="24"/>
    </row>
    <row r="88" spans="2:31" ht="110.25">
      <c r="B88" s="722" t="s">
        <v>185</v>
      </c>
      <c r="C88" s="723" t="s">
        <v>91</v>
      </c>
      <c r="D88" s="724" t="s">
        <v>261</v>
      </c>
      <c r="E88" s="725">
        <f>NETWORKDAYS.INTL(F88,G88,"0000110",$AG$5:$AG$12)</f>
        <v>31</v>
      </c>
      <c r="F88" s="726">
        <f>WORKDAY.INTL(G65,1,"0000110")</f>
        <v>46236</v>
      </c>
      <c r="G88" s="727">
        <f>WORKDAY.INTL(F88,30,"0000110")</f>
        <v>46278</v>
      </c>
      <c r="H88" s="728">
        <f>WORKDAY.INTL(I65,1,"0000110")</f>
        <v>46236</v>
      </c>
      <c r="I88" s="728">
        <f>WORKDAY.INTL(H88,30,"0000110")</f>
        <v>46278</v>
      </c>
      <c r="J88" s="729"/>
      <c r="K88" s="729"/>
      <c r="L88" s="730"/>
      <c r="M88" s="730" t="str">
        <f t="shared" ca="1" si="33"/>
        <v>Not Started</v>
      </c>
      <c r="N88" s="731"/>
      <c r="O88" s="732"/>
      <c r="P88" s="732"/>
      <c r="Q88" s="732"/>
      <c r="R88" s="732"/>
      <c r="S88" s="732"/>
      <c r="T88" s="732"/>
      <c r="U88" s="732"/>
      <c r="V88" s="733"/>
      <c r="W88" s="626"/>
      <c r="X88" s="460" t="s">
        <v>262</v>
      </c>
      <c r="Y88" s="734" t="s">
        <v>263</v>
      </c>
      <c r="Z88" s="735" t="s">
        <v>246</v>
      </c>
      <c r="AA88" s="21"/>
    </row>
    <row r="89" spans="2:31" s="19" customFormat="1" ht="9" customHeight="1">
      <c r="B89" s="114"/>
      <c r="C89" s="695"/>
      <c r="D89" s="381"/>
      <c r="E89" s="382"/>
      <c r="F89" s="650"/>
      <c r="G89" s="650"/>
      <c r="H89" s="114"/>
      <c r="I89" s="114"/>
      <c r="J89" s="114"/>
      <c r="K89" s="114"/>
      <c r="L89" s="383"/>
      <c r="M89" s="383"/>
      <c r="N89" s="114"/>
      <c r="O89" s="114"/>
      <c r="P89" s="114"/>
      <c r="Q89" s="114"/>
      <c r="R89" s="114"/>
      <c r="S89" s="114"/>
      <c r="T89" s="114"/>
      <c r="U89" s="114"/>
      <c r="V89" s="383"/>
      <c r="W89" s="511"/>
      <c r="X89" s="661"/>
      <c r="Y89" s="662"/>
      <c r="Z89" s="663"/>
      <c r="AD89" s="24"/>
      <c r="AE89" s="24"/>
    </row>
    <row r="90" spans="2:31" ht="60.75">
      <c r="B90" s="736" t="s">
        <v>190</v>
      </c>
      <c r="C90" s="737" t="s">
        <v>191</v>
      </c>
      <c r="D90" s="546" t="s">
        <v>192</v>
      </c>
      <c r="E90" s="547">
        <f>NETWORKDAYS.INTL(F90,G90,"0000110",$AG$5:$AG$12)</f>
        <v>1</v>
      </c>
      <c r="F90" s="667">
        <f>MAX(WORKDAY.INTL(G88,1,"0000100"),WORKDAY.INTL(G98,1,"0000100"))</f>
        <v>46295</v>
      </c>
      <c r="G90" s="667">
        <f>WORKDAY.INTL(F90,0,"0000110")</f>
        <v>46295</v>
      </c>
      <c r="H90" s="445">
        <f>MAX(WORKDAY.INTL(I88,1,"0000100"),WORKDAY.INTL(I98,1,"0000100"))</f>
        <v>46295</v>
      </c>
      <c r="I90" s="445">
        <f>WORKDAY.INTL(H90,0,"0000110")</f>
        <v>46295</v>
      </c>
      <c r="J90" s="443"/>
      <c r="K90" s="443"/>
      <c r="L90" s="444"/>
      <c r="M90" s="444" t="str">
        <f t="shared" ca="1" si="33"/>
        <v>Not Started</v>
      </c>
      <c r="N90" s="548"/>
      <c r="O90" s="549"/>
      <c r="P90" s="549"/>
      <c r="Q90" s="549"/>
      <c r="R90" s="549"/>
      <c r="S90" s="549"/>
      <c r="T90" s="549"/>
      <c r="U90" s="549"/>
      <c r="V90" s="669"/>
      <c r="W90" s="627"/>
      <c r="X90" s="673" t="s">
        <v>193</v>
      </c>
      <c r="Y90" s="674" t="s">
        <v>264</v>
      </c>
      <c r="Z90" s="738"/>
      <c r="AA90" s="21"/>
    </row>
    <row r="91" spans="2:31" s="19" customFormat="1" ht="9" customHeight="1">
      <c r="B91" s="114"/>
      <c r="C91" s="114"/>
      <c r="D91" s="381"/>
      <c r="E91" s="382"/>
      <c r="F91" s="650"/>
      <c r="G91" s="650"/>
      <c r="H91" s="114"/>
      <c r="I91" s="114"/>
      <c r="J91" s="114"/>
      <c r="K91" s="114"/>
      <c r="L91" s="383"/>
      <c r="M91" s="383"/>
      <c r="N91" s="114"/>
      <c r="O91" s="114"/>
      <c r="P91" s="114"/>
      <c r="Q91" s="114"/>
      <c r="R91" s="114"/>
      <c r="S91" s="114"/>
      <c r="T91" s="114"/>
      <c r="U91" s="114"/>
      <c r="V91" s="383"/>
      <c r="W91" s="510"/>
      <c r="X91" s="661"/>
      <c r="Y91" s="662"/>
      <c r="Z91" s="663"/>
      <c r="AD91" s="24"/>
      <c r="AE91" s="24"/>
    </row>
    <row r="92" spans="2:31" ht="36.950000000000003" customHeight="1">
      <c r="B92" s="1220" t="s">
        <v>195</v>
      </c>
      <c r="C92" t="s">
        <v>34</v>
      </c>
      <c r="D92" s="296" t="s">
        <v>196</v>
      </c>
      <c r="E92" s="351">
        <f t="shared" ref="E92:E98" si="46">NETWORKDAYS.INTL(F92,G92,"0000110",$AG$5:$AG$11)</f>
        <v>2</v>
      </c>
      <c r="F92" s="259">
        <f>MAX(WORKDAY.INTL(G88,1,"0000110",$AG$5:$AG$10),WORKDAY.INTL(G42,1,"0000110",$AG$5:$AG$10),WORKDAY.INTL(G34,1,"0000110",$AG$5:$AG$10))</f>
        <v>46279</v>
      </c>
      <c r="G92" s="259">
        <f>WORKDAY.INTL(F92,1,"0000110",$AG$5:$AG$10)</f>
        <v>46280</v>
      </c>
      <c r="H92" s="76">
        <f>MAX(WORKDAY.INTL(I88,1,"0000110",$AG$5:$AG$10),WORKDAY.INTL(I42,1,"0000110",$AG$5:$AG$10),WORKDAY.INTL(I34,1,"0000110",$AG$5:$AG$10))</f>
        <v>46279</v>
      </c>
      <c r="I92" s="76">
        <f>WORKDAY.INTL(H92,1,"0000110",$AG$5:$AG$10)</f>
        <v>46280</v>
      </c>
      <c r="J92" s="76"/>
      <c r="K92" s="76"/>
      <c r="L92" s="407"/>
      <c r="M92" s="407"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6"/>
      <c r="W92" s="625"/>
      <c r="X92" s="741"/>
      <c r="Y92" s="1228" t="s">
        <v>265</v>
      </c>
      <c r="Z92" s="742"/>
      <c r="AA92" s="21"/>
      <c r="AC92" s="24"/>
      <c r="AD92" s="33"/>
      <c r="AE92" s="33"/>
    </row>
    <row r="93" spans="2:31" ht="36.950000000000003" customHeight="1">
      <c r="B93" s="1231"/>
      <c r="C93" s="781" t="s">
        <v>34</v>
      </c>
      <c r="D93" s="300" t="s">
        <v>198</v>
      </c>
      <c r="E93" s="358">
        <f t="shared" si="46"/>
        <v>4</v>
      </c>
      <c r="F93" s="262">
        <f t="shared" ref="F93:F96" si="48">WORKDAY.INTL(G92,1,"0000100",$AG$5:$AG$11)</f>
        <v>46281</v>
      </c>
      <c r="G93" s="262">
        <f>WORKDAY.INTL(F93,3,"0000110",$AG$5:$AG$9)</f>
        <v>46286</v>
      </c>
      <c r="H93" s="149">
        <f>WORKDAY.INTL(I92,1,"0000100",$AG$5:$AG$11)</f>
        <v>46281</v>
      </c>
      <c r="I93" s="149">
        <f>WORKDAY.INTL(H93,3,"0000110",$AG$5:$AG$9)</f>
        <v>46286</v>
      </c>
      <c r="J93" s="149"/>
      <c r="K93" s="149"/>
      <c r="L93" s="410"/>
      <c r="M93" s="410" t="str">
        <f t="shared" ca="1" si="47"/>
        <v>Not Started</v>
      </c>
      <c r="N93" s="150"/>
      <c r="O93" s="151"/>
      <c r="P93" s="151"/>
      <c r="Q93" s="151"/>
      <c r="R93" s="151"/>
      <c r="S93" s="151"/>
      <c r="T93" s="151"/>
      <c r="U93" s="151"/>
      <c r="V93" s="739"/>
      <c r="W93" s="626"/>
      <c r="X93" s="743"/>
      <c r="Y93" s="1229"/>
      <c r="Z93" s="744"/>
      <c r="AA93" s="21"/>
      <c r="AC93" s="24"/>
    </row>
    <row r="94" spans="2:31" ht="123" customHeight="1">
      <c r="B94" s="1231"/>
      <c r="C94" s="781" t="s">
        <v>34</v>
      </c>
      <c r="D94" s="300" t="s">
        <v>199</v>
      </c>
      <c r="E94" s="358">
        <f t="shared" si="46"/>
        <v>4</v>
      </c>
      <c r="F94" s="262">
        <f>WORKDAY.INTL(G92,1,"0000100",$AG$5:$AG$11)</f>
        <v>46281</v>
      </c>
      <c r="G94" s="262">
        <f>WORKDAY.INTL(F94,3,"0000110",$AG$5:$AG$9)</f>
        <v>46286</v>
      </c>
      <c r="H94" s="149">
        <f>WORKDAY.INTL(I92,1,"0000100",$AG$5:$AG$11)</f>
        <v>46281</v>
      </c>
      <c r="I94" s="149">
        <f>WORKDAY.INTL(H94,3,"0000110",$AG$5:$AG$9)</f>
        <v>46286</v>
      </c>
      <c r="J94" s="149"/>
      <c r="K94" s="149"/>
      <c r="L94" s="740"/>
      <c r="M94" s="410" t="str">
        <f t="shared" ca="1" si="47"/>
        <v>Not Started</v>
      </c>
      <c r="N94" s="150"/>
      <c r="O94" s="151"/>
      <c r="P94" s="151"/>
      <c r="Q94" s="151"/>
      <c r="R94" s="151"/>
      <c r="S94" s="151"/>
      <c r="T94" s="151"/>
      <c r="U94" s="151"/>
      <c r="V94" s="739"/>
      <c r="W94" s="592"/>
      <c r="X94" s="745" t="s">
        <v>200</v>
      </c>
      <c r="Y94" s="1229"/>
      <c r="Z94" s="744"/>
      <c r="AA94" s="21"/>
      <c r="AC94" s="24"/>
      <c r="AD94" s="33"/>
      <c r="AE94" s="33"/>
    </row>
    <row r="95" spans="2:31" ht="36.950000000000003" customHeight="1">
      <c r="B95" s="1231"/>
      <c r="C95" s="781" t="s">
        <v>34</v>
      </c>
      <c r="D95" s="300" t="s">
        <v>201</v>
      </c>
      <c r="E95" s="358">
        <f t="shared" si="46"/>
        <v>2</v>
      </c>
      <c r="F95" s="262">
        <f t="shared" si="48"/>
        <v>46287</v>
      </c>
      <c r="G95" s="262">
        <f>WORKDAY.INTL(F95,1,"0000110",$AG$5:$AG$9)</f>
        <v>46288</v>
      </c>
      <c r="H95" s="149">
        <f>WORKDAY.INTL(I94,1,"0000100",$AG$5:$AG$11)</f>
        <v>46287</v>
      </c>
      <c r="I95" s="149">
        <f>WORKDAY.INTL(H95,1,"0000110",$AG$5:$AG$9)</f>
        <v>46288</v>
      </c>
      <c r="J95" s="149"/>
      <c r="K95" s="149"/>
      <c r="L95" s="410"/>
      <c r="M95" s="410" t="str">
        <f t="shared" ca="1" si="47"/>
        <v>Not Started</v>
      </c>
      <c r="N95" s="150"/>
      <c r="O95" s="151"/>
      <c r="P95" s="151"/>
      <c r="Q95" s="151"/>
      <c r="R95" s="151"/>
      <c r="S95" s="151"/>
      <c r="T95" s="151"/>
      <c r="U95" s="151"/>
      <c r="V95" s="739"/>
      <c r="W95" s="626"/>
      <c r="X95" s="743"/>
      <c r="Y95" s="1229"/>
      <c r="Z95" s="744"/>
      <c r="AA95" s="21"/>
      <c r="AC95" s="24"/>
    </row>
    <row r="96" spans="2:31" ht="36.950000000000003" customHeight="1">
      <c r="B96" s="1231"/>
      <c r="C96" s="781" t="s">
        <v>34</v>
      </c>
      <c r="D96" s="300" t="s">
        <v>202</v>
      </c>
      <c r="E96" s="358">
        <f t="shared" si="46"/>
        <v>2</v>
      </c>
      <c r="F96" s="262">
        <f t="shared" si="48"/>
        <v>46289</v>
      </c>
      <c r="G96" s="262">
        <f>WORKDAY.INTL(F96,2,"0000100",$AG$5:$AG$9)</f>
        <v>46292</v>
      </c>
      <c r="H96" s="149">
        <f>WORKDAY.INTL(I95,1,"0000100",$AG$5:$AG$11)</f>
        <v>46289</v>
      </c>
      <c r="I96" s="149">
        <f>WORKDAY.INTL(H96,2,"0000100",$AG$5:$AG$9)</f>
        <v>46292</v>
      </c>
      <c r="J96" s="149"/>
      <c r="K96" s="149"/>
      <c r="L96" s="410"/>
      <c r="M96" s="410" t="str">
        <f t="shared" ca="1" si="47"/>
        <v>Not Started</v>
      </c>
      <c r="N96" s="150"/>
      <c r="O96" s="151"/>
      <c r="P96" s="151"/>
      <c r="Q96" s="151"/>
      <c r="R96" s="151"/>
      <c r="S96" s="151"/>
      <c r="T96" s="151"/>
      <c r="U96" s="151"/>
      <c r="V96" s="739"/>
      <c r="W96" s="626"/>
      <c r="X96" s="743"/>
      <c r="Y96" s="1229"/>
      <c r="Z96" s="744"/>
      <c r="AA96" s="21"/>
      <c r="AC96" s="24"/>
    </row>
    <row r="97" spans="2:29" ht="36.950000000000003" customHeight="1">
      <c r="B97" s="1231"/>
      <c r="C97" s="781" t="s">
        <v>34</v>
      </c>
      <c r="D97" s="300" t="s">
        <v>203</v>
      </c>
      <c r="E97" s="358">
        <f t="shared" si="46"/>
        <v>1</v>
      </c>
      <c r="F97" s="257">
        <f>WORKDAY.INTL(G96,1,"0000110",$AG$5:$AG$10)</f>
        <v>46293</v>
      </c>
      <c r="G97" s="257">
        <f>WORKDAY.INTL(F97,0,"0000110",$AG$5:$AG$10)</f>
        <v>46293</v>
      </c>
      <c r="H97" s="149">
        <f>WORKDAY.INTL(I96,1,"0000110",$AG$5:$AG$10)</f>
        <v>46293</v>
      </c>
      <c r="I97" s="149">
        <f>WORKDAY.INTL(H97,0,"0000110",$AG$5:$AG$10)</f>
        <v>46293</v>
      </c>
      <c r="J97" s="149"/>
      <c r="K97" s="149"/>
      <c r="L97" s="410"/>
      <c r="M97" s="410" t="str">
        <f t="shared" ca="1" si="47"/>
        <v>Not Started</v>
      </c>
      <c r="N97" s="150"/>
      <c r="O97" s="151"/>
      <c r="P97" s="151"/>
      <c r="Q97" s="151"/>
      <c r="R97" s="151"/>
      <c r="S97" s="151"/>
      <c r="T97" s="151"/>
      <c r="U97" s="151"/>
      <c r="V97" s="739"/>
      <c r="W97" s="629"/>
      <c r="X97" s="743"/>
      <c r="Y97" s="1229"/>
      <c r="Z97" s="746"/>
      <c r="AA97" s="21"/>
      <c r="AC97" s="24"/>
    </row>
    <row r="98" spans="2:29" ht="36.950000000000003" customHeight="1">
      <c r="B98" s="1221"/>
      <c r="C98" s="781" t="s">
        <v>34</v>
      </c>
      <c r="D98" s="301" t="s">
        <v>204</v>
      </c>
      <c r="E98" s="353">
        <f t="shared" si="46"/>
        <v>1</v>
      </c>
      <c r="F98" s="260">
        <f>WORKDAY.INTL(G97,1,"0000110",$AG$5:$AG$10)</f>
        <v>46294</v>
      </c>
      <c r="G98" s="260">
        <f>WORKDAY.INTL(F98,0,"0000110",$AG$5:$AG$10)</f>
        <v>46294</v>
      </c>
      <c r="H98" s="144">
        <f>WORKDAY.INTL(I97,1,"0000110",$AG$5:$AG$10)</f>
        <v>46294</v>
      </c>
      <c r="I98" s="144">
        <f>WORKDAY.INTL(H98,0,"0000110",$AG$5:$AG$10)</f>
        <v>46294</v>
      </c>
      <c r="J98" s="144"/>
      <c r="K98" s="144"/>
      <c r="L98" s="408"/>
      <c r="M98" s="408" t="str">
        <f t="shared" ca="1" si="47"/>
        <v>Not Started</v>
      </c>
      <c r="N98" s="145"/>
      <c r="O98" s="152"/>
      <c r="P98" s="152"/>
      <c r="Q98" s="152"/>
      <c r="R98" s="152"/>
      <c r="S98" s="152"/>
      <c r="T98" s="152"/>
      <c r="U98" s="152"/>
      <c r="V98" s="677"/>
      <c r="W98" s="627"/>
      <c r="X98" s="747"/>
      <c r="Y98" s="1230"/>
      <c r="Z98" s="748"/>
      <c r="AA98" s="21"/>
      <c r="AC98" s="24"/>
    </row>
    <row r="99" spans="2:29" ht="15.75" customHeight="1">
      <c r="Y99" s="21"/>
      <c r="Z99" s="134"/>
    </row>
    <row r="100" spans="2:29" ht="48.75" customHeight="1">
      <c r="B100" s="1232" t="s">
        <v>205</v>
      </c>
      <c r="C100" s="749" t="s">
        <v>205</v>
      </c>
      <c r="D100" s="473" t="s">
        <v>206</v>
      </c>
      <c r="E100" s="474">
        <f>NETWORKDAYS.INTL(F100,G100,"0000110",$AG$5:$AG$11)</f>
        <v>16</v>
      </c>
      <c r="F100" s="320">
        <f>WORKDAY.INTL(G100,-15,"0000110",$AG$5:$AG$10)</f>
        <v>46257</v>
      </c>
      <c r="G100" s="320">
        <f>WORKDAY.INTL(F92,-1,"0000110",$AG$5:$AG$10)</f>
        <v>46278</v>
      </c>
      <c r="H100" s="750">
        <f>WORKDAY.INTL(I100,-15,"0000110",$AG$5:$AG$10)</f>
        <v>46257</v>
      </c>
      <c r="I100" s="750">
        <f>WORKDAY.INTL(H92,-1,"0000110",$AG$5:$AG$10)</f>
        <v>46278</v>
      </c>
      <c r="J100" s="750"/>
      <c r="K100" s="750"/>
      <c r="L100" s="476"/>
      <c r="M100" s="476" t="str">
        <f t="shared" ref="M100:M101" ca="1" si="49">IF(L100=100%,"Completed",
IF(AND(L100&lt;100%,G100&lt;TODAY()),"Delayed",
IF(AND(OR(L100="",L100=0),F100&gt;TODAY()),"Not Started",
IF(AND(OR(L100="",L100=0),F100&lt;=TODAY()),"Delayed",
IF(AND(L100&gt;0,L100&lt;100%),"In Progress","")))))</f>
        <v>Not Started</v>
      </c>
      <c r="N100" s="751"/>
      <c r="O100" s="477"/>
      <c r="P100" s="477"/>
      <c r="Q100" s="477"/>
      <c r="R100" s="477"/>
      <c r="S100" s="477"/>
      <c r="T100" s="477"/>
      <c r="U100" s="477"/>
      <c r="V100" s="752"/>
      <c r="W100" s="592"/>
      <c r="X100" s="760" t="s">
        <v>207</v>
      </c>
      <c r="Y100" s="758"/>
      <c r="Z100" s="478"/>
    </row>
    <row r="101" spans="2:29" ht="71.25">
      <c r="B101" s="1233"/>
      <c r="C101" s="753" t="s">
        <v>205</v>
      </c>
      <c r="D101" s="480" t="s">
        <v>208</v>
      </c>
      <c r="E101" s="481">
        <f>NETWORKDAYS.INTL(F101,G101,"0000110",$AG$5:$AG$11)</f>
        <v>20</v>
      </c>
      <c r="F101" s="263">
        <f>WORKDAY.INTL(G105,10,"0000110",$AG$5:$AG$10)</f>
        <v>46366</v>
      </c>
      <c r="G101" s="263">
        <f>WORKDAY.INTL(F101,19,"0000110",$AG$5:$AG$10)</f>
        <v>46393</v>
      </c>
      <c r="H101" s="754">
        <f>WORKDAY.INTL(I105,10,"0000110",$AG$5:$AG$10)</f>
        <v>46366</v>
      </c>
      <c r="I101" s="754">
        <f>WORKDAY.INTL(H101,19,"0000110",$AG$5:$AG$10)</f>
        <v>46393</v>
      </c>
      <c r="J101" s="754"/>
      <c r="K101" s="754"/>
      <c r="L101" s="483"/>
      <c r="M101" s="483" t="str">
        <f t="shared" ca="1" si="49"/>
        <v>Not Started</v>
      </c>
      <c r="N101" s="755"/>
      <c r="O101" s="484"/>
      <c r="P101" s="484"/>
      <c r="Q101" s="484"/>
      <c r="R101" s="484"/>
      <c r="S101" s="484"/>
      <c r="T101" s="484"/>
      <c r="U101" s="484"/>
      <c r="V101" s="756"/>
      <c r="W101" s="592"/>
      <c r="X101" s="761" t="s">
        <v>209</v>
      </c>
      <c r="Y101" s="759"/>
      <c r="Z101" s="485"/>
    </row>
    <row r="102" spans="2:29" ht="15.75" customHeight="1">
      <c r="X102" s="157"/>
      <c r="Y102" s="21"/>
      <c r="Z102" s="134"/>
    </row>
    <row r="103" spans="2:29" ht="144.75">
      <c r="B103" s="1245" t="s">
        <v>210</v>
      </c>
      <c r="C103" s="630" t="s">
        <v>210</v>
      </c>
      <c r="D103" s="594" t="s">
        <v>211</v>
      </c>
      <c r="E103" s="595">
        <f>NETWORKDAYS.INTL(F103,G103,"0000100",$AF$5:$AF$12)</f>
        <v>21</v>
      </c>
      <c r="F103" s="596">
        <v>46271</v>
      </c>
      <c r="G103" s="596">
        <f>WORKDAY.INTL(F103,18,"0000110")</f>
        <v>46295</v>
      </c>
      <c r="H103" s="597">
        <v>46271</v>
      </c>
      <c r="I103" s="597">
        <f>WORKDAY.INTL(H103,18,"0000110")</f>
        <v>46295</v>
      </c>
      <c r="J103" s="597"/>
      <c r="K103" s="598"/>
      <c r="L103" s="599"/>
      <c r="M103" s="600" t="str">
        <f t="shared" ref="M103:M105" ca="1" si="50">IF(L103=100%,"Completed",
IF(AND(L103&lt;100%,G103&lt;TODAY()),"Delayed",
IF(AND(OR(L103="",L103=0),F103&gt;TODAY()),"Not Started",
IF(AND(OR(L103="",L103=0),F103&lt;=TODAY()),"Delayed",
IF(AND(L103&gt;0,L103&lt;100%),"In Progress","")))))</f>
        <v>Not Started</v>
      </c>
      <c r="N103" s="601"/>
      <c r="O103" s="601"/>
      <c r="P103" s="601"/>
      <c r="Q103" s="601"/>
      <c r="R103" s="601"/>
      <c r="S103" s="601"/>
      <c r="T103" s="601"/>
      <c r="U103" s="602"/>
      <c r="V103" s="762"/>
      <c r="W103" s="625"/>
      <c r="X103" s="767" t="s">
        <v>266</v>
      </c>
      <c r="Y103" s="603"/>
      <c r="Z103" s="604"/>
    </row>
    <row r="104" spans="2:29" ht="33.75" customHeight="1">
      <c r="B104" s="1246"/>
      <c r="C104" s="763" t="s">
        <v>210</v>
      </c>
      <c r="D104" s="360" t="s">
        <v>213</v>
      </c>
      <c r="E104" s="605">
        <f>NETWORKDAYS.INTL(F104,G104,"0000100",$AF$5:$AF$12)</f>
        <v>9</v>
      </c>
      <c r="F104" s="361">
        <v>46215</v>
      </c>
      <c r="G104" s="361">
        <f>WORKDAY.INTL(F104,7,"0000110")</f>
        <v>46224</v>
      </c>
      <c r="H104" s="238">
        <v>46215</v>
      </c>
      <c r="I104" s="238">
        <f>WORKDAY.INTL(H104,7,"0000110")</f>
        <v>46224</v>
      </c>
      <c r="J104" s="238"/>
      <c r="K104" s="239"/>
      <c r="L104" s="411">
        <v>1</v>
      </c>
      <c r="M104" s="412" t="str">
        <f t="shared" ca="1" si="50"/>
        <v>Completed</v>
      </c>
      <c r="N104" s="606"/>
      <c r="O104" s="606"/>
      <c r="P104" s="606"/>
      <c r="Q104" s="606"/>
      <c r="R104" s="606"/>
      <c r="S104" s="606"/>
      <c r="T104" s="606"/>
      <c r="U104" s="607"/>
      <c r="V104" s="764"/>
      <c r="W104" s="626"/>
      <c r="X104" s="768" t="s">
        <v>214</v>
      </c>
      <c r="Y104" s="608"/>
      <c r="Z104" s="609"/>
    </row>
    <row r="105" spans="2:29" ht="108.75">
      <c r="B105" s="1247"/>
      <c r="C105" s="765" t="s">
        <v>210</v>
      </c>
      <c r="D105" s="610" t="s">
        <v>215</v>
      </c>
      <c r="E105" s="611">
        <f>NETWORKDAYS.INTL(F105,G105,"0000100",$AF$5:$AF$12)</f>
        <v>37</v>
      </c>
      <c r="F105" s="612">
        <v>46310</v>
      </c>
      <c r="G105" s="612">
        <f>WORKDAY.INTL(F105,30,"0000110")</f>
        <v>46352</v>
      </c>
      <c r="H105" s="613">
        <v>46310</v>
      </c>
      <c r="I105" s="613">
        <f>WORKDAY.INTL(H105,30,"0000110")</f>
        <v>46352</v>
      </c>
      <c r="J105" s="613"/>
      <c r="K105" s="614"/>
      <c r="L105" s="615"/>
      <c r="M105" s="616" t="str">
        <f t="shared" ca="1" si="50"/>
        <v>Not Started</v>
      </c>
      <c r="N105" s="617"/>
      <c r="O105" s="617"/>
      <c r="P105" s="617"/>
      <c r="Q105" s="617"/>
      <c r="R105" s="617"/>
      <c r="S105" s="617"/>
      <c r="T105" s="617"/>
      <c r="U105" s="618"/>
      <c r="V105" s="766"/>
      <c r="W105" s="627"/>
      <c r="X105" s="562" t="s">
        <v>216</v>
      </c>
      <c r="Y105" s="619"/>
      <c r="Z105" s="620"/>
    </row>
  </sheetData>
  <sheetProtection formatCells="0" formatColumns="0" formatRows="0" insertColumns="0" insertRows="0" insertHyperlinks="0" deleteColumns="0" deleteRows="0" sort="0" autoFilter="0" pivotTables="0"/>
  <mergeCells count="26">
    <mergeCell ref="B11:B14"/>
    <mergeCell ref="B16:B19"/>
    <mergeCell ref="B21:B24"/>
    <mergeCell ref="B26:B29"/>
    <mergeCell ref="B103:B105"/>
    <mergeCell ref="B73:B74"/>
    <mergeCell ref="B76:B77"/>
    <mergeCell ref="B79:B80"/>
    <mergeCell ref="B82:B83"/>
    <mergeCell ref="B85:B86"/>
    <mergeCell ref="W5:W9"/>
    <mergeCell ref="W11:W14"/>
    <mergeCell ref="Y92:Y98"/>
    <mergeCell ref="B92:B98"/>
    <mergeCell ref="B100:B101"/>
    <mergeCell ref="B57:B58"/>
    <mergeCell ref="B60:B61"/>
    <mergeCell ref="B63:B65"/>
    <mergeCell ref="B67:B68"/>
    <mergeCell ref="B70:B71"/>
    <mergeCell ref="B31:B34"/>
    <mergeCell ref="B36:B39"/>
    <mergeCell ref="B41:B44"/>
    <mergeCell ref="B46:B48"/>
    <mergeCell ref="B51:B55"/>
    <mergeCell ref="B5:B9"/>
  </mergeCells>
  <phoneticPr fontId="30"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A50 AA92:AA98" xr:uid="{00000000-0002-0000-0300-000000000000}">
      <formula1>$AB$2:$AB$5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G266"/>
  <sheetViews>
    <sheetView showGridLines="0" tabSelected="1" view="pageBreakPreview" zoomScaleNormal="100" zoomScaleSheetLayoutView="100" workbookViewId="0">
      <pane ySplit="2" topLeftCell="A4" activePane="bottomLeft" state="frozen"/>
      <selection pane="bottomLeft" activeCell="F7" sqref="F7"/>
    </sheetView>
  </sheetViews>
  <sheetFormatPr defaultColWidth="9" defaultRowHeight="15.75"/>
  <cols>
    <col min="1" max="1" width="0.625" style="154" customWidth="1"/>
    <col min="2" max="2" width="16" style="154" customWidth="1"/>
    <col min="3" max="3" width="6.125" style="154" hidden="1" customWidth="1"/>
    <col min="4" max="4" width="46.625" style="264" customWidth="1"/>
    <col min="5" max="5" width="9" style="265" customWidth="1"/>
    <col min="6" max="6" width="12.625" style="261" bestFit="1" customWidth="1"/>
    <col min="7" max="7" width="12.625" style="261" customWidth="1"/>
    <col min="8" max="8" width="13.25" style="261" bestFit="1" customWidth="1"/>
    <col min="9" max="9" width="14" style="261" bestFit="1" customWidth="1"/>
    <col min="10" max="10" width="25" style="261" bestFit="1" customWidth="1"/>
    <col min="11" max="11" width="26.75" style="261" bestFit="1" customWidth="1"/>
    <col min="12" max="12" width="9" style="295" customWidth="1"/>
    <col min="13" max="13" width="11" style="295" bestFit="1" customWidth="1"/>
    <col min="14" max="14" width="17.875" style="295" bestFit="1" customWidth="1"/>
    <col min="15" max="15" width="1.5" style="154" customWidth="1"/>
    <col min="16" max="21" width="9.125" style="154" hidden="1" customWidth="1"/>
    <col min="22" max="22" width="5.625" style="154" hidden="1" customWidth="1"/>
    <col min="23" max="23" width="61.875" style="157" customWidth="1"/>
    <col min="24" max="24" width="50.5" style="229" customWidth="1"/>
    <col min="25" max="25" width="42.625" style="229" customWidth="1"/>
    <col min="26" max="26" width="13.625" style="154" hidden="1" customWidth="1"/>
    <col min="27" max="27" width="9.125" style="154" hidden="1" customWidth="1"/>
    <col min="28" max="28" width="12.125" style="158" hidden="1" customWidth="1"/>
    <col min="29" max="29" width="10.125" style="158" hidden="1" customWidth="1"/>
    <col min="30" max="30" width="9.125" style="154" hidden="1" customWidth="1"/>
    <col min="31" max="31" width="9" style="154" hidden="1" customWidth="1"/>
    <col min="32" max="32" width="10.125" style="154" hidden="1" customWidth="1"/>
    <col min="33" max="33" width="0"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96</v>
      </c>
      <c r="D2" s="267" t="s">
        <v>1</v>
      </c>
      <c r="E2" s="267" t="s">
        <v>97</v>
      </c>
      <c r="F2" s="253" t="s">
        <v>98</v>
      </c>
      <c r="G2" s="253" t="s">
        <v>83</v>
      </c>
      <c r="H2" s="253" t="s">
        <v>99</v>
      </c>
      <c r="I2" s="253" t="s">
        <v>84</v>
      </c>
      <c r="J2" s="268" t="s">
        <v>100</v>
      </c>
      <c r="K2" s="268" t="s">
        <v>101</v>
      </c>
      <c r="L2" s="269" t="s">
        <v>82</v>
      </c>
      <c r="M2" s="269" t="s">
        <v>102</v>
      </c>
      <c r="N2" s="269" t="s">
        <v>103</v>
      </c>
      <c r="O2" s="773"/>
      <c r="P2" s="160">
        <v>46113</v>
      </c>
      <c r="Q2" s="161">
        <v>46143</v>
      </c>
      <c r="R2" s="161">
        <v>46174</v>
      </c>
      <c r="S2" s="161">
        <v>46204</v>
      </c>
      <c r="T2" s="161">
        <v>46235</v>
      </c>
      <c r="U2" s="161">
        <v>46266</v>
      </c>
      <c r="V2" s="161">
        <v>46296</v>
      </c>
      <c r="W2" s="225" t="s">
        <v>2</v>
      </c>
      <c r="X2" s="162" t="s">
        <v>104</v>
      </c>
      <c r="Y2" s="162" t="s">
        <v>105</v>
      </c>
      <c r="AA2" s="154" t="s">
        <v>218</v>
      </c>
      <c r="AB2" s="154"/>
      <c r="AD2" s="158"/>
    </row>
    <row r="3" spans="2:33" ht="45" hidden="1" customHeight="1">
      <c r="B3" s="163"/>
      <c r="C3" s="163"/>
      <c r="D3" s="270" t="s">
        <v>267</v>
      </c>
      <c r="E3" s="271"/>
      <c r="F3" s="254"/>
      <c r="G3" s="254" t="s">
        <v>55</v>
      </c>
      <c r="H3" s="254"/>
      <c r="I3" s="254" t="s">
        <v>55</v>
      </c>
      <c r="J3" s="254"/>
      <c r="K3" s="254"/>
      <c r="L3" s="272">
        <v>1</v>
      </c>
      <c r="M3" s="272" t="str">
        <f ca="1">IF(OR(L3=100%,K3&lt;&gt;""),"Completed",IF(AND(OR(L3="",L3=0),F3&gt;TODAY()),"Not Started",IF(AND(OR(L3="",L3=0),F3&lt;=TODAY()),"Delayed",IF(AND(L3&gt;0,L3&lt;100%,G3&lt;TODAY()),"Delayed",IF(AND(L3&gt;0,L3&lt;100%),"In Progress","")))))</f>
        <v>Completed</v>
      </c>
      <c r="N3" s="272"/>
      <c r="O3" s="773"/>
      <c r="P3" s="164"/>
      <c r="Q3" s="165"/>
      <c r="R3" s="165"/>
      <c r="S3" s="165"/>
      <c r="T3" s="165"/>
      <c r="U3" s="165"/>
      <c r="V3" s="165"/>
      <c r="W3" s="226"/>
      <c r="X3" s="166"/>
      <c r="Y3" s="166"/>
      <c r="AA3" s="154" t="s">
        <v>110</v>
      </c>
      <c r="AB3" s="154"/>
      <c r="AD3" s="158"/>
    </row>
    <row r="4" spans="2:33" s="153" customFormat="1" ht="4.5" customHeight="1">
      <c r="B4" s="181"/>
      <c r="C4" s="181"/>
      <c r="D4" s="258"/>
      <c r="E4" s="288"/>
      <c r="F4" s="258"/>
      <c r="G4" s="258"/>
      <c r="H4" s="258"/>
      <c r="I4" s="258"/>
      <c r="J4" s="258"/>
      <c r="K4" s="258"/>
      <c r="L4" s="289"/>
      <c r="M4" s="289"/>
      <c r="N4" s="289"/>
      <c r="O4" s="774"/>
      <c r="P4" s="167"/>
      <c r="Q4" s="167"/>
      <c r="R4" s="167"/>
      <c r="S4" s="167"/>
      <c r="T4" s="167"/>
      <c r="U4" s="167"/>
      <c r="V4" s="167"/>
      <c r="W4" s="181"/>
      <c r="X4" s="521"/>
      <c r="Y4" s="521"/>
      <c r="AC4" s="168"/>
      <c r="AD4" s="168"/>
    </row>
    <row r="5" spans="2:33" ht="54" customHeight="1">
      <c r="B5" s="1155" t="s">
        <v>108</v>
      </c>
      <c r="C5" s="422" t="s">
        <v>86</v>
      </c>
      <c r="D5" s="274" t="s">
        <v>268</v>
      </c>
      <c r="E5" s="275">
        <f>NETWORKDAYS.INTL(F5,G5,"0000100",$AF$5:$AF$11)</f>
        <v>1</v>
      </c>
      <c r="F5" s="198">
        <v>46153</v>
      </c>
      <c r="G5" s="198">
        <v>46153</v>
      </c>
      <c r="H5" s="198">
        <v>46153</v>
      </c>
      <c r="I5" s="198">
        <v>46153</v>
      </c>
      <c r="J5" s="198">
        <v>46153</v>
      </c>
      <c r="K5" s="198">
        <v>46153</v>
      </c>
      <c r="L5" s="276">
        <v>1</v>
      </c>
      <c r="M5" s="276" t="str">
        <f ca="1">IF(L5=100%,"Completed",
IF(AND(L5&lt;100%,G5&lt;TODAY()),"Delayed",
IF(AND(OR(L5="",L5=0),F5&gt;TODAY()),"Not Started",
IF(AND(OR(L5="",L5=0),F5&lt;=TODAY()),"Delayed",
IF(AND(L5&gt;0,L5&lt;100%),"In Progress","")))))</f>
        <v>Completed</v>
      </c>
      <c r="N5" s="783"/>
      <c r="O5" s="782"/>
      <c r="P5" s="171"/>
      <c r="Q5" s="171"/>
      <c r="R5" s="171"/>
      <c r="S5" s="171"/>
      <c r="T5" s="171"/>
      <c r="U5" s="171"/>
      <c r="V5" s="171"/>
      <c r="W5" s="664"/>
      <c r="X5" s="169"/>
      <c r="Y5" s="469"/>
      <c r="AA5" s="154" t="s">
        <v>121</v>
      </c>
      <c r="AB5" s="170" t="s">
        <v>62</v>
      </c>
      <c r="AC5" s="158" t="s">
        <v>68</v>
      </c>
      <c r="AD5" s="158"/>
      <c r="AF5" s="154">
        <v>46166</v>
      </c>
      <c r="AG5" s="173"/>
    </row>
    <row r="6" spans="2:33" ht="54" customHeight="1">
      <c r="B6" s="1156"/>
      <c r="C6" s="423" t="s">
        <v>86</v>
      </c>
      <c r="D6" s="277" t="s">
        <v>111</v>
      </c>
      <c r="E6" s="278">
        <f>NETWORKDAYS.INTL(F6,G6,"0000100",$AF$5:$AF$11)</f>
        <v>37</v>
      </c>
      <c r="F6" s="200">
        <f>WORKDAY.INTL("12-May-26",0,"0000100")</f>
        <v>46154</v>
      </c>
      <c r="G6" s="200">
        <v>46202</v>
      </c>
      <c r="H6" s="200">
        <f>WORKDAY.INTL("12-May-26",0,"0000100")</f>
        <v>46154</v>
      </c>
      <c r="I6" s="200">
        <v>46202</v>
      </c>
      <c r="J6" s="198">
        <v>46154</v>
      </c>
      <c r="K6" s="200">
        <v>46202</v>
      </c>
      <c r="L6" s="279">
        <v>1</v>
      </c>
      <c r="M6" s="279" t="str">
        <f ca="1">IF(L6=100%,"Completed",
IF(AND(L6&lt;100%,G6&lt;TODAY()),"Delayed",
IF(AND(OR(L6="",L6=0),F6&gt;TODAY()),"Not Started",
IF(AND(OR(L6="",L6=0),F6&lt;=TODAY()),"Delayed",
IF(AND(L6&gt;0,L6&lt;100%),"In Progress","")))))</f>
        <v>Completed</v>
      </c>
      <c r="N6" s="784"/>
      <c r="O6" s="782"/>
      <c r="P6" s="171"/>
      <c r="Q6" s="171"/>
      <c r="R6" s="171"/>
      <c r="S6" s="171"/>
      <c r="T6" s="171"/>
      <c r="U6" s="171"/>
      <c r="V6" s="171"/>
      <c r="W6" s="665"/>
      <c r="X6" s="170"/>
      <c r="Y6" s="470"/>
      <c r="AB6" s="170" t="s">
        <v>63</v>
      </c>
      <c r="AC6" s="158" t="s">
        <v>68</v>
      </c>
      <c r="AD6" s="158"/>
      <c r="AF6" s="154">
        <v>46167</v>
      </c>
      <c r="AG6" s="173"/>
    </row>
    <row r="7" spans="2:33" ht="126">
      <c r="B7" s="1156"/>
      <c r="C7" s="423" t="s">
        <v>86</v>
      </c>
      <c r="D7" s="277" t="s">
        <v>112</v>
      </c>
      <c r="E7" s="278"/>
      <c r="F7" s="200">
        <v>46124</v>
      </c>
      <c r="G7" s="200">
        <v>46229</v>
      </c>
      <c r="H7" s="200">
        <v>46124</v>
      </c>
      <c r="I7" s="200">
        <v>46231</v>
      </c>
      <c r="J7" s="200"/>
      <c r="K7" s="200">
        <v>46236</v>
      </c>
      <c r="L7" s="279">
        <v>0.8</v>
      </c>
      <c r="M7" s="279" t="str">
        <f ca="1">IF(L7=100%,"Completed",
IF(AND(L7&lt;100%,G7&lt;TODAY()),"Delayed",
IF(AND(OR(L7="",L7=0),F7&gt;TODAY()),"Not Started",
IF(AND(OR(L7="",L7=0),F7&lt;=TODAY()),"Delayed",
IF(AND(L7&gt;0,L7&lt;100%),"In Progress","")))))</f>
        <v>In Progress</v>
      </c>
      <c r="N7" s="784" t="s">
        <v>269</v>
      </c>
      <c r="O7" s="782"/>
      <c r="P7" s="171"/>
      <c r="Q7" s="171"/>
      <c r="R7" s="171"/>
      <c r="S7" s="171"/>
      <c r="T7" s="171"/>
      <c r="U7" s="171"/>
      <c r="V7" s="171"/>
      <c r="W7" s="945" t="s">
        <v>222</v>
      </c>
      <c r="X7" s="170"/>
      <c r="Y7" s="470"/>
      <c r="AD7" s="158"/>
      <c r="AF7" s="154">
        <v>46168</v>
      </c>
      <c r="AG7" s="173"/>
    </row>
    <row r="8" spans="2:33" ht="54.75">
      <c r="B8" s="1156"/>
      <c r="C8" s="423" t="s">
        <v>86</v>
      </c>
      <c r="D8" s="280" t="s">
        <v>117</v>
      </c>
      <c r="E8" s="278">
        <f>NETWORKDAYS.INTL(F8,G8,"0000110",$AF$5:$AF$11)</f>
        <v>2</v>
      </c>
      <c r="F8" s="200">
        <f>WORKDAY.INTL(G7,1,"0000110",$AF$5:$AF$9)</f>
        <v>46230</v>
      </c>
      <c r="G8" s="200">
        <f>WORKDAY.INTL(F8,1,"0000110",$AF$5:$AF$10)</f>
        <v>46231</v>
      </c>
      <c r="H8" s="200">
        <f>WORKDAY.INTL(I7,1,"0000110",$AF$5:$AF$9)</f>
        <v>46232</v>
      </c>
      <c r="I8" s="200">
        <f>WORKDAY.INTL(H8,1,"0000110",$AF$5:$AF$10)</f>
        <v>46233</v>
      </c>
      <c r="J8" s="200">
        <v>46236</v>
      </c>
      <c r="K8" s="200"/>
      <c r="L8" s="279"/>
      <c r="M8" s="279" t="str">
        <f ca="1">IF(L8=100%,"Completed",
IF(AND(L8&lt;100%,G8&lt;TODAY()),"Delayed",
IF(AND(OR(L8="",L8=0),F8&gt;TODAY()),"Not Started",
IF(AND(OR(L8="",L8=0),F8&lt;=TODAY()),"Delayed",
IF(AND(L8&gt;0,L8&lt;100%),"In Progress","")))))</f>
        <v>Not Started</v>
      </c>
      <c r="N8" s="784"/>
      <c r="O8" s="782"/>
      <c r="P8" s="174"/>
      <c r="Q8" s="174"/>
      <c r="R8" s="174"/>
      <c r="S8" s="174"/>
      <c r="T8" s="174"/>
      <c r="U8" s="174"/>
      <c r="V8" s="174"/>
      <c r="W8" s="665" t="s">
        <v>118</v>
      </c>
      <c r="X8" s="170" t="s">
        <v>270</v>
      </c>
      <c r="Y8" s="470" t="s">
        <v>120</v>
      </c>
      <c r="AB8" s="170" t="s">
        <v>64</v>
      </c>
      <c r="AC8" s="158" t="s">
        <v>68</v>
      </c>
      <c r="AD8" s="158"/>
      <c r="AF8" s="154">
        <v>46169</v>
      </c>
      <c r="AG8" s="173"/>
    </row>
    <row r="9" spans="2:33" ht="54" customHeight="1">
      <c r="B9" s="1153"/>
      <c r="C9" s="424" t="s">
        <v>86</v>
      </c>
      <c r="D9" s="281" t="s">
        <v>122</v>
      </c>
      <c r="E9" s="282">
        <f>NETWORKDAYS.INTL(F9,G9,"0000110",$AF$5:$AF$11)</f>
        <v>2</v>
      </c>
      <c r="F9" s="256">
        <f>WORKDAY.INTL(G8,1,"0000110",$AF$5:$AF$9)</f>
        <v>46232</v>
      </c>
      <c r="G9" s="256">
        <f>WORKDAY.INTL(F9,1,"0000110",$AF$5:$AF$10)</f>
        <v>46233</v>
      </c>
      <c r="H9" s="256">
        <f>WORKDAY.INTL(I8,1,"0000110",$AF$5:$AF$9)</f>
        <v>46236</v>
      </c>
      <c r="I9" s="256">
        <f>WORKDAY.INTL(H9,1,"0000110",$AF$5:$AF$10)</f>
        <v>46237</v>
      </c>
      <c r="J9" s="256"/>
      <c r="K9" s="256"/>
      <c r="L9" s="283"/>
      <c r="M9" s="283" t="str">
        <f ca="1">IF(L9=100%,"Completed",
IF(AND(L9&lt;100%,G9&lt;TODAY()),"Delayed",
IF(AND(OR(L9="",L9=0),F9&gt;TODAY()),"Not Started",
IF(AND(OR(L9="",L9=0),F9&lt;=TODAY()),"Delayed",
IF(AND(L9&gt;0,L9&lt;100%),"In Progress","")))))</f>
        <v>Not Started</v>
      </c>
      <c r="N9" s="785"/>
      <c r="O9" s="782"/>
      <c r="P9" s="174"/>
      <c r="Q9" s="174"/>
      <c r="R9" s="174"/>
      <c r="S9" s="174"/>
      <c r="T9" s="174"/>
      <c r="U9" s="174"/>
      <c r="V9" s="174"/>
      <c r="W9" s="786" t="s">
        <v>123</v>
      </c>
      <c r="X9" s="189"/>
      <c r="Y9" s="471"/>
      <c r="AB9" s="170" t="s">
        <v>65</v>
      </c>
      <c r="AC9" s="158" t="s">
        <v>68</v>
      </c>
      <c r="AD9" s="158"/>
      <c r="AF9" s="154">
        <v>46170</v>
      </c>
      <c r="AG9" s="173"/>
    </row>
    <row r="10" spans="2:33" s="153" customFormat="1" ht="5.0999999999999996" customHeight="1">
      <c r="B10" s="205"/>
      <c r="C10" s="205"/>
      <c r="D10" s="314"/>
      <c r="E10" s="315"/>
      <c r="F10" s="314"/>
      <c r="G10" s="314"/>
      <c r="H10" s="314"/>
      <c r="I10" s="314"/>
      <c r="J10" s="314"/>
      <c r="K10" s="314"/>
      <c r="L10" s="316"/>
      <c r="M10" s="316"/>
      <c r="N10" s="316"/>
      <c r="O10" s="774"/>
      <c r="P10" s="167"/>
      <c r="Q10" s="167"/>
      <c r="R10" s="167"/>
      <c r="S10" s="167"/>
      <c r="T10" s="167"/>
      <c r="U10" s="167"/>
      <c r="V10" s="167"/>
      <c r="W10" s="205"/>
      <c r="X10" s="205"/>
      <c r="Y10" s="205"/>
      <c r="AB10" s="168"/>
      <c r="AC10" s="168"/>
      <c r="AF10" s="153">
        <v>46288</v>
      </c>
      <c r="AG10" s="173"/>
    </row>
    <row r="11" spans="2:33" ht="45" customHeight="1">
      <c r="B11" s="1161" t="s">
        <v>271</v>
      </c>
      <c r="C11" s="787" t="s">
        <v>86</v>
      </c>
      <c r="D11" s="788" t="s">
        <v>268</v>
      </c>
      <c r="E11" s="317">
        <f>NETWORKDAYS.INTL(F11,G11,"0000100",$AF$5:$AF$11)</f>
        <v>1</v>
      </c>
      <c r="F11" s="259">
        <v>46183</v>
      </c>
      <c r="G11" s="259">
        <v>46183</v>
      </c>
      <c r="H11" s="259">
        <v>46183</v>
      </c>
      <c r="I11" s="259">
        <v>46183</v>
      </c>
      <c r="J11" s="259"/>
      <c r="K11" s="259"/>
      <c r="L11" s="292">
        <v>1</v>
      </c>
      <c r="M11" s="292" t="str">
        <f ca="1">IF(L11=100%,"Completed",
IF(AND(L11&lt;100%,G11&lt;TODAY()),"Delayed",
IF(AND(OR(L11="",L11=0),F11&gt;TODAY()),"Not Started",
IF(AND(OR(L11="",L11=0),F11&lt;=TODAY()),"Delayed",
IF(AND(L11&gt;0,L11&lt;100%),"In Progress","")))))</f>
        <v>Completed</v>
      </c>
      <c r="N11" s="789"/>
      <c r="O11" s="782"/>
      <c r="P11" s="175"/>
      <c r="Q11" s="175"/>
      <c r="R11" s="175"/>
      <c r="S11" s="175"/>
      <c r="T11" s="175"/>
      <c r="U11" s="175"/>
      <c r="V11" s="175"/>
      <c r="W11" s="799"/>
      <c r="X11" s="92"/>
      <c r="Y11" s="742"/>
      <c r="AB11" s="170" t="s">
        <v>62</v>
      </c>
      <c r="AC11" s="158" t="s">
        <v>69</v>
      </c>
      <c r="AD11" s="158"/>
      <c r="AF11" s="154">
        <v>46288</v>
      </c>
      <c r="AG11" s="173"/>
    </row>
    <row r="12" spans="2:33" ht="45" customHeight="1">
      <c r="B12" s="1162"/>
      <c r="C12" s="790" t="s">
        <v>86</v>
      </c>
      <c r="D12" s="791" t="s">
        <v>111</v>
      </c>
      <c r="E12" s="792">
        <f>NETWORKDAYS.INTL(F12,G12,"0000100",$AF$5:$AF$11)</f>
        <v>18</v>
      </c>
      <c r="F12" s="257">
        <f>G11+1</f>
        <v>46184</v>
      </c>
      <c r="G12" s="257">
        <v>46204</v>
      </c>
      <c r="H12" s="257">
        <f>I11+1</f>
        <v>46184</v>
      </c>
      <c r="I12" s="257">
        <v>46204</v>
      </c>
      <c r="J12" s="259">
        <v>46182</v>
      </c>
      <c r="K12" s="259">
        <v>46203</v>
      </c>
      <c r="L12" s="286">
        <v>1</v>
      </c>
      <c r="M12" s="286" t="str">
        <f ca="1">IF(L12=100%,"Completed",
IF(AND(L12&lt;100%,G12&lt;TODAY()),"Delayed",
IF(AND(OR(L12="",L12=0),F12&gt;TODAY()),"Not Started",
IF(AND(OR(L12="",L12=0),F12&lt;=TODAY()),"Delayed",
IF(AND(L12&gt;0,L12&lt;100%),"In Progress","")))))</f>
        <v>Completed</v>
      </c>
      <c r="N12" s="793"/>
      <c r="O12" s="782"/>
      <c r="P12" s="176"/>
      <c r="Q12" s="176"/>
      <c r="R12" s="176"/>
      <c r="S12" s="176"/>
      <c r="T12" s="176"/>
      <c r="U12" s="176"/>
      <c r="V12" s="176"/>
      <c r="W12" s="800"/>
      <c r="X12" s="97"/>
      <c r="Y12" s="746"/>
      <c r="AB12" s="170" t="s">
        <v>63</v>
      </c>
      <c r="AC12" s="158" t="s">
        <v>69</v>
      </c>
      <c r="AD12" s="158"/>
    </row>
    <row r="13" spans="2:33" ht="104.1" customHeight="1">
      <c r="B13" s="1162"/>
      <c r="C13" s="790" t="s">
        <v>86</v>
      </c>
      <c r="D13" s="794" t="s">
        <v>117</v>
      </c>
      <c r="E13" s="792">
        <f>NETWORKDAYS.INTL(F13,G13,"0000110",$AF$5:$AF$11)</f>
        <v>3</v>
      </c>
      <c r="F13" s="257">
        <f>WORKDAY.INTL(G8,1,"0000110",$AF$5:$AF$9)</f>
        <v>46232</v>
      </c>
      <c r="G13" s="257">
        <f>WORKDAY.INTL(F13,2,"0000110",$AF$5:$AF$10)</f>
        <v>46236</v>
      </c>
      <c r="H13" s="257">
        <f>WORKDAY.INTL(I8,1,"0000110",$AF$5:$AF$9)</f>
        <v>46236</v>
      </c>
      <c r="I13" s="257">
        <f>WORKDAY.INTL(H13,2,"0000110",$AF$5:$AF$10)</f>
        <v>46238</v>
      </c>
      <c r="J13" s="257"/>
      <c r="K13" s="257"/>
      <c r="L13" s="286"/>
      <c r="M13" s="286" t="str">
        <f ca="1">IF(L13=100%,"Completed",
IF(AND(L13&lt;100%,G13&lt;TODAY()),"Delayed",
IF(AND(OR(L13="",L13=0),F13&gt;TODAY()),"Not Started",
IF(AND(OR(L13="",L13=0),F13&lt;=TODAY()),"Delayed",
IF(AND(L13&gt;0,L13&lt;100%),"In Progress","")))))</f>
        <v>Not Started</v>
      </c>
      <c r="N13" s="793"/>
      <c r="O13" s="782"/>
      <c r="P13" s="177"/>
      <c r="Q13" s="177"/>
      <c r="R13" s="177"/>
      <c r="S13" s="177"/>
      <c r="T13" s="177"/>
      <c r="U13" s="177"/>
      <c r="V13" s="177"/>
      <c r="W13" s="800" t="s">
        <v>126</v>
      </c>
      <c r="X13" s="97" t="s">
        <v>270</v>
      </c>
      <c r="Y13" s="746" t="s">
        <v>120</v>
      </c>
      <c r="AB13" s="170" t="s">
        <v>64</v>
      </c>
      <c r="AC13" s="158" t="s">
        <v>69</v>
      </c>
      <c r="AD13" s="158"/>
    </row>
    <row r="14" spans="2:33" ht="126.95" customHeight="1">
      <c r="B14" s="1163"/>
      <c r="C14" s="795" t="s">
        <v>86</v>
      </c>
      <c r="D14" s="796" t="s">
        <v>122</v>
      </c>
      <c r="E14" s="797">
        <f>NETWORKDAYS.INTL(F14,G14,"0000110",$AF$5:$AF$11)</f>
        <v>2</v>
      </c>
      <c r="F14" s="260">
        <f>WORKDAY.INTL(G13,1,"0000110",$AF$5:$AF$9)</f>
        <v>46237</v>
      </c>
      <c r="G14" s="260">
        <f>WORKDAY.INTL(F14,1,"0000110",$AF$5:$AF$10)</f>
        <v>46238</v>
      </c>
      <c r="H14" s="260">
        <f>WORKDAY.INTL(I13,1,"0000110",$AF$5:$AF$9)</f>
        <v>46239</v>
      </c>
      <c r="I14" s="260">
        <f>WORKDAY.INTL(H14,1,"0000110",$AF$5:$AF$10)</f>
        <v>46240</v>
      </c>
      <c r="J14" s="260"/>
      <c r="K14" s="260"/>
      <c r="L14" s="293"/>
      <c r="M14" s="293" t="str">
        <f ca="1">IF(L14=100%,"Completed",
IF(AND(L14&lt;100%,G14&lt;TODAY()),"Delayed",
IF(AND(OR(L14="",L14=0),F14&gt;TODAY()),"Not Started",
IF(AND(OR(L14="",L14=0),F14&lt;=TODAY()),"Delayed",
IF(AND(L14&gt;0,L14&lt;100%),"In Progress","")))))</f>
        <v>Not Started</v>
      </c>
      <c r="N14" s="798"/>
      <c r="O14" s="782"/>
      <c r="P14" s="177"/>
      <c r="Q14" s="177"/>
      <c r="R14" s="177"/>
      <c r="S14" s="177"/>
      <c r="T14" s="177"/>
      <c r="U14" s="177"/>
      <c r="V14" s="177"/>
      <c r="W14" s="801" t="s">
        <v>123</v>
      </c>
      <c r="X14" s="99"/>
      <c r="Y14" s="748"/>
      <c r="AB14" s="170" t="s">
        <v>65</v>
      </c>
      <c r="AC14" s="158" t="s">
        <v>69</v>
      </c>
      <c r="AD14" s="158"/>
    </row>
    <row r="15" spans="2:33" s="153" customFormat="1" ht="4.5" customHeight="1">
      <c r="B15" s="205"/>
      <c r="C15" s="205"/>
      <c r="D15" s="314"/>
      <c r="E15" s="315"/>
      <c r="F15" s="314"/>
      <c r="G15" s="314"/>
      <c r="H15" s="314"/>
      <c r="I15" s="314"/>
      <c r="J15" s="314"/>
      <c r="K15" s="314"/>
      <c r="L15" s="316"/>
      <c r="M15" s="316"/>
      <c r="N15" s="316"/>
      <c r="O15" s="774"/>
      <c r="P15" s="167"/>
      <c r="Q15" s="167"/>
      <c r="R15" s="167"/>
      <c r="S15" s="167"/>
      <c r="T15" s="167"/>
      <c r="U15" s="167"/>
      <c r="V15" s="167"/>
      <c r="W15" s="205"/>
      <c r="X15" s="205"/>
      <c r="Y15" s="205"/>
      <c r="AB15" s="168"/>
      <c r="AC15" s="168"/>
    </row>
    <row r="16" spans="2:33" ht="45" customHeight="1">
      <c r="B16" s="1155" t="s">
        <v>272</v>
      </c>
      <c r="C16" s="422" t="s">
        <v>86</v>
      </c>
      <c r="D16" s="274" t="s">
        <v>268</v>
      </c>
      <c r="E16" s="275">
        <f>NETWORKDAYS.INTL(F16,G16,"0000100",$AF$5:$AF$11)</f>
        <v>7</v>
      </c>
      <c r="F16" s="198">
        <f>WORKDAY.INTL(G12,1,"0000100",$AF$5:$AF$10)</f>
        <v>46205</v>
      </c>
      <c r="G16" s="198">
        <f>WORKDAY.INTL(F16,6,"0000100",$AF$5:$AF$10)</f>
        <v>46212</v>
      </c>
      <c r="H16" s="198">
        <f>WORKDAY.INTL(I12,1,"0000100",$AF$5:$AF$10)</f>
        <v>46205</v>
      </c>
      <c r="I16" s="198">
        <f>WORKDAY.INTL(H16,6,"0000100",$AF$5:$AF$10)</f>
        <v>46212</v>
      </c>
      <c r="J16" s="198"/>
      <c r="K16" s="198"/>
      <c r="L16" s="276">
        <v>1</v>
      </c>
      <c r="M16" s="276" t="str">
        <f ca="1">IF(L16=100%,"Completed",
IF(AND(L16&lt;100%,G16&lt;TODAY()),"Delayed",
IF(AND(OR(L16="",L16=0),F16&gt;TODAY()),"Not Started",
IF(AND(OR(L16="",L16=0),F16&lt;=TODAY()),"Delayed",
IF(AND(L16&gt;0,L16&lt;100%),"In Progress","")))))</f>
        <v>Completed</v>
      </c>
      <c r="N16" s="783"/>
      <c r="O16" s="782"/>
      <c r="P16" s="171"/>
      <c r="Q16" s="171"/>
      <c r="R16" s="171"/>
      <c r="S16" s="171"/>
      <c r="T16" s="171"/>
      <c r="U16" s="171"/>
      <c r="V16" s="171"/>
      <c r="W16" s="664"/>
      <c r="X16" s="169"/>
      <c r="Y16" s="469"/>
      <c r="AB16" s="170" t="s">
        <v>62</v>
      </c>
      <c r="AC16" s="158" t="s">
        <v>70</v>
      </c>
      <c r="AD16" s="158"/>
    </row>
    <row r="17" spans="2:33" ht="45" customHeight="1">
      <c r="B17" s="1156"/>
      <c r="C17" s="423" t="s">
        <v>86</v>
      </c>
      <c r="D17" s="277" t="s">
        <v>111</v>
      </c>
      <c r="E17" s="278">
        <f>NETWORKDAYS.INTL(F17,G17,"0000100",$AF$5:$AF$11)</f>
        <v>2</v>
      </c>
      <c r="F17" s="200">
        <f>WORKDAY.INTL(G16,1,"0000100",$AF$5:$AF$10)</f>
        <v>46214</v>
      </c>
      <c r="G17" s="200">
        <f>WORKDAY.INTL(F17,1,"0000100",$AF$5:$AF$10)</f>
        <v>46215</v>
      </c>
      <c r="H17" s="200">
        <f>WORKDAY.INTL(I16,1,"0000100",$AF$5:$AF$10)</f>
        <v>46214</v>
      </c>
      <c r="I17" s="200">
        <f>WORKDAY.INTL(H17,1,"0000100",$AF$5:$AF$10)</f>
        <v>46215</v>
      </c>
      <c r="J17" s="200"/>
      <c r="K17" s="200"/>
      <c r="L17" s="279">
        <v>1</v>
      </c>
      <c r="M17" s="279" t="str">
        <f ca="1">IF(L17=100%,"Completed",
IF(AND(L17&lt;100%,G17&lt;TODAY()),"Delayed",
IF(AND(OR(L17="",L17=0),F17&gt;TODAY()),"Not Started",
IF(AND(OR(L17="",L17=0),F17&lt;=TODAY()),"Delayed",
IF(AND(L17&gt;0,L17&lt;100%),"In Progress","")))))</f>
        <v>Completed</v>
      </c>
      <c r="N17" s="784"/>
      <c r="O17" s="782"/>
      <c r="P17" s="171"/>
      <c r="Q17" s="171"/>
      <c r="R17" s="171"/>
      <c r="S17" s="171"/>
      <c r="T17" s="171"/>
      <c r="U17" s="171"/>
      <c r="V17" s="171"/>
      <c r="W17" s="665"/>
      <c r="X17" s="170"/>
      <c r="Y17" s="470"/>
      <c r="AB17" s="170" t="s">
        <v>63</v>
      </c>
      <c r="AC17" s="158" t="s">
        <v>70</v>
      </c>
      <c r="AD17" s="158"/>
    </row>
    <row r="18" spans="2:33" ht="45" customHeight="1">
      <c r="B18" s="1156"/>
      <c r="C18" s="423" t="s">
        <v>86</v>
      </c>
      <c r="D18" s="277" t="s">
        <v>117</v>
      </c>
      <c r="E18" s="278">
        <f>NETWORKDAYS.INTL(F18,G18,"0000110",$AF$5:$AF$11)</f>
        <v>4</v>
      </c>
      <c r="F18" s="200">
        <f>MAX(WORKDAY.INTL(G17,1,"0000100",$AF$5:$AF$10),WORKDAY.INTL(G13,1,"0000100",$AF$5:$AF$10))</f>
        <v>46237</v>
      </c>
      <c r="G18" s="200">
        <f>WORKDAY.INTL(F18,3,"0000110",$AF$5:$AF$10)</f>
        <v>46240</v>
      </c>
      <c r="H18" s="200">
        <f>MAX(WORKDAY.INTL(I17,1,"0000100",$AF$5:$AF$10),WORKDAY.INTL(I13,1,"0000100",$AF$5:$AF$10))</f>
        <v>46239</v>
      </c>
      <c r="I18" s="200">
        <f>WORKDAY.INTL(H18,3,"0000110",$AF$5:$AF$10)</f>
        <v>46244</v>
      </c>
      <c r="J18" s="200"/>
      <c r="K18" s="200"/>
      <c r="L18" s="279"/>
      <c r="M18" s="279" t="str">
        <f ca="1">IF(L18=100%,"Completed",
IF(AND(L18&lt;100%,G18&lt;TODAY()),"Delayed",
IF(AND(OR(L18="",L18=0),F18&gt;TODAY()),"Not Started",
IF(AND(OR(L18="",L18=0),F18&lt;=TODAY()),"Delayed",
IF(AND(L18&gt;0,L18&lt;100%),"In Progress","")))))</f>
        <v>Not Started</v>
      </c>
      <c r="N18" s="784"/>
      <c r="O18" s="782"/>
      <c r="P18" s="171"/>
      <c r="Q18" s="171"/>
      <c r="R18" s="171"/>
      <c r="S18" s="171"/>
      <c r="T18" s="171"/>
      <c r="U18" s="171"/>
      <c r="V18" s="171"/>
      <c r="W18" s="665" t="s">
        <v>126</v>
      </c>
      <c r="X18" s="170" t="s">
        <v>270</v>
      </c>
      <c r="Y18" s="470" t="s">
        <v>120</v>
      </c>
      <c r="AB18" s="170" t="s">
        <v>64</v>
      </c>
      <c r="AC18" s="158" t="s">
        <v>70</v>
      </c>
      <c r="AD18" s="158"/>
    </row>
    <row r="19" spans="2:33" ht="45" customHeight="1">
      <c r="B19" s="1153"/>
      <c r="C19" s="424" t="s">
        <v>86</v>
      </c>
      <c r="D19" s="281" t="s">
        <v>122</v>
      </c>
      <c r="E19" s="282">
        <f>NETWORKDAYS.INTL(F19,G19,"0000110",$AF$5:$AF$11)</f>
        <v>4</v>
      </c>
      <c r="F19" s="256">
        <f>WORKDAY.INTL(G18,1,"0000110",$AF$5:$AF$9)</f>
        <v>46243</v>
      </c>
      <c r="G19" s="256">
        <f>WORKDAY.INTL(F19,3,"0000110",$AF$5:$AF$10)</f>
        <v>46246</v>
      </c>
      <c r="H19" s="256">
        <f>WORKDAY.INTL(I18,1,"0000110",$AF$5:$AF$9)</f>
        <v>46245</v>
      </c>
      <c r="I19" s="256">
        <f>WORKDAY.INTL(H19,3,"0000110",$AF$5:$AF$10)</f>
        <v>46250</v>
      </c>
      <c r="J19" s="256"/>
      <c r="K19" s="256"/>
      <c r="L19" s="283"/>
      <c r="M19" s="283" t="str">
        <f ca="1">IF(L19=100%,"Completed",
IF(AND(L19&lt;100%,G19&lt;TODAY()),"Delayed",
IF(AND(OR(L19="",L19=0),F19&gt;TODAY()),"Not Started",
IF(AND(OR(L19="",L19=0),F19&lt;=TODAY()),"Delayed",
IF(AND(L19&gt;0,L19&lt;100%),"In Progress","")))))</f>
        <v>Not Started</v>
      </c>
      <c r="N19" s="785"/>
      <c r="O19" s="782"/>
      <c r="P19" s="174"/>
      <c r="Q19" s="174"/>
      <c r="R19" s="174"/>
      <c r="S19" s="174"/>
      <c r="T19" s="174"/>
      <c r="U19" s="174"/>
      <c r="V19" s="174"/>
      <c r="W19" s="786" t="s">
        <v>123</v>
      </c>
      <c r="X19" s="189"/>
      <c r="Y19" s="471"/>
      <c r="AB19" s="170" t="s">
        <v>65</v>
      </c>
      <c r="AC19" s="158" t="s">
        <v>70</v>
      </c>
      <c r="AD19" s="158"/>
    </row>
    <row r="20" spans="2:33" s="153" customFormat="1" ht="4.5" customHeight="1">
      <c r="B20" s="205"/>
      <c r="C20" s="205"/>
      <c r="D20" s="314"/>
      <c r="E20" s="315"/>
      <c r="F20" s="314"/>
      <c r="G20" s="314"/>
      <c r="H20" s="314"/>
      <c r="I20" s="314"/>
      <c r="J20" s="314"/>
      <c r="K20" s="314"/>
      <c r="L20" s="316"/>
      <c r="M20" s="316"/>
      <c r="N20" s="316"/>
      <c r="O20" s="774"/>
      <c r="P20" s="167"/>
      <c r="Q20" s="167"/>
      <c r="R20" s="167"/>
      <c r="S20" s="167"/>
      <c r="T20" s="167"/>
      <c r="U20" s="167"/>
      <c r="V20" s="167"/>
      <c r="W20" s="205"/>
      <c r="X20" s="205"/>
      <c r="Y20" s="205"/>
      <c r="AB20" s="168"/>
      <c r="AC20" s="168"/>
    </row>
    <row r="21" spans="2:33" ht="68.099999999999994" customHeight="1">
      <c r="B21" s="1161" t="s">
        <v>227</v>
      </c>
      <c r="C21" s="787" t="s">
        <v>86</v>
      </c>
      <c r="D21" s="788" t="s">
        <v>268</v>
      </c>
      <c r="E21" s="317">
        <f>NETWORKDAYS.INTL(F21,G21,"0000100",$AF$5:$AF$11)</f>
        <v>5</v>
      </c>
      <c r="F21" s="259">
        <f>WORKDAY.INTL(G17,1,"0000100",$AF$5:$AF$10)</f>
        <v>46216</v>
      </c>
      <c r="G21" s="259">
        <f>WORKDAY.INTL(F21,4,"0000100",$AF$5:$AF$10)</f>
        <v>46221</v>
      </c>
      <c r="H21" s="259">
        <f>WORKDAY.INTL(I17,1,"0000100",$AF$5:$AF$10)</f>
        <v>46216</v>
      </c>
      <c r="I21" s="259">
        <f>WORKDAY.INTL(H21,4,"0000100",$AF$5:$AF$10)</f>
        <v>46221</v>
      </c>
      <c r="J21" s="259"/>
      <c r="K21" s="259"/>
      <c r="L21" s="292">
        <v>1</v>
      </c>
      <c r="M21" s="292" t="str">
        <f ca="1">IF(L21=100%,"Completed",
IF(AND(L21&lt;100%,G21&lt;TODAY()),"Delayed",
IF(AND(OR(L21="",L21=0),F21&gt;TODAY()),"Not Started",
IF(AND(OR(L21="",L21=0),F21&lt;=TODAY()),"Delayed",
IF(AND(L21&gt;0,L21&lt;100%),"In Progress","")))))</f>
        <v>Completed</v>
      </c>
      <c r="N21" s="789"/>
      <c r="O21" s="782"/>
      <c r="P21" s="175"/>
      <c r="Q21" s="175"/>
      <c r="R21" s="175"/>
      <c r="S21" s="175"/>
      <c r="T21" s="175"/>
      <c r="U21" s="175"/>
      <c r="V21" s="175"/>
      <c r="W21" s="799"/>
      <c r="X21" s="92" t="s">
        <v>273</v>
      </c>
      <c r="Y21" s="742" t="s">
        <v>274</v>
      </c>
      <c r="AB21" s="170" t="s">
        <v>62</v>
      </c>
      <c r="AC21" s="158" t="s">
        <v>71</v>
      </c>
      <c r="AD21" s="158"/>
      <c r="AG21" s="173"/>
    </row>
    <row r="22" spans="2:33" ht="45" customHeight="1">
      <c r="B22" s="1162"/>
      <c r="C22" s="790" t="s">
        <v>86</v>
      </c>
      <c r="D22" s="791" t="s">
        <v>111</v>
      </c>
      <c r="E22" s="792">
        <f>NETWORKDAYS.INTL(F22,G22,"0000100",$AF$5:$AF$11)</f>
        <v>2</v>
      </c>
      <c r="F22" s="257">
        <f>WORKDAY.INTL(G21,1,"0000100",$AF$5:$AF$10)</f>
        <v>46222</v>
      </c>
      <c r="G22" s="257">
        <f>WORKDAY.INTL(F22,1,"0000100",$AF$5:$AF$10)</f>
        <v>46223</v>
      </c>
      <c r="H22" s="257">
        <f>WORKDAY.INTL(I21,1,"0000100",$AF$5:$AF$10)</f>
        <v>46222</v>
      </c>
      <c r="I22" s="257">
        <f>WORKDAY.INTL(H22,1,"0000100",$AF$5:$AF$10)</f>
        <v>46223</v>
      </c>
      <c r="J22" s="257"/>
      <c r="K22" s="257"/>
      <c r="L22" s="286">
        <v>1</v>
      </c>
      <c r="M22" s="286" t="str">
        <f ca="1">IF(L22=100%,"Completed",
IF(AND(L22&lt;100%,G22&lt;TODAY()),"Delayed",
IF(AND(OR(L22="",L22=0),F22&gt;TODAY()),"Not Started",
IF(AND(OR(L22="",L22=0),F22&lt;=TODAY()),"Delayed",
IF(AND(L22&gt;0,L22&lt;100%),"In Progress","")))))</f>
        <v>Completed</v>
      </c>
      <c r="N22" s="793"/>
      <c r="O22" s="782"/>
      <c r="P22" s="176"/>
      <c r="Q22" s="176"/>
      <c r="R22" s="176"/>
      <c r="S22" s="176"/>
      <c r="T22" s="176"/>
      <c r="U22" s="176"/>
      <c r="V22" s="176"/>
      <c r="W22" s="800"/>
      <c r="X22" s="97"/>
      <c r="Y22" s="746"/>
      <c r="AB22" s="170" t="s">
        <v>63</v>
      </c>
      <c r="AC22" s="158" t="s">
        <v>71</v>
      </c>
      <c r="AD22" s="158"/>
    </row>
    <row r="23" spans="2:33" ht="45" customHeight="1">
      <c r="B23" s="1162"/>
      <c r="C23" s="790" t="s">
        <v>86</v>
      </c>
      <c r="D23" s="794" t="s">
        <v>117</v>
      </c>
      <c r="E23" s="792">
        <f>NETWORKDAYS.INTL(F23,G23,"0000110",$AF$5:$AF$11)</f>
        <v>4</v>
      </c>
      <c r="F23" s="257">
        <f>MAX(WORKDAY.INTL(G22,1,"0000100",$AF$5:$AF$10),WORKDAY.INTL(G18,1,"0000100",$AF$5:$AF$10))</f>
        <v>46242</v>
      </c>
      <c r="G23" s="257">
        <f>WORKDAY.INTL(F23,4,"0000110",$AF$5:$AF$10)</f>
        <v>46246</v>
      </c>
      <c r="H23" s="257">
        <f>MAX(WORKDAY.INTL(I22,1,"0000100",$AF$5:$AF$10),WORKDAY.INTL(I18,1,"0000100",$AF$5:$AF$10))</f>
        <v>46245</v>
      </c>
      <c r="I23" s="257">
        <f>WORKDAY.INTL(H23,4,"0000110",$AF$5:$AF$10)</f>
        <v>46251</v>
      </c>
      <c r="J23" s="257"/>
      <c r="K23" s="257"/>
      <c r="L23" s="286"/>
      <c r="M23" s="286" t="str">
        <f ca="1">IF(L23=100%,"Completed",
IF(AND(L23&lt;100%,G23&lt;TODAY()),"Delayed",
IF(AND(OR(L23="",L23=0),F23&gt;TODAY()),"Not Started",
IF(AND(OR(L23="",L23=0),F23&lt;=TODAY()),"Delayed",
IF(AND(L23&gt;0,L23&lt;100%),"In Progress","")))))</f>
        <v>Not Started</v>
      </c>
      <c r="N23" s="793"/>
      <c r="O23" s="782"/>
      <c r="P23" s="177"/>
      <c r="Q23" s="177"/>
      <c r="R23" s="177"/>
      <c r="S23" s="177"/>
      <c r="T23" s="177"/>
      <c r="U23" s="177"/>
      <c r="V23" s="177"/>
      <c r="W23" s="800" t="s">
        <v>126</v>
      </c>
      <c r="X23" s="97" t="s">
        <v>275</v>
      </c>
      <c r="Y23" s="746" t="s">
        <v>120</v>
      </c>
      <c r="AB23" s="170" t="s">
        <v>64</v>
      </c>
      <c r="AC23" s="158" t="s">
        <v>71</v>
      </c>
      <c r="AD23" s="158"/>
    </row>
    <row r="24" spans="2:33" ht="45" customHeight="1">
      <c r="B24" s="1163"/>
      <c r="C24" s="795" t="s">
        <v>86</v>
      </c>
      <c r="D24" s="796" t="s">
        <v>122</v>
      </c>
      <c r="E24" s="797">
        <f>NETWORKDAYS.INTL(F24,G24,"0000110",$AF$5:$AF$11)</f>
        <v>2</v>
      </c>
      <c r="F24" s="260">
        <f>WORKDAY.INTL(G23,1,"0000110",$AF$5:$AF$10)</f>
        <v>46247</v>
      </c>
      <c r="G24" s="260">
        <f>WORKDAY.INTL(F24,1,"0000110",$AF$5:$AF$10)</f>
        <v>46250</v>
      </c>
      <c r="H24" s="260">
        <f>WORKDAY.INTL(I23,1,"0000110",$AF$5:$AF$10)</f>
        <v>46252</v>
      </c>
      <c r="I24" s="260">
        <f>WORKDAY.INTL(H24,1,"0000110",$AF$5:$AF$10)</f>
        <v>46253</v>
      </c>
      <c r="J24" s="260"/>
      <c r="K24" s="260"/>
      <c r="L24" s="293"/>
      <c r="M24" s="293" t="str">
        <f ca="1">IF(L24=100%,"Completed",
IF(AND(L24&lt;100%,G24&lt;TODAY()),"Delayed",
IF(AND(OR(L24="",L24=0),F24&gt;TODAY()),"Not Started",
IF(AND(OR(L24="",L24=0),F24&lt;=TODAY()),"Delayed",
IF(AND(L24&gt;0,L24&lt;100%),"In Progress","")))))</f>
        <v>Not Started</v>
      </c>
      <c r="N24" s="798"/>
      <c r="O24" s="782"/>
      <c r="P24" s="177"/>
      <c r="Q24" s="177"/>
      <c r="R24" s="177"/>
      <c r="S24" s="177"/>
      <c r="T24" s="177"/>
      <c r="U24" s="177"/>
      <c r="V24" s="177"/>
      <c r="W24" s="801" t="s">
        <v>123</v>
      </c>
      <c r="X24" s="99"/>
      <c r="Y24" s="748"/>
      <c r="AB24" s="170" t="s">
        <v>65</v>
      </c>
      <c r="AC24" s="158" t="s">
        <v>71</v>
      </c>
      <c r="AD24" s="158"/>
    </row>
    <row r="25" spans="2:33" s="153" customFormat="1" ht="4.5" customHeight="1">
      <c r="B25" s="205"/>
      <c r="C25" s="205"/>
      <c r="D25" s="314"/>
      <c r="E25" s="315"/>
      <c r="F25" s="314"/>
      <c r="G25" s="314"/>
      <c r="H25" s="314"/>
      <c r="I25" s="314"/>
      <c r="J25" s="314"/>
      <c r="K25" s="314"/>
      <c r="L25" s="316"/>
      <c r="M25" s="316"/>
      <c r="N25" s="316"/>
      <c r="O25" s="774"/>
      <c r="P25" s="167"/>
      <c r="Q25" s="167"/>
      <c r="R25" s="167"/>
      <c r="S25" s="167"/>
      <c r="T25" s="167"/>
      <c r="U25" s="167"/>
      <c r="V25" s="167"/>
      <c r="W25" s="205"/>
      <c r="X25" s="205"/>
      <c r="Y25" s="205"/>
      <c r="AB25" s="168"/>
      <c r="AC25" s="168"/>
    </row>
    <row r="26" spans="2:33" ht="45" customHeight="1">
      <c r="B26" s="1155" t="s">
        <v>276</v>
      </c>
      <c r="C26" s="422" t="s">
        <v>86</v>
      </c>
      <c r="D26" s="274" t="s">
        <v>268</v>
      </c>
      <c r="E26" s="275">
        <f>NETWORKDAYS.INTL(F26,G26,"0000100",$AF$5:$AF$11)</f>
        <v>5</v>
      </c>
      <c r="F26" s="198">
        <f>WORKDAY.INTL(G22,1,"0000100",$AF$5:$AF$10)</f>
        <v>46224</v>
      </c>
      <c r="G26" s="198">
        <f>WORKDAY.INTL(F26,4,"0000100",$AF$5:$AF$10)</f>
        <v>46229</v>
      </c>
      <c r="H26" s="198">
        <f>WORKDAY.INTL(I22,1,"0000100",$AF$5:$AF$10)</f>
        <v>46224</v>
      </c>
      <c r="I26" s="198">
        <f>WORKDAY.INTL(H26,4,"0000100",$AF$5:$AF$10)</f>
        <v>46229</v>
      </c>
      <c r="J26" s="198"/>
      <c r="K26" s="198">
        <v>46217</v>
      </c>
      <c r="L26" s="276">
        <v>1</v>
      </c>
      <c r="M26" s="276" t="str">
        <f ca="1">IF(L26=100%,"Completed",
IF(AND(L26&lt;100%,G26&lt;TODAY()),"Delayed",
IF(AND(OR(L26="",L26=0),F26&gt;TODAY()),"Not Started",
IF(AND(OR(L26="",L26=0),F26&lt;=TODAY()),"Delayed",
IF(AND(L26&gt;0,L26&lt;100%),"In Progress","")))))</f>
        <v>Completed</v>
      </c>
      <c r="N26" s="783"/>
      <c r="O26" s="782"/>
      <c r="P26" s="171"/>
      <c r="Q26" s="171"/>
      <c r="R26" s="171"/>
      <c r="S26" s="171"/>
      <c r="T26" s="171"/>
      <c r="U26" s="171"/>
      <c r="V26" s="171"/>
      <c r="W26" s="664"/>
      <c r="X26" s="169" t="s">
        <v>273</v>
      </c>
      <c r="Y26" s="469" t="s">
        <v>232</v>
      </c>
      <c r="AB26" s="170" t="s">
        <v>62</v>
      </c>
      <c r="AC26" s="158" t="s">
        <v>72</v>
      </c>
      <c r="AD26" s="158"/>
    </row>
    <row r="27" spans="2:33" ht="45" customHeight="1">
      <c r="B27" s="1156"/>
      <c r="C27" s="423" t="s">
        <v>86</v>
      </c>
      <c r="D27" s="277" t="s">
        <v>111</v>
      </c>
      <c r="E27" s="278">
        <f>NETWORKDAYS.INTL(F27,G27,"0000100",$AF$5:$AF$11)</f>
        <v>2</v>
      </c>
      <c r="F27" s="200">
        <f>WORKDAY.INTL(G26,1,"0000100",$AF$5:$AF$10)</f>
        <v>46230</v>
      </c>
      <c r="G27" s="200">
        <f>WORKDAY.INTL(F27,1,"0000100",$AF$5:$AF$10)</f>
        <v>46231</v>
      </c>
      <c r="H27" s="200">
        <f>WORKDAY.INTL(I26,1,"0000100",$AF$5:$AF$10)</f>
        <v>46230</v>
      </c>
      <c r="I27" s="200">
        <f>WORKDAY.INTL(H27,1,"0000100",$AF$5:$AF$10)</f>
        <v>46231</v>
      </c>
      <c r="J27" s="200">
        <v>46217</v>
      </c>
      <c r="K27" s="200">
        <v>46221</v>
      </c>
      <c r="L27" s="279">
        <v>1</v>
      </c>
      <c r="M27" s="279" t="str">
        <f ca="1">IF(L27=100%,"Completed",
IF(AND(L27&lt;100%,G27&lt;TODAY()),"Delayed",
IF(AND(OR(L27="",L27=0),F27&gt;TODAY()),"Not Started",
IF(AND(OR(L27="",L27=0),F27&lt;=TODAY()),"Delayed",
IF(AND(L27&gt;0,L27&lt;100%),"In Progress","")))))</f>
        <v>Completed</v>
      </c>
      <c r="N27" s="784"/>
      <c r="O27" s="782"/>
      <c r="P27" s="171"/>
      <c r="Q27" s="171"/>
      <c r="R27" s="171"/>
      <c r="S27" s="171"/>
      <c r="T27" s="171"/>
      <c r="U27" s="171"/>
      <c r="V27" s="171"/>
      <c r="W27" s="665" t="s">
        <v>277</v>
      </c>
      <c r="X27" s="170"/>
      <c r="Y27" s="470"/>
      <c r="AB27" s="170" t="s">
        <v>63</v>
      </c>
      <c r="AC27" s="158" t="s">
        <v>72</v>
      </c>
      <c r="AD27" s="158"/>
    </row>
    <row r="28" spans="2:33" ht="45" customHeight="1">
      <c r="B28" s="1156"/>
      <c r="C28" s="423" t="s">
        <v>86</v>
      </c>
      <c r="D28" s="277" t="s">
        <v>117</v>
      </c>
      <c r="E28" s="278">
        <f>NETWORKDAYS.INTL(F28,G28,"0000110",$AF$5:$AF$11)</f>
        <v>4</v>
      </c>
      <c r="F28" s="200">
        <f>MAX(WORKDAY.INTL(G27,1,"0000100",$AF$5:$AF$10),WORKDAY.INTL(G23,1,"0000100",$AF$5:$AF$10))</f>
        <v>46247</v>
      </c>
      <c r="G28" s="200">
        <f t="shared" ref="G28" si="0">WORKDAY.INTL(F28,3,"0000110")</f>
        <v>46252</v>
      </c>
      <c r="H28" s="200">
        <f>MAX(WORKDAY.INTL(I27,1,"0000100",$AF$5:$AF$10),WORKDAY.INTL(I23,1,"0000100",$AF$5:$AF$10))</f>
        <v>46252</v>
      </c>
      <c r="I28" s="200">
        <f>WORKDAY.INTL(H28,3,"0000110")</f>
        <v>46257</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t="s">
        <v>126</v>
      </c>
      <c r="X28" s="170" t="s">
        <v>275</v>
      </c>
      <c r="Y28" s="470" t="s">
        <v>120</v>
      </c>
      <c r="AB28" s="170" t="s">
        <v>64</v>
      </c>
      <c r="AC28" s="158" t="s">
        <v>72</v>
      </c>
      <c r="AD28" s="158"/>
    </row>
    <row r="29" spans="2:33" ht="45" customHeight="1">
      <c r="B29" s="1153"/>
      <c r="C29" s="424" t="s">
        <v>86</v>
      </c>
      <c r="D29" s="281" t="s">
        <v>122</v>
      </c>
      <c r="E29" s="282">
        <f>NETWORKDAYS.INTL(F29,G29,"0000110",$AF$5:$AF$11)</f>
        <v>2</v>
      </c>
      <c r="F29" s="256">
        <f t="shared" ref="F29" si="1">WORKDAY.INTL(G28,1,"0000110")</f>
        <v>46253</v>
      </c>
      <c r="G29" s="256">
        <f t="shared" ref="G29" si="2">WORKDAY.INTL(F29,1,"0000110")</f>
        <v>46254</v>
      </c>
      <c r="H29" s="256">
        <f>WORKDAY.INTL(I28,1,"0000110")</f>
        <v>46258</v>
      </c>
      <c r="I29" s="256">
        <f>WORKDAY.INTL(H29,1,"0000110")</f>
        <v>46259</v>
      </c>
      <c r="J29" s="256"/>
      <c r="K29" s="256"/>
      <c r="L29" s="283"/>
      <c r="M29" s="283" t="str">
        <f ca="1">IF(L29=100%,"Completed",
IF(AND(L29&lt;100%,G29&lt;TODAY()),"Delayed",
IF(AND(OR(L29="",L29=0),F29&gt;TODAY()),"Not Started",
IF(AND(OR(L29="",L29=0),F29&lt;=TODAY()),"Delayed",
IF(AND(L29&gt;0,L29&lt;100%),"In Progress","")))))</f>
        <v>Not Started</v>
      </c>
      <c r="N29" s="785"/>
      <c r="O29" s="782"/>
      <c r="P29" s="174"/>
      <c r="Q29" s="174"/>
      <c r="R29" s="174"/>
      <c r="S29" s="174"/>
      <c r="T29" s="174"/>
      <c r="U29" s="174"/>
      <c r="V29" s="174"/>
      <c r="W29" s="786" t="s">
        <v>123</v>
      </c>
      <c r="X29" s="189"/>
      <c r="Y29" s="471"/>
      <c r="AB29" s="170" t="s">
        <v>65</v>
      </c>
      <c r="AC29" s="158" t="s">
        <v>72</v>
      </c>
      <c r="AD29" s="158"/>
    </row>
    <row r="30" spans="2:33" s="153" customFormat="1" ht="4.5" customHeight="1">
      <c r="B30" s="205"/>
      <c r="C30" s="205"/>
      <c r="D30" s="314"/>
      <c r="E30" s="315"/>
      <c r="F30" s="314"/>
      <c r="G30" s="314"/>
      <c r="H30" s="314"/>
      <c r="I30" s="314"/>
      <c r="J30" s="314"/>
      <c r="K30" s="314"/>
      <c r="L30" s="316"/>
      <c r="M30" s="316"/>
      <c r="N30" s="316"/>
      <c r="O30" s="774"/>
      <c r="P30" s="167"/>
      <c r="Q30" s="167"/>
      <c r="R30" s="167"/>
      <c r="S30" s="167"/>
      <c r="T30" s="167"/>
      <c r="U30" s="167"/>
      <c r="V30" s="167"/>
      <c r="W30" s="205"/>
      <c r="X30" s="205"/>
      <c r="Y30" s="205"/>
      <c r="AB30" s="168"/>
      <c r="AC30" s="168"/>
    </row>
    <row r="31" spans="2:33" ht="45" customHeight="1">
      <c r="B31" s="1161" t="s">
        <v>278</v>
      </c>
      <c r="C31" s="787" t="s">
        <v>86</v>
      </c>
      <c r="D31" s="788" t="s">
        <v>268</v>
      </c>
      <c r="E31" s="317">
        <f>NETWORKDAYS.INTL(F31,G31,"0000100",$AF$5:$AF$11)</f>
        <v>5</v>
      </c>
      <c r="F31" s="259">
        <f>WORKDAY.INTL(G27,1,"0000100",$AF$5:$AF$10)</f>
        <v>46232</v>
      </c>
      <c r="G31" s="259">
        <f>WORKDAY.INTL(F31,4,"0000100",$AF$5:$AF$10)</f>
        <v>46237</v>
      </c>
      <c r="H31" s="259">
        <f>WORKDAY.INTL(I27,1,"0000100",$AF$5:$AF$10)</f>
        <v>46232</v>
      </c>
      <c r="I31" s="259">
        <f>WORKDAY.INTL(H31,4,"0000100",$AF$5:$AF$10)</f>
        <v>46237</v>
      </c>
      <c r="J31" s="259"/>
      <c r="K31" s="259">
        <v>46221</v>
      </c>
      <c r="L31" s="292">
        <v>1</v>
      </c>
      <c r="M31" s="292" t="str">
        <f ca="1">IF(L31=100%,"Completed",
IF(AND(L31&lt;100%,G31&lt;TODAY()),"Delayed",
IF(AND(OR(L31="",L31=0),F31&gt;TODAY()),"Not Started",
IF(AND(OR(L31="",L31=0),F31&lt;=TODAY()),"Delayed",
IF(AND(L31&gt;0,L31&lt;100%),"In Progress","")))))</f>
        <v>Completed</v>
      </c>
      <c r="N31" s="789"/>
      <c r="O31" s="782"/>
      <c r="P31" s="175"/>
      <c r="Q31" s="175"/>
      <c r="R31" s="175"/>
      <c r="S31" s="175"/>
      <c r="T31" s="175"/>
      <c r="U31" s="175"/>
      <c r="V31" s="175"/>
      <c r="W31" s="799"/>
      <c r="X31" s="92" t="s">
        <v>273</v>
      </c>
      <c r="Y31" s="742" t="s">
        <v>232</v>
      </c>
      <c r="AB31" s="170" t="s">
        <v>62</v>
      </c>
      <c r="AC31" s="158" t="s">
        <v>73</v>
      </c>
      <c r="AD31" s="158"/>
      <c r="AG31" s="173"/>
    </row>
    <row r="32" spans="2:33" ht="45" customHeight="1">
      <c r="B32" s="1162"/>
      <c r="C32" s="790" t="s">
        <v>86</v>
      </c>
      <c r="D32" s="791" t="s">
        <v>111</v>
      </c>
      <c r="E32" s="792">
        <f>NETWORKDAYS.INTL(F32,G32,"0000100",$AF$5:$AF$11)</f>
        <v>2</v>
      </c>
      <c r="F32" s="257">
        <f>WORKDAY.INTL(G31,1,"0000100",$AF$5:$AF$10)</f>
        <v>46238</v>
      </c>
      <c r="G32" s="257">
        <f>WORKDAY.INTL(F32,1,"0000100",$AF$5:$AF$10)</f>
        <v>46239</v>
      </c>
      <c r="H32" s="257">
        <f>WORKDAY.INTL(I31,1,"0000100",$AF$5:$AF$10)</f>
        <v>46238</v>
      </c>
      <c r="I32" s="257">
        <f>WORKDAY.INTL(H32,1,"0000100",$AF$5:$AF$10)</f>
        <v>46239</v>
      </c>
      <c r="J32" s="257">
        <v>46222</v>
      </c>
      <c r="K32" s="257"/>
      <c r="L32" s="286">
        <v>0.3</v>
      </c>
      <c r="M32" s="286" t="str">
        <f ca="1">IF(L32=100%,"Completed",
IF(AND(L32&lt;100%,G32&lt;TODAY()),"Delayed",
IF(AND(OR(L32="",L32=0),F32&gt;TODAY()),"Not Started",
IF(AND(OR(L32="",L32=0),F32&lt;=TODAY()),"Delayed",
IF(AND(L32&gt;0,L32&lt;100%),"In Progress","")))))</f>
        <v>In Progress</v>
      </c>
      <c r="N32" s="793"/>
      <c r="O32" s="782"/>
      <c r="P32" s="176"/>
      <c r="Q32" s="176"/>
      <c r="R32" s="176"/>
      <c r="S32" s="176"/>
      <c r="T32" s="176"/>
      <c r="U32" s="176"/>
      <c r="V32" s="176"/>
      <c r="W32" s="800"/>
      <c r="X32" s="97"/>
      <c r="Y32" s="746"/>
      <c r="AB32" s="170" t="s">
        <v>63</v>
      </c>
      <c r="AC32" s="158" t="s">
        <v>73</v>
      </c>
      <c r="AD32" s="158"/>
    </row>
    <row r="33" spans="2:33" ht="45" customHeight="1">
      <c r="B33" s="1162"/>
      <c r="C33" s="790" t="s">
        <v>86</v>
      </c>
      <c r="D33" s="794" t="s">
        <v>117</v>
      </c>
      <c r="E33" s="792">
        <f>NETWORKDAYS.INTL(F33,G33,"0000110",$AF$5:$AF$11)</f>
        <v>4</v>
      </c>
      <c r="F33" s="257">
        <f>MAX(WORKDAY.INTL(G32,1,"0000100",$AF$5:$AF$10),WORKDAY.INTL(G28,1,"0000100",$AF$5:$AF$10))</f>
        <v>46253</v>
      </c>
      <c r="G33" s="257">
        <f>WORKDAY.INTL(F33,3,"0000110",$AF$5:$AF$10)</f>
        <v>46258</v>
      </c>
      <c r="H33" s="257">
        <f>MAX(WORKDAY.INTL(I32,1,"0000100",$AF$5:$AF$10),WORKDAY.INTL(I28,1,"0000100",$AF$5:$AF$10))</f>
        <v>46258</v>
      </c>
      <c r="I33" s="257">
        <f>WORKDAY.INTL(H33,3,"0000110",$AF$5:$AF$10)</f>
        <v>46261</v>
      </c>
      <c r="J33" s="257"/>
      <c r="K33" s="257"/>
      <c r="L33" s="286"/>
      <c r="M33" s="286" t="str">
        <f ca="1">IF(L33=100%,"Completed",
IF(AND(L33&lt;100%,G33&lt;TODAY()),"Delayed",
IF(AND(OR(L33="",L33=0),F33&gt;TODAY()),"Not Started",
IF(AND(OR(L33="",L33=0),F33&lt;=TODAY()),"Delayed",
IF(AND(L33&gt;0,L33&lt;100%),"In Progress","")))))</f>
        <v>Not Started</v>
      </c>
      <c r="N33" s="793"/>
      <c r="O33" s="782"/>
      <c r="P33" s="177"/>
      <c r="Q33" s="177"/>
      <c r="R33" s="177"/>
      <c r="S33" s="177"/>
      <c r="T33" s="177"/>
      <c r="U33" s="177"/>
      <c r="V33" s="177"/>
      <c r="W33" s="800" t="s">
        <v>126</v>
      </c>
      <c r="X33" s="97" t="s">
        <v>275</v>
      </c>
      <c r="Y33" s="746" t="s">
        <v>120</v>
      </c>
      <c r="AB33" s="170" t="s">
        <v>64</v>
      </c>
      <c r="AC33" s="158" t="s">
        <v>73</v>
      </c>
      <c r="AD33" s="158"/>
    </row>
    <row r="34" spans="2:33" ht="45" customHeight="1">
      <c r="B34" s="1163"/>
      <c r="C34" s="795" t="s">
        <v>86</v>
      </c>
      <c r="D34" s="796" t="s">
        <v>122</v>
      </c>
      <c r="E34" s="797">
        <f>NETWORKDAYS.INTL(F34,G34,"0000110",$AF$5:$AF$11)</f>
        <v>2</v>
      </c>
      <c r="F34" s="260">
        <f>WORKDAY.INTL(G33,1,"0000110",$AF$5:$AF$10)</f>
        <v>46259</v>
      </c>
      <c r="G34" s="260">
        <f>WORKDAY.INTL(F34,1,"0000110",$AF$5:$AF$10)</f>
        <v>46260</v>
      </c>
      <c r="H34" s="260">
        <f>WORKDAY.INTL(I33,1,"0000110",$AF$5:$AF$10)</f>
        <v>46264</v>
      </c>
      <c r="I34" s="260">
        <f>WORKDAY.INTL(H34,1,"0000110",$AF$5:$AF$10)</f>
        <v>46265</v>
      </c>
      <c r="J34" s="260"/>
      <c r="K34" s="260"/>
      <c r="L34" s="293"/>
      <c r="M34" s="293" t="str">
        <f ca="1">IF(L34=100%,"Completed",
IF(AND(L34&lt;100%,G34&lt;TODAY()),"Delayed",
IF(AND(OR(L34="",L34=0),F34&gt;TODAY()),"Not Started",
IF(AND(OR(L34="",L34=0),F34&lt;=TODAY()),"Delayed",
IF(AND(L34&gt;0,L34&lt;100%),"In Progress","")))))</f>
        <v>Not Started</v>
      </c>
      <c r="N34" s="798"/>
      <c r="O34" s="782"/>
      <c r="P34" s="177"/>
      <c r="Q34" s="177"/>
      <c r="R34" s="177"/>
      <c r="S34" s="177"/>
      <c r="T34" s="177"/>
      <c r="U34" s="177"/>
      <c r="V34" s="177"/>
      <c r="W34" s="801" t="s">
        <v>123</v>
      </c>
      <c r="X34" s="99"/>
      <c r="Y34" s="748"/>
      <c r="AB34" s="170" t="s">
        <v>65</v>
      </c>
      <c r="AC34" s="158" t="s">
        <v>73</v>
      </c>
      <c r="AD34" s="158"/>
    </row>
    <row r="35" spans="2:33" s="153" customFormat="1" ht="4.5" customHeight="1">
      <c r="B35" s="205"/>
      <c r="C35" s="205"/>
      <c r="D35" s="314"/>
      <c r="E35" s="315"/>
      <c r="F35" s="314"/>
      <c r="G35" s="314"/>
      <c r="H35" s="314"/>
      <c r="I35" s="314"/>
      <c r="J35" s="314"/>
      <c r="K35" s="314"/>
      <c r="L35" s="316"/>
      <c r="M35" s="316"/>
      <c r="N35" s="316"/>
      <c r="O35" s="774"/>
      <c r="P35" s="167"/>
      <c r="Q35" s="167"/>
      <c r="R35" s="167"/>
      <c r="S35" s="167"/>
      <c r="T35" s="167"/>
      <c r="U35" s="167"/>
      <c r="V35" s="167"/>
      <c r="W35" s="205"/>
      <c r="X35" s="205"/>
      <c r="Y35" s="205"/>
      <c r="AB35" s="168"/>
      <c r="AC35" s="168"/>
    </row>
    <row r="36" spans="2:33" ht="45" customHeight="1">
      <c r="B36" s="1155" t="s">
        <v>279</v>
      </c>
      <c r="C36" s="422" t="s">
        <v>86</v>
      </c>
      <c r="D36" s="274" t="s">
        <v>268</v>
      </c>
      <c r="E36" s="275">
        <f>NETWORKDAYS.INTL(F36,G36,"0000100",$AF$5:$AF$11)</f>
        <v>5</v>
      </c>
      <c r="F36" s="198">
        <f>WORKDAY.INTL(G32,1,"0000100",$AF$5:$AF$10)</f>
        <v>46240</v>
      </c>
      <c r="G36" s="198">
        <f>WORKDAY.INTL(F36,4,"0000100",$AF$5:$AF$10)</f>
        <v>46245</v>
      </c>
      <c r="H36" s="198">
        <f>WORKDAY.INTL(I32,1,"0000100",$AF$5:$AF$10)</f>
        <v>46240</v>
      </c>
      <c r="I36" s="198">
        <f>WORKDAY.INTL(H36,4,"0000100",$AF$5:$AF$10)</f>
        <v>46245</v>
      </c>
      <c r="J36" s="198">
        <v>46222</v>
      </c>
      <c r="K36" s="198"/>
      <c r="L36" s="276">
        <v>0.1</v>
      </c>
      <c r="M36" s="276" t="str">
        <f ca="1">IF(L36=100%,"Completed",
IF(AND(L36&lt;100%,G36&lt;TODAY()),"Delayed",
IF(AND(OR(L36="",L36=0),F36&gt;TODAY()),"Not Started",
IF(AND(OR(L36="",L36=0),F36&lt;=TODAY()),"Delayed",
IF(AND(L36&gt;0,L36&lt;100%),"In Progress","")))))</f>
        <v>In Progress</v>
      </c>
      <c r="N36" s="783"/>
      <c r="O36" s="782"/>
      <c r="P36" s="171"/>
      <c r="Q36" s="171"/>
      <c r="R36" s="171"/>
      <c r="S36" s="171"/>
      <c r="T36" s="171"/>
      <c r="U36" s="171"/>
      <c r="V36" s="171"/>
      <c r="W36" s="664"/>
      <c r="X36" s="169" t="s">
        <v>273</v>
      </c>
      <c r="Y36" s="469" t="s">
        <v>232</v>
      </c>
      <c r="AB36" s="170" t="s">
        <v>62</v>
      </c>
      <c r="AC36" s="158" t="s">
        <v>74</v>
      </c>
      <c r="AD36" s="158"/>
    </row>
    <row r="37" spans="2:33" ht="45" customHeight="1">
      <c r="B37" s="1156"/>
      <c r="C37" s="423" t="s">
        <v>86</v>
      </c>
      <c r="D37" s="277" t="s">
        <v>111</v>
      </c>
      <c r="E37" s="278">
        <f>NETWORKDAYS.INTL(F37,G37,"0000100",$AF$5:$AF$11)</f>
        <v>2</v>
      </c>
      <c r="F37" s="200">
        <f>WORKDAY.INTL(G36,1,"0000100",$AF$5:$AF$10)</f>
        <v>46246</v>
      </c>
      <c r="G37" s="200">
        <f>WORKDAY.INTL(F37,1,"0000100",$AF$5:$AF$10)</f>
        <v>46247</v>
      </c>
      <c r="H37" s="200">
        <f>WORKDAY.INTL(I36,1,"0000100",$AF$5:$AF$10)</f>
        <v>46246</v>
      </c>
      <c r="I37" s="200">
        <f>WORKDAY.INTL(H37,1,"0000100",$AF$5:$AF$10)</f>
        <v>46247</v>
      </c>
      <c r="J37" s="200"/>
      <c r="K37" s="200"/>
      <c r="L37" s="279"/>
      <c r="M37" s="279" t="str">
        <f ca="1">IF(L37=100%,"Completed",
IF(AND(L37&lt;100%,G37&lt;TODAY()),"Delayed",
IF(AND(OR(L37="",L37=0),F37&gt;TODAY()),"Not Started",
IF(AND(OR(L37="",L37=0),F37&lt;=TODAY()),"Delayed",
IF(AND(L37&gt;0,L37&lt;100%),"In Progress","")))))</f>
        <v>Not Started</v>
      </c>
      <c r="N37" s="784"/>
      <c r="O37" s="782"/>
      <c r="P37" s="171"/>
      <c r="Q37" s="171"/>
      <c r="R37" s="171"/>
      <c r="S37" s="171"/>
      <c r="T37" s="171"/>
      <c r="U37" s="171"/>
      <c r="V37" s="171"/>
      <c r="W37" s="665"/>
      <c r="X37" s="170"/>
      <c r="Y37" s="470"/>
      <c r="AB37" s="170" t="s">
        <v>63</v>
      </c>
      <c r="AC37" s="158" t="s">
        <v>74</v>
      </c>
      <c r="AD37" s="158"/>
    </row>
    <row r="38" spans="2:33" ht="45" customHeight="1">
      <c r="B38" s="1156"/>
      <c r="C38" s="423" t="s">
        <v>86</v>
      </c>
      <c r="D38" s="277" t="s">
        <v>117</v>
      </c>
      <c r="E38" s="278">
        <f>NETWORKDAYS.INTL(F38,G38,"0000110",$AF$5:$AF$11)</f>
        <v>4</v>
      </c>
      <c r="F38" s="200">
        <f>MAX(WORKDAY.INTL(G37,1,"0000100",$AF$5:$AF$10),WORKDAY.INTL(G33,1,"0000100",$AF$5:$AF$10))</f>
        <v>46259</v>
      </c>
      <c r="G38" s="200">
        <f>WORKDAY.INTL(F38,3,"0000110",$AF$5:$AF$10)</f>
        <v>46264</v>
      </c>
      <c r="H38" s="200">
        <f>MAX(WORKDAY.INTL(I37,1,"0000100",$AF$5:$AF$10),WORKDAY.INTL(I33,1,"0000100",$AF$5:$AF$10))</f>
        <v>46263</v>
      </c>
      <c r="I38" s="200">
        <f>WORKDAY.INTL(H38,3,"0000110",$AF$5:$AF$10)</f>
        <v>46266</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t="s">
        <v>126</v>
      </c>
      <c r="X38" s="170" t="s">
        <v>275</v>
      </c>
      <c r="Y38" s="470" t="s">
        <v>120</v>
      </c>
      <c r="AB38" s="170" t="s">
        <v>64</v>
      </c>
      <c r="AC38" s="158" t="s">
        <v>74</v>
      </c>
      <c r="AD38" s="158"/>
    </row>
    <row r="39" spans="2:33" ht="45" customHeight="1">
      <c r="B39" s="1153"/>
      <c r="C39" s="424" t="s">
        <v>86</v>
      </c>
      <c r="D39" s="281" t="s">
        <v>122</v>
      </c>
      <c r="E39" s="282">
        <f>NETWORKDAYS.INTL(F39,G39,"0000110",$AF$5:$AF$11)</f>
        <v>2</v>
      </c>
      <c r="F39" s="256">
        <f>WORKDAY.INTL(G38,1,"0000110",$AF$5:$AF$10)</f>
        <v>46265</v>
      </c>
      <c r="G39" s="256">
        <f>WORKDAY.INTL(F39,1,"0000110",$AF$5:$AF$10)</f>
        <v>46266</v>
      </c>
      <c r="H39" s="256">
        <f>WORKDAY.INTL(I38,1,"0000110",$AF$5:$AF$10)</f>
        <v>46267</v>
      </c>
      <c r="I39" s="256">
        <f>WORKDAY.INTL(H39,1,"0000110",$AF$5:$AF$10)</f>
        <v>46268</v>
      </c>
      <c r="J39" s="256"/>
      <c r="K39" s="256"/>
      <c r="L39" s="283"/>
      <c r="M39" s="283" t="str">
        <f ca="1">IF(L39=100%,"Completed",
IF(AND(L39&lt;100%,G39&lt;TODAY()),"Delayed",
IF(AND(OR(L39="",L39=0),F39&gt;TODAY()),"Not Started",
IF(AND(OR(L39="",L39=0),F39&lt;=TODAY()),"Delayed",
IF(AND(L39&gt;0,L39&lt;100%),"In Progress","")))))</f>
        <v>Not Started</v>
      </c>
      <c r="N39" s="785"/>
      <c r="O39" s="782"/>
      <c r="P39" s="174"/>
      <c r="Q39" s="174"/>
      <c r="R39" s="174"/>
      <c r="S39" s="174"/>
      <c r="T39" s="174"/>
      <c r="U39" s="174"/>
      <c r="V39" s="174"/>
      <c r="W39" s="786" t="s">
        <v>123</v>
      </c>
      <c r="X39" s="189"/>
      <c r="Y39" s="471"/>
      <c r="AB39" s="170" t="s">
        <v>65</v>
      </c>
      <c r="AC39" s="158" t="s">
        <v>74</v>
      </c>
      <c r="AD39" s="158"/>
    </row>
    <row r="40" spans="2:33" s="153" customFormat="1" ht="4.5" customHeight="1">
      <c r="B40" s="205"/>
      <c r="C40" s="205"/>
      <c r="D40" s="314"/>
      <c r="E40" s="315"/>
      <c r="F40" s="314"/>
      <c r="G40" s="314"/>
      <c r="H40" s="314"/>
      <c r="I40" s="314"/>
      <c r="J40" s="314"/>
      <c r="K40" s="314"/>
      <c r="L40" s="316"/>
      <c r="M40" s="316"/>
      <c r="N40" s="316"/>
      <c r="O40" s="774"/>
      <c r="P40" s="167"/>
      <c r="Q40" s="167"/>
      <c r="R40" s="167"/>
      <c r="S40" s="167"/>
      <c r="T40" s="167"/>
      <c r="U40" s="167"/>
      <c r="V40" s="167"/>
      <c r="W40" s="205"/>
      <c r="X40" s="205"/>
      <c r="Y40" s="205"/>
      <c r="AB40" s="168"/>
      <c r="AC40" s="168"/>
    </row>
    <row r="41" spans="2:33" ht="45" customHeight="1">
      <c r="B41" s="1161" t="s">
        <v>280</v>
      </c>
      <c r="C41" s="787" t="s">
        <v>86</v>
      </c>
      <c r="D41" s="788" t="s">
        <v>268</v>
      </c>
      <c r="E41" s="317">
        <f>NETWORKDAYS.INTL(F41,G41,"0000100",$AF$5:$AF$11)</f>
        <v>4</v>
      </c>
      <c r="F41" s="259">
        <f>WORKDAY.INTL(G37,1,"0000100",$AF$5:$AF$10)</f>
        <v>46249</v>
      </c>
      <c r="G41" s="259">
        <f>WORKDAY.INTL(F41,3,"0000100",$AF$5:$AF$10)</f>
        <v>46252</v>
      </c>
      <c r="H41" s="259">
        <f>WORKDAY.INTL(I37,1,"0000100",$AF$5:$AF$10)</f>
        <v>46249</v>
      </c>
      <c r="I41" s="259">
        <f>WORKDAY.INTL(H41,3,"0000100",$AF$5:$AF$10)</f>
        <v>46252</v>
      </c>
      <c r="J41" s="259"/>
      <c r="K41" s="259"/>
      <c r="L41" s="292"/>
      <c r="M41" s="292" t="str">
        <f ca="1">IF(L41=100%,"Completed",
IF(AND(L41&lt;100%,G41&lt;TODAY()),"Delayed",
IF(AND(OR(L41="",L41=0),F41&gt;TODAY()),"Not Started",
IF(AND(OR(L41="",L41=0),F41&lt;=TODAY()),"Delayed",
IF(AND(L41&gt;0,L41&lt;100%),"In Progress","")))))</f>
        <v>Not Started</v>
      </c>
      <c r="N41" s="789"/>
      <c r="O41" s="782"/>
      <c r="P41" s="175"/>
      <c r="Q41" s="175"/>
      <c r="R41" s="175"/>
      <c r="S41" s="175"/>
      <c r="T41" s="175"/>
      <c r="U41" s="175"/>
      <c r="V41" s="175"/>
      <c r="W41" s="799"/>
      <c r="X41" s="92" t="s">
        <v>273</v>
      </c>
      <c r="Y41" s="742" t="s">
        <v>133</v>
      </c>
      <c r="AB41" s="170" t="s">
        <v>62</v>
      </c>
      <c r="AC41" s="158" t="s">
        <v>75</v>
      </c>
      <c r="AD41" s="158"/>
      <c r="AG41" s="173"/>
    </row>
    <row r="42" spans="2:33" ht="45" customHeight="1">
      <c r="B42" s="1162"/>
      <c r="C42" s="790" t="s">
        <v>86</v>
      </c>
      <c r="D42" s="791" t="s">
        <v>111</v>
      </c>
      <c r="E42" s="792">
        <f>NETWORKDAYS.INTL(F42,G42,"0000100",$AF$5:$AF$11)</f>
        <v>2</v>
      </c>
      <c r="F42" s="257">
        <f>WORKDAY.INTL(G41,1,"0000100",$AF$5:$AF$10)</f>
        <v>46253</v>
      </c>
      <c r="G42" s="257">
        <f>WORKDAY.INTL(F42,1,"0000100",$AF$5:$AF$10)</f>
        <v>46254</v>
      </c>
      <c r="H42" s="257">
        <f>WORKDAY.INTL(I41,1,"0000100",$AF$5:$AF$10)</f>
        <v>46253</v>
      </c>
      <c r="I42" s="257">
        <f>WORKDAY.INTL(H42,1,"0000100",$AF$5:$AF$10)</f>
        <v>46254</v>
      </c>
      <c r="J42" s="257"/>
      <c r="K42" s="257"/>
      <c r="L42" s="286"/>
      <c r="M42" s="286" t="str">
        <f ca="1">IF(L42=100%,"Completed",
IF(AND(L42&lt;100%,G42&lt;TODAY()),"Delayed",
IF(AND(OR(L42="",L42=0),F42&gt;TODAY()),"Not Started",
IF(AND(OR(L42="",L42=0),F42&lt;=TODAY()),"Delayed",
IF(AND(L42&gt;0,L42&lt;100%),"In Progress","")))))</f>
        <v>Not Started</v>
      </c>
      <c r="N42" s="793"/>
      <c r="O42" s="782"/>
      <c r="P42" s="176"/>
      <c r="Q42" s="176"/>
      <c r="R42" s="176"/>
      <c r="S42" s="176"/>
      <c r="T42" s="176"/>
      <c r="U42" s="176"/>
      <c r="V42" s="176"/>
      <c r="W42" s="800"/>
      <c r="X42" s="97"/>
      <c r="Y42" s="746"/>
      <c r="AB42" s="170" t="s">
        <v>63</v>
      </c>
      <c r="AC42" s="158" t="s">
        <v>75</v>
      </c>
      <c r="AD42" s="158"/>
    </row>
    <row r="43" spans="2:33" ht="45" customHeight="1">
      <c r="B43" s="1162"/>
      <c r="C43" s="790" t="s">
        <v>86</v>
      </c>
      <c r="D43" s="794" t="s">
        <v>117</v>
      </c>
      <c r="E43" s="792">
        <f>NETWORKDAYS.INTL(F43,G43,"0000110",$AF$5:$AF$11)</f>
        <v>4</v>
      </c>
      <c r="F43" s="257">
        <f>MAX(WORKDAY.INTL(G42,1,"0000100",$AF$5:$AF$10),WORKDAY.INTL(G38,1,"0000100",$AF$5:$AF$10))</f>
        <v>46265</v>
      </c>
      <c r="G43" s="257">
        <f>WORKDAY.INTL(F43,3,"0000110",$AF$5:$AF$10)</f>
        <v>46268</v>
      </c>
      <c r="H43" s="257">
        <f>MAX(WORKDAY.INTL(I42,1,"0000100",$AF$5:$AF$10),WORKDAY.INTL(I38,1,"0000100",$AF$5:$AF$10))</f>
        <v>46267</v>
      </c>
      <c r="I43" s="257">
        <f>WORKDAY.INTL(H43,3,"0000110",$AF$5:$AF$10)</f>
        <v>46272</v>
      </c>
      <c r="J43" s="257"/>
      <c r="K43" s="257"/>
      <c r="L43" s="286"/>
      <c r="M43" s="286" t="str">
        <f ca="1">IF(L43=100%,"Completed",
IF(AND(L43&lt;100%,G43&lt;TODAY()),"Delayed",
IF(AND(OR(L43="",L43=0),F43&gt;TODAY()),"Not Started",
IF(AND(OR(L43="",L43=0),F43&lt;=TODAY()),"Delayed",
IF(AND(L43&gt;0,L43&lt;100%),"In Progress","")))))</f>
        <v>Not Started</v>
      </c>
      <c r="N43" s="793"/>
      <c r="O43" s="782"/>
      <c r="P43" s="177"/>
      <c r="Q43" s="177"/>
      <c r="R43" s="177"/>
      <c r="S43" s="177"/>
      <c r="T43" s="177"/>
      <c r="U43" s="177"/>
      <c r="V43" s="177"/>
      <c r="W43" s="800" t="s">
        <v>126</v>
      </c>
      <c r="X43" s="97" t="s">
        <v>275</v>
      </c>
      <c r="Y43" s="746" t="s">
        <v>120</v>
      </c>
      <c r="AB43" s="170" t="s">
        <v>64</v>
      </c>
      <c r="AC43" s="158" t="s">
        <v>75</v>
      </c>
      <c r="AD43" s="158"/>
    </row>
    <row r="44" spans="2:33" ht="45" customHeight="1">
      <c r="B44" s="1163"/>
      <c r="C44" s="795" t="s">
        <v>86</v>
      </c>
      <c r="D44" s="796" t="s">
        <v>122</v>
      </c>
      <c r="E44" s="797">
        <f>NETWORKDAYS.INTL(F44,G44,"0000110",$AF$5:$AF$11)</f>
        <v>2</v>
      </c>
      <c r="F44" s="260">
        <f>WORKDAY.INTL(G43,1,"0000110",$AF$5:$AF$10)</f>
        <v>46271</v>
      </c>
      <c r="G44" s="260">
        <f>WORKDAY.INTL(F44,1,"0000110",$AF$5:$AF$10)</f>
        <v>46272</v>
      </c>
      <c r="H44" s="260">
        <f>WORKDAY.INTL(I43,1,"0000110",$AF$5:$AF$10)</f>
        <v>46273</v>
      </c>
      <c r="I44" s="260">
        <f>WORKDAY.INTL(H44,1,"0000110",$AF$5:$AF$10)</f>
        <v>46274</v>
      </c>
      <c r="J44" s="260"/>
      <c r="K44" s="260"/>
      <c r="L44" s="293"/>
      <c r="M44" s="293" t="str">
        <f ca="1">IF(L44=100%,"Completed",
IF(AND(L44&lt;100%,G44&lt;TODAY()),"Delayed",
IF(AND(OR(L44="",L44=0),F44&gt;TODAY()),"Not Started",
IF(AND(OR(L44="",L44=0),F44&lt;=TODAY()),"Delayed",
IF(AND(L44&gt;0,L44&lt;100%),"In Progress","")))))</f>
        <v>Not Started</v>
      </c>
      <c r="N44" s="798"/>
      <c r="O44" s="782"/>
      <c r="P44" s="177"/>
      <c r="Q44" s="177"/>
      <c r="R44" s="177"/>
      <c r="S44" s="177"/>
      <c r="T44" s="177"/>
      <c r="U44" s="177"/>
      <c r="V44" s="177"/>
      <c r="W44" s="801" t="s">
        <v>123</v>
      </c>
      <c r="X44" s="99"/>
      <c r="Y44" s="748"/>
      <c r="AB44" s="170" t="s">
        <v>65</v>
      </c>
      <c r="AC44" s="158" t="s">
        <v>75</v>
      </c>
      <c r="AD44" s="158"/>
    </row>
    <row r="45" spans="2:33" s="153" customFormat="1" ht="4.5" customHeight="1">
      <c r="B45" s="205"/>
      <c r="C45" s="205"/>
      <c r="D45" s="314"/>
      <c r="E45" s="315"/>
      <c r="F45" s="314"/>
      <c r="G45" s="314"/>
      <c r="H45" s="314"/>
      <c r="I45" s="314"/>
      <c r="J45" s="314"/>
      <c r="K45" s="314"/>
      <c r="L45" s="316"/>
      <c r="M45" s="316"/>
      <c r="N45" s="316"/>
      <c r="O45" s="774"/>
      <c r="P45" s="167"/>
      <c r="Q45" s="167"/>
      <c r="R45" s="167"/>
      <c r="S45" s="167"/>
      <c r="T45" s="167"/>
      <c r="U45" s="167"/>
      <c r="V45" s="167"/>
      <c r="W45" s="205"/>
      <c r="X45" s="205"/>
      <c r="Y45" s="205"/>
      <c r="AB45" s="168"/>
      <c r="AC45" s="168"/>
    </row>
    <row r="46" spans="2:33" ht="45" customHeight="1">
      <c r="B46" s="1155" t="s">
        <v>281</v>
      </c>
      <c r="C46" s="422" t="s">
        <v>86</v>
      </c>
      <c r="D46" s="274" t="s">
        <v>268</v>
      </c>
      <c r="E46" s="275">
        <f>NETWORKDAYS.INTL(F46,G46,"0000100",$AF$5:$AF$11)</f>
        <v>3</v>
      </c>
      <c r="F46" s="198">
        <f>WORKDAY.INTL(G42,1,"0000100",$AF$5:$AF$10)</f>
        <v>46256</v>
      </c>
      <c r="G46" s="198">
        <f>WORKDAY.INTL(F46,2,"0000100",$AF$5:$AF$10)</f>
        <v>46258</v>
      </c>
      <c r="H46" s="198">
        <f>WORKDAY.INTL(I42,1,"0000100",$AF$5:$AF$10)</f>
        <v>46256</v>
      </c>
      <c r="I46" s="198">
        <f>WORKDAY.INTL(H46,2,"0000100",$AF$5:$AF$10)</f>
        <v>46258</v>
      </c>
      <c r="J46" s="198"/>
      <c r="K46" s="198"/>
      <c r="L46" s="276"/>
      <c r="M46" s="276" t="str">
        <f ca="1">IF(L46=100%,"Completed",
IF(AND(L46&lt;100%,G46&lt;TODAY()),"Delayed",
IF(AND(OR(L46="",L46=0),F46&gt;TODAY()),"Not Started",
IF(AND(OR(L46="",L46=0),F46&lt;=TODAY()),"Delayed",
IF(AND(L46&gt;0,L46&lt;100%),"In Progress","")))))</f>
        <v>Not Started</v>
      </c>
      <c r="N46" s="783"/>
      <c r="O46" s="782"/>
      <c r="P46" s="171"/>
      <c r="Q46" s="171"/>
      <c r="R46" s="171"/>
      <c r="S46" s="171"/>
      <c r="T46" s="171"/>
      <c r="U46" s="171"/>
      <c r="V46" s="171"/>
      <c r="W46" s="664"/>
      <c r="X46" s="169" t="s">
        <v>273</v>
      </c>
      <c r="Y46" s="469" t="s">
        <v>282</v>
      </c>
      <c r="AB46" s="170" t="s">
        <v>62</v>
      </c>
      <c r="AC46" s="158" t="s">
        <v>76</v>
      </c>
      <c r="AD46" s="158"/>
    </row>
    <row r="47" spans="2:33" ht="45" customHeight="1">
      <c r="B47" s="1156"/>
      <c r="C47" s="423" t="s">
        <v>86</v>
      </c>
      <c r="D47" s="277" t="s">
        <v>111</v>
      </c>
      <c r="E47" s="278">
        <f>NETWORKDAYS.INTL(F47,G47,"0000100",$AF$5:$AF$11)</f>
        <v>2</v>
      </c>
      <c r="F47" s="200">
        <f>WORKDAY.INTL(G46,1,"0000100",$AF$5:$AF$10)</f>
        <v>46259</v>
      </c>
      <c r="G47" s="200">
        <f>WORKDAY.INTL(F47,1,"0000100",$AF$5:$AF$10)</f>
        <v>46260</v>
      </c>
      <c r="H47" s="200">
        <f>WORKDAY.INTL(I46,1,"0000100",$AF$5:$AF$10)</f>
        <v>46259</v>
      </c>
      <c r="I47" s="200">
        <f>WORKDAY.INTL(H47,1,"0000100",$AF$5:$AF$10)</f>
        <v>46260</v>
      </c>
      <c r="J47" s="200"/>
      <c r="K47" s="200"/>
      <c r="L47" s="279"/>
      <c r="M47" s="279" t="str">
        <f ca="1">IF(L47=100%,"Completed",
IF(AND(L47&lt;100%,G47&lt;TODAY()),"Delayed",
IF(AND(OR(L47="",L47=0),F47&gt;TODAY()),"Not Started",
IF(AND(OR(L47="",L47=0),F47&lt;=TODAY()),"Delayed",
IF(AND(L47&gt;0,L47&lt;100%),"In Progress","")))))</f>
        <v>Not Started</v>
      </c>
      <c r="N47" s="784"/>
      <c r="O47" s="782"/>
      <c r="P47" s="171"/>
      <c r="Q47" s="171"/>
      <c r="R47" s="171"/>
      <c r="S47" s="171"/>
      <c r="T47" s="171"/>
      <c r="U47" s="171"/>
      <c r="V47" s="171"/>
      <c r="W47" s="665"/>
      <c r="X47" s="170"/>
      <c r="Y47" s="470"/>
      <c r="AB47" s="170" t="s">
        <v>63</v>
      </c>
      <c r="AC47" s="158" t="s">
        <v>76</v>
      </c>
      <c r="AD47" s="158"/>
    </row>
    <row r="48" spans="2:33" ht="45" customHeight="1">
      <c r="B48" s="1156"/>
      <c r="C48" s="423" t="s">
        <v>86</v>
      </c>
      <c r="D48" s="277" t="s">
        <v>117</v>
      </c>
      <c r="E48" s="278">
        <f>NETWORKDAYS.INTL(F48,G48,"0000110",$AF$5:$AF$11)</f>
        <v>3</v>
      </c>
      <c r="F48" s="200">
        <f>MAX(WORKDAY.INTL(G47,1,"0000100",$AF$5:$AF$10),WORKDAY.INTL(G43,1,"0000100",$AF$5:$AF$10))</f>
        <v>46270</v>
      </c>
      <c r="G48" s="200">
        <f t="shared" ref="G48" si="3">WORKDAY.INTL(F48,3,"0000110")</f>
        <v>46273</v>
      </c>
      <c r="H48" s="200">
        <f>MAX(WORKDAY.INTL(I47,1,"0000100",$AF$5:$AF$10),WORKDAY.INTL(I43,1,"0000100",$AF$5:$AF$10))</f>
        <v>46273</v>
      </c>
      <c r="I48" s="200">
        <f>WORKDAY.INTL(H48,3,"0000110")</f>
        <v>46278</v>
      </c>
      <c r="J48" s="200"/>
      <c r="K48" s="200"/>
      <c r="L48" s="279"/>
      <c r="M48" s="279" t="str">
        <f ca="1">IF(L48=100%,"Completed",
IF(AND(L48&lt;100%,G48&lt;TODAY()),"Delayed",
IF(AND(OR(L48="",L48=0),F48&gt;TODAY()),"Not Started",
IF(AND(OR(L48="",L48=0),F48&lt;=TODAY()),"Delayed",
IF(AND(L48&gt;0,L48&lt;100%),"In Progress","")))))</f>
        <v>Not Started</v>
      </c>
      <c r="N48" s="784"/>
      <c r="O48" s="782"/>
      <c r="P48" s="171"/>
      <c r="Q48" s="171"/>
      <c r="R48" s="171"/>
      <c r="S48" s="171"/>
      <c r="T48" s="171"/>
      <c r="U48" s="171"/>
      <c r="V48" s="171"/>
      <c r="W48" s="665" t="s">
        <v>126</v>
      </c>
      <c r="X48" s="170" t="s">
        <v>275</v>
      </c>
      <c r="Y48" s="470" t="s">
        <v>234</v>
      </c>
      <c r="AB48" s="170" t="s">
        <v>64</v>
      </c>
      <c r="AC48" s="158" t="s">
        <v>76</v>
      </c>
      <c r="AD48" s="158"/>
    </row>
    <row r="49" spans="2:33" ht="45" customHeight="1">
      <c r="B49" s="1153"/>
      <c r="C49" s="424" t="s">
        <v>86</v>
      </c>
      <c r="D49" s="281" t="s">
        <v>122</v>
      </c>
      <c r="E49" s="282">
        <f>NETWORKDAYS.INTL(F49,G49,"0000110",$AF$5:$AF$11)</f>
        <v>2</v>
      </c>
      <c r="F49" s="256">
        <f t="shared" ref="F49" si="4">WORKDAY.INTL(G48,1,"0000110")</f>
        <v>46274</v>
      </c>
      <c r="G49" s="256">
        <f t="shared" ref="G49" si="5">WORKDAY.INTL(F49,1,"0000110")</f>
        <v>46275</v>
      </c>
      <c r="H49" s="256">
        <f>WORKDAY.INTL(I48,1,"0000110")</f>
        <v>46279</v>
      </c>
      <c r="I49" s="256">
        <f>WORKDAY.INTL(H49,1,"0000110")</f>
        <v>46280</v>
      </c>
      <c r="J49" s="256"/>
      <c r="K49" s="256"/>
      <c r="L49" s="283"/>
      <c r="M49" s="283" t="str">
        <f ca="1">IF(L49=100%,"Completed",
IF(AND(L49&lt;100%,G49&lt;TODAY()),"Delayed",
IF(AND(OR(L49="",L49=0),F49&gt;TODAY()),"Not Started",
IF(AND(OR(L49="",L49=0),F49&lt;=TODAY()),"Delayed",
IF(AND(L49&gt;0,L49&lt;100%),"In Progress","")))))</f>
        <v>Not Started</v>
      </c>
      <c r="N49" s="785"/>
      <c r="O49" s="782"/>
      <c r="P49" s="174"/>
      <c r="Q49" s="174"/>
      <c r="R49" s="174"/>
      <c r="S49" s="174"/>
      <c r="T49" s="174"/>
      <c r="U49" s="174"/>
      <c r="V49" s="174"/>
      <c r="W49" s="786" t="s">
        <v>123</v>
      </c>
      <c r="X49" s="189"/>
      <c r="Y49" s="471"/>
      <c r="AB49" s="170" t="s">
        <v>65</v>
      </c>
      <c r="AC49" s="158" t="s">
        <v>76</v>
      </c>
      <c r="AD49" s="158"/>
    </row>
    <row r="50" spans="2:33"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Z50" s="179"/>
      <c r="AF50" s="154"/>
    </row>
    <row r="51" spans="2:33" ht="45" customHeight="1">
      <c r="B51" s="1161" t="s">
        <v>283</v>
      </c>
      <c r="C51" s="787" t="s">
        <v>86</v>
      </c>
      <c r="D51" s="788" t="s">
        <v>268</v>
      </c>
      <c r="E51" s="317">
        <f>NETWORKDAYS.INTL(F51,G51,"0000100",$AF$5:$AF$11)</f>
        <v>3</v>
      </c>
      <c r="F51" s="259">
        <f>WORKDAY.INTL(G47,1,"0000100",$AF$5:$AF$10)</f>
        <v>46261</v>
      </c>
      <c r="G51" s="259">
        <f>WORKDAY.INTL(F51,2,"0000100",$AF$5:$AF$10)</f>
        <v>46264</v>
      </c>
      <c r="H51" s="259">
        <f>WORKDAY.INTL(I47,1,"0000100",$AF$5:$AF$10)</f>
        <v>46261</v>
      </c>
      <c r="I51" s="259">
        <f>WORKDAY.INTL(H51,2,"0000100",$AF$5:$AF$10)</f>
        <v>46264</v>
      </c>
      <c r="J51" s="259"/>
      <c r="K51" s="259"/>
      <c r="L51" s="292"/>
      <c r="M51" s="292" t="str">
        <f ca="1">IF(L51=100%,"Completed",
IF(AND(L51&lt;100%,G51&lt;TODAY()),"Delayed",
IF(AND(OR(L51="",L51=0),F51&gt;TODAY()),"Not Started",
IF(AND(OR(L51="",L51=0),F51&lt;=TODAY()),"Delayed",
IF(AND(L51&gt;0,L51&lt;100%),"In Progress","")))))</f>
        <v>Not Started</v>
      </c>
      <c r="N51" s="789"/>
      <c r="O51" s="782"/>
      <c r="P51" s="175"/>
      <c r="Q51" s="175"/>
      <c r="R51" s="175"/>
      <c r="S51" s="175"/>
      <c r="T51" s="175"/>
      <c r="U51" s="175"/>
      <c r="V51" s="175"/>
      <c r="W51" s="799"/>
      <c r="X51" s="92" t="s">
        <v>273</v>
      </c>
      <c r="Y51" s="742" t="s">
        <v>282</v>
      </c>
      <c r="AB51" s="170" t="s">
        <v>62</v>
      </c>
      <c r="AC51" s="158" t="s">
        <v>77</v>
      </c>
      <c r="AD51" s="158"/>
      <c r="AG51" s="173"/>
    </row>
    <row r="52" spans="2:33" ht="45" customHeight="1">
      <c r="B52" s="1162"/>
      <c r="C52" s="790" t="s">
        <v>86</v>
      </c>
      <c r="D52" s="791" t="s">
        <v>111</v>
      </c>
      <c r="E52" s="792">
        <f>NETWORKDAYS.INTL(F52,G52,"0000100",$AF$5:$AF$11)</f>
        <v>2</v>
      </c>
      <c r="F52" s="257">
        <f>WORKDAY.INTL(G51,1,"0000100",$AF$5:$AF$10)</f>
        <v>46265</v>
      </c>
      <c r="G52" s="257">
        <f>WORKDAY.INTL(F52,1,"0000100",$AF$5:$AF$10)</f>
        <v>46266</v>
      </c>
      <c r="H52" s="257">
        <f>WORKDAY.INTL(I51,1,"0000100",$AF$5:$AF$10)</f>
        <v>46265</v>
      </c>
      <c r="I52" s="257">
        <f>WORKDAY.INTL(H52,1,"0000100",$AF$5:$AF$10)</f>
        <v>46266</v>
      </c>
      <c r="J52" s="257"/>
      <c r="K52" s="257"/>
      <c r="L52" s="286"/>
      <c r="M52" s="286" t="str">
        <f ca="1">IF(L52=100%,"Completed",
IF(AND(L52&lt;100%,G52&lt;TODAY()),"Delayed",
IF(AND(OR(L52="",L52=0),F52&gt;TODAY()),"Not Started",
IF(AND(OR(L52="",L52=0),F52&lt;=TODAY()),"Delayed",
IF(AND(L52&gt;0,L52&lt;100%),"In Progress","")))))</f>
        <v>Not Started</v>
      </c>
      <c r="N52" s="793"/>
      <c r="O52" s="782"/>
      <c r="P52" s="176"/>
      <c r="Q52" s="176"/>
      <c r="R52" s="176"/>
      <c r="S52" s="176"/>
      <c r="T52" s="176"/>
      <c r="U52" s="176"/>
      <c r="V52" s="176"/>
      <c r="W52" s="800" t="s">
        <v>284</v>
      </c>
      <c r="X52" s="97"/>
      <c r="Y52" s="746"/>
      <c r="AB52" s="170" t="s">
        <v>63</v>
      </c>
      <c r="AC52" s="158" t="s">
        <v>77</v>
      </c>
      <c r="AD52" s="158"/>
    </row>
    <row r="53" spans="2:33" ht="45" customHeight="1">
      <c r="B53" s="1162"/>
      <c r="C53" s="790" t="s">
        <v>86</v>
      </c>
      <c r="D53" s="794" t="s">
        <v>117</v>
      </c>
      <c r="E53" s="792">
        <f>NETWORKDAYS.INTL(F53,G53,"0000110",$AF$5:$AF$11)</f>
        <v>4</v>
      </c>
      <c r="F53" s="257">
        <f>MAX(WORKDAY.INTL(G52,1,"0000100",$AF$5:$AF$10),WORKDAY.INTL(G48,1,"0000100",$AF$5:$AF$10))</f>
        <v>46274</v>
      </c>
      <c r="G53" s="257">
        <f t="shared" ref="G53" si="6">WORKDAY.INTL(F53,3,"0000110")</f>
        <v>46279</v>
      </c>
      <c r="H53" s="257">
        <f>MAX(WORKDAY.INTL(I52,1,"0000100",$AF$5:$AF$10),WORKDAY.INTL(I48,1,"0000100",$AF$5:$AF$10))</f>
        <v>46279</v>
      </c>
      <c r="I53" s="257">
        <f>WORKDAY.INTL(H53,3,"0000110")</f>
        <v>46282</v>
      </c>
      <c r="J53" s="257"/>
      <c r="K53" s="257"/>
      <c r="L53" s="286"/>
      <c r="M53" s="286" t="str">
        <f ca="1">IF(L53=100%,"Completed",
IF(AND(L53&lt;100%,G53&lt;TODAY()),"Delayed",
IF(AND(OR(L53="",L53=0),F53&gt;TODAY()),"Not Started",
IF(AND(OR(L53="",L53=0),F53&lt;=TODAY()),"Delayed",
IF(AND(L53&gt;0,L53&lt;100%),"In Progress","")))))</f>
        <v>Not Started</v>
      </c>
      <c r="N53" s="793"/>
      <c r="O53" s="782"/>
      <c r="P53" s="177"/>
      <c r="Q53" s="177"/>
      <c r="R53" s="177"/>
      <c r="S53" s="177"/>
      <c r="T53" s="177"/>
      <c r="U53" s="177"/>
      <c r="V53" s="177"/>
      <c r="W53" s="800" t="s">
        <v>126</v>
      </c>
      <c r="X53" s="97" t="s">
        <v>275</v>
      </c>
      <c r="Y53" s="746" t="s">
        <v>120</v>
      </c>
      <c r="AB53" s="170" t="s">
        <v>64</v>
      </c>
      <c r="AC53" s="158" t="s">
        <v>77</v>
      </c>
      <c r="AD53" s="158"/>
    </row>
    <row r="54" spans="2:33" ht="45" customHeight="1">
      <c r="B54" s="1163"/>
      <c r="C54" s="795" t="s">
        <v>86</v>
      </c>
      <c r="D54" s="796" t="s">
        <v>122</v>
      </c>
      <c r="E54" s="797">
        <f>NETWORKDAYS.INTL(F54,G54,"0000110",$AF$5:$AF$11)</f>
        <v>2</v>
      </c>
      <c r="F54" s="260">
        <f t="shared" ref="F54" si="7">WORKDAY.INTL(G53,1,"0000110")</f>
        <v>46280</v>
      </c>
      <c r="G54" s="260">
        <f t="shared" ref="G54" si="8">WORKDAY.INTL(F54,1,"0000110")</f>
        <v>46281</v>
      </c>
      <c r="H54" s="260">
        <f>WORKDAY.INTL(I53,1,"0000110")</f>
        <v>46285</v>
      </c>
      <c r="I54" s="260">
        <f>WORKDAY.INTL(H54,1,"0000110")</f>
        <v>46286</v>
      </c>
      <c r="J54" s="260"/>
      <c r="K54" s="260"/>
      <c r="L54" s="293"/>
      <c r="M54" s="293" t="str">
        <f ca="1">IF(L54=100%,"Completed",
IF(AND(L54&lt;100%,G54&lt;TODAY()),"Delayed",
IF(AND(OR(L54="",L54=0),F54&gt;TODAY()),"Not Started",
IF(AND(OR(L54="",L54=0),F54&lt;=TODAY()),"Delayed",
IF(AND(L54&gt;0,L54&lt;100%),"In Progress","")))))</f>
        <v>Not Started</v>
      </c>
      <c r="N54" s="798"/>
      <c r="O54" s="782"/>
      <c r="P54" s="177"/>
      <c r="Q54" s="177"/>
      <c r="R54" s="177"/>
      <c r="S54" s="177"/>
      <c r="T54" s="177"/>
      <c r="U54" s="177"/>
      <c r="V54" s="177"/>
      <c r="W54" s="801" t="s">
        <v>123</v>
      </c>
      <c r="X54" s="99"/>
      <c r="Y54" s="748"/>
      <c r="AB54" s="170" t="s">
        <v>65</v>
      </c>
      <c r="AC54" s="158" t="s">
        <v>77</v>
      </c>
      <c r="AD54" s="158"/>
    </row>
    <row r="55" spans="2:33" s="153" customFormat="1" ht="4.5" customHeight="1">
      <c r="B55" s="205"/>
      <c r="C55" s="205"/>
      <c r="D55" s="314"/>
      <c r="E55" s="315"/>
      <c r="F55" s="314"/>
      <c r="G55" s="314"/>
      <c r="H55" s="314"/>
      <c r="I55" s="314"/>
      <c r="J55" s="314"/>
      <c r="K55" s="314"/>
      <c r="L55" s="316"/>
      <c r="M55" s="316"/>
      <c r="N55" s="316"/>
      <c r="O55" s="774"/>
      <c r="P55" s="167"/>
      <c r="Q55" s="167"/>
      <c r="R55" s="167"/>
      <c r="S55" s="167"/>
      <c r="T55" s="167"/>
      <c r="U55" s="167"/>
      <c r="V55" s="167"/>
      <c r="W55" s="205"/>
      <c r="X55" s="205"/>
      <c r="Y55" s="205"/>
      <c r="Z55" s="179"/>
      <c r="AF55" s="154"/>
    </row>
    <row r="56" spans="2:33" ht="45" customHeight="1">
      <c r="B56" s="1155" t="s">
        <v>138</v>
      </c>
      <c r="C56" s="422" t="s">
        <v>138</v>
      </c>
      <c r="D56" s="274" t="s">
        <v>139</v>
      </c>
      <c r="E56" s="275">
        <f>NETWORKDAYS.INTL(F56,G56,"0000100",$AF$5:$AF$11)</f>
        <v>19</v>
      </c>
      <c r="F56" s="198">
        <f>WORKDAY.INTL(G75,1,"0000100",$AF$5:$AF$10)</f>
        <v>46237</v>
      </c>
      <c r="G56" s="198">
        <f>WORKDAY.INTL(F56,18,"0000100",$AF$5:$AF$9)</f>
        <v>46258</v>
      </c>
      <c r="H56" s="198">
        <f>WORKDAY.INTL(I75,1,"0000100",$AF$5:$AF$10)</f>
        <v>46237</v>
      </c>
      <c r="I56" s="198">
        <f>WORKDAY.INTL(H56,18,"0000100",$AF$5:$AF$9)</f>
        <v>46258</v>
      </c>
      <c r="J56" s="198"/>
      <c r="K56" s="198"/>
      <c r="L56" s="276"/>
      <c r="M56" s="276" t="str">
        <f ca="1">IF(L56=100%,"Completed",
IF(AND(L56&lt;100%,G56&lt;TODAY()),"Delayed",
IF(AND(OR(L56="",L56=0),F56&gt;TODAY()),"Not Started",
IF(AND(OR(L56="",L56=0),F56&lt;=TODAY()),"Delayed",
IF(AND(L56&gt;0,L56&lt;100%),"In Progress","")))))</f>
        <v>Not Started</v>
      </c>
      <c r="N56" s="783"/>
      <c r="O56" s="782"/>
      <c r="P56" s="172"/>
      <c r="Q56" s="180"/>
      <c r="R56" s="180"/>
      <c r="S56" s="180"/>
      <c r="T56" s="180"/>
      <c r="U56" s="180"/>
      <c r="V56" s="803"/>
      <c r="W56" s="664" t="s">
        <v>140</v>
      </c>
      <c r="X56" s="169" t="s">
        <v>285</v>
      </c>
      <c r="Y56" s="469"/>
      <c r="Z56" s="155"/>
      <c r="AB56" s="170"/>
      <c r="AD56" s="158"/>
    </row>
    <row r="57" spans="2:33" ht="43.5" customHeight="1">
      <c r="B57" s="1156"/>
      <c r="C57" s="423" t="s">
        <v>138</v>
      </c>
      <c r="D57" s="277" t="s">
        <v>142</v>
      </c>
      <c r="E57" s="278">
        <f>NETWORKDAYS.INTL(F57,G57,"0000100",$AF$5:$AF$11)</f>
        <v>19</v>
      </c>
      <c r="F57" s="200">
        <f>WORKDAY.INTL(G75,10,"0000100",$AF$5:$AF$10)</f>
        <v>46247</v>
      </c>
      <c r="G57" s="200">
        <f>WORKDAY.INTL(F57,18,"0000100",$AF$5:$AF$9)</f>
        <v>46268</v>
      </c>
      <c r="H57" s="200">
        <f>WORKDAY.INTL(I75,10,"0000100",$AF$5:$AF$10)</f>
        <v>46247</v>
      </c>
      <c r="I57" s="200">
        <f>WORKDAY.INTL(H57,18,"0000100",$AF$5:$AF$9)</f>
        <v>46268</v>
      </c>
      <c r="J57" s="200"/>
      <c r="K57" s="200"/>
      <c r="L57" s="279"/>
      <c r="M57" s="279" t="str">
        <f ca="1">IF(L57=100%,"Completed",
IF(AND(L57&lt;100%,G57&lt;TODAY()),"Delayed",
IF(AND(OR(L57="",L57=0),F57&gt;TODAY()),"Not Started",
IF(AND(OR(L57="",L57=0),F57&lt;=TODAY()),"Delayed",
IF(AND(L57&gt;0,L57&lt;100%),"In Progress","")))))</f>
        <v>Not Started</v>
      </c>
      <c r="N57" s="784"/>
      <c r="O57" s="782"/>
      <c r="P57" s="172"/>
      <c r="Q57" s="180"/>
      <c r="R57" s="180"/>
      <c r="S57" s="180"/>
      <c r="T57" s="180"/>
      <c r="U57" s="180"/>
      <c r="V57" s="803"/>
      <c r="W57" s="665" t="s">
        <v>140</v>
      </c>
      <c r="X57" s="170" t="s">
        <v>286</v>
      </c>
      <c r="Y57" s="470"/>
      <c r="Z57" s="155"/>
      <c r="AB57" s="170"/>
      <c r="AD57" s="158"/>
    </row>
    <row r="58" spans="2:33" ht="56.25">
      <c r="B58" s="1153"/>
      <c r="C58" s="424" t="s">
        <v>138</v>
      </c>
      <c r="D58" s="802" t="s">
        <v>143</v>
      </c>
      <c r="E58" s="282">
        <f>NETWORKDAYS.INTL(F58,G58,"0000100",$AF$5:$AF$11)</f>
        <v>60</v>
      </c>
      <c r="F58" s="256">
        <f>F57</f>
        <v>46247</v>
      </c>
      <c r="G58" s="256">
        <f>WORKDAY.INTL(F58,60,"0000100",$AF$5:$AF$9)</f>
        <v>46317</v>
      </c>
      <c r="H58" s="256">
        <f>H57</f>
        <v>46247</v>
      </c>
      <c r="I58" s="256">
        <f>WORKDAY.INTL(H58,60,"0000100",$AF$5:$AF$9)</f>
        <v>46317</v>
      </c>
      <c r="J58" s="256"/>
      <c r="K58" s="256"/>
      <c r="L58" s="283"/>
      <c r="M58" s="283" t="str">
        <f ca="1">IF(L58=100%,"Completed",
IF(AND(L58&lt;100%,G58&lt;TODAY()),"Delayed",
IF(AND(OR(L58="",L58=0),F58&gt;TODAY()),"Not Started",
IF(AND(OR(L58="",L58=0),F58&lt;=TODAY()),"Delayed",
IF(AND(L58&gt;0,L58&lt;100%),"In Progress","")))))</f>
        <v>Not Started</v>
      </c>
      <c r="N58" s="785"/>
      <c r="O58" s="782"/>
      <c r="P58" s="171"/>
      <c r="Q58" s="171"/>
      <c r="R58" s="171"/>
      <c r="S58" s="171"/>
      <c r="T58" s="171"/>
      <c r="U58" s="171"/>
      <c r="V58" s="171"/>
      <c r="W58" s="786" t="s">
        <v>287</v>
      </c>
      <c r="X58" s="189" t="s">
        <v>286</v>
      </c>
      <c r="Y58" s="804"/>
      <c r="Z58" s="155"/>
      <c r="AB58" s="170"/>
      <c r="AD58" s="158"/>
    </row>
    <row r="59" spans="2:33" s="153" customFormat="1" ht="4.5" customHeight="1">
      <c r="B59" s="205"/>
      <c r="C59" s="205"/>
      <c r="D59" s="314"/>
      <c r="E59" s="315"/>
      <c r="F59" s="314"/>
      <c r="G59" s="314"/>
      <c r="H59" s="314"/>
      <c r="I59" s="314"/>
      <c r="J59" s="314"/>
      <c r="K59" s="314"/>
      <c r="L59" s="316"/>
      <c r="M59" s="316"/>
      <c r="N59" s="316"/>
      <c r="O59" s="775"/>
      <c r="P59" s="181"/>
      <c r="Q59" s="181"/>
      <c r="R59" s="181"/>
      <c r="S59" s="181"/>
      <c r="T59" s="181"/>
      <c r="U59" s="181"/>
      <c r="V59" s="181"/>
      <c r="W59" s="181"/>
      <c r="X59" s="181"/>
      <c r="Y59" s="181"/>
      <c r="AB59" s="168"/>
      <c r="AC59" s="168"/>
    </row>
    <row r="60" spans="2:33" s="153" customFormat="1" ht="85.5" customHeight="1">
      <c r="B60" s="805" t="s">
        <v>145</v>
      </c>
      <c r="C60" s="809" t="s">
        <v>146</v>
      </c>
      <c r="D60" s="810" t="s">
        <v>288</v>
      </c>
      <c r="E60" s="811">
        <f>NETWORKDAYS.INTL(F60,G60,"0000110",$AF$5:$AF$11)</f>
        <v>3</v>
      </c>
      <c r="F60" s="806">
        <f>MAX(WORKDAY.INTL(G54,1,"0000110"),WORKDAY.INTL(G67,1,"0000110"),WORKDAY.INTL(G114,0,"0000110"))</f>
        <v>46293</v>
      </c>
      <c r="G60" s="806">
        <f t="shared" ref="G60" si="9">WORKDAY.INTL(F60,2,"0000110")</f>
        <v>46295</v>
      </c>
      <c r="H60" s="806">
        <f>MAX(WORKDAY.INTL(I54,1,"0000110"),WORKDAY.INTL(I67,1,"0000110"),WORKDAY.INTL(I114,0,"0000110"))</f>
        <v>46295</v>
      </c>
      <c r="I60" s="806">
        <f>WORKDAY.INTL(H60,2,"0000110")</f>
        <v>46299</v>
      </c>
      <c r="J60" s="806"/>
      <c r="K60" s="806"/>
      <c r="L60" s="807"/>
      <c r="M60" s="807" t="str">
        <f ca="1">IF(L60=100%,"Completed",
IF(AND(L60&lt;100%,G60&lt;TODAY()),"Delayed",
IF(AND(OR(L60="",L60=0),F60&gt;TODAY()),"Not Started",
IF(AND(OR(L60="",L60=0),F60&lt;=TODAY()),"Delayed",
IF(AND(L60&gt;0,L60&lt;100%),"In Progress","")))))</f>
        <v>Not Started</v>
      </c>
      <c r="N60" s="812"/>
      <c r="O60" s="808"/>
      <c r="P60" s="236"/>
      <c r="Q60" s="236"/>
      <c r="R60" s="236"/>
      <c r="S60" s="236"/>
      <c r="T60" s="236"/>
      <c r="U60" s="236"/>
      <c r="V60" s="236"/>
      <c r="W60" s="813" t="s">
        <v>289</v>
      </c>
      <c r="X60" s="814" t="s">
        <v>275</v>
      </c>
      <c r="Y60" s="815"/>
      <c r="AB60" s="168"/>
      <c r="AC60" s="168"/>
    </row>
    <row r="61" spans="2:33" s="153" customFormat="1" ht="4.5" customHeight="1">
      <c r="B61" s="205"/>
      <c r="C61" s="205"/>
      <c r="D61" s="314"/>
      <c r="E61" s="315"/>
      <c r="F61" s="314"/>
      <c r="G61" s="314"/>
      <c r="H61" s="314"/>
      <c r="I61" s="314"/>
      <c r="J61" s="314"/>
      <c r="K61" s="314"/>
      <c r="L61" s="316"/>
      <c r="M61" s="316"/>
      <c r="N61" s="316"/>
      <c r="O61" s="775"/>
      <c r="P61" s="181"/>
      <c r="Q61" s="181"/>
      <c r="R61" s="181"/>
      <c r="S61" s="181"/>
      <c r="T61" s="181"/>
      <c r="U61" s="181"/>
      <c r="V61" s="181"/>
      <c r="W61" s="205"/>
      <c r="X61" s="205"/>
      <c r="Y61" s="205"/>
      <c r="AB61" s="170"/>
      <c r="AC61" s="158"/>
    </row>
    <row r="62" spans="2:33" ht="29.1" hidden="1" customHeight="1">
      <c r="B62" s="1157" t="s">
        <v>290</v>
      </c>
      <c r="C62" s="182" t="s">
        <v>241</v>
      </c>
      <c r="D62" s="290" t="s">
        <v>196</v>
      </c>
      <c r="E62" s="291">
        <f>NETWORKDAYS.INTL(F62,G62,"0000110",$AF$5:$AF$11)</f>
        <v>3</v>
      </c>
      <c r="F62" s="259">
        <f>MAX(WORKDAY.INTL(G52,1,"0000110",$AF$5:$AF$10),WORKDAY.INTL(G57,1,"0000110",$AF$5:$AF$10),WORKDAY.INTL(G44,1,"0000110",$AF$5:$AF$10))</f>
        <v>46273</v>
      </c>
      <c r="G62" s="259">
        <f>WORKDAY.INTL(F62,2,"0000110",$AF$5:$AF$10)</f>
        <v>46275</v>
      </c>
      <c r="H62" s="259">
        <f>MAX(WORKDAY.INTL(I52,1,"0000110",$AF$5:$AF$10),WORKDAY.INTL(I57,1,"0000110",$AF$5:$AF$10),WORKDAY.INTL(I44,1,"0000110",$AF$5:$AF$10))</f>
        <v>46275</v>
      </c>
      <c r="I62" s="259">
        <f>WORKDAY.INTL(H62,2,"0000110",$AF$5:$AF$10)</f>
        <v>46279</v>
      </c>
      <c r="J62" s="259"/>
      <c r="K62" s="259"/>
      <c r="L62" s="292"/>
      <c r="M62" s="292" t="str">
        <f t="shared" ref="M62:M66" ca="1" si="10">IF(OR(L62=100%,K62&lt;&gt;""),"Completed",IF(AND(OR(L62="",L62=0),F62&gt;TODAY()),"Not Started",IF(AND(OR(L62="",L62=0),F62&lt;=TODAY()),"Delayed",IF(AND(L62&gt;0,L62&lt;100%,G62&lt;TODAY()),"Delayed",IF(AND(L62&gt;0,L62&lt;100%),"In Progress","")))))</f>
        <v>Not Started</v>
      </c>
      <c r="N62" s="292"/>
      <c r="O62" s="776"/>
      <c r="P62" s="183"/>
      <c r="Q62" s="183"/>
      <c r="R62" s="183"/>
      <c r="S62" s="183"/>
      <c r="T62" s="183"/>
      <c r="U62" s="183"/>
      <c r="V62" s="184"/>
      <c r="W62" s="420"/>
      <c r="X62" s="92"/>
      <c r="Y62" s="92"/>
      <c r="Z62" s="155"/>
      <c r="AB62" s="170"/>
      <c r="AD62" s="158"/>
    </row>
    <row r="63" spans="2:33" ht="135.94999999999999" hidden="1" customHeight="1">
      <c r="B63" s="1158"/>
      <c r="C63" s="185" t="s">
        <v>241</v>
      </c>
      <c r="D63" s="285" t="s">
        <v>291</v>
      </c>
      <c r="E63" s="284">
        <f>NETWORKDAYS.INTL(F63,G63,"0000110",$AF$5:$AF$11)</f>
        <v>5</v>
      </c>
      <c r="F63" s="257">
        <f>WORKDAY.INTL(G62,1,"0000110",$AF$5:$AF$10)</f>
        <v>46278</v>
      </c>
      <c r="G63" s="257">
        <f>WORKDAY.INTL(F63,4,"0000110",$AF$5:$AF$10)</f>
        <v>46282</v>
      </c>
      <c r="H63" s="257">
        <f>WORKDAY.INTL(I62,1,"0000110",$AF$5:$AF$10)</f>
        <v>46280</v>
      </c>
      <c r="I63" s="257">
        <f>WORKDAY.INTL(H63,4,"0000110",$AF$5:$AF$10)</f>
        <v>46286</v>
      </c>
      <c r="J63" s="257"/>
      <c r="K63" s="257"/>
      <c r="L63" s="286"/>
      <c r="M63" s="286" t="str">
        <f t="shared" ca="1" si="10"/>
        <v>Not Started</v>
      </c>
      <c r="N63" s="286"/>
      <c r="O63" s="773"/>
      <c r="P63" s="177"/>
      <c r="Q63" s="177"/>
      <c r="R63" s="177"/>
      <c r="S63" s="177"/>
      <c r="T63" s="177"/>
      <c r="U63" s="177"/>
      <c r="V63" s="178"/>
      <c r="W63" s="227" t="s">
        <v>292</v>
      </c>
      <c r="X63" s="97"/>
      <c r="Y63" s="97"/>
      <c r="Z63" s="155"/>
      <c r="AB63" s="153"/>
      <c r="AC63" s="153"/>
      <c r="AD63" s="158"/>
    </row>
    <row r="64" spans="2:33" ht="29.1" hidden="1" customHeight="1">
      <c r="B64" s="1158"/>
      <c r="C64" s="185" t="s">
        <v>241</v>
      </c>
      <c r="D64" s="285" t="s">
        <v>43</v>
      </c>
      <c r="E64" s="284">
        <f>NETWORKDAYS.INTL(F64,G64,"0000110",$AG$5:$AG$11)</f>
        <v>2</v>
      </c>
      <c r="F64" s="257">
        <f>WORKDAY.INTL(G63,1,"0000110",$AG$5:$AG$10)</f>
        <v>46285</v>
      </c>
      <c r="G64" s="257">
        <f>WORKDAY.INTL(F64,1,"0000110",$AG$5:$AG$10)</f>
        <v>46286</v>
      </c>
      <c r="H64" s="257">
        <f>WORKDAY.INTL(I63,1,"0000110",$AG$5:$AG$10)</f>
        <v>46287</v>
      </c>
      <c r="I64" s="257">
        <f>WORKDAY.INTL(H64,1,"0000110",$AG$5:$AG$10)</f>
        <v>46288</v>
      </c>
      <c r="J64" s="257"/>
      <c r="K64" s="257"/>
      <c r="L64" s="286"/>
      <c r="M64" s="286" t="str">
        <f t="shared" ca="1" si="10"/>
        <v>Not Started</v>
      </c>
      <c r="N64" s="286"/>
      <c r="O64" s="773"/>
      <c r="P64" s="177"/>
      <c r="Q64" s="177"/>
      <c r="R64" s="177"/>
      <c r="S64" s="177"/>
      <c r="T64" s="177"/>
      <c r="U64" s="177"/>
      <c r="V64" s="178"/>
      <c r="W64" s="421"/>
      <c r="X64" s="97"/>
      <c r="Y64" s="97"/>
      <c r="Z64" s="155" t="s">
        <v>121</v>
      </c>
      <c r="AB64" s="170"/>
      <c r="AD64" s="158"/>
    </row>
    <row r="65" spans="2:30" ht="29.1" hidden="1" customHeight="1">
      <c r="B65" s="1158"/>
      <c r="C65" s="185" t="s">
        <v>241</v>
      </c>
      <c r="D65" s="285" t="s">
        <v>44</v>
      </c>
      <c r="E65" s="284">
        <f>NETWORKDAYS.INTL(F65,G65,"0000110",$AF$5:$AF$11)</f>
        <v>1</v>
      </c>
      <c r="F65" s="257">
        <f>WORKDAY.INTL(G64,1,"0000110",$AF$5:$AF$10)</f>
        <v>46287</v>
      </c>
      <c r="G65" s="257">
        <f>WORKDAY.INTL(F65,0,"0000110",$AF$5:$AF$10)</f>
        <v>46287</v>
      </c>
      <c r="H65" s="257">
        <f>WORKDAY.INTL(I64,1,"0000110",$AF$5:$AF$10)</f>
        <v>46289</v>
      </c>
      <c r="I65" s="257">
        <f>WORKDAY.INTL(H65,0,"0000110",$AF$5:$AF$10)</f>
        <v>46289</v>
      </c>
      <c r="J65" s="257"/>
      <c r="K65" s="257"/>
      <c r="L65" s="286"/>
      <c r="M65" s="286" t="str">
        <f t="shared" ca="1" si="10"/>
        <v>Not Started</v>
      </c>
      <c r="N65" s="286"/>
      <c r="O65" s="773"/>
      <c r="P65" s="177"/>
      <c r="Q65" s="177"/>
      <c r="R65" s="177"/>
      <c r="S65" s="177"/>
      <c r="T65" s="177"/>
      <c r="U65" s="177"/>
      <c r="V65" s="178"/>
      <c r="W65" s="421"/>
      <c r="X65" s="97"/>
      <c r="Y65" s="97"/>
      <c r="Z65" s="155"/>
      <c r="AB65" s="170"/>
      <c r="AD65" s="158"/>
    </row>
    <row r="66" spans="2:30" ht="29.1" hidden="1" customHeight="1">
      <c r="B66" s="1158"/>
      <c r="C66" s="185" t="s">
        <v>241</v>
      </c>
      <c r="D66" s="818" t="s">
        <v>46</v>
      </c>
      <c r="E66" s="819">
        <f>NETWORKDAYS.INTL(F66,G66,"0000110",$AF$5:$AF$11)</f>
        <v>1</v>
      </c>
      <c r="F66" s="820">
        <f>WORKDAY.INTL(G65,1,"0000110",$AF$5:$AF$10)</f>
        <v>46289</v>
      </c>
      <c r="G66" s="820">
        <f>WORKDAY.INTL(F66,0,"0000110",$AF$5:$AF$10)</f>
        <v>46289</v>
      </c>
      <c r="H66" s="820">
        <f>WORKDAY.INTL(I65,1,"0000110",$AF$5:$AF$10)</f>
        <v>46292</v>
      </c>
      <c r="I66" s="820">
        <f>WORKDAY.INTL(H66,0,"0000110",$AF$5:$AF$10)</f>
        <v>46292</v>
      </c>
      <c r="J66" s="820"/>
      <c r="K66" s="820"/>
      <c r="L66" s="821"/>
      <c r="M66" s="821" t="str">
        <f t="shared" ca="1" si="10"/>
        <v>Not Started</v>
      </c>
      <c r="N66" s="821"/>
      <c r="O66" s="777"/>
      <c r="P66" s="186"/>
      <c r="Q66" s="186"/>
      <c r="R66" s="186"/>
      <c r="S66" s="186"/>
      <c r="T66" s="186"/>
      <c r="U66" s="186"/>
      <c r="V66" s="187"/>
      <c r="W66" s="421"/>
      <c r="X66" s="591"/>
      <c r="Y66" s="591"/>
      <c r="Z66" s="155"/>
      <c r="AB66" s="170"/>
      <c r="AD66" s="158"/>
    </row>
    <row r="67" spans="2:30" ht="34.5" customHeight="1">
      <c r="B67" s="1155" t="s">
        <v>150</v>
      </c>
      <c r="C67" s="422" t="s">
        <v>150</v>
      </c>
      <c r="D67" s="294" t="s">
        <v>47</v>
      </c>
      <c r="E67" s="275">
        <f>NETWORKDAYS.INTL(F67,G67,"0000110",$AF$5:$AF$11)</f>
        <v>30</v>
      </c>
      <c r="F67" s="198">
        <v>46249</v>
      </c>
      <c r="G67" s="198">
        <f>WORKDAY.INTL(F67,31,"0000110",$AH$5:$AH$10)</f>
        <v>46292</v>
      </c>
      <c r="H67" s="198">
        <v>46249</v>
      </c>
      <c r="I67" s="198">
        <f>WORKDAY.INTL(H67,31,"0000110",$AH$5:$AH$10)</f>
        <v>46292</v>
      </c>
      <c r="J67" s="198"/>
      <c r="K67" s="198"/>
      <c r="L67" s="276"/>
      <c r="M67" s="276" t="str">
        <f ca="1">IF(L67=100%,"Completed",
IF(AND(L67&lt;100%,G67&lt;TODAY()),"Delayed",
IF(AND(OR(L67="",L67=0),F67&gt;TODAY()),"Not Started",
IF(AND(OR(L67="",L67=0),F67&lt;=TODAY()),"Delayed",
IF(AND(L67&gt;0,L67&lt;100%),"In Progress","")))))</f>
        <v>Not Started</v>
      </c>
      <c r="N67" s="783"/>
      <c r="O67" s="816"/>
      <c r="P67" s="188"/>
      <c r="Q67" s="188"/>
      <c r="R67" s="188"/>
      <c r="S67" s="188"/>
      <c r="T67" s="188"/>
      <c r="U67" s="188"/>
      <c r="V67" s="822"/>
      <c r="W67" s="664"/>
      <c r="X67" s="169" t="s">
        <v>286</v>
      </c>
      <c r="Y67" s="469"/>
      <c r="Z67" s="155"/>
      <c r="AB67" s="154"/>
      <c r="AD67" s="158"/>
    </row>
    <row r="68" spans="2:30" ht="45.75" customHeight="1">
      <c r="B68" s="1153"/>
      <c r="C68" s="424" t="s">
        <v>150</v>
      </c>
      <c r="D68" s="281" t="s">
        <v>153</v>
      </c>
      <c r="E68" s="282">
        <f>NETWORKDAYS.INTL(F68,G68,"0000110",$AF$5:$AF$11)</f>
        <v>30</v>
      </c>
      <c r="F68" s="256">
        <f>G106+32</f>
        <v>46327</v>
      </c>
      <c r="G68" s="256">
        <f>WORKDAY.INTL(F68,29,"0000110",$AH$5:$AH$10)</f>
        <v>46366</v>
      </c>
      <c r="H68" s="256">
        <f>I106+32</f>
        <v>46331</v>
      </c>
      <c r="I68" s="256">
        <f>WORKDAY.INTL(H68,29,"0000110",$AH$5:$AH$10)</f>
        <v>46372</v>
      </c>
      <c r="J68" s="256"/>
      <c r="K68" s="256"/>
      <c r="L68" s="283"/>
      <c r="M68" s="283" t="str">
        <f ca="1">IF(L68=100%,"Completed",
IF(AND(L68&lt;100%,G68&lt;TODAY()),"Delayed",
IF(AND(OR(L68="",L68=0),F68&gt;TODAY()),"Not Started",
IF(AND(OR(L68="",L68=0),F68&lt;=TODAY()),"Delayed",
IF(AND(L68&gt;0,L68&lt;100%),"In Progress","")))))</f>
        <v>Not Started</v>
      </c>
      <c r="N68" s="785"/>
      <c r="O68" s="817"/>
      <c r="P68" s="190"/>
      <c r="Q68" s="190"/>
      <c r="R68" s="190"/>
      <c r="S68" s="190"/>
      <c r="T68" s="190"/>
      <c r="U68" s="190"/>
      <c r="V68" s="823"/>
      <c r="W68" s="786" t="s">
        <v>154</v>
      </c>
      <c r="X68" s="189"/>
      <c r="Y68" s="471"/>
      <c r="Z68" s="155"/>
      <c r="AB68" s="154"/>
      <c r="AD68" s="158"/>
    </row>
    <row r="69" spans="2:30" s="153" customFormat="1" ht="4.5" customHeight="1">
      <c r="B69" s="205"/>
      <c r="C69" s="205"/>
      <c r="D69" s="314"/>
      <c r="E69" s="315"/>
      <c r="F69" s="314"/>
      <c r="G69" s="314"/>
      <c r="H69" s="314"/>
      <c r="I69" s="314"/>
      <c r="J69" s="314"/>
      <c r="K69" s="314"/>
      <c r="L69" s="316"/>
      <c r="M69" s="316"/>
      <c r="N69" s="316"/>
      <c r="O69" s="774"/>
      <c r="P69" s="167"/>
      <c r="Q69" s="167"/>
      <c r="R69" s="167"/>
      <c r="S69" s="167"/>
      <c r="T69" s="167"/>
      <c r="U69" s="167"/>
      <c r="V69" s="167"/>
      <c r="W69" s="204"/>
      <c r="X69" s="204"/>
      <c r="Y69" s="204"/>
      <c r="AC69" s="158"/>
      <c r="AD69" s="158"/>
    </row>
    <row r="70" spans="2:30" ht="143.1" customHeight="1">
      <c r="B70" s="1159" t="s">
        <v>293</v>
      </c>
      <c r="C70" s="212" t="s">
        <v>155</v>
      </c>
      <c r="D70" s="307" t="s">
        <v>156</v>
      </c>
      <c r="E70" s="297">
        <f>NETWORKDAYS.INTL(F70,G70,"0000100",$AF$5:$AF$11)</f>
        <v>30</v>
      </c>
      <c r="F70" s="418">
        <v>46232</v>
      </c>
      <c r="G70" s="418">
        <f>WORKDAY.INTL(F70,24,"0000110",$AF$5:$AF$10)</f>
        <v>46266</v>
      </c>
      <c r="H70" s="298">
        <v>46232</v>
      </c>
      <c r="I70" s="298">
        <f>WORKDAY.INTL(H70,24,"0000110",$AF$5:$AF$10)</f>
        <v>46266</v>
      </c>
      <c r="J70" s="298"/>
      <c r="K70" s="298"/>
      <c r="L70" s="299"/>
      <c r="M70" s="299" t="str">
        <f ca="1">IF(L70=100%,"Completed",
IF(AND(L70&lt;100%,G70&lt;TODAY()),"Delayed",
IF(AND(OR(L70="",L70=0),F70&gt;TODAY()),"Not Started",
IF(AND(OR(L70="",L70=0),F70&lt;=TODAY()),"Delayed",
IF(AND(L70&gt;0,L70&lt;100%),"In Progress","")))))</f>
        <v>Not Started</v>
      </c>
      <c r="N70" s="824"/>
      <c r="O70" s="816"/>
      <c r="P70" s="191"/>
      <c r="Q70" s="191"/>
      <c r="R70" s="191"/>
      <c r="S70" s="191"/>
      <c r="T70" s="191"/>
      <c r="U70" s="191"/>
      <c r="V70" s="191"/>
      <c r="W70" s="436" t="s">
        <v>157</v>
      </c>
      <c r="X70" s="192"/>
      <c r="Y70" s="192"/>
      <c r="Z70" s="155"/>
      <c r="AB70" s="154"/>
      <c r="AC70" s="168"/>
      <c r="AD70" s="168"/>
    </row>
    <row r="71" spans="2:30" ht="51" customHeight="1">
      <c r="B71" s="1160"/>
      <c r="C71" s="215" t="s">
        <v>155</v>
      </c>
      <c r="D71" s="308" t="s">
        <v>51</v>
      </c>
      <c r="E71" s="309">
        <f>NETWORKDAYS.INTL(F71,G71,"0000110",$AF$5:$AF$11)</f>
        <v>16</v>
      </c>
      <c r="F71" s="419">
        <f>WORKDAY.INTL(G70,1,"0000110",$AF$5:$AF$10)</f>
        <v>46267</v>
      </c>
      <c r="G71" s="419">
        <f>WORKDAY.INTL(F71,15,"0000110",$AF$5:$AF$10)</f>
        <v>46289</v>
      </c>
      <c r="H71" s="302">
        <f>WORKDAY.INTL(I70,1,"0000110",$AF$5:$AF$10)</f>
        <v>46267</v>
      </c>
      <c r="I71" s="302">
        <f>WORKDAY.INTL(H71,15,"0000110",$AF$5:$AF$10)</f>
        <v>46289</v>
      </c>
      <c r="J71" s="302"/>
      <c r="K71" s="302"/>
      <c r="L71" s="303"/>
      <c r="M71" s="303" t="str">
        <f ca="1">IF(L71=100%,"Completed",
IF(AND(L71&lt;100%,G71&lt;TODAY()),"Delayed",
IF(AND(OR(L71="",L71=0),F71&gt;TODAY()),"Not Started",
IF(AND(OR(L71="",L71=0),F71&lt;=TODAY()),"Delayed",
IF(AND(L71&gt;0,L71&lt;100%),"In Progress","")))))</f>
        <v>Not Started</v>
      </c>
      <c r="N71" s="825"/>
      <c r="O71" s="817"/>
      <c r="P71" s="193"/>
      <c r="Q71" s="193"/>
      <c r="R71" s="193"/>
      <c r="S71" s="193"/>
      <c r="T71" s="193"/>
      <c r="U71" s="193"/>
      <c r="V71" s="193"/>
      <c r="W71" s="437" t="s">
        <v>158</v>
      </c>
      <c r="X71" s="194"/>
      <c r="Y71" s="194"/>
      <c r="Z71" s="155"/>
      <c r="AB71" s="154"/>
      <c r="AD71" s="158"/>
    </row>
    <row r="72" spans="2:30" ht="3.75" customHeight="1">
      <c r="B72" s="195"/>
      <c r="C72" s="195"/>
      <c r="D72" s="310"/>
      <c r="E72" s="311"/>
      <c r="F72" s="312"/>
      <c r="G72" s="312"/>
      <c r="H72" s="312"/>
      <c r="I72" s="312"/>
      <c r="J72" s="312"/>
      <c r="K72" s="312"/>
      <c r="L72" s="313"/>
      <c r="M72" s="313"/>
      <c r="N72" s="770"/>
      <c r="P72" s="196"/>
      <c r="Q72" s="196"/>
      <c r="R72" s="196"/>
      <c r="S72" s="196"/>
      <c r="T72" s="196"/>
      <c r="U72" s="196"/>
      <c r="V72" s="196"/>
      <c r="W72" s="228"/>
      <c r="X72" s="197"/>
      <c r="Y72" s="197"/>
      <c r="Z72" s="155"/>
      <c r="AB72" s="154"/>
      <c r="AD72" s="158"/>
    </row>
    <row r="73" spans="2:30" ht="51" customHeight="1">
      <c r="B73" s="1152" t="s">
        <v>159</v>
      </c>
      <c r="C73" s="779" t="s">
        <v>91</v>
      </c>
      <c r="D73" s="294" t="s">
        <v>160</v>
      </c>
      <c r="E73" s="275">
        <f>NETWORKDAYS.INTL(F73,G73,"0000100",$AF$5:$AF$11)</f>
        <v>1</v>
      </c>
      <c r="F73" s="198">
        <f>G73</f>
        <v>46215</v>
      </c>
      <c r="G73" s="198">
        <v>46215</v>
      </c>
      <c r="H73" s="198">
        <f>I73</f>
        <v>46215</v>
      </c>
      <c r="I73" s="198">
        <v>46215</v>
      </c>
      <c r="J73" s="198"/>
      <c r="K73" s="198"/>
      <c r="L73" s="276">
        <v>1</v>
      </c>
      <c r="M73" s="276" t="str">
        <f ca="1">IF(L73=100%,"Completed",
IF(AND(L73&lt;100%,G73&lt;TODAY()),"Delayed",
IF(AND(OR(L73="",L73=0),F73&gt;TODAY()),"Not Started",
IF(AND(OR(L73="",L73=0),F73&lt;=TODAY()),"Delayed",
IF(AND(L73&gt;0,L73&lt;100%),"In Progress","")))))</f>
        <v>Completed</v>
      </c>
      <c r="N73" s="783"/>
      <c r="O73" s="816"/>
      <c r="P73" s="188"/>
      <c r="Q73" s="188"/>
      <c r="R73" s="188"/>
      <c r="S73" s="188"/>
      <c r="T73" s="188"/>
      <c r="U73" s="188"/>
      <c r="V73" s="822"/>
      <c r="W73" s="664"/>
      <c r="X73" s="198"/>
      <c r="Y73" s="827"/>
      <c r="Z73" s="155"/>
      <c r="AB73" s="154"/>
      <c r="AD73" s="158"/>
    </row>
    <row r="74" spans="2:30" ht="70.5">
      <c r="B74" s="1156"/>
      <c r="C74" s="780" t="s">
        <v>91</v>
      </c>
      <c r="D74" s="280" t="s">
        <v>294</v>
      </c>
      <c r="E74" s="278">
        <f t="shared" ref="E74:E102" si="11">NETWORKDAYS.INTL(F74,G74,"0000100",$AF$5:$AF$12)</f>
        <v>6</v>
      </c>
      <c r="F74" s="200">
        <f>WORKDAY.INTL(G73,8,"0000100",$AF$5:$AF$11)</f>
        <v>46224</v>
      </c>
      <c r="G74" s="200">
        <f>WORKDAY.INTL(F74,5,"0000100",$AF$5:$AF$11)</f>
        <v>46230</v>
      </c>
      <c r="H74" s="200">
        <f>WORKDAY.INTL(I73,8,"0000100",$AF$5:$AF$11)</f>
        <v>46224</v>
      </c>
      <c r="I74" s="200">
        <f>WORKDAY.INTL(H74,5,"0000100",$AF$5:$AF$11)</f>
        <v>46230</v>
      </c>
      <c r="J74" s="200"/>
      <c r="K74" s="200"/>
      <c r="L74" s="279"/>
      <c r="M74" s="279" t="str">
        <f ca="1">IF(L74=100%,"Completed",
IF(AND(L74&lt;100%,G74&lt;TODAY()),"Delayed",
IF(AND(OR(L74="",L74=0),F74&gt;TODAY()),"Not Started",
IF(AND(OR(L74="",L74=0),F74&lt;=TODAY()),"Delayed",
IF(AND(L74&gt;0,L74&lt;100%),"In Progress","")))))</f>
        <v>Delayed</v>
      </c>
      <c r="N74" s="784"/>
      <c r="O74" s="826"/>
      <c r="P74" s="199"/>
      <c r="Q74" s="199"/>
      <c r="R74" s="199"/>
      <c r="S74" s="199"/>
      <c r="T74" s="199"/>
      <c r="U74" s="199"/>
      <c r="V74" s="831"/>
      <c r="W74" s="828" t="s">
        <v>162</v>
      </c>
      <c r="X74" s="200" t="s">
        <v>295</v>
      </c>
      <c r="Y74" s="829" t="s">
        <v>296</v>
      </c>
      <c r="Z74" s="155"/>
      <c r="AB74" s="154"/>
      <c r="AD74" s="158"/>
    </row>
    <row r="75" spans="2:30" ht="51" customHeight="1">
      <c r="B75" s="1153"/>
      <c r="C75" s="203" t="s">
        <v>91</v>
      </c>
      <c r="D75" s="281" t="s">
        <v>165</v>
      </c>
      <c r="E75" s="282">
        <f t="shared" si="11"/>
        <v>5</v>
      </c>
      <c r="F75" s="256">
        <f t="shared" ref="F75:F81" si="12">WORKDAY.INTL(G74,1,"0000100",$AF$5:$AF$11)</f>
        <v>46231</v>
      </c>
      <c r="G75" s="256">
        <f>WORKDAY.INTL(F75,4,"0000100",$AF$5:$AF$11)</f>
        <v>46236</v>
      </c>
      <c r="H75" s="256">
        <f>WORKDAY.INTL(I74,1,"0000100",$AF$5:$AF$11)</f>
        <v>46231</v>
      </c>
      <c r="I75" s="256">
        <f>WORKDAY.INTL(H75,4,"0000100",$AF$5:$AF$11)</f>
        <v>46236</v>
      </c>
      <c r="J75" s="256"/>
      <c r="K75" s="256"/>
      <c r="L75" s="283"/>
      <c r="M75" s="283" t="str">
        <f ca="1">IF(L75=100%,"Completed",
IF(AND(L75&lt;100%,G75&lt;TODAY()),"Delayed",
IF(AND(OR(L75="",L75=0),F75&gt;TODAY()),"Not Started",
IF(AND(OR(L75="",L75=0),F75&lt;=TODAY()),"Delayed",
IF(AND(L75&gt;0,L75&lt;100%),"In Progress","")))))</f>
        <v>Not Started</v>
      </c>
      <c r="N75" s="785"/>
      <c r="O75" s="826"/>
      <c r="P75" s="199"/>
      <c r="Q75" s="199"/>
      <c r="R75" s="199"/>
      <c r="S75" s="199"/>
      <c r="T75" s="199"/>
      <c r="U75" s="199"/>
      <c r="V75" s="831"/>
      <c r="W75" s="786"/>
      <c r="X75" s="256"/>
      <c r="Y75" s="830"/>
      <c r="Z75" s="155"/>
      <c r="AB75" s="154"/>
      <c r="AD75" s="158"/>
    </row>
    <row r="76" spans="2:30" ht="51" customHeight="1">
      <c r="B76" s="832"/>
      <c r="C76" s="832"/>
      <c r="D76" s="833"/>
      <c r="E76" s="834"/>
      <c r="F76" s="835"/>
      <c r="G76" s="835"/>
      <c r="H76" s="835"/>
      <c r="I76" s="835"/>
      <c r="J76" s="835"/>
      <c r="K76" s="835"/>
      <c r="L76" s="836"/>
      <c r="M76" s="836"/>
      <c r="N76" s="836"/>
      <c r="P76" s="837"/>
      <c r="Q76" s="837"/>
      <c r="R76" s="837"/>
      <c r="S76" s="837"/>
      <c r="T76" s="837"/>
      <c r="U76" s="837"/>
      <c r="V76" s="837"/>
      <c r="W76" s="838"/>
      <c r="X76" s="839"/>
      <c r="Y76" s="839"/>
      <c r="Z76" s="155"/>
      <c r="AB76" s="154"/>
      <c r="AD76" s="158"/>
    </row>
    <row r="77" spans="2:30" ht="51" customHeight="1">
      <c r="B77" s="1154" t="s">
        <v>297</v>
      </c>
      <c r="C77" s="879" t="s">
        <v>91</v>
      </c>
      <c r="D77" s="880" t="s">
        <v>298</v>
      </c>
      <c r="E77" s="881">
        <f t="shared" si="11"/>
        <v>5</v>
      </c>
      <c r="F77" s="418">
        <f>WORKDAY.INTL(G74,1,"0000100",$AF$5:$AF$11)</f>
        <v>46231</v>
      </c>
      <c r="G77" s="418">
        <f t="shared" ref="G77:G80" si="13">WORKDAY.INTL(F77,4,"0000100",$AF$5:$AF$11)</f>
        <v>46236</v>
      </c>
      <c r="H77" s="418">
        <f>WORKDAY.INTL(I74,1,"0000100",$AF$5:$AF$11)</f>
        <v>46231</v>
      </c>
      <c r="I77" s="418">
        <f>WORKDAY.INTL(H77,4,"0000100",$AF$5:$AF$11)</f>
        <v>46236</v>
      </c>
      <c r="J77" s="418"/>
      <c r="K77" s="418"/>
      <c r="L77" s="882"/>
      <c r="M77" s="882" t="str">
        <f ca="1">IF(L77=100%,"Completed",
IF(AND(L77&lt;100%,G77&lt;TODAY()),"Delayed",
IF(AND(OR(L77="",L77=0),F77&gt;TODAY()),"Not Started",
IF(AND(OR(L77="",L77=0),F77&lt;=TODAY()),"Delayed",
IF(AND(L77&gt;0,L77&lt;100%),"In Progress","")))))</f>
        <v>Not Started</v>
      </c>
      <c r="N77" s="883"/>
      <c r="O77" s="826"/>
      <c r="P77" s="201"/>
      <c r="Q77" s="201"/>
      <c r="R77" s="201"/>
      <c r="S77" s="201"/>
      <c r="T77" s="201"/>
      <c r="U77" s="201"/>
      <c r="V77" s="854"/>
      <c r="W77" s="889" t="s">
        <v>162</v>
      </c>
      <c r="X77" s="418" t="s">
        <v>299</v>
      </c>
      <c r="Y77" s="890" t="s">
        <v>300</v>
      </c>
      <c r="Z77" s="155"/>
      <c r="AB77" s="154"/>
      <c r="AD77" s="158"/>
    </row>
    <row r="78" spans="2:30" ht="51" customHeight="1">
      <c r="B78" s="1148"/>
      <c r="C78" s="884" t="s">
        <v>91</v>
      </c>
      <c r="D78" s="885" t="s">
        <v>165</v>
      </c>
      <c r="E78" s="886">
        <f t="shared" si="11"/>
        <v>5</v>
      </c>
      <c r="F78" s="419">
        <f t="shared" si="12"/>
        <v>46237</v>
      </c>
      <c r="G78" s="419">
        <f t="shared" ref="G78" si="14">WORKDAY.INTL(G77,5,"0000100",$AF$5:$AF$11)</f>
        <v>46242</v>
      </c>
      <c r="H78" s="419">
        <f>WORKDAY.INTL(I77,1,"0000100",$AF$5:$AF$11)</f>
        <v>46237</v>
      </c>
      <c r="I78" s="419">
        <f>WORKDAY.INTL(I77,5,"0000100",$AF$5:$AF$11)</f>
        <v>46242</v>
      </c>
      <c r="J78" s="419"/>
      <c r="K78" s="419"/>
      <c r="L78" s="887"/>
      <c r="M78" s="887" t="str">
        <f ca="1">IF(L78=100%,"Completed",
IF(AND(L78&lt;100%,G78&lt;TODAY()),"Delayed",
IF(AND(OR(L78="",L78=0),F78&gt;TODAY()),"Not Started",
IF(AND(OR(L78="",L78=0),F78&lt;=TODAY()),"Delayed",
IF(AND(L78&gt;0,L78&lt;100%),"In Progress","")))))</f>
        <v>Not Started</v>
      </c>
      <c r="N78" s="888"/>
      <c r="O78" s="826"/>
      <c r="P78" s="201"/>
      <c r="Q78" s="201"/>
      <c r="R78" s="201"/>
      <c r="S78" s="201"/>
      <c r="T78" s="201"/>
      <c r="U78" s="201"/>
      <c r="V78" s="854"/>
      <c r="W78" s="891"/>
      <c r="X78" s="419"/>
      <c r="Y78" s="892"/>
      <c r="Z78" s="155"/>
      <c r="AB78" s="154"/>
      <c r="AD78" s="158"/>
    </row>
    <row r="79" spans="2:30" ht="51" customHeight="1">
      <c r="B79" s="832"/>
      <c r="C79" s="832"/>
      <c r="D79" s="833"/>
      <c r="E79" s="834"/>
      <c r="F79" s="835"/>
      <c r="G79" s="835"/>
      <c r="H79" s="835"/>
      <c r="I79" s="835"/>
      <c r="J79" s="835"/>
      <c r="K79" s="835"/>
      <c r="L79" s="855"/>
      <c r="M79" s="855"/>
      <c r="N79" s="855"/>
      <c r="P79" s="837"/>
      <c r="Q79" s="837"/>
      <c r="R79" s="837"/>
      <c r="S79" s="837"/>
      <c r="T79" s="837"/>
      <c r="U79" s="837"/>
      <c r="V79" s="837"/>
      <c r="W79" s="838"/>
      <c r="X79" s="839"/>
      <c r="Y79" s="839"/>
      <c r="Z79" s="155"/>
      <c r="AB79" s="154"/>
      <c r="AD79" s="158"/>
    </row>
    <row r="80" spans="2:30" ht="51" customHeight="1">
      <c r="B80" s="1152" t="s">
        <v>301</v>
      </c>
      <c r="C80" s="779" t="s">
        <v>91</v>
      </c>
      <c r="D80" s="294" t="s">
        <v>302</v>
      </c>
      <c r="E80" s="275">
        <f t="shared" si="11"/>
        <v>5</v>
      </c>
      <c r="F80" s="198">
        <f>WORKDAY.INTL(G77,1,"0000100",$AF$5:$AF$11)</f>
        <v>46237</v>
      </c>
      <c r="G80" s="198">
        <f t="shared" si="13"/>
        <v>46242</v>
      </c>
      <c r="H80" s="198">
        <f>WORKDAY.INTL(I77,1,"0000100",$AF$5:$AF$11)</f>
        <v>46237</v>
      </c>
      <c r="I80" s="198">
        <f>WORKDAY.INTL(H80,4,"0000100",$AF$5:$AF$11)</f>
        <v>46242</v>
      </c>
      <c r="J80" s="198"/>
      <c r="K80" s="198"/>
      <c r="L80" s="276"/>
      <c r="M80" s="276" t="str">
        <f ca="1">IF(L80=100%,"Completed",
IF(AND(L80&lt;100%,G80&lt;TODAY()),"Delayed",
IF(AND(OR(L80="",L80=0),F80&gt;TODAY()),"Not Started",
IF(AND(OR(L80="",L80=0),F80&lt;=TODAY()),"Delayed",
IF(AND(L80&gt;0,L80&lt;100%),"In Progress","")))))</f>
        <v>Not Started</v>
      </c>
      <c r="N80" s="783"/>
      <c r="O80" s="826"/>
      <c r="P80" s="199"/>
      <c r="Q80" s="199"/>
      <c r="R80" s="199"/>
      <c r="S80" s="199"/>
      <c r="T80" s="199"/>
      <c r="U80" s="199"/>
      <c r="V80" s="831"/>
      <c r="W80" s="664"/>
      <c r="X80" s="198" t="s">
        <v>299</v>
      </c>
      <c r="Y80" s="827" t="s">
        <v>303</v>
      </c>
      <c r="Z80" s="155"/>
      <c r="AB80" s="154"/>
      <c r="AD80" s="158"/>
    </row>
    <row r="81" spans="2:30" ht="51" customHeight="1">
      <c r="B81" s="1153"/>
      <c r="C81" s="203" t="s">
        <v>91</v>
      </c>
      <c r="D81" s="281" t="s">
        <v>165</v>
      </c>
      <c r="E81" s="282">
        <f t="shared" si="11"/>
        <v>3</v>
      </c>
      <c r="F81" s="256">
        <f t="shared" si="12"/>
        <v>46243</v>
      </c>
      <c r="G81" s="256">
        <f>WORKDAY.INTL(G80,3,"0000100",$AF$5:$AF$11)</f>
        <v>46245</v>
      </c>
      <c r="H81" s="256">
        <f>WORKDAY.INTL(I80,1,"0000100",$AF$5:$AF$11)</f>
        <v>46243</v>
      </c>
      <c r="I81" s="256">
        <f>WORKDAY.INTL(I80,3,"0000100",$AF$5:$AF$11)</f>
        <v>46245</v>
      </c>
      <c r="J81" s="256"/>
      <c r="K81" s="256"/>
      <c r="L81" s="283"/>
      <c r="M81" s="283" t="str">
        <f ca="1">IF(L81=100%,"Completed",
IF(AND(L81&lt;100%,G81&lt;TODAY()),"Delayed",
IF(AND(OR(L81="",L81=0),F81&gt;TODAY()),"Not Started",
IF(AND(OR(L81="",L81=0),F81&lt;=TODAY()),"Delayed",
IF(AND(L81&gt;0,L81&lt;100%),"In Progress","")))))</f>
        <v>Not Started</v>
      </c>
      <c r="N81" s="785"/>
      <c r="O81" s="826"/>
      <c r="P81" s="199"/>
      <c r="Q81" s="199"/>
      <c r="R81" s="199"/>
      <c r="S81" s="199"/>
      <c r="T81" s="199"/>
      <c r="U81" s="199"/>
      <c r="V81" s="831"/>
      <c r="W81" s="786"/>
      <c r="X81" s="256"/>
      <c r="Y81" s="830"/>
      <c r="Z81" s="155"/>
      <c r="AB81" s="154"/>
      <c r="AD81" s="158"/>
    </row>
    <row r="82" spans="2:30" ht="51" customHeight="1">
      <c r="B82" s="832"/>
      <c r="C82" s="832"/>
      <c r="D82" s="833"/>
      <c r="E82" s="834"/>
      <c r="F82" s="835"/>
      <c r="G82" s="835"/>
      <c r="H82" s="835"/>
      <c r="I82" s="835"/>
      <c r="J82" s="835"/>
      <c r="K82" s="835"/>
      <c r="L82" s="855"/>
      <c r="M82" s="855"/>
      <c r="N82" s="855"/>
      <c r="P82" s="837"/>
      <c r="Q82" s="837"/>
      <c r="R82" s="837"/>
      <c r="S82" s="837"/>
      <c r="T82" s="837"/>
      <c r="U82" s="837"/>
      <c r="V82" s="837"/>
      <c r="W82" s="838"/>
      <c r="X82" s="839"/>
      <c r="Y82" s="839"/>
      <c r="Z82" s="155"/>
      <c r="AB82" s="154"/>
      <c r="AD82" s="158"/>
    </row>
    <row r="83" spans="2:30" ht="68.099999999999994" customHeight="1">
      <c r="B83" s="1154" t="s">
        <v>251</v>
      </c>
      <c r="C83" s="879" t="s">
        <v>91</v>
      </c>
      <c r="D83" s="880" t="s">
        <v>304</v>
      </c>
      <c r="E83" s="881">
        <f t="shared" si="11"/>
        <v>3</v>
      </c>
      <c r="F83" s="418">
        <f t="shared" ref="F83" si="15">WORKDAY.INTL(G80,1,"0000100",$AF$5:$AF$11)</f>
        <v>46243</v>
      </c>
      <c r="G83" s="418">
        <f>WORKDAY.INTL(F83,2,"0000100",$AF$5:$AF$11)</f>
        <v>46245</v>
      </c>
      <c r="H83" s="418">
        <f>WORKDAY.INTL(I80,1,"0000100",$AF$5:$AF$11)</f>
        <v>46243</v>
      </c>
      <c r="I83" s="418">
        <f>WORKDAY.INTL(H83,2,"0000100",$AF$5:$AF$11)</f>
        <v>46245</v>
      </c>
      <c r="J83" s="418"/>
      <c r="K83" s="418"/>
      <c r="L83" s="882"/>
      <c r="M83" s="882" t="str">
        <f ca="1">IF(L83=100%,"Completed",
IF(AND(L83&lt;100%,G83&lt;TODAY()),"Delayed",
IF(AND(OR(L83="",L83=0),F83&gt;TODAY()),"Not Started",
IF(AND(OR(L83="",L83=0),F83&lt;=TODAY()),"Delayed",
IF(AND(L83&gt;0,L83&lt;100%),"In Progress","")))))</f>
        <v>Not Started</v>
      </c>
      <c r="N83" s="883"/>
      <c r="O83" s="826"/>
      <c r="P83" s="201"/>
      <c r="Q83" s="201"/>
      <c r="R83" s="201"/>
      <c r="S83" s="201"/>
      <c r="T83" s="201"/>
      <c r="U83" s="201"/>
      <c r="V83" s="854"/>
      <c r="W83" s="893"/>
      <c r="X83" s="418" t="s">
        <v>305</v>
      </c>
      <c r="Y83" s="890" t="s">
        <v>306</v>
      </c>
      <c r="Z83" s="155"/>
      <c r="AB83" s="154"/>
      <c r="AD83" s="158"/>
    </row>
    <row r="84" spans="2:30" ht="51" customHeight="1">
      <c r="B84" s="1148"/>
      <c r="C84" s="884" t="s">
        <v>91</v>
      </c>
      <c r="D84" s="885" t="s">
        <v>165</v>
      </c>
      <c r="E84" s="886">
        <f t="shared" si="11"/>
        <v>3</v>
      </c>
      <c r="F84" s="419">
        <f t="shared" ref="F84:F90" si="16">WORKDAY.INTL(G83,1,"0000100",$AF$5:$AF$11)</f>
        <v>46246</v>
      </c>
      <c r="G84" s="419">
        <f>WORKDAY.INTL(G83,3,"0000100",$AF$5:$AF$11)</f>
        <v>46249</v>
      </c>
      <c r="H84" s="419">
        <f>WORKDAY.INTL(I83,1,"0000100",$AF$5:$AF$11)</f>
        <v>46246</v>
      </c>
      <c r="I84" s="419">
        <f>WORKDAY.INTL(I83,3,"0000100",$AF$5:$AF$11)</f>
        <v>46249</v>
      </c>
      <c r="J84" s="419"/>
      <c r="K84" s="419"/>
      <c r="L84" s="887"/>
      <c r="M84" s="887" t="str">
        <f ca="1">IF(L84=100%,"Completed",
IF(AND(L84&lt;100%,G84&lt;TODAY()),"Delayed",
IF(AND(OR(L84="",L84=0),F84&gt;TODAY()),"Not Started",
IF(AND(OR(L84="",L84=0),F84&lt;=TODAY()),"Delayed",
IF(AND(L84&gt;0,L84&lt;100%),"In Progress","")))))</f>
        <v>Not Started</v>
      </c>
      <c r="N84" s="888"/>
      <c r="O84" s="826"/>
      <c r="P84" s="201"/>
      <c r="Q84" s="201"/>
      <c r="R84" s="201"/>
      <c r="S84" s="201"/>
      <c r="T84" s="201"/>
      <c r="U84" s="201"/>
      <c r="V84" s="854"/>
      <c r="W84" s="891"/>
      <c r="X84" s="419"/>
      <c r="Y84" s="892"/>
      <c r="Z84" s="155"/>
      <c r="AB84" s="154"/>
      <c r="AD84" s="158"/>
    </row>
    <row r="85" spans="2:30" ht="51" customHeight="1">
      <c r="B85" s="832"/>
      <c r="C85" s="832"/>
      <c r="D85" s="833"/>
      <c r="E85" s="834"/>
      <c r="F85" s="835"/>
      <c r="G85" s="835"/>
      <c r="H85" s="835"/>
      <c r="I85" s="835"/>
      <c r="J85" s="835"/>
      <c r="K85" s="835"/>
      <c r="L85" s="855"/>
      <c r="M85" s="855"/>
      <c r="N85" s="855"/>
      <c r="P85" s="837"/>
      <c r="Q85" s="837"/>
      <c r="R85" s="837"/>
      <c r="S85" s="837"/>
      <c r="T85" s="837"/>
      <c r="U85" s="837"/>
      <c r="V85" s="837"/>
      <c r="W85" s="838"/>
      <c r="X85" s="839"/>
      <c r="Y85" s="839"/>
      <c r="Z85" s="155"/>
      <c r="AB85" s="154"/>
      <c r="AD85" s="158"/>
    </row>
    <row r="86" spans="2:30" ht="78.95" customHeight="1">
      <c r="B86" s="1152" t="s">
        <v>307</v>
      </c>
      <c r="C86" s="779" t="s">
        <v>91</v>
      </c>
      <c r="D86" s="294" t="s">
        <v>308</v>
      </c>
      <c r="E86" s="275">
        <f t="shared" si="11"/>
        <v>3</v>
      </c>
      <c r="F86" s="198">
        <f>WORKDAY.INTL(G83,1,"0000100",$AF$5:$AF$11)</f>
        <v>46246</v>
      </c>
      <c r="G86" s="198">
        <f t="shared" ref="G86:G92" si="17">WORKDAY.INTL(F86,2,"0000100",$AF$5:$AF$11)</f>
        <v>46249</v>
      </c>
      <c r="H86" s="198">
        <f>WORKDAY.INTL(I83,1,"0000100",$AF$5:$AF$11)</f>
        <v>46246</v>
      </c>
      <c r="I86" s="198">
        <f>WORKDAY.INTL(H86,2,"0000100",$AF$5:$AF$11)</f>
        <v>46249</v>
      </c>
      <c r="J86" s="198"/>
      <c r="K86" s="198"/>
      <c r="L86" s="276"/>
      <c r="M86" s="276" t="str">
        <f ca="1">IF(L86=100%,"Completed",
IF(AND(L86&lt;100%,G86&lt;TODAY()),"Delayed",
IF(AND(OR(L86="",L86=0),F86&gt;TODAY()),"Not Started",
IF(AND(OR(L86="",L86=0),F86&lt;=TODAY()),"Delayed",
IF(AND(L86&gt;0,L86&lt;100%),"In Progress","")))))</f>
        <v>Not Started</v>
      </c>
      <c r="N86" s="783"/>
      <c r="O86" s="826"/>
      <c r="P86" s="199"/>
      <c r="Q86" s="199"/>
      <c r="R86" s="199"/>
      <c r="S86" s="199"/>
      <c r="T86" s="199"/>
      <c r="U86" s="199"/>
      <c r="V86" s="831"/>
      <c r="W86" s="664"/>
      <c r="X86" s="198" t="s">
        <v>305</v>
      </c>
      <c r="Y86" s="827" t="s">
        <v>309</v>
      </c>
      <c r="Z86" s="155"/>
      <c r="AB86" s="154"/>
      <c r="AD86" s="158"/>
    </row>
    <row r="87" spans="2:30" ht="51" customHeight="1">
      <c r="B87" s="1153"/>
      <c r="C87" s="203" t="s">
        <v>91</v>
      </c>
      <c r="D87" s="281" t="s">
        <v>165</v>
      </c>
      <c r="E87" s="282">
        <f t="shared" si="11"/>
        <v>3</v>
      </c>
      <c r="F87" s="256">
        <f t="shared" si="16"/>
        <v>46250</v>
      </c>
      <c r="G87" s="256">
        <f t="shared" ref="G87:G93" si="18">WORKDAY.INTL(G86,3,"0000100",$AF$5:$AF$11)</f>
        <v>46252</v>
      </c>
      <c r="H87" s="256">
        <f>WORKDAY.INTL(I86,1,"0000100",$AF$5:$AF$11)</f>
        <v>46250</v>
      </c>
      <c r="I87" s="256">
        <f>WORKDAY.INTL(I86,3,"0000100",$AF$5:$AF$11)</f>
        <v>46252</v>
      </c>
      <c r="J87" s="256"/>
      <c r="K87" s="256"/>
      <c r="L87" s="283"/>
      <c r="M87" s="283" t="str">
        <f ca="1">IF(L87=100%,"Completed",
IF(AND(L87&lt;100%,G87&lt;TODAY()),"Delayed",
IF(AND(OR(L87="",L87=0),F87&gt;TODAY()),"Not Started",
IF(AND(OR(L87="",L87=0),F87&lt;=TODAY()),"Delayed",
IF(AND(L87&gt;0,L87&lt;100%),"In Progress","")))))</f>
        <v>Not Started</v>
      </c>
      <c r="N87" s="785"/>
      <c r="O87" s="826"/>
      <c r="P87" s="199"/>
      <c r="Q87" s="199"/>
      <c r="R87" s="199"/>
      <c r="S87" s="199"/>
      <c r="T87" s="199"/>
      <c r="U87" s="199"/>
      <c r="V87" s="831"/>
      <c r="W87" s="786"/>
      <c r="X87" s="256"/>
      <c r="Y87" s="830"/>
      <c r="Z87" s="155"/>
      <c r="AB87" s="154"/>
      <c r="AD87" s="158"/>
    </row>
    <row r="88" spans="2:30" ht="51" customHeight="1">
      <c r="B88" s="832"/>
      <c r="C88" s="832"/>
      <c r="D88" s="833"/>
      <c r="E88" s="834"/>
      <c r="F88" s="835"/>
      <c r="G88" s="835"/>
      <c r="H88" s="835"/>
      <c r="I88" s="835"/>
      <c r="J88" s="835"/>
      <c r="K88" s="835"/>
      <c r="L88" s="855"/>
      <c r="M88" s="855"/>
      <c r="N88" s="855"/>
      <c r="P88" s="837"/>
      <c r="Q88" s="837"/>
      <c r="R88" s="837"/>
      <c r="S88" s="837"/>
      <c r="T88" s="837"/>
      <c r="U88" s="837"/>
      <c r="V88" s="837"/>
      <c r="W88" s="838"/>
      <c r="X88" s="839"/>
      <c r="Y88" s="839"/>
      <c r="Z88" s="155"/>
      <c r="AB88" s="154"/>
      <c r="AD88" s="158"/>
    </row>
    <row r="89" spans="2:30" ht="71.099999999999994" customHeight="1">
      <c r="B89" s="1154" t="s">
        <v>310</v>
      </c>
      <c r="C89" s="879" t="s">
        <v>91</v>
      </c>
      <c r="D89" s="880" t="s">
        <v>311</v>
      </c>
      <c r="E89" s="881">
        <f t="shared" si="11"/>
        <v>3</v>
      </c>
      <c r="F89" s="418">
        <f>WORKDAY.INTL(G86,1,"0000100",$AF$5:$AF$11)</f>
        <v>46250</v>
      </c>
      <c r="G89" s="418">
        <f t="shared" si="17"/>
        <v>46252</v>
      </c>
      <c r="H89" s="418">
        <f>WORKDAY.INTL(I86,1,"0000100",$AF$5:$AF$11)</f>
        <v>46250</v>
      </c>
      <c r="I89" s="418">
        <f>WORKDAY.INTL(H89,2,"0000100",$AF$5:$AF$11)</f>
        <v>46252</v>
      </c>
      <c r="J89" s="418"/>
      <c r="K89" s="418"/>
      <c r="L89" s="882"/>
      <c r="M89" s="882" t="str">
        <f ca="1">IF(L89=100%,"Completed",
IF(AND(L89&lt;100%,G89&lt;TODAY()),"Delayed",
IF(AND(OR(L89="",L89=0),F89&gt;TODAY()),"Not Started",
IF(AND(OR(L89="",L89=0),F89&lt;=TODAY()),"Delayed",
IF(AND(L89&gt;0,L89&lt;100%),"In Progress","")))))</f>
        <v>Not Started</v>
      </c>
      <c r="N89" s="883"/>
      <c r="O89" s="826"/>
      <c r="P89" s="201"/>
      <c r="Q89" s="201"/>
      <c r="R89" s="201"/>
      <c r="S89" s="201"/>
      <c r="T89" s="201"/>
      <c r="U89" s="201"/>
      <c r="V89" s="854"/>
      <c r="W89" s="893"/>
      <c r="X89" s="418" t="s">
        <v>305</v>
      </c>
      <c r="Y89" s="890" t="s">
        <v>309</v>
      </c>
      <c r="Z89" s="155"/>
      <c r="AB89" s="154"/>
      <c r="AD89" s="158"/>
    </row>
    <row r="90" spans="2:30" ht="51" customHeight="1">
      <c r="B90" s="1148"/>
      <c r="C90" s="884" t="s">
        <v>91</v>
      </c>
      <c r="D90" s="885" t="s">
        <v>165</v>
      </c>
      <c r="E90" s="886">
        <f t="shared" si="11"/>
        <v>3</v>
      </c>
      <c r="F90" s="419">
        <f t="shared" si="16"/>
        <v>46253</v>
      </c>
      <c r="G90" s="419">
        <f t="shared" si="18"/>
        <v>46256</v>
      </c>
      <c r="H90" s="419">
        <f>WORKDAY.INTL(I89,1,"0000100",$AF$5:$AF$11)</f>
        <v>46253</v>
      </c>
      <c r="I90" s="419">
        <f>WORKDAY.INTL(I89,3,"0000100",$AF$5:$AF$11)</f>
        <v>46256</v>
      </c>
      <c r="J90" s="419"/>
      <c r="K90" s="419"/>
      <c r="L90" s="887"/>
      <c r="M90" s="887" t="str">
        <f ca="1">IF(L90=100%,"Completed",
IF(AND(L90&lt;100%,G90&lt;TODAY()),"Delayed",
IF(AND(OR(L90="",L90=0),F90&gt;TODAY()),"Not Started",
IF(AND(OR(L90="",L90=0),F90&lt;=TODAY()),"Delayed",
IF(AND(L90&gt;0,L90&lt;100%),"In Progress","")))))</f>
        <v>Not Started</v>
      </c>
      <c r="N90" s="888"/>
      <c r="O90" s="826"/>
      <c r="P90" s="201"/>
      <c r="Q90" s="201"/>
      <c r="R90" s="201"/>
      <c r="S90" s="201"/>
      <c r="T90" s="201"/>
      <c r="U90" s="201"/>
      <c r="V90" s="854"/>
      <c r="W90" s="891"/>
      <c r="X90" s="419"/>
      <c r="Y90" s="892"/>
      <c r="Z90" s="155"/>
      <c r="AB90" s="154"/>
      <c r="AD90" s="158"/>
    </row>
    <row r="91" spans="2:30" ht="51" customHeight="1">
      <c r="B91" s="832"/>
      <c r="C91" s="832"/>
      <c r="D91" s="833"/>
      <c r="E91" s="834"/>
      <c r="F91" s="835"/>
      <c r="G91" s="835"/>
      <c r="H91" s="835"/>
      <c r="I91" s="835"/>
      <c r="J91" s="835"/>
      <c r="K91" s="835"/>
      <c r="L91" s="855"/>
      <c r="M91" s="855"/>
      <c r="N91" s="855"/>
      <c r="P91" s="837"/>
      <c r="Q91" s="837"/>
      <c r="R91" s="837"/>
      <c r="S91" s="837"/>
      <c r="T91" s="837"/>
      <c r="U91" s="837"/>
      <c r="V91" s="837"/>
      <c r="W91" s="838"/>
      <c r="X91" s="839"/>
      <c r="Y91" s="839"/>
      <c r="Z91" s="155"/>
      <c r="AB91" s="154"/>
      <c r="AD91" s="158"/>
    </row>
    <row r="92" spans="2:30" ht="75.95" customHeight="1">
      <c r="B92" s="1152" t="s">
        <v>312</v>
      </c>
      <c r="C92" s="779" t="s">
        <v>91</v>
      </c>
      <c r="D92" s="294" t="s">
        <v>313</v>
      </c>
      <c r="E92" s="275">
        <f t="shared" si="11"/>
        <v>3</v>
      </c>
      <c r="F92" s="198">
        <f t="shared" ref="F92" si="19">WORKDAY.INTL(G89,1,"0000100",$AF$5:$AF$11)</f>
        <v>46253</v>
      </c>
      <c r="G92" s="198">
        <f t="shared" si="17"/>
        <v>46256</v>
      </c>
      <c r="H92" s="198">
        <f>WORKDAY.INTL(I89,1,"0000100",$AF$5:$AF$11)</f>
        <v>46253</v>
      </c>
      <c r="I92" s="198">
        <f>WORKDAY.INTL(H92,2,"0000100",$AF$5:$AF$11)</f>
        <v>46256</v>
      </c>
      <c r="J92" s="198"/>
      <c r="K92" s="198"/>
      <c r="L92" s="276"/>
      <c r="M92" s="276" t="str">
        <f ca="1">IF(L92=100%,"Completed",
IF(AND(L92&lt;100%,G92&lt;TODAY()),"Delayed",
IF(AND(OR(L92="",L92=0),F92&gt;TODAY()),"Not Started",
IF(AND(OR(L92="",L92=0),F92&lt;=TODAY()),"Delayed",
IF(AND(L92&gt;0,L92&lt;100%),"In Progress","")))))</f>
        <v>Not Started</v>
      </c>
      <c r="N92" s="783"/>
      <c r="O92" s="826"/>
      <c r="P92" s="199"/>
      <c r="Q92" s="199"/>
      <c r="R92" s="199"/>
      <c r="S92" s="199"/>
      <c r="T92" s="199"/>
      <c r="U92" s="199"/>
      <c r="V92" s="831"/>
      <c r="W92" s="664"/>
      <c r="X92" s="198" t="s">
        <v>305</v>
      </c>
      <c r="Y92" s="827" t="s">
        <v>314</v>
      </c>
      <c r="Z92" s="155"/>
      <c r="AB92" s="154"/>
      <c r="AD92" s="158"/>
    </row>
    <row r="93" spans="2:30" ht="51" customHeight="1">
      <c r="B93" s="1153"/>
      <c r="C93" s="203" t="s">
        <v>91</v>
      </c>
      <c r="D93" s="281" t="s">
        <v>165</v>
      </c>
      <c r="E93" s="282">
        <f t="shared" si="11"/>
        <v>3</v>
      </c>
      <c r="F93" s="256">
        <f t="shared" ref="F93:F96" si="20">WORKDAY.INTL(G92,1,"0000100",$AF$5:$AF$11)</f>
        <v>46257</v>
      </c>
      <c r="G93" s="256">
        <f t="shared" si="18"/>
        <v>46259</v>
      </c>
      <c r="H93" s="256">
        <f>WORKDAY.INTL(I92,1,"0000100",$AF$5:$AF$11)</f>
        <v>46257</v>
      </c>
      <c r="I93" s="256">
        <f>WORKDAY.INTL(I92,3,"0000100",$AF$5:$AF$11)</f>
        <v>46259</v>
      </c>
      <c r="J93" s="256"/>
      <c r="K93" s="256"/>
      <c r="L93" s="283"/>
      <c r="M93" s="283" t="str">
        <f ca="1">IF(L93=100%,"Completed",
IF(AND(L93&lt;100%,G93&lt;TODAY()),"Delayed",
IF(AND(OR(L93="",L93=0),F93&gt;TODAY()),"Not Started",
IF(AND(OR(L93="",L93=0),F93&lt;=TODAY()),"Delayed",
IF(AND(L93&gt;0,L93&lt;100%),"In Progress","")))))</f>
        <v>Not Started</v>
      </c>
      <c r="N93" s="785"/>
      <c r="O93" s="826"/>
      <c r="P93" s="199"/>
      <c r="Q93" s="199"/>
      <c r="R93" s="199"/>
      <c r="S93" s="199"/>
      <c r="T93" s="199"/>
      <c r="U93" s="199"/>
      <c r="V93" s="831"/>
      <c r="W93" s="786"/>
      <c r="X93" s="256"/>
      <c r="Y93" s="830"/>
      <c r="Z93" s="155"/>
      <c r="AB93" s="154"/>
      <c r="AD93" s="158"/>
    </row>
    <row r="94" spans="2:30" ht="51" customHeight="1">
      <c r="B94" s="832"/>
      <c r="C94" s="832"/>
      <c r="D94" s="833"/>
      <c r="E94" s="834"/>
      <c r="F94" s="835"/>
      <c r="G94" s="835"/>
      <c r="H94" s="835"/>
      <c r="I94" s="835"/>
      <c r="J94" s="835"/>
      <c r="K94" s="835"/>
      <c r="L94" s="855"/>
      <c r="M94" s="855"/>
      <c r="N94" s="855"/>
      <c r="P94" s="837"/>
      <c r="Q94" s="837"/>
      <c r="R94" s="837"/>
      <c r="S94" s="837"/>
      <c r="T94" s="837"/>
      <c r="U94" s="837"/>
      <c r="V94" s="837"/>
      <c r="W94" s="838"/>
      <c r="X94" s="839"/>
      <c r="Y94" s="839"/>
      <c r="Z94" s="155"/>
      <c r="AB94" s="154"/>
      <c r="AD94" s="158"/>
    </row>
    <row r="95" spans="2:30" ht="65.099999999999994" customHeight="1">
      <c r="B95" s="1154" t="s">
        <v>315</v>
      </c>
      <c r="C95" s="879" t="s">
        <v>91</v>
      </c>
      <c r="D95" s="880" t="s">
        <v>316</v>
      </c>
      <c r="E95" s="881">
        <f t="shared" si="11"/>
        <v>3</v>
      </c>
      <c r="F95" s="418">
        <f>WORKDAY.INTL(G92,1,"0000100",$AF$5:$AF$11)</f>
        <v>46257</v>
      </c>
      <c r="G95" s="418">
        <f>WORKDAY.INTL(F95,2,"0000100",$AF$5:$AF$11)</f>
        <v>46259</v>
      </c>
      <c r="H95" s="418">
        <f>WORKDAY.INTL(I92,1,"0000100",$AF$5:$AF$11)</f>
        <v>46257</v>
      </c>
      <c r="I95" s="418">
        <f>WORKDAY.INTL(H95,2,"0000100",$AF$5:$AF$11)</f>
        <v>46259</v>
      </c>
      <c r="J95" s="418"/>
      <c r="K95" s="418"/>
      <c r="L95" s="882"/>
      <c r="M95" s="882" t="str">
        <f ca="1">IF(L95=100%,"Completed",
IF(AND(L95&lt;100%,G95&lt;TODAY()),"Delayed",
IF(AND(OR(L95="",L95=0),F95&gt;TODAY()),"Not Started",
IF(AND(OR(L95="",L95=0),F95&lt;=TODAY()),"Delayed",
IF(AND(L95&gt;0,L95&lt;100%),"In Progress","")))))</f>
        <v>Not Started</v>
      </c>
      <c r="N95" s="883"/>
      <c r="O95" s="826"/>
      <c r="P95" s="201"/>
      <c r="Q95" s="201"/>
      <c r="R95" s="201"/>
      <c r="S95" s="201"/>
      <c r="T95" s="201"/>
      <c r="U95" s="201"/>
      <c r="V95" s="854"/>
      <c r="W95" s="893"/>
      <c r="X95" s="418" t="s">
        <v>305</v>
      </c>
      <c r="Y95" s="890" t="s">
        <v>317</v>
      </c>
      <c r="Z95" s="155"/>
      <c r="AB95" s="154"/>
      <c r="AD95" s="158"/>
    </row>
    <row r="96" spans="2:30" ht="51" customHeight="1">
      <c r="B96" s="1148"/>
      <c r="C96" s="884" t="s">
        <v>91</v>
      </c>
      <c r="D96" s="885" t="s">
        <v>165</v>
      </c>
      <c r="E96" s="886">
        <f t="shared" si="11"/>
        <v>3</v>
      </c>
      <c r="F96" s="419">
        <f t="shared" si="20"/>
        <v>46260</v>
      </c>
      <c r="G96" s="419">
        <f t="shared" ref="G96:G102" si="21">WORKDAY.INTL(G95,3,"0000100",$AF$5:$AF$11)</f>
        <v>46263</v>
      </c>
      <c r="H96" s="419">
        <f>WORKDAY.INTL(I95,1,"0000100",$AF$5:$AF$11)</f>
        <v>46260</v>
      </c>
      <c r="I96" s="419">
        <f>WORKDAY.INTL(I95,3,"0000100",$AF$5:$AF$11)</f>
        <v>46263</v>
      </c>
      <c r="J96" s="419"/>
      <c r="K96" s="419"/>
      <c r="L96" s="887"/>
      <c r="M96" s="887" t="str">
        <f ca="1">IF(L96=100%,"Completed",
IF(AND(L96&lt;100%,G96&lt;TODAY()),"Delayed",
IF(AND(OR(L96="",L96=0),F96&gt;TODAY()),"Not Started",
IF(AND(OR(L96="",L96=0),F96&lt;=TODAY()),"Delayed",
IF(AND(L96&gt;0,L96&lt;100%),"In Progress","")))))</f>
        <v>Not Started</v>
      </c>
      <c r="N96" s="888"/>
      <c r="O96" s="826"/>
      <c r="P96" s="201"/>
      <c r="Q96" s="201"/>
      <c r="R96" s="201"/>
      <c r="S96" s="201"/>
      <c r="T96" s="201"/>
      <c r="U96" s="201"/>
      <c r="V96" s="854"/>
      <c r="W96" s="891"/>
      <c r="X96" s="419"/>
      <c r="Y96" s="892"/>
      <c r="Z96" s="155"/>
      <c r="AB96" s="154"/>
      <c r="AD96" s="158"/>
    </row>
    <row r="97" spans="2:30" ht="51" customHeight="1">
      <c r="B97" s="832"/>
      <c r="C97" s="832"/>
      <c r="D97" s="833"/>
      <c r="E97" s="834"/>
      <c r="F97" s="835"/>
      <c r="G97" s="835"/>
      <c r="H97" s="835"/>
      <c r="I97" s="835"/>
      <c r="J97" s="835"/>
      <c r="K97" s="835"/>
      <c r="L97" s="855"/>
      <c r="M97" s="855"/>
      <c r="N97" s="855"/>
      <c r="P97" s="837"/>
      <c r="Q97" s="837"/>
      <c r="R97" s="837"/>
      <c r="S97" s="837"/>
      <c r="T97" s="837"/>
      <c r="U97" s="837"/>
      <c r="V97" s="837"/>
      <c r="W97" s="838"/>
      <c r="X97" s="839"/>
      <c r="Y97" s="839"/>
      <c r="Z97" s="155"/>
      <c r="AB97" s="154"/>
      <c r="AD97" s="158"/>
    </row>
    <row r="98" spans="2:30" ht="68.099999999999994" customHeight="1">
      <c r="B98" s="1152" t="s">
        <v>318</v>
      </c>
      <c r="C98" s="779" t="s">
        <v>91</v>
      </c>
      <c r="D98" s="294" t="s">
        <v>319</v>
      </c>
      <c r="E98" s="275">
        <f t="shared" si="11"/>
        <v>3</v>
      </c>
      <c r="F98" s="198">
        <f>WORKDAY.INTL(G95,1,"0000100",$AF$5:$AF$11)</f>
        <v>46260</v>
      </c>
      <c r="G98" s="198">
        <f>WORKDAY.INTL(F98,2,"0000100",$AF$5:$AF$11)</f>
        <v>46263</v>
      </c>
      <c r="H98" s="198">
        <f>WORKDAY.INTL(I95,1,"0000100",$AF$5:$AF$11)</f>
        <v>46260</v>
      </c>
      <c r="I98" s="198">
        <f>WORKDAY.INTL(H98,2,"0000100",$AF$5:$AF$11)</f>
        <v>46263</v>
      </c>
      <c r="J98" s="198"/>
      <c r="K98" s="198"/>
      <c r="L98" s="276"/>
      <c r="M98" s="276" t="str">
        <f ca="1">IF(L98=100%,"Completed",
IF(AND(L98&lt;100%,G98&lt;TODAY()),"Delayed",
IF(AND(OR(L98="",L98=0),F98&gt;TODAY()),"Not Started",
IF(AND(OR(L98="",L98=0),F98&lt;=TODAY()),"Delayed",
IF(AND(L98&gt;0,L98&lt;100%),"In Progress","")))))</f>
        <v>Not Started</v>
      </c>
      <c r="N98" s="783"/>
      <c r="O98" s="826"/>
      <c r="P98" s="199"/>
      <c r="Q98" s="199"/>
      <c r="R98" s="199"/>
      <c r="S98" s="199"/>
      <c r="T98" s="199"/>
      <c r="U98" s="199"/>
      <c r="V98" s="831"/>
      <c r="W98" s="664"/>
      <c r="X98" s="198" t="s">
        <v>305</v>
      </c>
      <c r="Y98" s="827" t="s">
        <v>309</v>
      </c>
      <c r="Z98" s="155"/>
      <c r="AB98" s="154"/>
      <c r="AD98" s="158"/>
    </row>
    <row r="99" spans="2:30" ht="51" customHeight="1">
      <c r="B99" s="1153"/>
      <c r="C99" s="203" t="s">
        <v>91</v>
      </c>
      <c r="D99" s="281" t="s">
        <v>165</v>
      </c>
      <c r="E99" s="282">
        <f t="shared" si="11"/>
        <v>3</v>
      </c>
      <c r="F99" s="256">
        <f>WORKDAY.INTL(G98,1,"0000100",$AF$5:$AF$11)</f>
        <v>46264</v>
      </c>
      <c r="G99" s="256">
        <f t="shared" si="21"/>
        <v>46266</v>
      </c>
      <c r="H99" s="256">
        <f>WORKDAY.INTL(I98,1,"0000100",$AF$5:$AF$11)</f>
        <v>46264</v>
      </c>
      <c r="I99" s="256">
        <f>WORKDAY.INTL(I98,3,"0000100",$AF$5:$AF$11)</f>
        <v>46266</v>
      </c>
      <c r="J99" s="256"/>
      <c r="K99" s="256"/>
      <c r="L99" s="283"/>
      <c r="M99" s="283" t="str">
        <f ca="1">IF(L99=100%,"Completed",
IF(AND(L99&lt;100%,G99&lt;TODAY()),"Delayed",
IF(AND(OR(L99="",L99=0),F99&gt;TODAY()),"Not Started",
IF(AND(OR(L99="",L99=0),F99&lt;=TODAY()),"Delayed",
IF(AND(L99&gt;0,L99&lt;100%),"In Progress","")))))</f>
        <v>Not Started</v>
      </c>
      <c r="N99" s="785"/>
      <c r="O99" s="826"/>
      <c r="P99" s="199"/>
      <c r="Q99" s="199"/>
      <c r="R99" s="199"/>
      <c r="S99" s="199"/>
      <c r="T99" s="199"/>
      <c r="U99" s="199"/>
      <c r="V99" s="831"/>
      <c r="W99" s="786"/>
      <c r="X99" s="256"/>
      <c r="Y99" s="830"/>
      <c r="Z99" s="155"/>
      <c r="AB99" s="154"/>
      <c r="AD99" s="158"/>
    </row>
    <row r="100" spans="2:30" ht="51" customHeight="1">
      <c r="B100" s="832"/>
      <c r="C100" s="832"/>
      <c r="D100" s="833"/>
      <c r="E100" s="834"/>
      <c r="F100" s="835"/>
      <c r="G100" s="835"/>
      <c r="H100" s="835"/>
      <c r="I100" s="835"/>
      <c r="J100" s="835"/>
      <c r="K100" s="835"/>
      <c r="L100" s="855"/>
      <c r="M100" s="855"/>
      <c r="N100" s="855"/>
      <c r="P100" s="837"/>
      <c r="Q100" s="837"/>
      <c r="R100" s="837"/>
      <c r="S100" s="837"/>
      <c r="T100" s="837"/>
      <c r="U100" s="837"/>
      <c r="V100" s="837"/>
      <c r="W100" s="838"/>
      <c r="X100" s="839"/>
      <c r="Y100" s="839"/>
      <c r="Z100" s="155"/>
      <c r="AB100" s="154"/>
      <c r="AD100" s="158"/>
    </row>
    <row r="101" spans="2:30" ht="69" customHeight="1">
      <c r="B101" s="1154" t="s">
        <v>320</v>
      </c>
      <c r="C101" s="879" t="s">
        <v>91</v>
      </c>
      <c r="D101" s="880" t="s">
        <v>321</v>
      </c>
      <c r="E101" s="881">
        <f t="shared" si="11"/>
        <v>3</v>
      </c>
      <c r="F101" s="418">
        <f t="shared" ref="F101" si="22">WORKDAY.INTL(G98,1,"0000100",$AF$5:$AF$11)</f>
        <v>46264</v>
      </c>
      <c r="G101" s="418">
        <f>WORKDAY.INTL(F101,2,"0000100",$AF$5:$AF$11)</f>
        <v>46266</v>
      </c>
      <c r="H101" s="418">
        <f>WORKDAY.INTL(I98,1,"0000100",$AF$5:$AF$11)</f>
        <v>46264</v>
      </c>
      <c r="I101" s="418">
        <f>WORKDAY.INTL(H101,2,"0000100",$AF$5:$AF$11)</f>
        <v>46266</v>
      </c>
      <c r="J101" s="418"/>
      <c r="K101" s="418"/>
      <c r="L101" s="882"/>
      <c r="M101" s="882" t="str">
        <f ca="1">IF(L101=100%,"Completed",
IF(AND(L101&lt;100%,G101&lt;TODAY()),"Delayed",
IF(AND(OR(L101="",L101=0),F101&gt;TODAY()),"Not Started",
IF(AND(OR(L101="",L101=0),F101&lt;=TODAY()),"Delayed",
IF(AND(L101&gt;0,L101&lt;100%),"In Progress","")))))</f>
        <v>Not Started</v>
      </c>
      <c r="N101" s="883"/>
      <c r="O101" s="826"/>
      <c r="P101" s="201"/>
      <c r="Q101" s="201"/>
      <c r="R101" s="201"/>
      <c r="S101" s="201"/>
      <c r="T101" s="201"/>
      <c r="U101" s="201"/>
      <c r="V101" s="854"/>
      <c r="W101" s="893"/>
      <c r="X101" s="418" t="s">
        <v>305</v>
      </c>
      <c r="Y101" s="890" t="s">
        <v>317</v>
      </c>
      <c r="Z101" s="155"/>
      <c r="AB101" s="154"/>
      <c r="AD101" s="158"/>
    </row>
    <row r="102" spans="2:30" ht="51" customHeight="1">
      <c r="B102" s="1148"/>
      <c r="C102" s="884" t="s">
        <v>91</v>
      </c>
      <c r="D102" s="885" t="s">
        <v>165</v>
      </c>
      <c r="E102" s="886">
        <f t="shared" si="11"/>
        <v>3</v>
      </c>
      <c r="F102" s="419">
        <f>WORKDAY.INTL(G101,1,"0000100",$AF$5:$AF$11)</f>
        <v>46267</v>
      </c>
      <c r="G102" s="419">
        <f t="shared" si="21"/>
        <v>46270</v>
      </c>
      <c r="H102" s="419">
        <f>WORKDAY.INTL(I101,1,"0000100",$AF$5:$AF$11)</f>
        <v>46267</v>
      </c>
      <c r="I102" s="419">
        <f>WORKDAY.INTL(I101,3,"0000100",$AF$5:$AF$11)</f>
        <v>46270</v>
      </c>
      <c r="J102" s="419"/>
      <c r="K102" s="419"/>
      <c r="L102" s="887"/>
      <c r="M102" s="887" t="str">
        <f ca="1">IF(L102=100%,"Completed",
IF(AND(L102&lt;100%,G102&lt;TODAY()),"Delayed",
IF(AND(OR(L102="",L102=0),F102&gt;TODAY()),"Not Started",
IF(AND(OR(L102="",L102=0),F102&lt;=TODAY()),"Delayed",
IF(AND(L102&gt;0,L102&lt;100%),"In Progress","")))))</f>
        <v>Not Started</v>
      </c>
      <c r="N102" s="888"/>
      <c r="O102" s="826"/>
      <c r="P102" s="201"/>
      <c r="Q102" s="201"/>
      <c r="R102" s="201"/>
      <c r="S102" s="201"/>
      <c r="T102" s="201"/>
      <c r="U102" s="201"/>
      <c r="V102" s="854"/>
      <c r="W102" s="891"/>
      <c r="X102" s="419"/>
      <c r="Y102" s="892"/>
      <c r="Z102" s="155"/>
      <c r="AB102" s="154"/>
      <c r="AD102" s="158"/>
    </row>
    <row r="103" spans="2:30" ht="51" customHeight="1">
      <c r="B103" s="832"/>
      <c r="C103" s="832"/>
      <c r="D103" s="833"/>
      <c r="E103" s="834"/>
      <c r="F103" s="835"/>
      <c r="G103" s="835"/>
      <c r="H103" s="835"/>
      <c r="I103" s="835"/>
      <c r="J103" s="835"/>
      <c r="K103" s="835"/>
      <c r="L103" s="855"/>
      <c r="M103" s="855"/>
      <c r="N103" s="855"/>
      <c r="P103" s="837"/>
      <c r="Q103" s="837"/>
      <c r="R103" s="837"/>
      <c r="S103" s="837"/>
      <c r="T103" s="837"/>
      <c r="U103" s="837"/>
      <c r="V103" s="837"/>
      <c r="W103" s="838"/>
      <c r="X103" s="839"/>
      <c r="Y103" s="839"/>
      <c r="Z103" s="155"/>
      <c r="AB103" s="154"/>
      <c r="AD103" s="158"/>
    </row>
    <row r="104" spans="2:30" s="153" customFormat="1" ht="94.5">
      <c r="B104" s="857" t="s">
        <v>185</v>
      </c>
      <c r="C104" s="858" t="s">
        <v>91</v>
      </c>
      <c r="D104" s="859" t="s">
        <v>322</v>
      </c>
      <c r="E104" s="860">
        <f>NETWORKDAYS.INTL(F104,G104,"0000110",$AF$5:$AF$12)</f>
        <v>31</v>
      </c>
      <c r="F104" s="861">
        <f>WORKDAY.INTL(G75,1,"0000110")</f>
        <v>46237</v>
      </c>
      <c r="G104" s="861">
        <f>WORKDAY.INTL(F104,36,"0000100",$AF$5:$AF$11)</f>
        <v>46279</v>
      </c>
      <c r="H104" s="861">
        <f>WORKDAY.INTL(I75,1,"0000110")</f>
        <v>46237</v>
      </c>
      <c r="I104" s="861">
        <f>WORKDAY.INTL(H104,36,"0000100",$AF$5:$AF$11)</f>
        <v>46279</v>
      </c>
      <c r="J104" s="861"/>
      <c r="K104" s="861"/>
      <c r="L104" s="862"/>
      <c r="M104" s="862" t="str">
        <f ca="1">IF(L104=100%,"Completed",
IF(AND(L104&lt;100%,G104&lt;TODAY()),"Delayed",
IF(AND(OR(L104="",L104=0),F104&gt;TODAY()),"Not Started",
IF(AND(OR(L104="",L104=0),F104&lt;=TODAY()),"Delayed",
IF(AND(L104&gt;0,L104&lt;100%),"In Progress","")))))</f>
        <v>Not Started</v>
      </c>
      <c r="N104" s="863"/>
      <c r="O104" s="826"/>
      <c r="P104" s="199"/>
      <c r="Q104" s="199"/>
      <c r="R104" s="199"/>
      <c r="S104" s="199"/>
      <c r="T104" s="199"/>
      <c r="U104" s="199"/>
      <c r="V104" s="831"/>
      <c r="W104" s="460" t="s">
        <v>323</v>
      </c>
      <c r="X104" s="861" t="s">
        <v>324</v>
      </c>
      <c r="Y104" s="864" t="s">
        <v>325</v>
      </c>
      <c r="AC104" s="158"/>
      <c r="AD104" s="158"/>
    </row>
    <row r="105" spans="2:30" ht="15.75" customHeight="1">
      <c r="B105" s="832"/>
      <c r="C105" s="832"/>
      <c r="D105" s="833"/>
      <c r="E105" s="834"/>
      <c r="F105" s="835"/>
      <c r="G105" s="835"/>
      <c r="H105" s="835"/>
      <c r="I105" s="835"/>
      <c r="J105" s="835"/>
      <c r="K105" s="835"/>
      <c r="L105" s="855"/>
      <c r="M105" s="855"/>
      <c r="N105" s="855"/>
      <c r="P105" s="837"/>
      <c r="Q105" s="837"/>
      <c r="R105" s="837"/>
      <c r="S105" s="837"/>
      <c r="T105" s="837"/>
      <c r="U105" s="837"/>
      <c r="V105" s="837"/>
      <c r="W105" s="838"/>
      <c r="X105" s="839"/>
      <c r="Y105" s="839"/>
      <c r="Z105" s="155"/>
      <c r="AB105" s="154"/>
      <c r="AD105" s="158"/>
    </row>
    <row r="106" spans="2:30" ht="98.25" customHeight="1">
      <c r="B106" s="866" t="s">
        <v>190</v>
      </c>
      <c r="C106" s="867" t="s">
        <v>191</v>
      </c>
      <c r="D106" s="810" t="s">
        <v>192</v>
      </c>
      <c r="E106" s="811">
        <f>NETWORKDAYS.INTL(F106,G106,"0000110",$AF$5:$AF$12)</f>
        <v>2</v>
      </c>
      <c r="F106" s="806">
        <f>MAX(WORKDAY.INTL(G104,1,"0000100"),WORKDAY.INTL(G114,1,"0000100"))</f>
        <v>46294</v>
      </c>
      <c r="G106" s="806">
        <f>WORKDAY.INTL(F106,1,"0000110")</f>
        <v>46295</v>
      </c>
      <c r="H106" s="806">
        <f>MAX(WORKDAY.INTL(I104,1,"0000100"),WORKDAY.INTL(I114,1,"0000100"))</f>
        <v>46296</v>
      </c>
      <c r="I106" s="806">
        <f>WORKDAY.INTL(H106,1,"0000110")</f>
        <v>46299</v>
      </c>
      <c r="J106" s="806"/>
      <c r="K106" s="806"/>
      <c r="L106" s="807"/>
      <c r="M106" s="807" t="str">
        <f ca="1">IF(L106=100%,"Completed",
IF(AND(L106&lt;100%,G106&lt;TODAY()),"Delayed",
IF(AND(OR(L106="",L106=0),F106&gt;TODAY()),"Not Started",
IF(AND(OR(L106="",L106=0),F106&lt;=TODAY()),"Delayed",
IF(AND(L106&gt;0,L106&lt;100%),"In Progress","")))))</f>
        <v>Not Started</v>
      </c>
      <c r="N106" s="812"/>
      <c r="O106" s="817"/>
      <c r="P106" s="202"/>
      <c r="Q106" s="202"/>
      <c r="R106" s="202"/>
      <c r="S106" s="202"/>
      <c r="T106" s="202"/>
      <c r="U106" s="202"/>
      <c r="V106" s="865"/>
      <c r="W106" s="813" t="s">
        <v>193</v>
      </c>
      <c r="X106" s="806" t="s">
        <v>326</v>
      </c>
      <c r="Y106" s="868"/>
      <c r="Z106" s="155"/>
      <c r="AD106" s="158"/>
    </row>
    <row r="107" spans="2:30" s="153" customFormat="1" ht="9.75" customHeight="1">
      <c r="B107" s="205"/>
      <c r="C107" s="205"/>
      <c r="D107" s="314"/>
      <c r="E107" s="315"/>
      <c r="F107" s="314"/>
      <c r="G107" s="314"/>
      <c r="H107" s="314"/>
      <c r="I107" s="314"/>
      <c r="J107" s="261"/>
      <c r="K107" s="261"/>
      <c r="L107" s="316"/>
      <c r="M107" s="316"/>
      <c r="N107" s="771"/>
      <c r="O107" s="778"/>
      <c r="P107" s="205"/>
      <c r="Q107" s="205"/>
      <c r="R107" s="205"/>
      <c r="S107" s="205"/>
      <c r="T107" s="205"/>
      <c r="U107" s="205"/>
      <c r="V107" s="205"/>
      <c r="W107" s="205"/>
      <c r="X107" s="205"/>
      <c r="Y107" s="205"/>
      <c r="AC107" s="158"/>
      <c r="AD107" s="158"/>
    </row>
    <row r="108" spans="2:30" s="153" customFormat="1" ht="36.950000000000003" customHeight="1">
      <c r="B108" s="1155" t="s">
        <v>195</v>
      </c>
      <c r="C108" s="422" t="s">
        <v>34</v>
      </c>
      <c r="D108" s="294" t="s">
        <v>196</v>
      </c>
      <c r="E108" s="275">
        <f>NETWORKDAYS.INTL(F108,G108,"0000110",$AF$5:$AF$11)</f>
        <v>2</v>
      </c>
      <c r="F108" s="198">
        <f>MAX(WORKDAY.INTL(G95,1,"0000110",$AF$5:$AF$10),WORKDAY.INTL(G52,1,"0000110",$AF$5:$AF$10),WORKDAY.INTL(G44,1,"0000110",$AF$5:$AF$10))</f>
        <v>46273</v>
      </c>
      <c r="G108" s="198">
        <f>WORKDAY.INTL(F108,1,"0000110",$AF$5:$AF$10)</f>
        <v>46274</v>
      </c>
      <c r="H108" s="198">
        <f>MAX(WORKDAY.INTL(I95,1,"0000110",$AF$5:$AF$10),WORKDAY.INTL(I52,1,"0000110",$AF$5:$AF$10),WORKDAY.INTL(I44,1,"0000110",$AF$5:$AF$10))</f>
        <v>46275</v>
      </c>
      <c r="I108" s="198">
        <f>WORKDAY.INTL(H108,1,"0000110",$AF$5:$AF$10)</f>
        <v>46278</v>
      </c>
      <c r="J108" s="198"/>
      <c r="K108" s="198"/>
      <c r="L108" s="276"/>
      <c r="M108" s="276" t="str">
        <f t="shared" ref="M108:M114" ca="1" si="23">IF(L108=100%,"Completed",
IF(AND(L108&lt;100%,G108&lt;TODAY()),"Delayed",
IF(AND(OR(L108="",L108=0),F108&gt;TODAY()),"Not Started",
IF(AND(OR(L108="",L108=0),F108&lt;=TODAY()),"Delayed",
IF(AND(L108&gt;0,L108&lt;100%),"In Progress","")))))</f>
        <v>Not Started</v>
      </c>
      <c r="N108" s="783"/>
      <c r="O108" s="816"/>
      <c r="P108" s="91"/>
      <c r="Q108" s="91"/>
      <c r="R108" s="91"/>
      <c r="S108" s="91"/>
      <c r="T108" s="91"/>
      <c r="U108" s="91"/>
      <c r="V108" s="870"/>
      <c r="W108" s="894"/>
      <c r="X108" s="1144" t="s">
        <v>327</v>
      </c>
      <c r="Y108" s="469"/>
      <c r="Z108" s="155"/>
      <c r="AB108" s="170"/>
      <c r="AC108" s="158"/>
      <c r="AD108" s="158"/>
    </row>
    <row r="109" spans="2:30" ht="30.75" customHeight="1">
      <c r="B109" s="1156"/>
      <c r="C109" s="423" t="s">
        <v>34</v>
      </c>
      <c r="D109" s="280" t="s">
        <v>198</v>
      </c>
      <c r="E109" s="278">
        <f t="shared" ref="E109:E114" si="24">NETWORKDAYS.INTL(F109,G109,"0000110",$AF$5:$AF$11)</f>
        <v>5</v>
      </c>
      <c r="F109" s="200">
        <f>WORKDAY.INTL(G108,1,"0000100",$AF$5:$AF$11)</f>
        <v>46275</v>
      </c>
      <c r="G109" s="200">
        <f>WORKDAY.INTL(F109,4,"0000110",$AF$5:$AF$9)</f>
        <v>46281</v>
      </c>
      <c r="H109" s="200">
        <f>WORKDAY.INTL(I108,1,"0000100",$AF$5:$AF$11)</f>
        <v>46279</v>
      </c>
      <c r="I109" s="200">
        <f>WORKDAY.INTL(H109,4,"0000110",$AF$5:$AF$9)</f>
        <v>46285</v>
      </c>
      <c r="J109" s="200"/>
      <c r="K109" s="200"/>
      <c r="L109" s="279"/>
      <c r="M109" s="279" t="str">
        <f t="shared" ca="1" si="23"/>
        <v>Not Started</v>
      </c>
      <c r="N109" s="784"/>
      <c r="O109" s="826"/>
      <c r="P109" s="94"/>
      <c r="Q109" s="94"/>
      <c r="R109" s="94"/>
      <c r="S109" s="94"/>
      <c r="T109" s="94"/>
      <c r="U109" s="94"/>
      <c r="V109" s="871"/>
      <c r="W109" s="895"/>
      <c r="X109" s="1145"/>
      <c r="Y109" s="470"/>
      <c r="Z109" s="155"/>
      <c r="AC109" s="168"/>
      <c r="AD109" s="168"/>
    </row>
    <row r="110" spans="2:30" ht="79.5" customHeight="1">
      <c r="B110" s="1156"/>
      <c r="C110" s="423" t="s">
        <v>34</v>
      </c>
      <c r="D110" s="280" t="s">
        <v>199</v>
      </c>
      <c r="E110" s="278">
        <f t="shared" si="24"/>
        <v>5</v>
      </c>
      <c r="F110" s="200">
        <f>WORKDAY.INTL(G108,1,"0000100",$AF$5:$AF$11)</f>
        <v>46275</v>
      </c>
      <c r="G110" s="200">
        <f>WORKDAY.INTL(F110,4,"0000110",$AF$5:$AF$9)</f>
        <v>46281</v>
      </c>
      <c r="H110" s="200">
        <f>WORKDAY.INTL(I108,1,"0000100",$AF$5:$AF$11)</f>
        <v>46279</v>
      </c>
      <c r="I110" s="200">
        <f>WORKDAY.INTL(H110,4,"0000110",$AF$5:$AF$9)</f>
        <v>46285</v>
      </c>
      <c r="J110" s="200"/>
      <c r="K110" s="200"/>
      <c r="L110" s="279"/>
      <c r="M110" s="279" t="str">
        <f t="shared" ca="1" si="23"/>
        <v>Not Started</v>
      </c>
      <c r="N110" s="784"/>
      <c r="O110" s="826"/>
      <c r="P110" s="94"/>
      <c r="Q110" s="94"/>
      <c r="R110" s="94"/>
      <c r="S110" s="94"/>
      <c r="T110" s="94"/>
      <c r="U110" s="94"/>
      <c r="V110" s="871"/>
      <c r="W110" s="896" t="s">
        <v>200</v>
      </c>
      <c r="X110" s="1145"/>
      <c r="Y110" s="470"/>
      <c r="Z110" s="155"/>
      <c r="AD110" s="158"/>
    </row>
    <row r="111" spans="2:30" ht="30.75" customHeight="1">
      <c r="B111" s="1156"/>
      <c r="C111" s="423" t="s">
        <v>34</v>
      </c>
      <c r="D111" s="280" t="s">
        <v>201</v>
      </c>
      <c r="E111" s="278">
        <f t="shared" si="24"/>
        <v>2</v>
      </c>
      <c r="F111" s="200">
        <f>WORKDAY.INTL(G110,1,"0000100",$AF$5:$AF$11)</f>
        <v>46282</v>
      </c>
      <c r="G111" s="200">
        <f>WORKDAY.INTL(F111,1,"0000110",$AF$5:$AF$9)</f>
        <v>46285</v>
      </c>
      <c r="H111" s="200">
        <f>WORKDAY.INTL(I110,1,"0000100",$AF$5:$AF$11)</f>
        <v>46286</v>
      </c>
      <c r="I111" s="200">
        <f>WORKDAY.INTL(H111,1,"0000110",$AF$5:$AF$9)</f>
        <v>46287</v>
      </c>
      <c r="J111" s="200"/>
      <c r="K111" s="200"/>
      <c r="L111" s="279"/>
      <c r="M111" s="279" t="str">
        <f t="shared" ca="1" si="23"/>
        <v>Not Started</v>
      </c>
      <c r="N111" s="784"/>
      <c r="O111" s="869"/>
      <c r="P111" s="96"/>
      <c r="Q111" s="96"/>
      <c r="R111" s="96"/>
      <c r="S111" s="96"/>
      <c r="T111" s="96"/>
      <c r="U111" s="96"/>
      <c r="V111" s="872"/>
      <c r="W111" s="895"/>
      <c r="X111" s="1145"/>
      <c r="Y111" s="470"/>
      <c r="Z111" s="155"/>
      <c r="AC111" s="168"/>
      <c r="AD111" s="168"/>
    </row>
    <row r="112" spans="2:30" ht="30.75" customHeight="1">
      <c r="B112" s="1156"/>
      <c r="C112" s="423" t="s">
        <v>34</v>
      </c>
      <c r="D112" s="280" t="s">
        <v>202</v>
      </c>
      <c r="E112" s="278">
        <f t="shared" si="24"/>
        <v>3</v>
      </c>
      <c r="F112" s="200">
        <f>WORKDAY.INTL(G111,1,"0000100",$AF$5:$AF$11)</f>
        <v>46286</v>
      </c>
      <c r="G112" s="200">
        <f>WORKDAY.INTL(F112,3,"0000100",$AF$5:$AF$9)</f>
        <v>46289</v>
      </c>
      <c r="H112" s="200">
        <f>WORKDAY.INTL(I111,1,"0000100",$AF$5:$AF$11)</f>
        <v>46289</v>
      </c>
      <c r="I112" s="200">
        <f>WORKDAY.INTL(H112,3,"0000100",$AF$5:$AF$9)</f>
        <v>46293</v>
      </c>
      <c r="J112" s="200"/>
      <c r="K112" s="200"/>
      <c r="L112" s="279"/>
      <c r="M112" s="279" t="str">
        <f t="shared" ca="1" si="23"/>
        <v>Not Started</v>
      </c>
      <c r="N112" s="784"/>
      <c r="O112" s="826"/>
      <c r="P112" s="94"/>
      <c r="Q112" s="94"/>
      <c r="R112" s="94"/>
      <c r="S112" s="94"/>
      <c r="T112" s="94"/>
      <c r="U112" s="94"/>
      <c r="V112" s="871"/>
      <c r="W112" s="895"/>
      <c r="X112" s="1145"/>
      <c r="Y112" s="470"/>
      <c r="Z112" s="155"/>
      <c r="AD112" s="158"/>
    </row>
    <row r="113" spans="2:30" ht="30.75" customHeight="1">
      <c r="B113" s="1156"/>
      <c r="C113" s="423" t="s">
        <v>34</v>
      </c>
      <c r="D113" s="280" t="s">
        <v>203</v>
      </c>
      <c r="E113" s="278">
        <f t="shared" si="24"/>
        <v>1</v>
      </c>
      <c r="F113" s="200">
        <f>WORKDAY.INTL(G112,1,"0000110",$AF$5:$AF$10)</f>
        <v>46292</v>
      </c>
      <c r="G113" s="200">
        <f>WORKDAY.INTL(F113,0,"0000110",$AF$5:$AF$10)</f>
        <v>46292</v>
      </c>
      <c r="H113" s="200">
        <f>WORKDAY.INTL(I112,1,"0000110",$AF$5:$AF$10)</f>
        <v>46294</v>
      </c>
      <c r="I113" s="200">
        <f>WORKDAY.INTL(H113,0,"0000110",$AF$5:$AF$10)</f>
        <v>46294</v>
      </c>
      <c r="J113" s="200"/>
      <c r="K113" s="200"/>
      <c r="L113" s="279"/>
      <c r="M113" s="279" t="str">
        <f t="shared" ca="1" si="23"/>
        <v>Not Started</v>
      </c>
      <c r="N113" s="784"/>
      <c r="O113" s="826"/>
      <c r="P113" s="94"/>
      <c r="Q113" s="94"/>
      <c r="R113" s="94"/>
      <c r="S113" s="94"/>
      <c r="T113" s="94"/>
      <c r="U113" s="94"/>
      <c r="V113" s="871"/>
      <c r="W113" s="895"/>
      <c r="X113" s="1145"/>
      <c r="Y113" s="470"/>
      <c r="Z113" s="155"/>
      <c r="AD113" s="158"/>
    </row>
    <row r="114" spans="2:30" ht="30.75" customHeight="1">
      <c r="B114" s="1153"/>
      <c r="C114" s="424" t="s">
        <v>34</v>
      </c>
      <c r="D114" s="281" t="s">
        <v>204</v>
      </c>
      <c r="E114" s="282">
        <f t="shared" si="24"/>
        <v>1</v>
      </c>
      <c r="F114" s="256">
        <f>WORKDAY.INTL(G113,1,"0000110",$AF$5:$AF$10)</f>
        <v>46293</v>
      </c>
      <c r="G114" s="256">
        <f>WORKDAY.INTL(F114,0,"0000110",$AF$5:$AF$10)</f>
        <v>46293</v>
      </c>
      <c r="H114" s="256">
        <f>WORKDAY.INTL(I113,1,"0000110",$AF$5:$AF$10)</f>
        <v>46295</v>
      </c>
      <c r="I114" s="256">
        <f>WORKDAY.INTL(H114,0,"0000110",$AF$5:$AF$10)</f>
        <v>46295</v>
      </c>
      <c r="J114" s="256"/>
      <c r="K114" s="256"/>
      <c r="L114" s="283"/>
      <c r="M114" s="283" t="str">
        <f t="shared" ca="1" si="23"/>
        <v>Not Started</v>
      </c>
      <c r="N114" s="785"/>
      <c r="O114" s="817"/>
      <c r="P114" s="98"/>
      <c r="Q114" s="98"/>
      <c r="R114" s="98"/>
      <c r="S114" s="98"/>
      <c r="T114" s="98"/>
      <c r="U114" s="98"/>
      <c r="V114" s="873"/>
      <c r="W114" s="897"/>
      <c r="X114" s="1146"/>
      <c r="Y114" s="471"/>
      <c r="Z114" s="155"/>
      <c r="AD114" s="158"/>
    </row>
    <row r="115" spans="2:30" ht="4.5" customHeight="1">
      <c r="X115" s="874"/>
      <c r="Y115" s="156"/>
    </row>
    <row r="116" spans="2:30" ht="66" customHeight="1">
      <c r="B116" s="1147" t="s">
        <v>205</v>
      </c>
      <c r="C116" s="898" t="s">
        <v>205</v>
      </c>
      <c r="D116" s="880" t="s">
        <v>206</v>
      </c>
      <c r="E116" s="881">
        <f>NETWORKDAYS.INTL(F116,G116,"0000110",$AF$5:$AF$11)</f>
        <v>16</v>
      </c>
      <c r="F116" s="418">
        <f>WORKDAY.INTL(G116,-15,"0000110",$AF$5:$AF$10)</f>
        <v>46251</v>
      </c>
      <c r="G116" s="418">
        <f>WORKDAY.INTL(F108,-1,"0000110",$AF$5:$AF$10)</f>
        <v>46272</v>
      </c>
      <c r="H116" s="418">
        <f>WORKDAY.INTL(I116,-15,"0000110",$AF$5:$AF$10)</f>
        <v>46253</v>
      </c>
      <c r="I116" s="418">
        <f>WORKDAY.INTL(H108,-1,"0000110",$AF$5:$AF$10)</f>
        <v>46274</v>
      </c>
      <c r="J116" s="418"/>
      <c r="K116" s="418"/>
      <c r="L116" s="882"/>
      <c r="M116" s="882" t="str">
        <f ca="1">IF(L116=100%,"Completed",
IF(AND(L116&lt;100%,G116&lt;TODAY()),"Delayed",
IF(AND(OR(L116="",L116=0),F116&gt;TODAY()),"Not Started",
IF(AND(OR(L116="",L116=0),F116&lt;=TODAY()),"Delayed",
IF(AND(L116&gt;0,L116&lt;100%),"In Progress","")))))</f>
        <v>Not Started</v>
      </c>
      <c r="N116" s="883"/>
      <c r="O116" s="816"/>
      <c r="P116" s="206"/>
      <c r="Q116" s="206"/>
      <c r="R116" s="206"/>
      <c r="S116" s="206"/>
      <c r="T116" s="206"/>
      <c r="U116" s="206"/>
      <c r="V116" s="232"/>
      <c r="W116" s="900" t="s">
        <v>207</v>
      </c>
      <c r="X116" s="901"/>
      <c r="Y116" s="902"/>
    </row>
    <row r="117" spans="2:30" ht="50.1" customHeight="1">
      <c r="B117" s="1148"/>
      <c r="C117" s="899" t="s">
        <v>205</v>
      </c>
      <c r="D117" s="885" t="s">
        <v>208</v>
      </c>
      <c r="E117" s="886">
        <f>NETWORKDAYS.INTL(F117,G117,"0000110",$AF$5:$AF$11)</f>
        <v>20</v>
      </c>
      <c r="F117" s="419">
        <f>WORKDAY.INTL(G121,10,"0000110",$AF$5:$AF$10)</f>
        <v>46366</v>
      </c>
      <c r="G117" s="419">
        <f>WORKDAY.INTL(F117,19,"0000110",$AF$5:$AF$10)</f>
        <v>46393</v>
      </c>
      <c r="H117" s="419">
        <f>WORKDAY.INTL(I121,10,"0000110",$AF$5:$AF$10)</f>
        <v>46366</v>
      </c>
      <c r="I117" s="419">
        <f>WORKDAY.INTL(H117,19,"0000110",$AF$5:$AF$10)</f>
        <v>46393</v>
      </c>
      <c r="J117" s="419"/>
      <c r="K117" s="419"/>
      <c r="L117" s="887"/>
      <c r="M117" s="887" t="str">
        <f ca="1">IF(L117=100%,"Completed",
IF(AND(L117&lt;100%,G117&lt;TODAY()),"Delayed",
IF(AND(OR(L117="",L117=0),F117&gt;TODAY()),"Not Started",
IF(AND(OR(L117="",L117=0),F117&lt;=TODAY()),"Delayed",
IF(AND(L117&gt;0,L117&lt;100%),"In Progress","")))))</f>
        <v>Not Started</v>
      </c>
      <c r="N117" s="888"/>
      <c r="O117" s="817"/>
      <c r="P117" s="207"/>
      <c r="Q117" s="207"/>
      <c r="R117" s="207"/>
      <c r="S117" s="207"/>
      <c r="T117" s="207"/>
      <c r="U117" s="207"/>
      <c r="V117" s="233"/>
      <c r="W117" s="946" t="s">
        <v>209</v>
      </c>
      <c r="X117" s="903"/>
      <c r="Y117" s="904"/>
    </row>
    <row r="118" spans="2:30" ht="8.1" customHeight="1">
      <c r="X118" s="156"/>
      <c r="Y118" s="156"/>
    </row>
    <row r="119" spans="2:30" ht="96">
      <c r="B119" s="1149" t="s">
        <v>210</v>
      </c>
      <c r="C119" s="906" t="s">
        <v>210</v>
      </c>
      <c r="D119" s="907" t="s">
        <v>211</v>
      </c>
      <c r="E119" s="908">
        <f>NETWORKDAYS.INTL(F119,G119,"0000100",$AE$5:$AE$12)</f>
        <v>21</v>
      </c>
      <c r="F119" s="909">
        <f>WORKDAY.INTL(G119,-17,"0000110")</f>
        <v>46272</v>
      </c>
      <c r="G119" s="909">
        <f>WORKDAY.INTL(G106,0,"0000110")</f>
        <v>46295</v>
      </c>
      <c r="H119" s="909">
        <f>WORKDAY.INTL(I119,-17,"0000110")</f>
        <v>46274</v>
      </c>
      <c r="I119" s="909">
        <f>WORKDAY.INTL(I106,0,"0000110")</f>
        <v>46299</v>
      </c>
      <c r="J119" s="909"/>
      <c r="K119" s="910"/>
      <c r="L119" s="910"/>
      <c r="M119" s="910" t="str">
        <f ca="1">IF(L119=100%,"Completed",
IF(AND(L119&lt;100%,G119&lt;TODAY()),"Delayed",
IF(AND(OR(L119="",L119=0),F119&gt;TODAY()),"Not Started",
IF(AND(OR(L119="",L119=0),F119&lt;=TODAY()),"Delayed",
IF(AND(L119&gt;0,L119&lt;100%),"In Progress","")))))</f>
        <v>Not Started</v>
      </c>
      <c r="N119" s="911"/>
      <c r="O119" s="905"/>
      <c r="P119" s="231"/>
      <c r="Q119" s="231"/>
      <c r="R119" s="231"/>
      <c r="S119" s="231"/>
      <c r="T119" s="231"/>
      <c r="U119" s="231"/>
      <c r="V119" s="235"/>
      <c r="W119" s="767" t="s">
        <v>212</v>
      </c>
      <c r="X119" s="921"/>
      <c r="Y119" s="922"/>
    </row>
    <row r="120" spans="2:30" ht="33.950000000000003" customHeight="1">
      <c r="B120" s="1150"/>
      <c r="C120" s="912" t="s">
        <v>210</v>
      </c>
      <c r="D120" s="304" t="s">
        <v>213</v>
      </c>
      <c r="E120" s="325">
        <f>NETWORKDAYS.INTL(F120,G120,"0000100",$AE$5:$AE$12)</f>
        <v>9</v>
      </c>
      <c r="F120" s="250">
        <v>46215</v>
      </c>
      <c r="G120" s="250">
        <f>WORKDAY.INTL(F120,7,"0000110")</f>
        <v>46224</v>
      </c>
      <c r="H120" s="250">
        <v>46215</v>
      </c>
      <c r="I120" s="250">
        <f>WORKDAY.INTL(H120,7,"0000110")</f>
        <v>46224</v>
      </c>
      <c r="J120" s="250"/>
      <c r="K120" s="305"/>
      <c r="L120" s="305">
        <v>0.5</v>
      </c>
      <c r="M120" s="305" t="str">
        <f ca="1">IF(L120=100%,"Completed",
IF(AND(L120&lt;100%,G120&lt;TODAY()),"Delayed",
IF(AND(OR(L120="",L120=0),F120&gt;TODAY()),"Not Started",
IF(AND(OR(L120="",L120=0),F120&lt;=TODAY()),"Delayed",
IF(AND(L120&gt;0,L120&lt;100%),"In Progress","")))))</f>
        <v>Delayed</v>
      </c>
      <c r="N120" s="913"/>
      <c r="O120" s="905"/>
      <c r="P120" s="231"/>
      <c r="Q120" s="231"/>
      <c r="R120" s="231"/>
      <c r="S120" s="231"/>
      <c r="T120" s="231"/>
      <c r="U120" s="231"/>
      <c r="V120" s="920"/>
      <c r="W120" s="768" t="s">
        <v>214</v>
      </c>
      <c r="X120" s="208"/>
      <c r="Y120" s="923"/>
    </row>
    <row r="121" spans="2:30" ht="79.5" customHeight="1">
      <c r="B121" s="1151"/>
      <c r="C121" s="914" t="s">
        <v>210</v>
      </c>
      <c r="D121" s="915" t="s">
        <v>215</v>
      </c>
      <c r="E121" s="916">
        <f>NETWORKDAYS.INTL(F121,G121,"0000100",$AE$5:$AE$12)</f>
        <v>37</v>
      </c>
      <c r="F121" s="917">
        <v>46310</v>
      </c>
      <c r="G121" s="917">
        <f>WORKDAY.INTL(F121,30,"0000110")</f>
        <v>46352</v>
      </c>
      <c r="H121" s="917">
        <v>46310</v>
      </c>
      <c r="I121" s="917">
        <f>WORKDAY.INTL(H121,30,"0000110")</f>
        <v>46352</v>
      </c>
      <c r="J121" s="917"/>
      <c r="K121" s="918"/>
      <c r="L121" s="918"/>
      <c r="M121" s="918" t="str">
        <f ca="1">IF(L121=100%,"Completed",
IF(AND(L121&lt;100%,G121&lt;TODAY()),"Delayed",
IF(AND(OR(L121="",L121=0),F121&gt;TODAY()),"Not Started",
IF(AND(OR(L121="",L121=0),F121&lt;=TODAY()),"Delayed",
IF(AND(L121&gt;0,L121&lt;100%),"In Progress","")))))</f>
        <v>Not Started</v>
      </c>
      <c r="N121" s="919"/>
      <c r="O121" s="905"/>
      <c r="P121" s="231"/>
      <c r="Q121" s="231"/>
      <c r="R121" s="231"/>
      <c r="S121" s="231"/>
      <c r="T121" s="231"/>
      <c r="U121" s="231"/>
      <c r="V121" s="235"/>
      <c r="W121" s="562" t="s">
        <v>216</v>
      </c>
      <c r="X121" s="924"/>
      <c r="Y121" s="925"/>
    </row>
    <row r="122" spans="2:30">
      <c r="X122" s="157"/>
      <c r="Y122" s="157"/>
    </row>
    <row r="123" spans="2:30">
      <c r="X123" s="157"/>
      <c r="Y123" s="157"/>
    </row>
    <row r="124" spans="2:30">
      <c r="X124" s="157"/>
      <c r="Y124" s="157"/>
    </row>
    <row r="125" spans="2:30">
      <c r="X125" s="157"/>
      <c r="Y125" s="157"/>
    </row>
    <row r="126" spans="2:30">
      <c r="X126" s="157"/>
      <c r="Y126" s="157"/>
    </row>
    <row r="127" spans="2:30">
      <c r="X127" s="157"/>
      <c r="Y127" s="157"/>
    </row>
    <row r="128" spans="2:30">
      <c r="X128" s="157"/>
      <c r="Y128" s="157"/>
    </row>
    <row r="129" spans="12:25">
      <c r="X129" s="157"/>
      <c r="Y129" s="157"/>
    </row>
    <row r="130" spans="12:25">
      <c r="X130" s="157"/>
      <c r="Y130" s="157"/>
    </row>
    <row r="131" spans="12:25">
      <c r="X131" s="157"/>
      <c r="Y131" s="157"/>
    </row>
    <row r="132" spans="12:25">
      <c r="X132" s="157"/>
      <c r="Y132" s="157"/>
    </row>
    <row r="133" spans="12:25">
      <c r="X133" s="157"/>
      <c r="Y133" s="157"/>
    </row>
    <row r="134" spans="12:25">
      <c r="L134" s="306"/>
      <c r="M134" s="306"/>
      <c r="X134" s="157"/>
      <c r="Y134" s="157"/>
    </row>
    <row r="135" spans="12:25">
      <c r="L135" s="306"/>
      <c r="M135" s="306"/>
      <c r="X135" s="157"/>
      <c r="Y135" s="157"/>
    </row>
    <row r="136" spans="12:25">
      <c r="L136" s="306"/>
      <c r="M136" s="306"/>
      <c r="X136" s="157"/>
      <c r="Y136" s="157"/>
    </row>
    <row r="137" spans="12:25">
      <c r="L137" s="306"/>
      <c r="M137" s="306"/>
      <c r="X137" s="157"/>
      <c r="Y137" s="157"/>
    </row>
    <row r="138" spans="12:25">
      <c r="L138" s="306"/>
      <c r="M138" s="306"/>
      <c r="X138" s="157"/>
      <c r="Y138" s="157"/>
    </row>
    <row r="139" spans="12:25">
      <c r="L139" s="306"/>
      <c r="M139" s="306"/>
      <c r="X139" s="157"/>
      <c r="Y139" s="157"/>
    </row>
    <row r="140" spans="12:25">
      <c r="L140" s="306"/>
      <c r="M140" s="306"/>
      <c r="X140" s="157"/>
      <c r="Y140" s="157"/>
    </row>
    <row r="141" spans="12:25">
      <c r="L141" s="306"/>
      <c r="M141" s="306"/>
      <c r="X141" s="157"/>
      <c r="Y141" s="157"/>
    </row>
    <row r="142" spans="12:25">
      <c r="L142" s="306"/>
      <c r="M142" s="306"/>
      <c r="X142" s="157"/>
      <c r="Y142" s="157"/>
    </row>
    <row r="143" spans="12:25">
      <c r="L143" s="306"/>
      <c r="M143" s="306"/>
      <c r="X143" s="157"/>
      <c r="Y143" s="157"/>
    </row>
    <row r="144" spans="12:25">
      <c r="L144" s="306"/>
      <c r="M144" s="306"/>
      <c r="X144" s="157"/>
      <c r="Y144" s="157"/>
    </row>
    <row r="145" spans="12:25">
      <c r="L145" s="306"/>
      <c r="M145" s="306"/>
      <c r="X145" s="157"/>
      <c r="Y145" s="157"/>
    </row>
    <row r="146" spans="12:25">
      <c r="L146" s="306"/>
      <c r="M146" s="306"/>
      <c r="X146" s="157"/>
      <c r="Y146" s="157"/>
    </row>
    <row r="147" spans="12:25">
      <c r="L147" s="306"/>
      <c r="M147" s="306"/>
      <c r="X147" s="157"/>
      <c r="Y147" s="157"/>
    </row>
    <row r="148" spans="12:25">
      <c r="L148" s="306"/>
      <c r="M148" s="306"/>
      <c r="X148" s="157"/>
      <c r="Y148" s="157"/>
    </row>
    <row r="149" spans="12:25">
      <c r="L149" s="306"/>
      <c r="M149" s="306"/>
      <c r="X149" s="157"/>
      <c r="Y149" s="157"/>
    </row>
    <row r="150" spans="12:25">
      <c r="L150" s="306"/>
      <c r="M150" s="306"/>
      <c r="X150" s="157"/>
      <c r="Y150" s="157"/>
    </row>
    <row r="151" spans="12:25">
      <c r="L151" s="306"/>
      <c r="M151" s="306"/>
      <c r="X151" s="157"/>
      <c r="Y151" s="157"/>
    </row>
    <row r="152" spans="12:25">
      <c r="L152" s="306"/>
      <c r="M152" s="306"/>
      <c r="X152" s="157"/>
      <c r="Y152" s="157"/>
    </row>
    <row r="153" spans="12:25">
      <c r="L153" s="306"/>
      <c r="M153" s="306"/>
      <c r="X153" s="157"/>
      <c r="Y153" s="157"/>
    </row>
    <row r="154" spans="12:25">
      <c r="L154" s="306"/>
      <c r="M154" s="306"/>
      <c r="X154" s="157"/>
      <c r="Y154" s="157"/>
    </row>
    <row r="155" spans="12:25">
      <c r="L155" s="306"/>
      <c r="M155" s="306"/>
      <c r="X155" s="157"/>
      <c r="Y155" s="157"/>
    </row>
    <row r="156" spans="12:25">
      <c r="L156" s="306"/>
      <c r="M156" s="306"/>
      <c r="X156" s="157"/>
      <c r="Y156" s="157"/>
    </row>
    <row r="157" spans="12:25">
      <c r="L157" s="306"/>
      <c r="M157" s="306"/>
      <c r="X157" s="157"/>
      <c r="Y157" s="157"/>
    </row>
    <row r="158" spans="12:25">
      <c r="L158" s="306"/>
      <c r="M158" s="306"/>
      <c r="X158" s="157"/>
      <c r="Y158" s="157"/>
    </row>
    <row r="159" spans="12:25">
      <c r="L159" s="306"/>
      <c r="M159" s="306"/>
      <c r="X159" s="157"/>
      <c r="Y159" s="157"/>
    </row>
    <row r="160" spans="12:25">
      <c r="L160" s="306"/>
      <c r="M160" s="306"/>
      <c r="X160" s="157"/>
      <c r="Y160" s="157"/>
    </row>
    <row r="161" spans="12:25">
      <c r="L161" s="306"/>
      <c r="M161" s="306"/>
      <c r="X161" s="157"/>
      <c r="Y161" s="157"/>
    </row>
    <row r="162" spans="12:25">
      <c r="L162" s="306"/>
      <c r="M162" s="306"/>
      <c r="X162" s="157"/>
      <c r="Y162" s="157"/>
    </row>
    <row r="163" spans="12:25">
      <c r="L163" s="306"/>
      <c r="M163" s="306"/>
      <c r="X163" s="157"/>
      <c r="Y163" s="157"/>
    </row>
    <row r="164" spans="12:25">
      <c r="L164" s="306"/>
      <c r="M164" s="306"/>
      <c r="X164" s="157"/>
      <c r="Y164" s="157"/>
    </row>
    <row r="165" spans="12:25">
      <c r="L165" s="306"/>
      <c r="M165" s="306"/>
      <c r="X165" s="157"/>
      <c r="Y165" s="157"/>
    </row>
    <row r="166" spans="12:25">
      <c r="L166" s="306"/>
      <c r="M166" s="306"/>
      <c r="X166" s="157"/>
      <c r="Y166" s="157"/>
    </row>
    <row r="167" spans="12:25">
      <c r="L167" s="306"/>
      <c r="M167" s="306"/>
      <c r="X167" s="157"/>
      <c r="Y167" s="157"/>
    </row>
    <row r="168" spans="12:25">
      <c r="L168" s="306"/>
      <c r="M168" s="306"/>
      <c r="X168" s="157"/>
      <c r="Y168" s="157"/>
    </row>
    <row r="169" spans="12:25">
      <c r="L169" s="306"/>
      <c r="M169" s="306"/>
      <c r="X169" s="157"/>
      <c r="Y169" s="157"/>
    </row>
    <row r="170" spans="12:25">
      <c r="L170" s="306"/>
      <c r="M170" s="306"/>
      <c r="X170" s="157"/>
      <c r="Y170" s="157"/>
    </row>
    <row r="171" spans="12:25">
      <c r="L171" s="306"/>
      <c r="M171" s="306"/>
      <c r="X171" s="157"/>
      <c r="Y171" s="157"/>
    </row>
    <row r="172" spans="12:25">
      <c r="L172" s="306"/>
      <c r="M172" s="306"/>
      <c r="X172" s="157"/>
      <c r="Y172" s="157"/>
    </row>
    <row r="173" spans="12:25">
      <c r="L173" s="306"/>
      <c r="M173" s="306"/>
      <c r="X173" s="157"/>
      <c r="Y173" s="157"/>
    </row>
    <row r="174" spans="12:25">
      <c r="L174" s="306"/>
      <c r="M174" s="306"/>
      <c r="X174" s="157"/>
      <c r="Y174" s="157"/>
    </row>
    <row r="175" spans="12:25">
      <c r="L175" s="306"/>
      <c r="M175" s="306"/>
      <c r="X175" s="157"/>
      <c r="Y175" s="157"/>
    </row>
    <row r="176" spans="12:25">
      <c r="L176" s="306"/>
      <c r="M176" s="306"/>
      <c r="X176" s="157"/>
      <c r="Y176" s="157"/>
    </row>
    <row r="177" spans="12:25">
      <c r="L177" s="306"/>
      <c r="M177" s="306"/>
      <c r="X177" s="157"/>
      <c r="Y177" s="157"/>
    </row>
    <row r="178" spans="12:25">
      <c r="L178" s="306"/>
      <c r="M178" s="306"/>
      <c r="X178" s="157"/>
      <c r="Y178" s="157"/>
    </row>
    <row r="179" spans="12:25">
      <c r="L179" s="306"/>
      <c r="M179" s="306"/>
      <c r="X179" s="157"/>
      <c r="Y179" s="157"/>
    </row>
    <row r="180" spans="12:25">
      <c r="L180" s="306"/>
      <c r="M180" s="306"/>
      <c r="X180" s="157"/>
      <c r="Y180" s="157"/>
    </row>
    <row r="181" spans="12:25">
      <c r="L181" s="306"/>
      <c r="M181" s="306"/>
      <c r="X181" s="157"/>
      <c r="Y181" s="157"/>
    </row>
    <row r="182" spans="12:25">
      <c r="L182" s="306"/>
      <c r="M182" s="306"/>
      <c r="X182" s="157"/>
      <c r="Y182" s="157"/>
    </row>
    <row r="183" spans="12:25">
      <c r="L183" s="306"/>
      <c r="M183" s="306"/>
      <c r="X183" s="157"/>
      <c r="Y183" s="157"/>
    </row>
    <row r="184" spans="12:25">
      <c r="L184" s="306"/>
      <c r="M184" s="306"/>
      <c r="X184" s="157"/>
      <c r="Y184" s="157"/>
    </row>
    <row r="185" spans="12:25">
      <c r="L185" s="306"/>
      <c r="M185" s="306"/>
      <c r="X185" s="157"/>
      <c r="Y185" s="157"/>
    </row>
    <row r="186" spans="12:25">
      <c r="L186" s="306"/>
      <c r="M186" s="306"/>
      <c r="X186" s="157"/>
      <c r="Y186" s="157"/>
    </row>
    <row r="187" spans="12:25">
      <c r="L187" s="306"/>
      <c r="M187" s="306"/>
      <c r="X187" s="157"/>
      <c r="Y187" s="157"/>
    </row>
    <row r="188" spans="12:25">
      <c r="L188" s="306"/>
      <c r="M188" s="306"/>
      <c r="X188" s="157"/>
      <c r="Y188" s="157"/>
    </row>
    <row r="189" spans="12:25">
      <c r="L189" s="306"/>
      <c r="M189" s="306"/>
      <c r="X189" s="157"/>
      <c r="Y189" s="157"/>
    </row>
    <row r="190" spans="12:25">
      <c r="L190" s="306"/>
      <c r="M190" s="306"/>
      <c r="X190" s="157"/>
      <c r="Y190" s="157"/>
    </row>
    <row r="191" spans="12:25">
      <c r="L191" s="306"/>
      <c r="M191" s="306"/>
      <c r="X191" s="157"/>
      <c r="Y191" s="157"/>
    </row>
    <row r="192" spans="12:25">
      <c r="L192" s="306"/>
      <c r="M192" s="306"/>
      <c r="X192" s="157"/>
      <c r="Y192" s="157"/>
    </row>
    <row r="193" spans="12:25">
      <c r="L193" s="306"/>
      <c r="M193" s="306"/>
      <c r="X193" s="157"/>
      <c r="Y193" s="157"/>
    </row>
    <row r="194" spans="12:25">
      <c r="L194" s="306"/>
      <c r="M194" s="306"/>
      <c r="X194" s="157"/>
      <c r="Y194" s="157"/>
    </row>
    <row r="195" spans="12:25">
      <c r="L195" s="306"/>
      <c r="M195" s="306"/>
      <c r="X195" s="157"/>
      <c r="Y195" s="157"/>
    </row>
    <row r="196" spans="12:25">
      <c r="L196" s="306"/>
      <c r="M196" s="306"/>
      <c r="X196" s="157"/>
      <c r="Y196" s="157"/>
    </row>
    <row r="197" spans="12:25">
      <c r="L197" s="306"/>
      <c r="M197" s="306"/>
      <c r="X197" s="157"/>
      <c r="Y197" s="157"/>
    </row>
    <row r="198" spans="12:25">
      <c r="L198" s="306"/>
      <c r="M198" s="306"/>
      <c r="X198" s="157"/>
      <c r="Y198" s="157"/>
    </row>
    <row r="199" spans="12:25">
      <c r="L199" s="306"/>
      <c r="M199" s="306"/>
      <c r="X199" s="157"/>
      <c r="Y199" s="157"/>
    </row>
    <row r="200" spans="12:25">
      <c r="L200" s="306"/>
      <c r="M200" s="306"/>
      <c r="X200" s="157"/>
      <c r="Y200" s="157"/>
    </row>
    <row r="201" spans="12:25">
      <c r="L201" s="306"/>
      <c r="M201" s="306"/>
      <c r="X201" s="157"/>
      <c r="Y201" s="157"/>
    </row>
    <row r="202" spans="12:25">
      <c r="L202" s="306"/>
      <c r="M202" s="306"/>
      <c r="X202" s="157"/>
      <c r="Y202" s="157"/>
    </row>
    <row r="203" spans="12:25">
      <c r="L203" s="306"/>
      <c r="M203" s="306"/>
      <c r="X203" s="157"/>
      <c r="Y203" s="157"/>
    </row>
    <row r="204" spans="12:25">
      <c r="L204" s="306"/>
      <c r="M204" s="306"/>
      <c r="X204" s="157"/>
      <c r="Y204" s="157"/>
    </row>
    <row r="205" spans="12:25">
      <c r="L205" s="306"/>
      <c r="M205" s="306"/>
      <c r="X205" s="157"/>
      <c r="Y205" s="157"/>
    </row>
    <row r="206" spans="12:25">
      <c r="L206" s="306"/>
      <c r="M206" s="306"/>
      <c r="X206" s="157"/>
      <c r="Y206" s="157"/>
    </row>
    <row r="207" spans="12:25">
      <c r="L207" s="306"/>
      <c r="M207" s="306"/>
      <c r="X207" s="157"/>
      <c r="Y207" s="157"/>
    </row>
    <row r="208" spans="12:25">
      <c r="L208" s="306"/>
      <c r="M208" s="306"/>
      <c r="X208" s="157"/>
      <c r="Y208" s="157"/>
    </row>
    <row r="209" spans="12:25">
      <c r="L209" s="306"/>
      <c r="M209" s="306"/>
      <c r="X209" s="157"/>
      <c r="Y209" s="157"/>
    </row>
    <row r="210" spans="12:25">
      <c r="L210" s="306"/>
      <c r="M210" s="306"/>
      <c r="X210" s="157"/>
      <c r="Y210" s="157"/>
    </row>
    <row r="211" spans="12:25">
      <c r="L211" s="306"/>
      <c r="M211" s="306"/>
      <c r="X211" s="157"/>
      <c r="Y211" s="157"/>
    </row>
    <row r="212" spans="12:25">
      <c r="L212" s="306"/>
      <c r="M212" s="306"/>
      <c r="X212" s="157"/>
      <c r="Y212" s="157"/>
    </row>
    <row r="213" spans="12:25">
      <c r="L213" s="306"/>
      <c r="M213" s="306"/>
      <c r="X213" s="157"/>
      <c r="Y213" s="157"/>
    </row>
    <row r="214" spans="12:25">
      <c r="L214" s="306"/>
      <c r="M214" s="306"/>
      <c r="X214" s="157"/>
      <c r="Y214" s="157"/>
    </row>
    <row r="215" spans="12:25">
      <c r="L215" s="306"/>
      <c r="M215" s="306"/>
      <c r="X215" s="157"/>
      <c r="Y215" s="157"/>
    </row>
    <row r="216" spans="12:25">
      <c r="L216" s="306"/>
      <c r="M216" s="306"/>
      <c r="X216" s="157"/>
      <c r="Y216" s="157"/>
    </row>
    <row r="217" spans="12:25">
      <c r="L217" s="306"/>
      <c r="M217" s="306"/>
      <c r="X217" s="157"/>
      <c r="Y217" s="157"/>
    </row>
    <row r="218" spans="12:25">
      <c r="L218" s="306"/>
      <c r="M218" s="306"/>
      <c r="X218" s="157"/>
      <c r="Y218" s="157"/>
    </row>
    <row r="219" spans="12:25">
      <c r="L219" s="306"/>
      <c r="M219" s="306"/>
      <c r="X219" s="157"/>
      <c r="Y219" s="157"/>
    </row>
    <row r="220" spans="12:25">
      <c r="L220" s="306"/>
      <c r="M220" s="306"/>
      <c r="X220" s="157"/>
      <c r="Y220" s="157"/>
    </row>
    <row r="221" spans="12:25">
      <c r="L221" s="306"/>
      <c r="M221" s="306"/>
      <c r="X221" s="157"/>
      <c r="Y221" s="157"/>
    </row>
    <row r="222" spans="12:25">
      <c r="L222" s="306"/>
      <c r="M222" s="306"/>
      <c r="X222" s="157"/>
      <c r="Y222" s="157"/>
    </row>
    <row r="223" spans="12:25">
      <c r="L223" s="306"/>
      <c r="M223" s="306"/>
      <c r="X223" s="157"/>
      <c r="Y223" s="157"/>
    </row>
    <row r="224" spans="12:25">
      <c r="L224" s="306"/>
      <c r="M224" s="306"/>
      <c r="X224" s="157"/>
      <c r="Y224" s="157"/>
    </row>
    <row r="225" spans="12:25">
      <c r="L225" s="306"/>
      <c r="M225" s="306"/>
      <c r="X225" s="157"/>
      <c r="Y225" s="157"/>
    </row>
    <row r="226" spans="12:25">
      <c r="L226" s="306"/>
      <c r="M226" s="306"/>
      <c r="X226" s="157"/>
      <c r="Y226" s="157"/>
    </row>
    <row r="227" spans="12:25">
      <c r="L227" s="306"/>
      <c r="M227" s="306"/>
      <c r="X227" s="157"/>
      <c r="Y227" s="157"/>
    </row>
    <row r="228" spans="12:25">
      <c r="L228" s="306"/>
      <c r="M228" s="306"/>
      <c r="X228" s="157"/>
      <c r="Y228" s="157"/>
    </row>
    <row r="229" spans="12:25">
      <c r="L229" s="306"/>
      <c r="M229" s="306"/>
      <c r="X229" s="157"/>
      <c r="Y229" s="157"/>
    </row>
    <row r="230" spans="12:25">
      <c r="L230" s="306"/>
      <c r="M230" s="306"/>
      <c r="X230" s="157"/>
      <c r="Y230" s="157"/>
    </row>
    <row r="231" spans="12:25">
      <c r="L231" s="306"/>
      <c r="M231" s="306"/>
      <c r="X231" s="157"/>
      <c r="Y231" s="157"/>
    </row>
    <row r="232" spans="12:25">
      <c r="L232" s="306"/>
      <c r="M232" s="306"/>
      <c r="X232" s="157"/>
      <c r="Y232" s="157"/>
    </row>
    <row r="233" spans="12:25">
      <c r="L233" s="306"/>
      <c r="M233" s="306"/>
      <c r="X233" s="157"/>
      <c r="Y233" s="157"/>
    </row>
    <row r="234" spans="12:25">
      <c r="L234" s="306"/>
      <c r="M234" s="306"/>
      <c r="X234" s="157"/>
      <c r="Y234" s="157"/>
    </row>
    <row r="235" spans="12:25">
      <c r="L235" s="306"/>
      <c r="M235" s="306"/>
      <c r="X235" s="157"/>
      <c r="Y235" s="157"/>
    </row>
    <row r="236" spans="12:25">
      <c r="L236" s="306"/>
      <c r="M236" s="306"/>
      <c r="X236" s="157"/>
      <c r="Y236" s="157"/>
    </row>
    <row r="237" spans="12:25">
      <c r="L237" s="306"/>
      <c r="M237" s="306"/>
      <c r="X237" s="157"/>
      <c r="Y237" s="157"/>
    </row>
    <row r="238" spans="12:25">
      <c r="L238" s="306"/>
      <c r="M238" s="306"/>
      <c r="X238" s="157"/>
      <c r="Y238" s="157"/>
    </row>
    <row r="239" spans="12:25">
      <c r="L239" s="306"/>
      <c r="M239" s="306"/>
      <c r="X239" s="157"/>
      <c r="Y239" s="157"/>
    </row>
    <row r="240" spans="12:25">
      <c r="L240" s="306"/>
      <c r="M240" s="306"/>
      <c r="X240" s="157"/>
      <c r="Y240" s="157"/>
    </row>
    <row r="241" spans="12:25">
      <c r="L241" s="306"/>
      <c r="M241" s="306"/>
      <c r="X241" s="157"/>
      <c r="Y241" s="157"/>
    </row>
    <row r="242" spans="12:25">
      <c r="L242" s="306"/>
      <c r="M242" s="306"/>
      <c r="X242" s="157"/>
      <c r="Y242" s="157"/>
    </row>
    <row r="243" spans="12:25">
      <c r="L243" s="306"/>
      <c r="M243" s="306"/>
      <c r="X243" s="157"/>
      <c r="Y243" s="157"/>
    </row>
    <row r="244" spans="12:25">
      <c r="L244" s="306"/>
      <c r="M244" s="306"/>
      <c r="X244" s="157"/>
      <c r="Y244" s="157"/>
    </row>
    <row r="245" spans="12:25">
      <c r="L245" s="306"/>
      <c r="M245" s="306"/>
      <c r="X245" s="157"/>
      <c r="Y245" s="157"/>
    </row>
    <row r="246" spans="12:25">
      <c r="L246" s="306"/>
      <c r="M246" s="306"/>
      <c r="X246" s="157"/>
      <c r="Y246" s="157"/>
    </row>
    <row r="247" spans="12:25">
      <c r="L247" s="306"/>
      <c r="M247" s="306"/>
      <c r="X247" s="157"/>
      <c r="Y247" s="157"/>
    </row>
    <row r="248" spans="12:25">
      <c r="L248" s="306"/>
      <c r="M248" s="306"/>
      <c r="X248" s="157"/>
      <c r="Y248" s="157"/>
    </row>
    <row r="249" spans="12:25">
      <c r="L249" s="306"/>
      <c r="M249" s="306"/>
      <c r="X249" s="157"/>
      <c r="Y249" s="157"/>
    </row>
    <row r="250" spans="12:25">
      <c r="L250" s="306"/>
      <c r="M250" s="306"/>
      <c r="X250" s="157"/>
      <c r="Y250" s="157"/>
    </row>
    <row r="251" spans="12:25">
      <c r="L251" s="306"/>
      <c r="M251" s="306"/>
      <c r="X251" s="157"/>
      <c r="Y251" s="157"/>
    </row>
    <row r="252" spans="12:25">
      <c r="L252" s="306"/>
      <c r="M252" s="306"/>
      <c r="X252" s="157"/>
      <c r="Y252" s="157"/>
    </row>
    <row r="253" spans="12:25">
      <c r="L253" s="306"/>
      <c r="M253" s="306"/>
      <c r="X253" s="157"/>
      <c r="Y253" s="157"/>
    </row>
    <row r="254" spans="12:25">
      <c r="L254" s="306"/>
      <c r="M254" s="306"/>
      <c r="X254" s="157"/>
      <c r="Y254" s="157"/>
    </row>
    <row r="255" spans="12:25">
      <c r="L255" s="306"/>
      <c r="M255" s="306"/>
      <c r="X255" s="157"/>
      <c r="Y255" s="157"/>
    </row>
    <row r="256" spans="12:25">
      <c r="L256" s="306"/>
      <c r="M256" s="306"/>
      <c r="X256" s="157"/>
      <c r="Y256" s="157"/>
    </row>
    <row r="257" spans="12:25">
      <c r="L257" s="306"/>
      <c r="M257" s="306"/>
      <c r="X257" s="157"/>
      <c r="Y257" s="157"/>
    </row>
    <row r="258" spans="12:25">
      <c r="L258" s="306"/>
      <c r="M258" s="306"/>
      <c r="X258" s="157"/>
      <c r="Y258" s="157"/>
    </row>
    <row r="259" spans="12:25">
      <c r="L259" s="306"/>
      <c r="M259" s="306"/>
      <c r="X259" s="157"/>
      <c r="Y259" s="157"/>
    </row>
    <row r="260" spans="12:25">
      <c r="L260" s="306"/>
      <c r="M260" s="306"/>
      <c r="X260" s="157"/>
      <c r="Y260" s="157"/>
    </row>
    <row r="261" spans="12:25">
      <c r="L261" s="306"/>
      <c r="M261" s="306"/>
      <c r="X261" s="157"/>
      <c r="Y261" s="157"/>
    </row>
    <row r="262" spans="12:25">
      <c r="L262" s="306"/>
      <c r="M262" s="306"/>
      <c r="X262" s="157"/>
      <c r="Y262" s="157"/>
    </row>
    <row r="263" spans="12:25">
      <c r="L263" s="306"/>
      <c r="M263" s="306"/>
      <c r="X263" s="157"/>
      <c r="Y263" s="157"/>
    </row>
    <row r="264" spans="12:25">
      <c r="L264" s="306"/>
      <c r="M264" s="306"/>
      <c r="X264" s="157"/>
      <c r="Y264" s="157"/>
    </row>
    <row r="265" spans="12:25">
      <c r="L265" s="306"/>
      <c r="M265" s="306"/>
      <c r="X265" s="157"/>
      <c r="Y265" s="157"/>
    </row>
    <row r="266" spans="12:25">
      <c r="X266" s="247"/>
      <c r="Y266" s="247"/>
    </row>
  </sheetData>
  <sheetProtection formatCells="0" formatColumns="0" formatRows="0" insertColumns="0" insertRows="0" insertHyperlinks="0" deleteColumns="0" deleteRows="0" sort="0" autoFilter="0" pivotTables="0"/>
  <mergeCells count="28">
    <mergeCell ref="B5:B9"/>
    <mergeCell ref="B11:B14"/>
    <mergeCell ref="B16:B19"/>
    <mergeCell ref="B21:B24"/>
    <mergeCell ref="B26:B29"/>
    <mergeCell ref="B31:B34"/>
    <mergeCell ref="B36:B39"/>
    <mergeCell ref="B41:B44"/>
    <mergeCell ref="B46:B49"/>
    <mergeCell ref="B51:B54"/>
    <mergeCell ref="B56:B58"/>
    <mergeCell ref="B62:B66"/>
    <mergeCell ref="B67:B68"/>
    <mergeCell ref="B70:B71"/>
    <mergeCell ref="B73:B75"/>
    <mergeCell ref="B77:B78"/>
    <mergeCell ref="B80:B81"/>
    <mergeCell ref="B83:B84"/>
    <mergeCell ref="B86:B87"/>
    <mergeCell ref="B89:B90"/>
    <mergeCell ref="X108:X114"/>
    <mergeCell ref="B116:B117"/>
    <mergeCell ref="B119:B121"/>
    <mergeCell ref="B92:B93"/>
    <mergeCell ref="B95:B96"/>
    <mergeCell ref="B98:B99"/>
    <mergeCell ref="B101:B102"/>
    <mergeCell ref="B108:B114"/>
  </mergeCells>
  <phoneticPr fontId="30"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count="2">
    <dataValidation type="list" allowBlank="1" showInputMessage="1" showErrorMessage="1" sqref="Z64" xr:uid="{00000000-0002-0000-0200-000000000000}">
      <formula1>$AB$2:$AB$4</formula1>
    </dataValidation>
    <dataValidation type="list" allowBlank="1" showInputMessage="1" showErrorMessage="1" sqref="Z105:Z106 Z108:Z114 Z3:Z63 Z65:Z103" xr:uid="{00000000-0002-0000-0200-000001000000}">
      <formula1>$AA$2:$AA$5</formula1>
    </dataValidation>
  </dataValidations>
  <pageMargins left="0.7" right="0.7" top="0.75" bottom="0.75" header="0.3" footer="0.3"/>
  <pageSetup paperSize="8" scale="53"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H123"/>
  <sheetViews>
    <sheetView showGridLines="0" zoomScale="70" zoomScaleNormal="70" workbookViewId="0">
      <pane ySplit="2" topLeftCell="A103" activePane="bottomLeft" state="frozen"/>
      <selection pane="bottomLeft" activeCell="G108" sqref="G108"/>
    </sheetView>
  </sheetViews>
  <sheetFormatPr defaultColWidth="9" defaultRowHeight="15.75" customHeight="1"/>
  <cols>
    <col min="1" max="1" width="0.625" style="20" customWidth="1"/>
    <col min="2" max="2" width="16" style="20" customWidth="1"/>
    <col min="3" max="3" width="3.625" style="20" bestFit="1" customWidth="1"/>
    <col min="4" max="4" width="48.125" style="326" customWidth="1"/>
    <col min="5" max="5" width="14.625" style="327" customWidth="1"/>
    <col min="6" max="6" width="12.75" style="398" customWidth="1"/>
    <col min="7" max="7" width="14.5" style="398" customWidth="1"/>
    <col min="8" max="8" width="14.625" style="398" bestFit="1" customWidth="1"/>
    <col min="9" max="9" width="15.75" style="398" bestFit="1" customWidth="1"/>
    <col min="10" max="10" width="20.125" style="398" customWidth="1"/>
    <col min="11" max="11" width="14.25" style="398" customWidth="1"/>
    <col min="12" max="12" width="11.25" style="402" customWidth="1"/>
    <col min="13" max="13" width="16.125" style="402" customWidth="1"/>
    <col min="14" max="14" width="0.125" style="20" customWidth="1"/>
    <col min="15" max="21" width="9.125" style="20" hidden="1" customWidth="1"/>
    <col min="22" max="22" width="20.625" style="402" bestFit="1" customWidth="1"/>
    <col min="23" max="23" width="1" style="516" customWidth="1"/>
    <col min="24" max="24" width="52.125" style="23" customWidth="1"/>
    <col min="25" max="25" width="54" style="23" customWidth="1"/>
    <col min="26" max="26" width="52.125" style="23" customWidth="1"/>
    <col min="27" max="27" width="9" style="20" hidden="1" customWidth="1"/>
    <col min="28" max="28" width="9" style="20"/>
    <col min="29" max="29" width="9.125" style="20" hidden="1" customWidth="1"/>
    <col min="30" max="30" width="12.125" style="24" hidden="1" customWidth="1"/>
    <col min="31" max="31" width="10.125" style="24" hidden="1" customWidth="1"/>
    <col min="32" max="32" width="10.125" style="20" hidden="1" customWidth="1"/>
    <col min="33" max="33" width="9.125" style="20" hidden="1" customWidth="1"/>
    <col min="34" max="34" width="9" style="20" hidden="1" customWidth="1"/>
    <col min="35" max="16384" width="9" style="20"/>
  </cols>
  <sheetData>
    <row r="1" spans="2:34" ht="6" customHeight="1" thickBot="1">
      <c r="F1" s="362"/>
      <c r="G1" s="362"/>
      <c r="H1" s="362"/>
      <c r="I1" s="362"/>
      <c r="J1" s="362"/>
      <c r="K1" s="362"/>
      <c r="L1" s="363"/>
      <c r="M1" s="363"/>
      <c r="N1" s="105"/>
      <c r="V1" s="363"/>
      <c r="W1" s="508"/>
    </row>
    <row r="2" spans="2:34" ht="76.5">
      <c r="B2" s="539"/>
      <c r="C2" s="540" t="s">
        <v>96</v>
      </c>
      <c r="D2" s="541" t="s">
        <v>1</v>
      </c>
      <c r="E2" s="541" t="s">
        <v>97</v>
      </c>
      <c r="F2" s="541" t="s">
        <v>98</v>
      </c>
      <c r="G2" s="541" t="s">
        <v>83</v>
      </c>
      <c r="H2" s="541" t="s">
        <v>99</v>
      </c>
      <c r="I2" s="541" t="s">
        <v>84</v>
      </c>
      <c r="J2" s="1069" t="s">
        <v>100</v>
      </c>
      <c r="K2" s="1069" t="s">
        <v>101</v>
      </c>
      <c r="L2" s="1070" t="s">
        <v>82</v>
      </c>
      <c r="M2" s="542" t="s">
        <v>102</v>
      </c>
      <c r="N2" s="440"/>
      <c r="O2" s="543">
        <v>46113</v>
      </c>
      <c r="P2" s="543">
        <v>46143</v>
      </c>
      <c r="Q2" s="543">
        <v>46174</v>
      </c>
      <c r="R2" s="543">
        <v>46204</v>
      </c>
      <c r="S2" s="543">
        <v>46235</v>
      </c>
      <c r="T2" s="543">
        <v>46266</v>
      </c>
      <c r="U2" s="543">
        <v>46296</v>
      </c>
      <c r="V2" s="544" t="s">
        <v>103</v>
      </c>
      <c r="W2" s="532"/>
      <c r="X2" s="529" t="s">
        <v>2</v>
      </c>
      <c r="Y2" s="530" t="s">
        <v>104</v>
      </c>
      <c r="Z2" s="531" t="s">
        <v>105</v>
      </c>
      <c r="AA2" s="20" t="s">
        <v>218</v>
      </c>
    </row>
    <row r="3" spans="2:34" ht="1.5" customHeight="1">
      <c r="B3" s="107"/>
      <c r="C3" s="107"/>
      <c r="D3" s="533" t="s">
        <v>328</v>
      </c>
      <c r="E3" s="534"/>
      <c r="F3" s="535">
        <v>46160</v>
      </c>
      <c r="G3" s="535">
        <v>46172</v>
      </c>
      <c r="H3" s="535">
        <v>46160</v>
      </c>
      <c r="I3" s="535">
        <v>46172</v>
      </c>
      <c r="J3" s="535"/>
      <c r="K3" s="535"/>
      <c r="L3" s="536">
        <v>1</v>
      </c>
      <c r="M3" s="536" t="str">
        <f ca="1">IF(OR(L3=100%,K3&lt;&gt;""),"Completed",IF(AND(OR(L3="",L3=0),F3&gt;TODAY()),"Not Started",IF(AND(OR(L3="",L3=0),F3&lt;=TODAY()),"Delayed",IF(AND(L3&gt;0,L3&lt;100%,G3&lt;TODAY()),"Delayed",IF(AND(L3&gt;0,L3&lt;100%),"In Progress","")))))</f>
        <v>Completed</v>
      </c>
      <c r="N3" s="106"/>
      <c r="O3" s="537"/>
      <c r="P3" s="538"/>
      <c r="Q3" s="538"/>
      <c r="R3" s="538"/>
      <c r="S3" s="538"/>
      <c r="T3" s="538"/>
      <c r="U3" s="538"/>
      <c r="V3" s="536"/>
      <c r="W3" s="509"/>
      <c r="X3" s="527" t="s">
        <v>329</v>
      </c>
      <c r="Y3" s="528"/>
      <c r="Z3" s="528"/>
      <c r="AA3" s="20" t="s">
        <v>110</v>
      </c>
    </row>
    <row r="4" spans="2:34" s="19" customFormat="1" ht="3.75" customHeight="1">
      <c r="B4" s="51"/>
      <c r="C4" s="51"/>
      <c r="D4" s="339"/>
      <c r="E4" s="340"/>
      <c r="F4" s="339"/>
      <c r="G4" s="339"/>
      <c r="H4" s="339"/>
      <c r="I4" s="339"/>
      <c r="J4" s="339"/>
      <c r="K4" s="339"/>
      <c r="L4" s="375"/>
      <c r="M4" s="375"/>
      <c r="N4" s="51"/>
      <c r="O4" s="51"/>
      <c r="P4" s="51"/>
      <c r="Q4" s="51"/>
      <c r="R4" s="51"/>
      <c r="S4" s="51"/>
      <c r="T4" s="51"/>
      <c r="U4" s="51"/>
      <c r="V4" s="375"/>
      <c r="W4" s="510"/>
      <c r="X4" s="53"/>
      <c r="Y4" s="521"/>
      <c r="Z4" s="521"/>
      <c r="AD4" s="33"/>
      <c r="AE4" s="33"/>
    </row>
    <row r="5" spans="2:34" ht="61.5">
      <c r="B5" s="1234" t="s">
        <v>221</v>
      </c>
      <c r="C5" s="428" t="s">
        <v>86</v>
      </c>
      <c r="D5" s="376" t="s">
        <v>109</v>
      </c>
      <c r="E5" s="347">
        <f>NETWORKDAYS.INTL(F5,G5,"0000100",$AF$5:$AF$12)</f>
        <v>8</v>
      </c>
      <c r="F5" s="81">
        <f>WORKDAY.INTL("27-Jun-26",0,"0000100")</f>
        <v>46200</v>
      </c>
      <c r="G5" s="81">
        <f>WORKDAY.INTL(F5,7,"0000100",$AF$5:$AF$11)</f>
        <v>46208</v>
      </c>
      <c r="H5" s="81">
        <f>WORKDAY.INTL("27-Jun-26",0,"0000100")</f>
        <v>46200</v>
      </c>
      <c r="I5" s="81">
        <f>WORKDAY.INTL(H5,7,"0000100",$AF$5:$AF$11)</f>
        <v>46208</v>
      </c>
      <c r="J5" s="81"/>
      <c r="K5" s="81"/>
      <c r="L5" s="377">
        <v>1</v>
      </c>
      <c r="M5" s="377"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7"/>
      <c r="W5" s="1222"/>
      <c r="X5" s="522"/>
      <c r="Y5" s="67"/>
      <c r="Z5" s="498"/>
      <c r="AA5" s="20" t="s">
        <v>121</v>
      </c>
      <c r="AC5" s="34" t="s">
        <v>62</v>
      </c>
      <c r="AD5" s="24" t="s">
        <v>68</v>
      </c>
      <c r="AF5" s="37">
        <v>46166</v>
      </c>
    </row>
    <row r="6" spans="2:34" ht="61.5">
      <c r="B6" s="1237"/>
      <c r="C6" s="429" t="s">
        <v>86</v>
      </c>
      <c r="D6" s="518" t="s">
        <v>330</v>
      </c>
      <c r="E6" s="355">
        <f>NETWORKDAYS.INTL(F6,G6,"0000100",$AF$5:$AF$12)</f>
        <v>12</v>
      </c>
      <c r="F6" s="84">
        <f>WORKDAY.INTL("16-Jun-26",0,"0000100")</f>
        <v>46189</v>
      </c>
      <c r="G6" s="84">
        <f>WORKDAY.INTL(F6,11,"0000100",$AF$5:$AF$11)</f>
        <v>46202</v>
      </c>
      <c r="H6" s="84">
        <f>WORKDAY.INTL("16-Jun-26",0,"0000100")</f>
        <v>46189</v>
      </c>
      <c r="I6" s="84">
        <f>WORKDAY.INTL(H6,11,"0000100",$AF$5:$AF$11)</f>
        <v>46202</v>
      </c>
      <c r="J6" s="84"/>
      <c r="K6" s="84"/>
      <c r="L6" s="367">
        <v>1</v>
      </c>
      <c r="M6" s="367" t="str">
        <f t="shared" ca="1" si="0"/>
        <v>Completed</v>
      </c>
      <c r="N6" s="85"/>
      <c r="O6" s="50"/>
      <c r="P6" s="50"/>
      <c r="Q6" s="50"/>
      <c r="R6" s="50"/>
      <c r="S6" s="50"/>
      <c r="T6" s="50"/>
      <c r="U6" s="50"/>
      <c r="V6" s="519"/>
      <c r="W6" s="1223"/>
      <c r="X6" s="523"/>
      <c r="Y6" s="34"/>
      <c r="Z6" s="499"/>
      <c r="AC6" s="24"/>
      <c r="AF6" s="37">
        <v>46167</v>
      </c>
    </row>
    <row r="7" spans="2:34" ht="61.5">
      <c r="B7" s="1237"/>
      <c r="C7" s="429" t="s">
        <v>86</v>
      </c>
      <c r="D7" s="518" t="s">
        <v>331</v>
      </c>
      <c r="E7" s="355">
        <f>NETWORKDAYS.INTL(F7,G7,"0000100",$AF$5:$AF$12)</f>
        <v>11</v>
      </c>
      <c r="F7" s="84">
        <f>WORKDAY.INTL(G6,5,"0000100",$AF$5:$AF$11)</f>
        <v>46208</v>
      </c>
      <c r="G7" s="84">
        <f>WORKDAY.INTL(F7,10,"0000100",$AF$5:$AF$11)</f>
        <v>46219</v>
      </c>
      <c r="H7" s="84">
        <f>WORKDAY.INTL(I6,5,"0000100",$AF$5:$AF$11)</f>
        <v>46208</v>
      </c>
      <c r="I7" s="84">
        <f>WORKDAY.INTL(H7,16,"0000100",$AF$5:$AF$11)</f>
        <v>46226</v>
      </c>
      <c r="J7" s="84"/>
      <c r="K7" s="84">
        <v>46226</v>
      </c>
      <c r="L7" s="367">
        <v>0.4</v>
      </c>
      <c r="M7" s="367" t="str">
        <f t="shared" ca="1" si="0"/>
        <v>Delayed</v>
      </c>
      <c r="N7" s="85"/>
      <c r="O7" s="50"/>
      <c r="P7" s="50"/>
      <c r="Q7" s="50"/>
      <c r="R7" s="50"/>
      <c r="S7" s="50"/>
      <c r="T7" s="50"/>
      <c r="U7" s="50"/>
      <c r="V7" s="519" t="s">
        <v>332</v>
      </c>
      <c r="W7" s="1223"/>
      <c r="X7" s="523"/>
      <c r="Y7" s="34"/>
      <c r="Z7" s="499"/>
      <c r="AC7" s="24"/>
      <c r="AF7" s="37"/>
    </row>
    <row r="8" spans="2:34" ht="61.5">
      <c r="B8" s="1237"/>
      <c r="C8" s="429" t="s">
        <v>86</v>
      </c>
      <c r="D8" s="518" t="s">
        <v>111</v>
      </c>
      <c r="E8" s="355">
        <f>NETWORKDAYS.INTL(F8,G8,"0000100",$AF$5:$AF$12)</f>
        <v>9</v>
      </c>
      <c r="F8" s="84">
        <f>WORKDAY.INTL(G5,1,"0000100",$AF$5:$AF$12)</f>
        <v>46209</v>
      </c>
      <c r="G8" s="84">
        <f>WORKDAY.INTL(F8,8,"0000100",$AH$5:$AH$11)</f>
        <v>46218</v>
      </c>
      <c r="H8" s="84">
        <f>WORKDAY.INTL(I5,1,"0000100",$AF$5:$AF$12)</f>
        <v>46209</v>
      </c>
      <c r="I8" s="84">
        <f>WORKDAY.INTL(H8,8,"0000100",$AH$5:$AH$11)</f>
        <v>46218</v>
      </c>
      <c r="J8" s="84"/>
      <c r="K8" s="84">
        <v>46219</v>
      </c>
      <c r="L8" s="367">
        <v>1</v>
      </c>
      <c r="M8" s="367" t="str">
        <f t="shared" ca="1" si="0"/>
        <v>Completed</v>
      </c>
      <c r="N8" s="85"/>
      <c r="O8" s="50"/>
      <c r="P8" s="50"/>
      <c r="Q8" s="50"/>
      <c r="R8" s="50"/>
      <c r="S8" s="50"/>
      <c r="T8" s="50"/>
      <c r="U8" s="50"/>
      <c r="V8" s="519"/>
      <c r="W8" s="1223"/>
      <c r="X8" s="523" t="s">
        <v>128</v>
      </c>
      <c r="Y8" s="34"/>
      <c r="Z8" s="499"/>
      <c r="AC8" s="34" t="s">
        <v>63</v>
      </c>
      <c r="AD8" s="24" t="s">
        <v>68</v>
      </c>
      <c r="AF8" s="37">
        <v>46168</v>
      </c>
    </row>
    <row r="9" spans="2:34" ht="61.5">
      <c r="B9" s="1237"/>
      <c r="C9" s="429" t="s">
        <v>86</v>
      </c>
      <c r="D9" s="518" t="s">
        <v>112</v>
      </c>
      <c r="E9" s="355"/>
      <c r="F9" s="84" t="s">
        <v>113</v>
      </c>
      <c r="G9" s="84">
        <v>46229</v>
      </c>
      <c r="H9" s="84" t="s">
        <v>113</v>
      </c>
      <c r="I9" s="84">
        <v>46229</v>
      </c>
      <c r="J9" s="84"/>
      <c r="K9" s="84"/>
      <c r="L9" s="367">
        <v>0.93</v>
      </c>
      <c r="M9" s="367" t="str">
        <f t="shared" ca="1" si="0"/>
        <v>In Progress</v>
      </c>
      <c r="N9" s="85"/>
      <c r="O9" s="50"/>
      <c r="P9" s="50"/>
      <c r="Q9" s="50"/>
      <c r="R9" s="50"/>
      <c r="S9" s="50"/>
      <c r="T9" s="50"/>
      <c r="U9" s="50"/>
      <c r="V9" s="519"/>
      <c r="W9" s="1223"/>
      <c r="X9" s="523" t="s">
        <v>333</v>
      </c>
      <c r="Y9" s="34"/>
      <c r="Z9" s="499"/>
      <c r="AC9" s="24"/>
      <c r="AF9" s="37">
        <v>46169</v>
      </c>
    </row>
    <row r="10" spans="2:34" ht="61.5">
      <c r="B10" s="1237"/>
      <c r="C10" s="429" t="s">
        <v>86</v>
      </c>
      <c r="D10" s="354" t="s">
        <v>117</v>
      </c>
      <c r="E10" s="355">
        <f>NETWORKDAYS.INTL(F10,G10,"0000110",$AF$5:$AF$12)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7"/>
      <c r="M10" s="367" t="str">
        <f t="shared" ca="1" si="0"/>
        <v>Not Started</v>
      </c>
      <c r="N10" s="85"/>
      <c r="O10" s="82"/>
      <c r="P10" s="82"/>
      <c r="Q10" s="82"/>
      <c r="R10" s="82"/>
      <c r="S10" s="82"/>
      <c r="T10" s="82"/>
      <c r="U10" s="82"/>
      <c r="V10" s="519"/>
      <c r="W10" s="1223"/>
      <c r="X10" s="524" t="s">
        <v>334</v>
      </c>
      <c r="Y10" s="34" t="s">
        <v>335</v>
      </c>
      <c r="Z10" s="499" t="s">
        <v>120</v>
      </c>
      <c r="AC10" s="34" t="s">
        <v>64</v>
      </c>
      <c r="AD10" s="24" t="s">
        <v>68</v>
      </c>
      <c r="AF10" s="37">
        <v>46170</v>
      </c>
    </row>
    <row r="11" spans="2:34" ht="61.5">
      <c r="B11" s="1235"/>
      <c r="C11" s="430" t="s">
        <v>86</v>
      </c>
      <c r="D11" s="490" t="s">
        <v>122</v>
      </c>
      <c r="E11" s="348">
        <f>NETWORKDAYS.INTL(F11,G11,"0000110",$AF$5:$AF$12)</f>
        <v>2</v>
      </c>
      <c r="F11" s="379">
        <f t="shared" ref="F11" si="3">WORKDAY.INTL(G10,1,"0000110")</f>
        <v>46233</v>
      </c>
      <c r="G11" s="379">
        <f t="shared" ref="G11" si="4">WORKDAY.INTL(F11,1,"0000110")</f>
        <v>46236</v>
      </c>
      <c r="H11" s="379">
        <f t="shared" ref="H11" si="5">WORKDAY.INTL(I10,1,"0000110")</f>
        <v>46233</v>
      </c>
      <c r="I11" s="379">
        <f t="shared" ref="I11" si="6">WORKDAY.INTL(H11,1,"0000110")</f>
        <v>46236</v>
      </c>
      <c r="J11" s="379"/>
      <c r="K11" s="379"/>
      <c r="L11" s="380"/>
      <c r="M11" s="380" t="str">
        <f t="shared" ca="1" si="0"/>
        <v>Not Started</v>
      </c>
      <c r="N11" s="71"/>
      <c r="O11" s="72"/>
      <c r="P11" s="72"/>
      <c r="Q11" s="72"/>
      <c r="R11" s="72"/>
      <c r="S11" s="72"/>
      <c r="T11" s="72"/>
      <c r="U11" s="72"/>
      <c r="V11" s="520"/>
      <c r="W11" s="1224"/>
      <c r="X11" s="525" t="s">
        <v>123</v>
      </c>
      <c r="Y11" s="70"/>
      <c r="Z11" s="526"/>
      <c r="AC11" s="34" t="s">
        <v>65</v>
      </c>
      <c r="AD11" s="24" t="s">
        <v>68</v>
      </c>
      <c r="AF11" s="37">
        <v>46171</v>
      </c>
    </row>
    <row r="12" spans="2:34" s="19" customFormat="1" ht="9" customHeight="1">
      <c r="B12" s="114"/>
      <c r="C12" s="114"/>
      <c r="D12" s="381"/>
      <c r="E12" s="382"/>
      <c r="F12" s="381"/>
      <c r="G12" s="381"/>
      <c r="H12" s="381"/>
      <c r="I12" s="381"/>
      <c r="J12" s="381"/>
      <c r="K12" s="381"/>
      <c r="L12" s="383"/>
      <c r="M12" s="383"/>
      <c r="N12" s="114"/>
      <c r="O12" s="114"/>
      <c r="P12" s="114"/>
      <c r="Q12" s="114"/>
      <c r="R12" s="114"/>
      <c r="S12" s="114"/>
      <c r="T12" s="114"/>
      <c r="U12" s="114"/>
      <c r="V12" s="383"/>
      <c r="W12" s="510"/>
      <c r="X12" s="661"/>
      <c r="Y12" s="114"/>
      <c r="Z12" s="114"/>
      <c r="AB12" s="20"/>
      <c r="AD12" s="24" t="s">
        <v>69</v>
      </c>
      <c r="AF12" s="37">
        <v>46288</v>
      </c>
    </row>
    <row r="13" spans="2:34" ht="61.5">
      <c r="B13" s="1272" t="s">
        <v>336</v>
      </c>
      <c r="C13" s="963" t="s">
        <v>86</v>
      </c>
      <c r="D13" s="964" t="s">
        <v>109</v>
      </c>
      <c r="E13" s="965">
        <f>NETWORKDAYS.INTL(F13,G13,"0000100",$AF$5:$AF$12)</f>
        <v>3</v>
      </c>
      <c r="F13" s="384">
        <f>WORKDAY.INTL(G8,1,"0000100")</f>
        <v>46219</v>
      </c>
      <c r="G13" s="384">
        <f>WORKDAY.INTL(F13,2,"0000100",$AF$5:$AF$11)</f>
        <v>46222</v>
      </c>
      <c r="H13" s="384">
        <f>WORKDAY.INTL(I8,1,"0000100")</f>
        <v>46219</v>
      </c>
      <c r="I13" s="384">
        <f>WORKDAY.INTL(H13,2,"0000100",$AF$5:$AF$11)</f>
        <v>46222</v>
      </c>
      <c r="J13" s="384">
        <v>46221</v>
      </c>
      <c r="K13" s="384">
        <v>46224</v>
      </c>
      <c r="L13" s="385">
        <v>0.3</v>
      </c>
      <c r="M13" s="385" t="str">
        <f t="shared" ref="M13:M60" ca="1" si="7">IF(L13=100%,"Completed",
IF(AND(L13&lt;100%,G13&lt;TODAY()),"Delayed",
IF(AND(OR(L13="",L13=0),F13&gt;TODAY()),"Not Started",
IF(AND(OR(L13="",L13=0),F13&lt;=TODAY()),"Delayed",
IF(AND(L13&gt;0,L13&lt;100%),"In Progress","")))))</f>
        <v>Delayed</v>
      </c>
      <c r="N13" s="966"/>
      <c r="O13" s="967"/>
      <c r="P13" s="967"/>
      <c r="Q13" s="967"/>
      <c r="R13" s="967"/>
      <c r="S13" s="967"/>
      <c r="T13" s="967"/>
      <c r="U13" s="967"/>
      <c r="V13" s="968" t="s">
        <v>337</v>
      </c>
      <c r="W13" s="625"/>
      <c r="X13" s="983"/>
      <c r="Y13" s="93" t="s">
        <v>338</v>
      </c>
      <c r="Z13" s="984" t="s">
        <v>339</v>
      </c>
      <c r="AC13" s="34" t="s">
        <v>62</v>
      </c>
      <c r="AD13" s="24" t="s">
        <v>69</v>
      </c>
      <c r="AH13" s="37"/>
    </row>
    <row r="14" spans="2:34" ht="61.5">
      <c r="B14" s="1273"/>
      <c r="C14" s="969" t="s">
        <v>86</v>
      </c>
      <c r="D14" s="970" t="s">
        <v>111</v>
      </c>
      <c r="E14" s="971">
        <f>NETWORKDAYS.INTL(F14,G14,"0000100",$AF$5:$AF$12)</f>
        <v>3</v>
      </c>
      <c r="F14" s="370">
        <f>WORKDAY.INTL(G13,1,"0000100",$AF$5:$AF$11)</f>
        <v>46223</v>
      </c>
      <c r="G14" s="370">
        <f>WORKDAY.INTL(F14,2,"0000100",$AF$5:$AF$11)</f>
        <v>46225</v>
      </c>
      <c r="H14" s="370">
        <f>WORKDAY.INTL(I13,1,"0000100",$AF$5:$AF$11)</f>
        <v>46223</v>
      </c>
      <c r="I14" s="370">
        <f>WORKDAY.INTL(H14,2,"0000100",$AF$5:$AF$11)</f>
        <v>46225</v>
      </c>
      <c r="J14" s="370">
        <v>46224</v>
      </c>
      <c r="K14" s="370"/>
      <c r="L14" s="374"/>
      <c r="M14" s="374" t="str">
        <f t="shared" ca="1" si="7"/>
        <v>Delayed</v>
      </c>
      <c r="N14" s="972"/>
      <c r="O14" s="973"/>
      <c r="P14" s="973"/>
      <c r="Q14" s="973"/>
      <c r="R14" s="973"/>
      <c r="S14" s="973"/>
      <c r="T14" s="973"/>
      <c r="U14" s="973"/>
      <c r="V14" s="968" t="s">
        <v>337</v>
      </c>
      <c r="W14" s="651"/>
      <c r="X14" s="985"/>
      <c r="Y14" s="95"/>
      <c r="Z14" s="986"/>
      <c r="AC14" s="34" t="s">
        <v>63</v>
      </c>
      <c r="AD14" s="24" t="s">
        <v>69</v>
      </c>
    </row>
    <row r="15" spans="2:34" ht="61.5">
      <c r="B15" s="1273"/>
      <c r="C15" s="969" t="s">
        <v>86</v>
      </c>
      <c r="D15" s="975" t="s">
        <v>117</v>
      </c>
      <c r="E15" s="971">
        <f>NETWORKDAYS.INTL(F15,G15,"0000110",$AF$5:$AF$12)</f>
        <v>5</v>
      </c>
      <c r="F15" s="370">
        <f>MAX(WORKDAY.INTL(G14,1,"0000100",$AI$5:$AI$10),WORKDAY.INTL(G10,1,"0000100",$AI$5:$AI$10))</f>
        <v>46233</v>
      </c>
      <c r="G15" s="370">
        <f t="shared" ref="G15" si="8">WORKDAY.INTL(F15,4,"0000110")</f>
        <v>46239</v>
      </c>
      <c r="H15" s="370">
        <f>MAX(WORKDAY.INTL(I14,1,"0000100",$AI$5:$AI$10),WORKDAY.INTL(I10,1,"0000100",$AI$5:$AI$10))</f>
        <v>46233</v>
      </c>
      <c r="I15" s="370">
        <f t="shared" ref="I15" si="9">WORKDAY.INTL(H15,4,"0000110")</f>
        <v>46239</v>
      </c>
      <c r="J15" s="370"/>
      <c r="K15" s="370"/>
      <c r="L15" s="374"/>
      <c r="M15" s="374" t="str">
        <f t="shared" ca="1" si="7"/>
        <v>Not Started</v>
      </c>
      <c r="N15" s="972"/>
      <c r="O15" s="976"/>
      <c r="P15" s="976"/>
      <c r="Q15" s="976"/>
      <c r="R15" s="976"/>
      <c r="S15" s="976"/>
      <c r="T15" s="976"/>
      <c r="U15" s="976"/>
      <c r="V15" s="974"/>
      <c r="W15" s="626"/>
      <c r="X15" s="985" t="s">
        <v>334</v>
      </c>
      <c r="Y15" s="95" t="s">
        <v>335</v>
      </c>
      <c r="Z15" s="986" t="s">
        <v>120</v>
      </c>
      <c r="AC15" s="34" t="s">
        <v>64</v>
      </c>
      <c r="AD15" s="24" t="s">
        <v>69</v>
      </c>
    </row>
    <row r="16" spans="2:34" ht="61.5">
      <c r="B16" s="1239"/>
      <c r="C16" s="977" t="s">
        <v>86</v>
      </c>
      <c r="D16" s="978" t="s">
        <v>122</v>
      </c>
      <c r="E16" s="979">
        <f>NETWORKDAYS.INTL(F16,G16,"0000110",$AF$5:$AF$12)</f>
        <v>2</v>
      </c>
      <c r="F16" s="388">
        <f t="shared" ref="F16" si="10">WORKDAY.INTL(G15,1,"0000110")</f>
        <v>46240</v>
      </c>
      <c r="G16" s="388">
        <f t="shared" ref="G16" si="11">WORKDAY.INTL(F16,1,"0000110")</f>
        <v>46243</v>
      </c>
      <c r="H16" s="388">
        <f t="shared" ref="H16" si="12">WORKDAY.INTL(I15,1,"0000110")</f>
        <v>46240</v>
      </c>
      <c r="I16" s="388">
        <f t="shared" ref="I16" si="13">WORKDAY.INTL(H16,1,"0000110")</f>
        <v>46243</v>
      </c>
      <c r="J16" s="388"/>
      <c r="K16" s="388"/>
      <c r="L16" s="389"/>
      <c r="M16" s="389" t="str">
        <f t="shared" ca="1" si="7"/>
        <v>Not Started</v>
      </c>
      <c r="N16" s="980"/>
      <c r="O16" s="981"/>
      <c r="P16" s="981"/>
      <c r="Q16" s="981"/>
      <c r="R16" s="981"/>
      <c r="S16" s="981"/>
      <c r="T16" s="981"/>
      <c r="U16" s="981"/>
      <c r="V16" s="982"/>
      <c r="W16" s="627"/>
      <c r="X16" s="987" t="s">
        <v>123</v>
      </c>
      <c r="Y16" s="100"/>
      <c r="Z16" s="988"/>
      <c r="AC16" s="34" t="s">
        <v>65</v>
      </c>
      <c r="AD16" s="24" t="s">
        <v>69</v>
      </c>
    </row>
    <row r="17" spans="2:34" s="19" customFormat="1" ht="6.75" customHeight="1">
      <c r="B17" s="114"/>
      <c r="C17" s="114"/>
      <c r="D17" s="381"/>
      <c r="E17" s="382"/>
      <c r="F17" s="381"/>
      <c r="G17" s="381"/>
      <c r="H17" s="381"/>
      <c r="I17" s="381"/>
      <c r="J17" s="381"/>
      <c r="K17" s="381"/>
      <c r="L17" s="383"/>
      <c r="M17" s="383"/>
      <c r="N17" s="114"/>
      <c r="O17" s="114"/>
      <c r="P17" s="114"/>
      <c r="Q17" s="114"/>
      <c r="R17" s="114"/>
      <c r="S17" s="114"/>
      <c r="T17" s="114"/>
      <c r="U17" s="114"/>
      <c r="V17" s="383"/>
      <c r="W17" s="510"/>
      <c r="X17" s="661"/>
      <c r="Y17" s="114"/>
      <c r="Z17" s="114"/>
      <c r="AC17" s="33"/>
      <c r="AD17" s="33" t="s">
        <v>70</v>
      </c>
    </row>
    <row r="18" spans="2:34" ht="61.5">
      <c r="B18" s="1234" t="s">
        <v>340</v>
      </c>
      <c r="C18" s="428" t="s">
        <v>86</v>
      </c>
      <c r="D18" s="376" t="s">
        <v>109</v>
      </c>
      <c r="E18" s="347">
        <f>NETWORKDAYS.INTL(F18,G18,"0000100",$AF$5:$AF$12)</f>
        <v>5</v>
      </c>
      <c r="F18" s="81">
        <f>WORKDAY.INTL(G14,1,"0000100")</f>
        <v>46226</v>
      </c>
      <c r="G18" s="81">
        <f>WORKDAY.INTL(F18,4,"0000100",$AF$5:$AF$11)</f>
        <v>46231</v>
      </c>
      <c r="H18" s="81">
        <f>WORKDAY.INTL(I14,1,"0000100")</f>
        <v>46226</v>
      </c>
      <c r="I18" s="81">
        <f>WORKDAY.INTL(H18,4,"0000100",$AF$5:$AF$11)</f>
        <v>46231</v>
      </c>
      <c r="J18" s="81"/>
      <c r="K18" s="81"/>
      <c r="L18" s="377"/>
      <c r="M18" s="377" t="str">
        <f t="shared" ca="1" si="7"/>
        <v>Not Started</v>
      </c>
      <c r="N18" s="68"/>
      <c r="O18" s="112"/>
      <c r="P18" s="112"/>
      <c r="Q18" s="112"/>
      <c r="R18" s="112"/>
      <c r="S18" s="112"/>
      <c r="T18" s="112"/>
      <c r="U18" s="112"/>
      <c r="V18" s="517"/>
      <c r="W18" s="1222"/>
      <c r="X18" s="522"/>
      <c r="Y18" s="67" t="s">
        <v>341</v>
      </c>
      <c r="Z18" s="498" t="s">
        <v>234</v>
      </c>
      <c r="AC18" s="34" t="s">
        <v>62</v>
      </c>
      <c r="AD18" s="24" t="s">
        <v>70</v>
      </c>
    </row>
    <row r="19" spans="2:34" ht="61.5">
      <c r="B19" s="1237"/>
      <c r="C19" s="429" t="s">
        <v>86</v>
      </c>
      <c r="D19" s="518" t="s">
        <v>111</v>
      </c>
      <c r="E19" s="355">
        <f>NETWORKDAYS.INTL(F19,G19,"0000100",$AF$5:$AF$12)</f>
        <v>3</v>
      </c>
      <c r="F19" s="84">
        <f>WORKDAY.INTL(G18,1,"0000100",$AF$5:$AF$11)</f>
        <v>46232</v>
      </c>
      <c r="G19" s="84">
        <f>WORKDAY.INTL(F19,2,"0000100",$AF$5:$AF$11)</f>
        <v>46235</v>
      </c>
      <c r="H19" s="84">
        <f>WORKDAY.INTL(I18,1,"0000100",$AF$5:$AF$11)</f>
        <v>46232</v>
      </c>
      <c r="I19" s="84">
        <f>WORKDAY.INTL(H19,2,"0000100",$AF$5:$AF$11)</f>
        <v>46235</v>
      </c>
      <c r="J19" s="84"/>
      <c r="K19" s="84"/>
      <c r="L19" s="367"/>
      <c r="M19" s="367" t="str">
        <f t="shared" ca="1" si="7"/>
        <v>Not Started</v>
      </c>
      <c r="N19" s="85"/>
      <c r="O19" s="50"/>
      <c r="P19" s="50"/>
      <c r="Q19" s="50"/>
      <c r="R19" s="50"/>
      <c r="S19" s="50"/>
      <c r="T19" s="50"/>
      <c r="U19" s="50"/>
      <c r="V19" s="519"/>
      <c r="W19" s="1223"/>
      <c r="X19" s="523"/>
      <c r="Y19" s="34"/>
      <c r="Z19" s="499"/>
      <c r="AC19" s="34" t="s">
        <v>63</v>
      </c>
      <c r="AD19" s="24" t="s">
        <v>70</v>
      </c>
    </row>
    <row r="20" spans="2:34" ht="61.5">
      <c r="B20" s="1237"/>
      <c r="C20" s="429" t="s">
        <v>86</v>
      </c>
      <c r="D20" s="518" t="s">
        <v>117</v>
      </c>
      <c r="E20" s="355">
        <f>NETWORKDAYS.INTL(F20,G20,"0000110",$AF$5:$AF$12)</f>
        <v>7</v>
      </c>
      <c r="F20" s="84">
        <f>MAX(WORKDAY.INTL(G19,1,"0000100",$AI$5:$AI$10),WORKDAY.INTL(G15,1,"0000100",$AI$5:$AI$10))</f>
        <v>46240</v>
      </c>
      <c r="G20" s="84">
        <f t="shared" ref="G20" si="14">WORKDAY.INTL(F20,6,"0000110")</f>
        <v>46250</v>
      </c>
      <c r="H20" s="84">
        <f>MAX(WORKDAY.INTL(I19,1,"0000100",$AI$5:$AI$10),WORKDAY.INTL(I15,1,"0000100",$AI$5:$AI$10))</f>
        <v>46240</v>
      </c>
      <c r="I20" s="84">
        <f t="shared" ref="I20" si="15">WORKDAY.INTL(H20,6,"0000110")</f>
        <v>46250</v>
      </c>
      <c r="J20" s="84"/>
      <c r="K20" s="84"/>
      <c r="L20" s="367"/>
      <c r="M20" s="367" t="str">
        <f t="shared" ca="1" si="7"/>
        <v>Not Started</v>
      </c>
      <c r="N20" s="85"/>
      <c r="O20" s="50"/>
      <c r="P20" s="50"/>
      <c r="Q20" s="50"/>
      <c r="R20" s="50"/>
      <c r="S20" s="50"/>
      <c r="T20" s="50"/>
      <c r="U20" s="50"/>
      <c r="V20" s="519"/>
      <c r="W20" s="1223"/>
      <c r="X20" s="523" t="s">
        <v>334</v>
      </c>
      <c r="Y20" s="34" t="s">
        <v>335</v>
      </c>
      <c r="Z20" s="499" t="s">
        <v>120</v>
      </c>
      <c r="AC20" s="34" t="s">
        <v>64</v>
      </c>
      <c r="AD20" s="24" t="s">
        <v>70</v>
      </c>
    </row>
    <row r="21" spans="2:34" ht="61.5">
      <c r="B21" s="1235"/>
      <c r="C21" s="430" t="s">
        <v>86</v>
      </c>
      <c r="D21" s="490" t="s">
        <v>122</v>
      </c>
      <c r="E21" s="348">
        <f>NETWORKDAYS.INTL(F21,G21,"0000110",$AF$5:$AF$12)</f>
        <v>2</v>
      </c>
      <c r="F21" s="379">
        <f t="shared" ref="F21" si="16">WORKDAY.INTL(G20,1,"0000110")</f>
        <v>46251</v>
      </c>
      <c r="G21" s="379">
        <f t="shared" ref="G21" si="17">WORKDAY.INTL(F21,1,"0000110")</f>
        <v>46252</v>
      </c>
      <c r="H21" s="379">
        <f t="shared" ref="H21" si="18">WORKDAY.INTL(I20,1,"0000110")</f>
        <v>46251</v>
      </c>
      <c r="I21" s="379">
        <f t="shared" ref="I21" si="19">WORKDAY.INTL(H21,1,"0000110")</f>
        <v>46252</v>
      </c>
      <c r="J21" s="379"/>
      <c r="K21" s="379"/>
      <c r="L21" s="380"/>
      <c r="M21" s="380" t="str">
        <f t="shared" ca="1" si="7"/>
        <v>Not Started</v>
      </c>
      <c r="N21" s="71"/>
      <c r="O21" s="72"/>
      <c r="P21" s="72"/>
      <c r="Q21" s="72"/>
      <c r="R21" s="72"/>
      <c r="S21" s="72"/>
      <c r="T21" s="72"/>
      <c r="U21" s="72"/>
      <c r="V21" s="520"/>
      <c r="W21" s="1224"/>
      <c r="X21" s="525" t="s">
        <v>123</v>
      </c>
      <c r="Y21" s="70"/>
      <c r="Z21" s="526"/>
      <c r="AC21" s="34" t="s">
        <v>65</v>
      </c>
      <c r="AD21" s="24" t="s">
        <v>70</v>
      </c>
    </row>
    <row r="22" spans="2:34" s="19" customFormat="1" ht="9" customHeight="1">
      <c r="B22" s="114"/>
      <c r="C22" s="114"/>
      <c r="D22" s="381"/>
      <c r="E22" s="382"/>
      <c r="F22" s="381"/>
      <c r="G22" s="381"/>
      <c r="H22" s="381"/>
      <c r="I22" s="381"/>
      <c r="J22" s="381"/>
      <c r="K22" s="381"/>
      <c r="L22" s="383"/>
      <c r="M22" s="383"/>
      <c r="N22" s="114"/>
      <c r="O22" s="114"/>
      <c r="P22" s="114"/>
      <c r="Q22" s="114"/>
      <c r="R22" s="114"/>
      <c r="S22" s="114"/>
      <c r="T22" s="114"/>
      <c r="U22" s="114"/>
      <c r="V22" s="383"/>
      <c r="W22" s="510"/>
      <c r="X22" s="661"/>
      <c r="Y22" s="114"/>
      <c r="Z22" s="114"/>
      <c r="AC22" s="33"/>
      <c r="AD22" s="33" t="s">
        <v>71</v>
      </c>
    </row>
    <row r="23" spans="2:34" ht="61.5">
      <c r="B23" s="1272" t="s">
        <v>342</v>
      </c>
      <c r="C23" s="963" t="s">
        <v>86</v>
      </c>
      <c r="D23" s="964" t="s">
        <v>109</v>
      </c>
      <c r="E23" s="965">
        <f>NETWORKDAYS.INTL(F23,G23,"0000100",$AF$5:$AF$12)</f>
        <v>5</v>
      </c>
      <c r="F23" s="384">
        <f>WORKDAY.INTL(G19,1,"0000100",$AF$5:$AF$11)</f>
        <v>46236</v>
      </c>
      <c r="G23" s="384">
        <f>WORKDAY.INTL(F23,4,"0000100",$AF$5:$AF$11)</f>
        <v>46240</v>
      </c>
      <c r="H23" s="384">
        <f>WORKDAY.INTL(I19,1,"0000100",$AF$5:$AF$11)</f>
        <v>46236</v>
      </c>
      <c r="I23" s="384">
        <f>WORKDAY.INTL(H23,4,"0000100",$AF$5:$AF$11)</f>
        <v>46240</v>
      </c>
      <c r="J23" s="384"/>
      <c r="K23" s="384"/>
      <c r="L23" s="385"/>
      <c r="M23" s="385" t="str">
        <f t="shared" ca="1" si="7"/>
        <v>Not Started</v>
      </c>
      <c r="N23" s="966"/>
      <c r="O23" s="967"/>
      <c r="P23" s="967"/>
      <c r="Q23" s="967"/>
      <c r="R23" s="967"/>
      <c r="S23" s="967"/>
      <c r="T23" s="967"/>
      <c r="U23" s="967"/>
      <c r="V23" s="968"/>
      <c r="W23" s="1222"/>
      <c r="X23" s="983"/>
      <c r="Y23" s="93" t="s">
        <v>341</v>
      </c>
      <c r="Z23" s="984" t="s">
        <v>234</v>
      </c>
      <c r="AC23" s="34" t="s">
        <v>62</v>
      </c>
      <c r="AD23" s="24" t="s">
        <v>71</v>
      </c>
      <c r="AH23" s="37"/>
    </row>
    <row r="24" spans="2:34" ht="61.5">
      <c r="B24" s="1273"/>
      <c r="C24" s="969" t="s">
        <v>86</v>
      </c>
      <c r="D24" s="970" t="s">
        <v>111</v>
      </c>
      <c r="E24" s="971">
        <f>NETWORKDAYS.INTL(F24,G24,"0000100",$AF$5:$AF$12)</f>
        <v>3</v>
      </c>
      <c r="F24" s="370">
        <f>WORKDAY.INTL(G23,1,"0000100",$AF$5:$AF$11)</f>
        <v>46242</v>
      </c>
      <c r="G24" s="370">
        <f>WORKDAY.INTL(F24,2,"0000100",$AF$5:$AF$11)</f>
        <v>46244</v>
      </c>
      <c r="H24" s="370">
        <f>WORKDAY.INTL(I23,1,"0000100",$AF$5:$AF$11)</f>
        <v>46242</v>
      </c>
      <c r="I24" s="370">
        <f>WORKDAY.INTL(H24,2,"0000100",$AF$5:$AF$11)</f>
        <v>46244</v>
      </c>
      <c r="J24" s="370"/>
      <c r="K24" s="370"/>
      <c r="L24" s="374"/>
      <c r="M24" s="374" t="str">
        <f t="shared" ca="1" si="7"/>
        <v>Not Started</v>
      </c>
      <c r="N24" s="972"/>
      <c r="O24" s="973"/>
      <c r="P24" s="973"/>
      <c r="Q24" s="973"/>
      <c r="R24" s="973"/>
      <c r="S24" s="973"/>
      <c r="T24" s="973"/>
      <c r="U24" s="973"/>
      <c r="V24" s="974"/>
      <c r="W24" s="1223"/>
      <c r="X24" s="985"/>
      <c r="Y24" s="95"/>
      <c r="Z24" s="986"/>
      <c r="AC24" s="34" t="s">
        <v>63</v>
      </c>
      <c r="AD24" s="24" t="s">
        <v>71</v>
      </c>
    </row>
    <row r="25" spans="2:34" ht="61.5">
      <c r="B25" s="1273"/>
      <c r="C25" s="969" t="s">
        <v>86</v>
      </c>
      <c r="D25" s="975" t="s">
        <v>117</v>
      </c>
      <c r="E25" s="971">
        <f>NETWORKDAYS.INTL(F25,G25,"0000110",$AF$5:$AF$12)</f>
        <v>7</v>
      </c>
      <c r="F25" s="370">
        <f>MAX(WORKDAY.INTL(G24,1,"0000100",$AI$5:$AI$10),WORKDAY.INTL(G20,1,"0000100",$AI$5:$AI$10))</f>
        <v>46251</v>
      </c>
      <c r="G25" s="370">
        <f t="shared" ref="G25" si="20">WORKDAY.INTL(F25,6,"0000110")</f>
        <v>46259</v>
      </c>
      <c r="H25" s="370">
        <f>MAX(WORKDAY.INTL(I24,1,"0000100",$AI$5:$AI$10),WORKDAY.INTL(I20,1,"0000100",$AI$5:$AI$10))</f>
        <v>46251</v>
      </c>
      <c r="I25" s="370">
        <f t="shared" ref="I25" si="21">WORKDAY.INTL(H25,6,"0000110")</f>
        <v>46259</v>
      </c>
      <c r="J25" s="370"/>
      <c r="K25" s="370"/>
      <c r="L25" s="374"/>
      <c r="M25" s="374" t="str">
        <f t="shared" ca="1" si="7"/>
        <v>Not Started</v>
      </c>
      <c r="N25" s="972"/>
      <c r="O25" s="976"/>
      <c r="P25" s="976"/>
      <c r="Q25" s="976"/>
      <c r="R25" s="976"/>
      <c r="S25" s="976"/>
      <c r="T25" s="976"/>
      <c r="U25" s="976"/>
      <c r="V25" s="974"/>
      <c r="W25" s="1223"/>
      <c r="X25" s="985" t="s">
        <v>334</v>
      </c>
      <c r="Y25" s="95" t="s">
        <v>335</v>
      </c>
      <c r="Z25" s="986" t="s">
        <v>120</v>
      </c>
      <c r="AC25" s="34" t="s">
        <v>64</v>
      </c>
      <c r="AD25" s="24" t="s">
        <v>71</v>
      </c>
    </row>
    <row r="26" spans="2:34" ht="61.5">
      <c r="B26" s="1239"/>
      <c r="C26" s="977" t="s">
        <v>86</v>
      </c>
      <c r="D26" s="978" t="s">
        <v>122</v>
      </c>
      <c r="E26" s="979">
        <f>NETWORKDAYS.INTL(F26,G26,"0000110",$AF$5:$AF$12)</f>
        <v>2</v>
      </c>
      <c r="F26" s="388">
        <f t="shared" ref="F26" si="22">WORKDAY.INTL(G25,1,"0000110")</f>
        <v>46260</v>
      </c>
      <c r="G26" s="388">
        <f t="shared" ref="G26" si="23">WORKDAY.INTL(F26,1,"0000110")</f>
        <v>46261</v>
      </c>
      <c r="H26" s="388">
        <f t="shared" ref="H26" si="24">WORKDAY.INTL(I25,1,"0000110")</f>
        <v>46260</v>
      </c>
      <c r="I26" s="388">
        <f t="shared" ref="I26" si="25">WORKDAY.INTL(H26,1,"0000110")</f>
        <v>46261</v>
      </c>
      <c r="J26" s="388"/>
      <c r="K26" s="388"/>
      <c r="L26" s="389"/>
      <c r="M26" s="389" t="str">
        <f t="shared" ca="1" si="7"/>
        <v>Not Started</v>
      </c>
      <c r="N26" s="980"/>
      <c r="O26" s="981"/>
      <c r="P26" s="981"/>
      <c r="Q26" s="981"/>
      <c r="R26" s="981"/>
      <c r="S26" s="981"/>
      <c r="T26" s="981"/>
      <c r="U26" s="981"/>
      <c r="V26" s="982"/>
      <c r="W26" s="1224"/>
      <c r="X26" s="987" t="s">
        <v>123</v>
      </c>
      <c r="Y26" s="100"/>
      <c r="Z26" s="988"/>
      <c r="AC26" s="34" t="s">
        <v>65</v>
      </c>
      <c r="AD26" s="24" t="s">
        <v>71</v>
      </c>
    </row>
    <row r="27" spans="2:34" s="19" customFormat="1" ht="8.25" customHeight="1">
      <c r="B27" s="114"/>
      <c r="C27" s="114"/>
      <c r="D27" s="381"/>
      <c r="E27" s="382"/>
      <c r="F27" s="381"/>
      <c r="G27" s="381"/>
      <c r="H27" s="381"/>
      <c r="I27" s="381"/>
      <c r="J27" s="381"/>
      <c r="K27" s="381"/>
      <c r="L27" s="383"/>
      <c r="M27" s="383"/>
      <c r="N27" s="114"/>
      <c r="O27" s="114"/>
      <c r="P27" s="114"/>
      <c r="Q27" s="114"/>
      <c r="R27" s="114"/>
      <c r="S27" s="114"/>
      <c r="T27" s="114"/>
      <c r="U27" s="114"/>
      <c r="V27" s="383"/>
      <c r="W27" s="510"/>
      <c r="X27" s="661"/>
      <c r="Y27" s="114"/>
      <c r="Z27" s="114"/>
      <c r="AC27" s="33"/>
      <c r="AD27" s="33" t="s">
        <v>72</v>
      </c>
    </row>
    <row r="28" spans="2:34" ht="61.5">
      <c r="B28" s="1234" t="s">
        <v>343</v>
      </c>
      <c r="C28" s="428" t="s">
        <v>86</v>
      </c>
      <c r="D28" s="376" t="s">
        <v>109</v>
      </c>
      <c r="E28" s="347">
        <f>NETWORKDAYS.INTL(F28,G28,"0000100",$AF$5:$AF$12)</f>
        <v>5</v>
      </c>
      <c r="F28" s="81">
        <f>WORKDAY.INTL(G24,1,"0000100",$AF$5:$AF$11)</f>
        <v>46245</v>
      </c>
      <c r="G28" s="81">
        <f>WORKDAY.INTL(F28,4,"0000100",$AF$5:$AF$11)</f>
        <v>46250</v>
      </c>
      <c r="H28" s="81">
        <f>WORKDAY.INTL(I24,1,"0000100",$AF$5:$AF$11)</f>
        <v>46245</v>
      </c>
      <c r="I28" s="81">
        <f>WORKDAY.INTL(H28,4,"0000100",$AF$5:$AF$11)</f>
        <v>46250</v>
      </c>
      <c r="J28" s="81"/>
      <c r="K28" s="81"/>
      <c r="L28" s="377"/>
      <c r="M28" s="377" t="str">
        <f t="shared" ca="1" si="7"/>
        <v>Not Started</v>
      </c>
      <c r="N28" s="68"/>
      <c r="O28" s="112"/>
      <c r="P28" s="112"/>
      <c r="Q28" s="112"/>
      <c r="R28" s="112"/>
      <c r="S28" s="112"/>
      <c r="T28" s="112"/>
      <c r="U28" s="112"/>
      <c r="V28" s="517"/>
      <c r="W28" s="1222"/>
      <c r="X28" s="522"/>
      <c r="Y28" s="67" t="s">
        <v>341</v>
      </c>
      <c r="Z28" s="498" t="s">
        <v>234</v>
      </c>
      <c r="AC28" s="34" t="s">
        <v>62</v>
      </c>
      <c r="AD28" s="24" t="s">
        <v>72</v>
      </c>
    </row>
    <row r="29" spans="2:34" ht="61.5">
      <c r="B29" s="1237"/>
      <c r="C29" s="429" t="s">
        <v>86</v>
      </c>
      <c r="D29" s="518" t="s">
        <v>111</v>
      </c>
      <c r="E29" s="355">
        <f>NETWORKDAYS.INTL(F29,G29,"0000100",$AF$5:$AF$12)</f>
        <v>3</v>
      </c>
      <c r="F29" s="84">
        <f>WORKDAY.INTL(G28,1,"0000100",$AF$5:$AF$11)</f>
        <v>46251</v>
      </c>
      <c r="G29" s="84">
        <f>WORKDAY.INTL(F29,2,"0000100",$AF$5:$AF$11)</f>
        <v>46253</v>
      </c>
      <c r="H29" s="84">
        <f>WORKDAY.INTL(I28,1,"0000100",$AF$5:$AF$11)</f>
        <v>46251</v>
      </c>
      <c r="I29" s="84">
        <f>WORKDAY.INTL(H29,2,"0000100",$AF$5:$AF$11)</f>
        <v>46253</v>
      </c>
      <c r="J29" s="84"/>
      <c r="K29" s="84"/>
      <c r="L29" s="367"/>
      <c r="M29" s="367" t="str">
        <f t="shared" ca="1" si="7"/>
        <v>Not Started</v>
      </c>
      <c r="N29" s="85"/>
      <c r="O29" s="50"/>
      <c r="P29" s="50"/>
      <c r="Q29" s="50"/>
      <c r="R29" s="50"/>
      <c r="S29" s="50"/>
      <c r="T29" s="50"/>
      <c r="U29" s="50"/>
      <c r="V29" s="519"/>
      <c r="W29" s="1223"/>
      <c r="X29" s="523"/>
      <c r="Y29" s="34"/>
      <c r="Z29" s="499"/>
      <c r="AC29" s="34" t="s">
        <v>63</v>
      </c>
      <c r="AD29" s="24" t="s">
        <v>72</v>
      </c>
    </row>
    <row r="30" spans="2:34" ht="61.5">
      <c r="B30" s="1237"/>
      <c r="C30" s="429" t="s">
        <v>86</v>
      </c>
      <c r="D30" s="518" t="s">
        <v>117</v>
      </c>
      <c r="E30" s="355">
        <f>NETWORKDAYS.INTL(F30,G30,"0000110",$AF$5:$AF$12)</f>
        <v>7</v>
      </c>
      <c r="F30" s="84">
        <f>MAX(WORKDAY.INTL(G29,1,"0000100",$AI$5:$AI$10),WORKDAY.INTL(G25,1,"0000100",$AI$5:$AI$10))</f>
        <v>46260</v>
      </c>
      <c r="G30" s="84">
        <f t="shared" ref="G30" si="26">WORKDAY.INTL(F30,6,"0000110")</f>
        <v>46268</v>
      </c>
      <c r="H30" s="84">
        <f>MAX(WORKDAY.INTL(I29,1,"0000100",$AI$5:$AI$10),WORKDAY.INTL(I25,1,"0000100",$AI$5:$AI$10))</f>
        <v>46260</v>
      </c>
      <c r="I30" s="84">
        <f t="shared" ref="I30" si="27">WORKDAY.INTL(H30,6,"0000110")</f>
        <v>46268</v>
      </c>
      <c r="J30" s="84"/>
      <c r="K30" s="84"/>
      <c r="L30" s="367"/>
      <c r="M30" s="367" t="str">
        <f t="shared" ca="1" si="7"/>
        <v>Not Started</v>
      </c>
      <c r="N30" s="85"/>
      <c r="O30" s="50"/>
      <c r="P30" s="50"/>
      <c r="Q30" s="50"/>
      <c r="R30" s="50"/>
      <c r="S30" s="50"/>
      <c r="T30" s="50"/>
      <c r="U30" s="50"/>
      <c r="V30" s="519"/>
      <c r="W30" s="1223"/>
      <c r="X30" s="523" t="s">
        <v>334</v>
      </c>
      <c r="Y30" s="34" t="s">
        <v>335</v>
      </c>
      <c r="Z30" s="499" t="s">
        <v>133</v>
      </c>
      <c r="AC30" s="34" t="s">
        <v>64</v>
      </c>
      <c r="AD30" s="24" t="s">
        <v>72</v>
      </c>
    </row>
    <row r="31" spans="2:34" ht="61.5">
      <c r="B31" s="1235"/>
      <c r="C31" s="430" t="s">
        <v>86</v>
      </c>
      <c r="D31" s="490" t="s">
        <v>122</v>
      </c>
      <c r="E31" s="348">
        <f>NETWORKDAYS.INTL(F31,G31,"0000110",$AF$5:$AF$12)</f>
        <v>2</v>
      </c>
      <c r="F31" s="379">
        <f t="shared" ref="F31" si="28">WORKDAY.INTL(G30,1,"0000110")</f>
        <v>46271</v>
      </c>
      <c r="G31" s="379">
        <f t="shared" ref="G31" si="29">WORKDAY.INTL(F31,1,"0000110")</f>
        <v>46272</v>
      </c>
      <c r="H31" s="379">
        <f t="shared" ref="H31" si="30">WORKDAY.INTL(I30,1,"0000110")</f>
        <v>46271</v>
      </c>
      <c r="I31" s="379">
        <f t="shared" ref="I31" si="31">WORKDAY.INTL(H31,1,"0000110")</f>
        <v>46272</v>
      </c>
      <c r="J31" s="379"/>
      <c r="K31" s="379"/>
      <c r="L31" s="380"/>
      <c r="M31" s="380" t="str">
        <f t="shared" ca="1" si="7"/>
        <v>Not Started</v>
      </c>
      <c r="N31" s="71"/>
      <c r="O31" s="72"/>
      <c r="P31" s="72"/>
      <c r="Q31" s="72"/>
      <c r="R31" s="72"/>
      <c r="S31" s="72"/>
      <c r="T31" s="72"/>
      <c r="U31" s="72"/>
      <c r="V31" s="520"/>
      <c r="W31" s="1224"/>
      <c r="X31" s="525" t="s">
        <v>123</v>
      </c>
      <c r="Y31" s="70"/>
      <c r="Z31" s="526"/>
      <c r="AC31" s="34" t="s">
        <v>65</v>
      </c>
      <c r="AD31" s="24" t="s">
        <v>72</v>
      </c>
    </row>
    <row r="32" spans="2:34" s="19" customFormat="1" ht="9" customHeight="1">
      <c r="B32" s="114"/>
      <c r="C32" s="114"/>
      <c r="D32" s="381"/>
      <c r="E32" s="382"/>
      <c r="F32" s="381"/>
      <c r="G32" s="381"/>
      <c r="H32" s="381"/>
      <c r="I32" s="381"/>
      <c r="J32" s="381"/>
      <c r="K32" s="381"/>
      <c r="L32" s="383"/>
      <c r="M32" s="383"/>
      <c r="N32" s="114"/>
      <c r="O32" s="114"/>
      <c r="P32" s="114"/>
      <c r="Q32" s="114"/>
      <c r="R32" s="114"/>
      <c r="S32" s="114"/>
      <c r="T32" s="114"/>
      <c r="U32" s="114"/>
      <c r="V32" s="383"/>
      <c r="W32" s="510"/>
      <c r="X32" s="661"/>
      <c r="Y32" s="114"/>
      <c r="Z32" s="114"/>
      <c r="AC32" s="33"/>
      <c r="AD32" s="33" t="s">
        <v>73</v>
      </c>
    </row>
    <row r="33" spans="2:34" ht="61.5">
      <c r="B33" s="1272" t="s">
        <v>344</v>
      </c>
      <c r="C33" s="963" t="s">
        <v>86</v>
      </c>
      <c r="D33" s="964" t="s">
        <v>109</v>
      </c>
      <c r="E33" s="965">
        <f>NETWORKDAYS.INTL(F33,G33,"0000100",$AF$5:$AF$12)</f>
        <v>5</v>
      </c>
      <c r="F33" s="384">
        <f>WORKDAY.INTL(G29,1,"0000100",$AF$5:$AF$11)</f>
        <v>46254</v>
      </c>
      <c r="G33" s="384">
        <f>WORKDAY.INTL(F33,4,"0000100",$AF$5:$AF$11)</f>
        <v>46259</v>
      </c>
      <c r="H33" s="384">
        <f>WORKDAY.INTL(I29,1,"0000100",$AF$5:$AF$11)</f>
        <v>46254</v>
      </c>
      <c r="I33" s="384">
        <f>WORKDAY.INTL(H33,4,"0000100",$AF$5:$AF$11)</f>
        <v>46259</v>
      </c>
      <c r="J33" s="384"/>
      <c r="K33" s="384"/>
      <c r="L33" s="385"/>
      <c r="M33" s="385" t="str">
        <f t="shared" ca="1" si="7"/>
        <v>Not Started</v>
      </c>
      <c r="N33" s="966"/>
      <c r="O33" s="967"/>
      <c r="P33" s="967"/>
      <c r="Q33" s="967"/>
      <c r="R33" s="967"/>
      <c r="S33" s="967"/>
      <c r="T33" s="967"/>
      <c r="U33" s="967"/>
      <c r="V33" s="968"/>
      <c r="W33" s="1222"/>
      <c r="X33" s="983"/>
      <c r="Y33" s="93" t="s">
        <v>341</v>
      </c>
      <c r="Z33" s="984" t="s">
        <v>339</v>
      </c>
      <c r="AC33" s="34" t="s">
        <v>62</v>
      </c>
      <c r="AD33" s="24" t="s">
        <v>73</v>
      </c>
      <c r="AH33" s="37"/>
    </row>
    <row r="34" spans="2:34" ht="61.5">
      <c r="B34" s="1273"/>
      <c r="C34" s="969" t="s">
        <v>86</v>
      </c>
      <c r="D34" s="970" t="s">
        <v>111</v>
      </c>
      <c r="E34" s="971">
        <f>NETWORKDAYS.INTL(F34,G34,"0000100",$AF$5:$AF$12)</f>
        <v>3</v>
      </c>
      <c r="F34" s="370">
        <f>WORKDAY.INTL(G33,1,"0000100",$AF$5:$AF$11)</f>
        <v>46260</v>
      </c>
      <c r="G34" s="370">
        <f>WORKDAY.INTL(F34,2,"0000100",$AF$5:$AF$11)</f>
        <v>46263</v>
      </c>
      <c r="H34" s="370">
        <f>WORKDAY.INTL(I33,1,"0000100",$AF$5:$AF$11)</f>
        <v>46260</v>
      </c>
      <c r="I34" s="370">
        <f>WORKDAY.INTL(H34,2,"0000100",$AF$5:$AF$11)</f>
        <v>46263</v>
      </c>
      <c r="J34" s="370"/>
      <c r="K34" s="370"/>
      <c r="L34" s="374"/>
      <c r="M34" s="374" t="str">
        <f t="shared" ca="1" si="7"/>
        <v>Not Started</v>
      </c>
      <c r="N34" s="972"/>
      <c r="O34" s="973"/>
      <c r="P34" s="973"/>
      <c r="Q34" s="973"/>
      <c r="R34" s="973"/>
      <c r="S34" s="973"/>
      <c r="T34" s="973"/>
      <c r="U34" s="973"/>
      <c r="V34" s="974"/>
      <c r="W34" s="1223"/>
      <c r="X34" s="985"/>
      <c r="Y34" s="95"/>
      <c r="Z34" s="986"/>
      <c r="AC34" s="34" t="s">
        <v>63</v>
      </c>
      <c r="AD34" s="24" t="s">
        <v>73</v>
      </c>
    </row>
    <row r="35" spans="2:34" ht="61.5">
      <c r="B35" s="1273"/>
      <c r="C35" s="969" t="s">
        <v>86</v>
      </c>
      <c r="D35" s="975" t="s">
        <v>117</v>
      </c>
      <c r="E35" s="971">
        <f>NETWORKDAYS.INTL(F35,G35,"0000110",$AF$5:$AF$12)</f>
        <v>7</v>
      </c>
      <c r="F35" s="370">
        <f>MAX(WORKDAY.INTL(G34,1,"0000100",$AI$5:$AI$10),WORKDAY.INTL(G30,1,"0000100",$AI$5:$AI$10))</f>
        <v>46270</v>
      </c>
      <c r="G35" s="370">
        <f t="shared" ref="G35" si="32">WORKDAY.INTL(F35,7,"0000110")</f>
        <v>46279</v>
      </c>
      <c r="H35" s="370">
        <f>MAX(WORKDAY.INTL(I34,1,"0000100",$AI$5:$AI$10),WORKDAY.INTL(I30,1,"0000100",$AI$5:$AI$10))</f>
        <v>46270</v>
      </c>
      <c r="I35" s="370">
        <f t="shared" ref="I35" si="33">WORKDAY.INTL(H35,7,"0000110")</f>
        <v>46279</v>
      </c>
      <c r="J35" s="370"/>
      <c r="K35" s="370"/>
      <c r="L35" s="374"/>
      <c r="M35" s="374" t="str">
        <f t="shared" ca="1" si="7"/>
        <v>Not Started</v>
      </c>
      <c r="N35" s="972"/>
      <c r="O35" s="976"/>
      <c r="P35" s="976"/>
      <c r="Q35" s="976"/>
      <c r="R35" s="976"/>
      <c r="S35" s="976"/>
      <c r="T35" s="976"/>
      <c r="U35" s="976"/>
      <c r="V35" s="974"/>
      <c r="W35" s="1223"/>
      <c r="X35" s="985" t="s">
        <v>334</v>
      </c>
      <c r="Y35" s="95" t="s">
        <v>335</v>
      </c>
      <c r="Z35" s="986" t="s">
        <v>345</v>
      </c>
      <c r="AC35" s="34" t="s">
        <v>64</v>
      </c>
      <c r="AD35" s="24" t="s">
        <v>73</v>
      </c>
    </row>
    <row r="36" spans="2:34" ht="61.5">
      <c r="B36" s="1239"/>
      <c r="C36" s="977" t="s">
        <v>86</v>
      </c>
      <c r="D36" s="978" t="s">
        <v>122</v>
      </c>
      <c r="E36" s="979">
        <f>NETWORKDAYS.INTL(F36,G36,"0000110",$AF$5:$AF$12)</f>
        <v>2</v>
      </c>
      <c r="F36" s="388">
        <f t="shared" ref="F36" si="34">WORKDAY.INTL(G35,1,"0000110")</f>
        <v>46280</v>
      </c>
      <c r="G36" s="388">
        <f t="shared" ref="G36" si="35">WORKDAY.INTL(F36,1,"0000110")</f>
        <v>46281</v>
      </c>
      <c r="H36" s="388">
        <f t="shared" ref="H36" si="36">WORKDAY.INTL(I35,1,"0000110")</f>
        <v>46280</v>
      </c>
      <c r="I36" s="388">
        <f t="shared" ref="I36" si="37">WORKDAY.INTL(H36,1,"0000110")</f>
        <v>46281</v>
      </c>
      <c r="J36" s="388"/>
      <c r="K36" s="388"/>
      <c r="L36" s="389"/>
      <c r="M36" s="389" t="str">
        <f t="shared" ca="1" si="7"/>
        <v>Not Started</v>
      </c>
      <c r="N36" s="980"/>
      <c r="O36" s="981"/>
      <c r="P36" s="981"/>
      <c r="Q36" s="981"/>
      <c r="R36" s="981"/>
      <c r="S36" s="981"/>
      <c r="T36" s="981"/>
      <c r="U36" s="981"/>
      <c r="V36" s="982"/>
      <c r="W36" s="1224"/>
      <c r="X36" s="987" t="s">
        <v>123</v>
      </c>
      <c r="Y36" s="100"/>
      <c r="Z36" s="988"/>
      <c r="AC36" s="34" t="s">
        <v>65</v>
      </c>
      <c r="AD36" s="24" t="s">
        <v>73</v>
      </c>
    </row>
    <row r="37" spans="2:34" s="19" customFormat="1" ht="6" customHeight="1">
      <c r="B37" s="114"/>
      <c r="C37" s="114"/>
      <c r="D37" s="381"/>
      <c r="E37" s="382"/>
      <c r="F37" s="381"/>
      <c r="G37" s="381"/>
      <c r="H37" s="381"/>
      <c r="I37" s="381"/>
      <c r="J37" s="381"/>
      <c r="K37" s="381"/>
      <c r="L37" s="383"/>
      <c r="M37" s="383"/>
      <c r="N37" s="114"/>
      <c r="O37" s="114"/>
      <c r="P37" s="114"/>
      <c r="Q37" s="114"/>
      <c r="R37" s="114"/>
      <c r="S37" s="114"/>
      <c r="T37" s="114"/>
      <c r="U37" s="114"/>
      <c r="V37" s="383"/>
      <c r="W37" s="510"/>
      <c r="X37" s="661"/>
      <c r="Y37" s="114"/>
      <c r="Z37" s="114"/>
      <c r="AC37" s="33"/>
      <c r="AD37" s="33" t="s">
        <v>74</v>
      </c>
    </row>
    <row r="38" spans="2:34" ht="61.5">
      <c r="B38" s="1234" t="s">
        <v>346</v>
      </c>
      <c r="C38" s="428" t="s">
        <v>86</v>
      </c>
      <c r="D38" s="376" t="s">
        <v>109</v>
      </c>
      <c r="E38" s="347">
        <f>NETWORKDAYS.INTL(F38,G38,"0000100",$AF$5:$AF$12)</f>
        <v>5</v>
      </c>
      <c r="F38" s="81">
        <f>WORKDAY.INTL(G34,1,"0000100",$AF$5:$AF$11)</f>
        <v>46264</v>
      </c>
      <c r="G38" s="81">
        <f>WORKDAY.INTL(F38,4,"0000100",$AF$5:$AF$11)</f>
        <v>46268</v>
      </c>
      <c r="H38" s="81">
        <f>WORKDAY.INTL(I34,1,"0000100",$AF$5:$AF$11)</f>
        <v>46264</v>
      </c>
      <c r="I38" s="81">
        <f>WORKDAY.INTL(H38,4,"0000100",$AF$5:$AF$11)</f>
        <v>46268</v>
      </c>
      <c r="J38" s="81"/>
      <c r="K38" s="81"/>
      <c r="L38" s="377"/>
      <c r="M38" s="377" t="str">
        <f t="shared" ca="1" si="7"/>
        <v>Not Started</v>
      </c>
      <c r="N38" s="68"/>
      <c r="O38" s="112"/>
      <c r="P38" s="112"/>
      <c r="Q38" s="112"/>
      <c r="R38" s="112"/>
      <c r="S38" s="112"/>
      <c r="T38" s="112"/>
      <c r="U38" s="112"/>
      <c r="V38" s="517"/>
      <c r="W38" s="1222"/>
      <c r="X38" s="522"/>
      <c r="Y38" s="67" t="s">
        <v>341</v>
      </c>
      <c r="Z38" s="498" t="s">
        <v>347</v>
      </c>
      <c r="AC38" s="34" t="s">
        <v>62</v>
      </c>
      <c r="AD38" s="24" t="s">
        <v>74</v>
      </c>
    </row>
    <row r="39" spans="2:34" ht="61.5">
      <c r="B39" s="1237"/>
      <c r="C39" s="429" t="s">
        <v>86</v>
      </c>
      <c r="D39" s="518" t="s">
        <v>111</v>
      </c>
      <c r="E39" s="355">
        <f>NETWORKDAYS.INTL(F39,G39,"0000100",$AF$5:$AF$12)</f>
        <v>3</v>
      </c>
      <c r="F39" s="84">
        <f>WORKDAY.INTL(G38,1,"0000100",$AF$5:$AF$11)</f>
        <v>46270</v>
      </c>
      <c r="G39" s="84">
        <f>WORKDAY.INTL(F39,2,"0000100",$AF$5:$AF$11)</f>
        <v>46272</v>
      </c>
      <c r="H39" s="84">
        <f>WORKDAY.INTL(I38,1,"0000100",$AF$5:$AF$11)</f>
        <v>46270</v>
      </c>
      <c r="I39" s="84">
        <f>WORKDAY.INTL(H39,2,"0000100",$AF$5:$AF$11)</f>
        <v>46272</v>
      </c>
      <c r="J39" s="84"/>
      <c r="K39" s="84"/>
      <c r="L39" s="367"/>
      <c r="M39" s="367" t="str">
        <f t="shared" ca="1" si="7"/>
        <v>Not Started</v>
      </c>
      <c r="N39" s="85"/>
      <c r="O39" s="50"/>
      <c r="P39" s="50"/>
      <c r="Q39" s="50"/>
      <c r="R39" s="50"/>
      <c r="S39" s="50"/>
      <c r="T39" s="50"/>
      <c r="U39" s="50"/>
      <c r="V39" s="519"/>
      <c r="W39" s="1223"/>
      <c r="X39" s="523"/>
      <c r="Y39" s="34"/>
      <c r="Z39" s="499"/>
      <c r="AC39" s="34" t="s">
        <v>63</v>
      </c>
      <c r="AD39" s="24" t="s">
        <v>74</v>
      </c>
    </row>
    <row r="40" spans="2:34" ht="61.5">
      <c r="B40" s="1237"/>
      <c r="C40" s="429" t="s">
        <v>86</v>
      </c>
      <c r="D40" s="518" t="s">
        <v>117</v>
      </c>
      <c r="E40" s="355">
        <f>NETWORKDAYS.INTL(F40,G40,"0000110",$AF$5:$AF$12)</f>
        <v>6</v>
      </c>
      <c r="F40" s="84">
        <f>MAX(WORKDAY.INTL(G39,1,"0000100",$AI$5:$AI$10),WORKDAY.INTL(G35,1,"0000100",$AI$5:$AI$10))</f>
        <v>46280</v>
      </c>
      <c r="G40" s="84">
        <f t="shared" ref="G40" si="38">WORKDAY.INTL(F40,5,"0000110")</f>
        <v>46287</v>
      </c>
      <c r="H40" s="84">
        <f>MAX(WORKDAY.INTL(I39,1,"0000100",$AI$5:$AI$10),WORKDAY.INTL(I35,1,"0000100",$AI$5:$AI$10))</f>
        <v>46280</v>
      </c>
      <c r="I40" s="84">
        <f t="shared" ref="I40" si="39">WORKDAY.INTL(H40,5,"0000110")</f>
        <v>46287</v>
      </c>
      <c r="J40" s="84"/>
      <c r="K40" s="84"/>
      <c r="L40" s="367"/>
      <c r="M40" s="367" t="str">
        <f t="shared" ca="1" si="7"/>
        <v>Not Started</v>
      </c>
      <c r="N40" s="85"/>
      <c r="O40" s="50"/>
      <c r="P40" s="50"/>
      <c r="Q40" s="50"/>
      <c r="R40" s="50"/>
      <c r="S40" s="50"/>
      <c r="T40" s="50"/>
      <c r="U40" s="50"/>
      <c r="V40" s="519"/>
      <c r="W40" s="1223"/>
      <c r="X40" s="523" t="s">
        <v>334</v>
      </c>
      <c r="Y40" s="34" t="s">
        <v>335</v>
      </c>
      <c r="Z40" s="499" t="s">
        <v>133</v>
      </c>
      <c r="AC40" s="34" t="s">
        <v>64</v>
      </c>
      <c r="AD40" s="24" t="s">
        <v>74</v>
      </c>
    </row>
    <row r="41" spans="2:34" ht="61.5">
      <c r="B41" s="1235"/>
      <c r="C41" s="430" t="s">
        <v>86</v>
      </c>
      <c r="D41" s="490" t="s">
        <v>122</v>
      </c>
      <c r="E41" s="348">
        <f>NETWORKDAYS.INTL(F41,G41,"0000110",$AF$5:$AF$12)</f>
        <v>1</v>
      </c>
      <c r="F41" s="379">
        <f t="shared" ref="F41" si="40">WORKDAY.INTL(G40,1,"0000110")</f>
        <v>46288</v>
      </c>
      <c r="G41" s="379">
        <f t="shared" ref="G41" si="41">WORKDAY.INTL(F41,1,"0000110")</f>
        <v>46289</v>
      </c>
      <c r="H41" s="379">
        <f t="shared" ref="H41" si="42">WORKDAY.INTL(I40,1,"0000110")</f>
        <v>46288</v>
      </c>
      <c r="I41" s="379">
        <f t="shared" ref="I41" si="43">WORKDAY.INTL(H41,1,"0000110")</f>
        <v>46289</v>
      </c>
      <c r="J41" s="379"/>
      <c r="K41" s="379"/>
      <c r="L41" s="380"/>
      <c r="M41" s="380" t="str">
        <f t="shared" ca="1" si="7"/>
        <v>Not Started</v>
      </c>
      <c r="N41" s="71"/>
      <c r="O41" s="72"/>
      <c r="P41" s="72"/>
      <c r="Q41" s="72"/>
      <c r="R41" s="72"/>
      <c r="S41" s="72"/>
      <c r="T41" s="72"/>
      <c r="U41" s="72"/>
      <c r="V41" s="520"/>
      <c r="W41" s="1224"/>
      <c r="X41" s="525" t="s">
        <v>123</v>
      </c>
      <c r="Y41" s="70"/>
      <c r="Z41" s="526"/>
      <c r="AC41" s="34" t="s">
        <v>65</v>
      </c>
      <c r="AD41" s="24" t="s">
        <v>74</v>
      </c>
    </row>
    <row r="42" spans="2:34" s="19" customFormat="1" ht="8.25" customHeight="1">
      <c r="B42" s="114"/>
      <c r="C42" s="114"/>
      <c r="D42" s="381"/>
      <c r="E42" s="382"/>
      <c r="F42" s="381"/>
      <c r="G42" s="381"/>
      <c r="H42" s="381"/>
      <c r="I42" s="381"/>
      <c r="J42" s="381"/>
      <c r="K42" s="381"/>
      <c r="L42" s="383"/>
      <c r="M42" s="383"/>
      <c r="N42" s="114"/>
      <c r="O42" s="114"/>
      <c r="P42" s="114"/>
      <c r="Q42" s="114"/>
      <c r="R42" s="114"/>
      <c r="S42" s="114"/>
      <c r="T42" s="114"/>
      <c r="U42" s="114"/>
      <c r="V42" s="383"/>
      <c r="W42" s="510"/>
      <c r="X42" s="661"/>
      <c r="Y42" s="114"/>
      <c r="Z42" s="114"/>
      <c r="AC42" s="33"/>
      <c r="AD42" s="33" t="s">
        <v>75</v>
      </c>
    </row>
    <row r="43" spans="2:34" ht="61.5">
      <c r="B43" s="1272" t="s">
        <v>348</v>
      </c>
      <c r="C43" s="963" t="s">
        <v>86</v>
      </c>
      <c r="D43" s="964" t="s">
        <v>109</v>
      </c>
      <c r="E43" s="965">
        <f>NETWORKDAYS.INTL(F43,G43,"0000100",$AF$5:$AF$12)</f>
        <v>5</v>
      </c>
      <c r="F43" s="384">
        <f>WORKDAY.INTL(G39,1,"0000100",$AF$5:$AF$11)</f>
        <v>46273</v>
      </c>
      <c r="G43" s="384">
        <f>WORKDAY.INTL(F43,4,"0000100",$AF$5:$AF$11)</f>
        <v>46278</v>
      </c>
      <c r="H43" s="384">
        <f>WORKDAY.INTL(I39,1,"0000100",$AF$5:$AF$11)</f>
        <v>46273</v>
      </c>
      <c r="I43" s="384">
        <f>WORKDAY.INTL(H43,4,"0000100",$AF$5:$AF$11)</f>
        <v>46278</v>
      </c>
      <c r="J43" s="384"/>
      <c r="K43" s="384"/>
      <c r="L43" s="385"/>
      <c r="M43" s="385" t="str">
        <f t="shared" ca="1" si="7"/>
        <v>Not Started</v>
      </c>
      <c r="N43" s="966"/>
      <c r="O43" s="967"/>
      <c r="P43" s="967"/>
      <c r="Q43" s="967"/>
      <c r="R43" s="967"/>
      <c r="S43" s="967"/>
      <c r="T43" s="967"/>
      <c r="U43" s="967"/>
      <c r="V43" s="968"/>
      <c r="W43" s="1222"/>
      <c r="X43" s="983"/>
      <c r="Y43" s="93" t="s">
        <v>341</v>
      </c>
      <c r="Z43" s="984" t="s">
        <v>347</v>
      </c>
      <c r="AC43" s="34" t="s">
        <v>62</v>
      </c>
      <c r="AD43" s="24" t="s">
        <v>75</v>
      </c>
      <c r="AH43" s="37"/>
    </row>
    <row r="44" spans="2:34" ht="61.5">
      <c r="B44" s="1273"/>
      <c r="C44" s="969" t="s">
        <v>86</v>
      </c>
      <c r="D44" s="970" t="s">
        <v>111</v>
      </c>
      <c r="E44" s="971">
        <f>NETWORKDAYS.INTL(F44,G44,"0000100",$AF$5:$AF$12)</f>
        <v>3</v>
      </c>
      <c r="F44" s="370">
        <f>WORKDAY.INTL(G43,1,"0000100",$AF$5:$AF$11)</f>
        <v>46279</v>
      </c>
      <c r="G44" s="370">
        <f>WORKDAY.INTL(F44,2,"0000100",$AF$5:$AF$11)</f>
        <v>46281</v>
      </c>
      <c r="H44" s="370">
        <f>WORKDAY.INTL(I43,1,"0000100",$AF$5:$AF$11)</f>
        <v>46279</v>
      </c>
      <c r="I44" s="370">
        <f>WORKDAY.INTL(H44,2,"0000100",$AF$5:$AF$11)</f>
        <v>46281</v>
      </c>
      <c r="J44" s="370"/>
      <c r="K44" s="370"/>
      <c r="L44" s="374"/>
      <c r="M44" s="374" t="str">
        <f t="shared" ca="1" si="7"/>
        <v>Not Started</v>
      </c>
      <c r="N44" s="972"/>
      <c r="O44" s="973"/>
      <c r="P44" s="973"/>
      <c r="Q44" s="973"/>
      <c r="R44" s="973"/>
      <c r="S44" s="973"/>
      <c r="T44" s="973"/>
      <c r="U44" s="973"/>
      <c r="V44" s="974"/>
      <c r="W44" s="1223"/>
      <c r="X44" s="985"/>
      <c r="Y44" s="95"/>
      <c r="Z44" s="986"/>
      <c r="AC44" s="34" t="s">
        <v>63</v>
      </c>
      <c r="AD44" s="24" t="s">
        <v>75</v>
      </c>
    </row>
    <row r="45" spans="2:34" ht="61.5">
      <c r="B45" s="1273"/>
      <c r="C45" s="969" t="s">
        <v>86</v>
      </c>
      <c r="D45" s="975" t="s">
        <v>117</v>
      </c>
      <c r="E45" s="971">
        <f>NETWORKDAYS.INTL(F45,G45,"0000110",$AF$5:$AF$12)</f>
        <v>6</v>
      </c>
      <c r="F45" s="370">
        <f>MAX(WORKDAY.INTL(G44,1,"0000100",$AI$5:$AI$10),WORKDAY.INTL(G40,1,"0000100",$AI$5:$AI$10))</f>
        <v>46288</v>
      </c>
      <c r="G45" s="370">
        <f t="shared" ref="G45" si="44">WORKDAY.INTL(F45,6,"0000110")</f>
        <v>46296</v>
      </c>
      <c r="H45" s="370">
        <f>MAX(WORKDAY.INTL(I44,1,"0000100",$AI$5:$AI$10),WORKDAY.INTL(I40,1,"0000100",$AI$5:$AI$10))</f>
        <v>46288</v>
      </c>
      <c r="I45" s="370">
        <f t="shared" ref="I45" si="45">WORKDAY.INTL(H45,6,"0000110")</f>
        <v>46296</v>
      </c>
      <c r="J45" s="370"/>
      <c r="K45" s="370"/>
      <c r="L45" s="374"/>
      <c r="M45" s="374" t="str">
        <f t="shared" ca="1" si="7"/>
        <v>Not Started</v>
      </c>
      <c r="N45" s="972"/>
      <c r="O45" s="976"/>
      <c r="P45" s="976"/>
      <c r="Q45" s="976"/>
      <c r="R45" s="976"/>
      <c r="S45" s="976"/>
      <c r="T45" s="976"/>
      <c r="U45" s="976"/>
      <c r="V45" s="974"/>
      <c r="W45" s="1223"/>
      <c r="X45" s="985" t="s">
        <v>334</v>
      </c>
      <c r="Y45" s="95" t="s">
        <v>335</v>
      </c>
      <c r="Z45" s="986" t="s">
        <v>120</v>
      </c>
      <c r="AC45" s="34" t="s">
        <v>64</v>
      </c>
      <c r="AD45" s="24" t="s">
        <v>75</v>
      </c>
    </row>
    <row r="46" spans="2:34" ht="61.5">
      <c r="B46" s="1239"/>
      <c r="C46" s="977" t="s">
        <v>86</v>
      </c>
      <c r="D46" s="978" t="s">
        <v>122</v>
      </c>
      <c r="E46" s="979">
        <f>NETWORKDAYS.INTL(F46,G46,"0000110",$AF$5:$AF$12)</f>
        <v>2</v>
      </c>
      <c r="F46" s="388">
        <f t="shared" ref="F46" si="46">WORKDAY.INTL(G45,1,"0000110")</f>
        <v>46299</v>
      </c>
      <c r="G46" s="388">
        <f t="shared" ref="G46" si="47">WORKDAY.INTL(F46,1,"0000110")</f>
        <v>46300</v>
      </c>
      <c r="H46" s="388">
        <f t="shared" ref="H46" si="48">WORKDAY.INTL(I45,1,"0000110")</f>
        <v>46299</v>
      </c>
      <c r="I46" s="388">
        <f t="shared" ref="I46" si="49">WORKDAY.INTL(H46,1,"0000110")</f>
        <v>46300</v>
      </c>
      <c r="J46" s="388"/>
      <c r="K46" s="388"/>
      <c r="L46" s="389"/>
      <c r="M46" s="389" t="str">
        <f t="shared" ca="1" si="7"/>
        <v>Not Started</v>
      </c>
      <c r="N46" s="980"/>
      <c r="O46" s="981"/>
      <c r="P46" s="981"/>
      <c r="Q46" s="981"/>
      <c r="R46" s="981"/>
      <c r="S46" s="981"/>
      <c r="T46" s="981"/>
      <c r="U46" s="981"/>
      <c r="V46" s="982"/>
      <c r="W46" s="1224"/>
      <c r="X46" s="987" t="s">
        <v>123</v>
      </c>
      <c r="Y46" s="100"/>
      <c r="Z46" s="988"/>
      <c r="AC46" s="34" t="s">
        <v>65</v>
      </c>
      <c r="AD46" s="24" t="s">
        <v>75</v>
      </c>
    </row>
    <row r="47" spans="2:34" s="19" customFormat="1" ht="8.25" customHeight="1">
      <c r="B47" s="114"/>
      <c r="C47" s="114"/>
      <c r="D47" s="381"/>
      <c r="E47" s="382"/>
      <c r="F47" s="381"/>
      <c r="G47" s="381"/>
      <c r="H47" s="381"/>
      <c r="I47" s="381"/>
      <c r="J47" s="381"/>
      <c r="K47" s="381"/>
      <c r="L47" s="383"/>
      <c r="M47" s="383"/>
      <c r="N47" s="114"/>
      <c r="O47" s="114"/>
      <c r="P47" s="114"/>
      <c r="Q47" s="114"/>
      <c r="R47" s="114"/>
      <c r="S47" s="114"/>
      <c r="T47" s="114"/>
      <c r="U47" s="114"/>
      <c r="V47" s="383"/>
      <c r="W47" s="510"/>
      <c r="X47" s="661"/>
      <c r="Y47" s="114"/>
      <c r="Z47" s="114"/>
      <c r="AC47" s="33"/>
      <c r="AD47" s="33" t="s">
        <v>76</v>
      </c>
    </row>
    <row r="48" spans="2:34" ht="61.5">
      <c r="B48" s="1234" t="s">
        <v>349</v>
      </c>
      <c r="C48" s="428" t="s">
        <v>86</v>
      </c>
      <c r="D48" s="376" t="s">
        <v>109</v>
      </c>
      <c r="E48" s="347">
        <f>NETWORKDAYS.INTL(F48,G48,"0000100",$AF$5:$AF$12)</f>
        <v>5</v>
      </c>
      <c r="F48" s="81">
        <f>WORKDAY.INTL(G44,1,"0000100",$AF$5:$AF$11)</f>
        <v>46282</v>
      </c>
      <c r="G48" s="81">
        <f>WORKDAY.INTL(F48,4,"0000100",$AF$5:$AF$11)</f>
        <v>46287</v>
      </c>
      <c r="H48" s="81">
        <f>WORKDAY.INTL(I44,1,"0000100",$AF$5:$AF$11)</f>
        <v>46282</v>
      </c>
      <c r="I48" s="81">
        <f>WORKDAY.INTL(H48,4,"0000100",$AF$5:$AF$11)</f>
        <v>46287</v>
      </c>
      <c r="J48" s="81"/>
      <c r="K48" s="81"/>
      <c r="L48" s="377"/>
      <c r="M48" s="377" t="str">
        <f t="shared" ca="1" si="7"/>
        <v>Not Started</v>
      </c>
      <c r="N48" s="68"/>
      <c r="O48" s="112"/>
      <c r="P48" s="112"/>
      <c r="Q48" s="112"/>
      <c r="R48" s="112"/>
      <c r="S48" s="112"/>
      <c r="T48" s="112"/>
      <c r="U48" s="112"/>
      <c r="V48" s="517"/>
      <c r="W48" s="1222"/>
      <c r="X48" s="522"/>
      <c r="Y48" s="67" t="s">
        <v>341</v>
      </c>
      <c r="Z48" s="498" t="s">
        <v>234</v>
      </c>
      <c r="AC48" s="34" t="s">
        <v>62</v>
      </c>
      <c r="AD48" s="24" t="s">
        <v>76</v>
      </c>
    </row>
    <row r="49" spans="2:34" ht="61.5">
      <c r="B49" s="1237"/>
      <c r="C49" s="429" t="s">
        <v>86</v>
      </c>
      <c r="D49" s="518" t="s">
        <v>111</v>
      </c>
      <c r="E49" s="355">
        <f>NETWORKDAYS.INTL(F49,G49,"0000100",$AF$5:$AF$12)</f>
        <v>2</v>
      </c>
      <c r="F49" s="84">
        <f>WORKDAY.INTL(G48,1,"0000100",$AF$5:$AF$11)</f>
        <v>46288</v>
      </c>
      <c r="G49" s="84">
        <f>WORKDAY.INTL(F49,2,"0000100",$AF$5:$AF$11)</f>
        <v>46291</v>
      </c>
      <c r="H49" s="84">
        <f>WORKDAY.INTL(I48,1,"0000100",$AF$5:$AF$11)</f>
        <v>46288</v>
      </c>
      <c r="I49" s="84">
        <f>WORKDAY.INTL(H49,2,"0000100",$AF$5:$AF$11)</f>
        <v>46291</v>
      </c>
      <c r="J49" s="84"/>
      <c r="K49" s="84"/>
      <c r="L49" s="367"/>
      <c r="M49" s="367" t="str">
        <f t="shared" ca="1" si="7"/>
        <v>Not Started</v>
      </c>
      <c r="N49" s="85"/>
      <c r="O49" s="50"/>
      <c r="P49" s="50"/>
      <c r="Q49" s="50"/>
      <c r="R49" s="50"/>
      <c r="S49" s="50"/>
      <c r="T49" s="50"/>
      <c r="U49" s="50"/>
      <c r="V49" s="519"/>
      <c r="W49" s="1223"/>
      <c r="X49" s="523"/>
      <c r="Y49" s="34"/>
      <c r="Z49" s="499"/>
      <c r="AC49" s="34" t="s">
        <v>63</v>
      </c>
      <c r="AD49" s="24" t="s">
        <v>76</v>
      </c>
    </row>
    <row r="50" spans="2:34" ht="61.5">
      <c r="B50" s="1237"/>
      <c r="C50" s="429" t="s">
        <v>86</v>
      </c>
      <c r="D50" s="518" t="s">
        <v>117</v>
      </c>
      <c r="E50" s="355">
        <f>NETWORKDAYS.INTL(F50,G50,"0000110",$AF$5:$AF$12)</f>
        <v>6</v>
      </c>
      <c r="F50" s="84">
        <f>MAX(WORKDAY.INTL(G49,1,"0000100",$AI$5:$AI$10),WORKDAY.INTL(G45,1,"0000100",$AI$5:$AI$10))</f>
        <v>46298</v>
      </c>
      <c r="G50" s="84">
        <f t="shared" ref="G50" si="50">WORKDAY.INTL(F50,6,"0000110")</f>
        <v>46306</v>
      </c>
      <c r="H50" s="84">
        <f>MAX(WORKDAY.INTL(I49,1,"0000100",$AI$5:$AI$10),WORKDAY.INTL(I45,1,"0000100",$AI$5:$AI$10))</f>
        <v>46298</v>
      </c>
      <c r="I50" s="84">
        <f t="shared" ref="I50" si="51">WORKDAY.INTL(H50,6,"0000110")</f>
        <v>46306</v>
      </c>
      <c r="J50" s="84"/>
      <c r="K50" s="84"/>
      <c r="L50" s="367"/>
      <c r="M50" s="367" t="str">
        <f t="shared" ca="1" si="7"/>
        <v>Not Started</v>
      </c>
      <c r="N50" s="85"/>
      <c r="O50" s="50"/>
      <c r="P50" s="50"/>
      <c r="Q50" s="50"/>
      <c r="R50" s="50"/>
      <c r="S50" s="50"/>
      <c r="T50" s="50"/>
      <c r="U50" s="50"/>
      <c r="V50" s="519"/>
      <c r="W50" s="1223"/>
      <c r="X50" s="523" t="s">
        <v>334</v>
      </c>
      <c r="Y50" s="34" t="s">
        <v>335</v>
      </c>
      <c r="Z50" s="499" t="s">
        <v>345</v>
      </c>
      <c r="AC50" s="34" t="s">
        <v>64</v>
      </c>
      <c r="AD50" s="24" t="s">
        <v>76</v>
      </c>
    </row>
    <row r="51" spans="2:34" ht="61.5">
      <c r="B51" s="1235"/>
      <c r="C51" s="430" t="s">
        <v>86</v>
      </c>
      <c r="D51" s="490" t="s">
        <v>122</v>
      </c>
      <c r="E51" s="348">
        <f>NETWORKDAYS.INTL(F51,G51,"0000110",$AF$5:$AF$12)</f>
        <v>2</v>
      </c>
      <c r="F51" s="379">
        <f t="shared" ref="F51" si="52">WORKDAY.INTL(G50,1,"0000110")</f>
        <v>46307</v>
      </c>
      <c r="G51" s="379">
        <f t="shared" ref="G51" si="53">WORKDAY.INTL(F51,1,"0000110")</f>
        <v>46308</v>
      </c>
      <c r="H51" s="379">
        <f t="shared" ref="H51" si="54">WORKDAY.INTL(I50,1,"0000110")</f>
        <v>46307</v>
      </c>
      <c r="I51" s="379">
        <f t="shared" ref="I51" si="55">WORKDAY.INTL(H51,1,"0000110")</f>
        <v>46308</v>
      </c>
      <c r="J51" s="379"/>
      <c r="K51" s="379"/>
      <c r="L51" s="380"/>
      <c r="M51" s="380" t="str">
        <f t="shared" ca="1" si="7"/>
        <v>Not Started</v>
      </c>
      <c r="N51" s="71"/>
      <c r="O51" s="72"/>
      <c r="P51" s="72"/>
      <c r="Q51" s="72"/>
      <c r="R51" s="72"/>
      <c r="S51" s="72"/>
      <c r="T51" s="72"/>
      <c r="U51" s="72"/>
      <c r="V51" s="520"/>
      <c r="W51" s="1224"/>
      <c r="X51" s="525" t="s">
        <v>123</v>
      </c>
      <c r="Y51" s="70"/>
      <c r="Z51" s="526"/>
      <c r="AC51" s="34" t="s">
        <v>65</v>
      </c>
      <c r="AD51" s="24" t="s">
        <v>76</v>
      </c>
    </row>
    <row r="52" spans="2:34" s="19" customFormat="1" ht="6.95" customHeight="1">
      <c r="B52" s="114"/>
      <c r="C52" s="114"/>
      <c r="D52" s="381" t="s">
        <v>225</v>
      </c>
      <c r="E52" s="382"/>
      <c r="F52" s="381"/>
      <c r="G52" s="381"/>
      <c r="H52" s="381"/>
      <c r="I52" s="381"/>
      <c r="J52" s="381"/>
      <c r="K52" s="381"/>
      <c r="L52" s="383"/>
      <c r="M52" s="383"/>
      <c r="N52" s="114"/>
      <c r="O52" s="114"/>
      <c r="P52" s="114"/>
      <c r="Q52" s="114"/>
      <c r="R52" s="114"/>
      <c r="S52" s="114"/>
      <c r="T52" s="114"/>
      <c r="U52" s="114"/>
      <c r="V52" s="383"/>
      <c r="W52" s="510"/>
      <c r="X52" s="661"/>
      <c r="Y52" s="114"/>
      <c r="Z52" s="114"/>
      <c r="AA52" s="49"/>
      <c r="AD52" s="19" t="s">
        <v>77</v>
      </c>
      <c r="AG52" s="20"/>
    </row>
    <row r="53" spans="2:34" ht="61.5">
      <c r="B53" s="1272" t="s">
        <v>350</v>
      </c>
      <c r="C53" s="963" t="s">
        <v>86</v>
      </c>
      <c r="D53" s="964" t="s">
        <v>109</v>
      </c>
      <c r="E53" s="965">
        <f>NETWORKDAYS.INTL(F53,G53,"0000100",$AF$5:$AF$12)</f>
        <v>5</v>
      </c>
      <c r="F53" s="384">
        <f>WORKDAY.INTL(G49,1,"0000100",$AF$5:$AF$11)</f>
        <v>46292</v>
      </c>
      <c r="G53" s="384">
        <f>WORKDAY.INTL(F53,4,"0000100",$AF$5:$AF$11)</f>
        <v>46296</v>
      </c>
      <c r="H53" s="384">
        <f>WORKDAY.INTL(I49,1,"0000100",$AF$5:$AF$11)</f>
        <v>46292</v>
      </c>
      <c r="I53" s="384">
        <f>WORKDAY.INTL(H53,4,"0000100",$AF$5:$AF$11)</f>
        <v>46296</v>
      </c>
      <c r="J53" s="384"/>
      <c r="K53" s="384"/>
      <c r="L53" s="385"/>
      <c r="M53" s="385" t="str">
        <f t="shared" ca="1" si="7"/>
        <v>Not Started</v>
      </c>
      <c r="N53" s="966"/>
      <c r="O53" s="967"/>
      <c r="P53" s="967"/>
      <c r="Q53" s="967"/>
      <c r="R53" s="967"/>
      <c r="S53" s="967"/>
      <c r="T53" s="967"/>
      <c r="U53" s="967"/>
      <c r="V53" s="968"/>
      <c r="W53" s="625"/>
      <c r="X53" s="983"/>
      <c r="Y53" s="93" t="s">
        <v>341</v>
      </c>
      <c r="Z53" s="984" t="s">
        <v>339</v>
      </c>
      <c r="AC53" s="34" t="s">
        <v>62</v>
      </c>
      <c r="AD53" s="24" t="s">
        <v>77</v>
      </c>
      <c r="AH53" s="37"/>
    </row>
    <row r="54" spans="2:34" ht="61.5">
      <c r="B54" s="1273"/>
      <c r="C54" s="969" t="s">
        <v>86</v>
      </c>
      <c r="D54" s="970" t="s">
        <v>111</v>
      </c>
      <c r="E54" s="971">
        <f>NETWORKDAYS.INTL(F54,G54,"0000100",$AF$5:$AF$12)</f>
        <v>3</v>
      </c>
      <c r="F54" s="370">
        <f>WORKDAY.INTL(G53,1,"0000100",$AF$5:$AF$11)</f>
        <v>46298</v>
      </c>
      <c r="G54" s="370">
        <f>WORKDAY.INTL(F54,2,"0000100",$AF$5:$AF$11)</f>
        <v>46300</v>
      </c>
      <c r="H54" s="370">
        <f>WORKDAY.INTL(I53,1,"0000100",$AF$5:$AF$11)</f>
        <v>46298</v>
      </c>
      <c r="I54" s="370">
        <f>WORKDAY.INTL(H54,2,"0000100",$AF$5:$AF$11)</f>
        <v>46300</v>
      </c>
      <c r="J54" s="370"/>
      <c r="K54" s="370"/>
      <c r="L54" s="374"/>
      <c r="M54" s="374" t="str">
        <f t="shared" ca="1" si="7"/>
        <v>Not Started</v>
      </c>
      <c r="N54" s="972"/>
      <c r="O54" s="973"/>
      <c r="P54" s="973"/>
      <c r="Q54" s="973"/>
      <c r="R54" s="973"/>
      <c r="S54" s="973"/>
      <c r="T54" s="973"/>
      <c r="U54" s="973"/>
      <c r="V54" s="974"/>
      <c r="W54" s="651"/>
      <c r="X54" s="985"/>
      <c r="Y54" s="95"/>
      <c r="Z54" s="986"/>
      <c r="AC54" s="34" t="s">
        <v>63</v>
      </c>
      <c r="AD54" s="24" t="s">
        <v>77</v>
      </c>
    </row>
    <row r="55" spans="2:34" ht="61.5">
      <c r="B55" s="1273"/>
      <c r="C55" s="969" t="s">
        <v>86</v>
      </c>
      <c r="D55" s="975" t="s">
        <v>117</v>
      </c>
      <c r="E55" s="971">
        <f>NETWORKDAYS.INTL(F55,G55,"0000110",$AF$5:$AF$12)</f>
        <v>8</v>
      </c>
      <c r="F55" s="370">
        <f>MAX(WORKDAY.INTL(G54,1,"0000100",$AI$5:$AI$10),WORKDAY.INTL(G50,1,"0000100",$AI$5:$AI$10))</f>
        <v>46307</v>
      </c>
      <c r="G55" s="370">
        <f>WORKDAY.INTL(F55,7,"0000110")</f>
        <v>46316</v>
      </c>
      <c r="H55" s="370">
        <f>MAX(WORKDAY.INTL(I54,1,"0000100",$AI$5:$AI$10),WORKDAY.INTL(I50,1,"0000100",$AI$5:$AI$10))</f>
        <v>46307</v>
      </c>
      <c r="I55" s="370">
        <f>WORKDAY.INTL(H55,7,"0000110")</f>
        <v>46316</v>
      </c>
      <c r="J55" s="370"/>
      <c r="K55" s="370"/>
      <c r="L55" s="374"/>
      <c r="M55" s="374" t="str">
        <f t="shared" ca="1" si="7"/>
        <v>Not Started</v>
      </c>
      <c r="N55" s="972"/>
      <c r="O55" s="976"/>
      <c r="P55" s="976"/>
      <c r="Q55" s="976"/>
      <c r="R55" s="976"/>
      <c r="S55" s="976"/>
      <c r="T55" s="976"/>
      <c r="U55" s="976"/>
      <c r="V55" s="974"/>
      <c r="W55" s="626"/>
      <c r="X55" s="985" t="s">
        <v>334</v>
      </c>
      <c r="Y55" s="95" t="s">
        <v>335</v>
      </c>
      <c r="Z55" s="986" t="s">
        <v>351</v>
      </c>
      <c r="AC55" s="34" t="s">
        <v>64</v>
      </c>
      <c r="AD55" s="24" t="s">
        <v>77</v>
      </c>
    </row>
    <row r="56" spans="2:34" ht="61.5">
      <c r="B56" s="1239"/>
      <c r="C56" s="977" t="s">
        <v>86</v>
      </c>
      <c r="D56" s="978" t="s">
        <v>122</v>
      </c>
      <c r="E56" s="979">
        <f>NETWORKDAYS.INTL(F56,G56,"0000110",$AF$5:$AF$12)</f>
        <v>2</v>
      </c>
      <c r="F56" s="388">
        <f>WORKDAY.INTL(G55,1,"0000110")</f>
        <v>46317</v>
      </c>
      <c r="G56" s="388">
        <f t="shared" ref="G56" si="56">WORKDAY.INTL(F56,1,"0000110")</f>
        <v>46320</v>
      </c>
      <c r="H56" s="388">
        <f>WORKDAY.INTL(I55,1,"0000110")</f>
        <v>46317</v>
      </c>
      <c r="I56" s="388">
        <f t="shared" ref="I56" si="57">WORKDAY.INTL(H56,1,"0000110")</f>
        <v>46320</v>
      </c>
      <c r="J56" s="388"/>
      <c r="K56" s="388"/>
      <c r="L56" s="389"/>
      <c r="M56" s="389" t="str">
        <f t="shared" ca="1" si="7"/>
        <v>Not Started</v>
      </c>
      <c r="N56" s="980"/>
      <c r="O56" s="981"/>
      <c r="P56" s="981"/>
      <c r="Q56" s="981"/>
      <c r="R56" s="981"/>
      <c r="S56" s="981"/>
      <c r="T56" s="981"/>
      <c r="U56" s="981"/>
      <c r="V56" s="982"/>
      <c r="W56" s="627"/>
      <c r="X56" s="987" t="s">
        <v>123</v>
      </c>
      <c r="Y56" s="100"/>
      <c r="Z56" s="988"/>
      <c r="AC56" s="34" t="s">
        <v>65</v>
      </c>
      <c r="AD56" s="24" t="s">
        <v>77</v>
      </c>
    </row>
    <row r="57" spans="2:34" s="19" customFormat="1" ht="11.25" customHeight="1">
      <c r="B57" s="114"/>
      <c r="C57" s="114"/>
      <c r="D57" s="381"/>
      <c r="E57" s="382"/>
      <c r="F57" s="381"/>
      <c r="G57" s="381"/>
      <c r="H57" s="381"/>
      <c r="I57" s="381"/>
      <c r="J57" s="381"/>
      <c r="K57" s="381"/>
      <c r="L57" s="383"/>
      <c r="M57" s="383"/>
      <c r="N57" s="114"/>
      <c r="O57" s="114"/>
      <c r="P57" s="114"/>
      <c r="Q57" s="114"/>
      <c r="R57" s="114"/>
      <c r="S57" s="114"/>
      <c r="T57" s="114"/>
      <c r="U57" s="114"/>
      <c r="V57" s="383"/>
      <c r="W57" s="511"/>
      <c r="X57" s="661"/>
      <c r="Y57" s="114"/>
      <c r="Z57" s="114"/>
      <c r="AA57" s="49"/>
      <c r="AG57" s="20"/>
    </row>
    <row r="58" spans="2:34" ht="58.5">
      <c r="B58" s="1234" t="s">
        <v>138</v>
      </c>
      <c r="C58" s="428" t="s">
        <v>138</v>
      </c>
      <c r="D58" s="376" t="s">
        <v>139</v>
      </c>
      <c r="E58" s="347">
        <f>NETWORKDAYS.INTL(F58,G58,"0000100",$AG$5:$AG$11)</f>
        <v>19</v>
      </c>
      <c r="F58" s="81">
        <f>WORKDAY.INTL(G59,25,"0000100",$AG$5:$AG$10)</f>
        <v>46303</v>
      </c>
      <c r="G58" s="81">
        <f>WORKDAY.INTL(F58,18,"0000100",$AG$5:$AG$10)</f>
        <v>46324</v>
      </c>
      <c r="H58" s="81">
        <f>WORKDAY.INTL(I59,25,"0000100",$AG$5:$AG$10)</f>
        <v>46303</v>
      </c>
      <c r="I58" s="81">
        <f>WORKDAY.INTL(H58,18,"0000100",$AG$5:$AG$10)</f>
        <v>46324</v>
      </c>
      <c r="J58" s="81"/>
      <c r="K58" s="81"/>
      <c r="L58" s="377"/>
      <c r="M58" s="377" t="str">
        <f t="shared" ca="1" si="7"/>
        <v>Not Started</v>
      </c>
      <c r="N58" s="68"/>
      <c r="O58" s="112"/>
      <c r="P58" s="112"/>
      <c r="Q58" s="112"/>
      <c r="R58" s="112"/>
      <c r="S58" s="112"/>
      <c r="T58" s="112"/>
      <c r="U58" s="112"/>
      <c r="V58" s="517"/>
      <c r="W58" s="1252"/>
      <c r="X58" s="522" t="s">
        <v>140</v>
      </c>
      <c r="Y58" s="67" t="s">
        <v>352</v>
      </c>
      <c r="Z58" s="498"/>
      <c r="AA58" s="21"/>
      <c r="AC58" s="34"/>
    </row>
    <row r="59" spans="2:34" ht="58.5">
      <c r="B59" s="1237"/>
      <c r="C59" s="429" t="s">
        <v>138</v>
      </c>
      <c r="D59" s="518" t="s">
        <v>142</v>
      </c>
      <c r="E59" s="355">
        <f>NETWORKDAYS.INTL(F59,G59,"0000100",$AG$5:$AG$11)</f>
        <v>19</v>
      </c>
      <c r="F59" s="84">
        <f>WORKDAY.INTL(F76,25,"0000100",$AG$5:$AG$10)</f>
        <v>46253</v>
      </c>
      <c r="G59" s="84">
        <f>WORKDAY.INTL(F59,18,"0000100",$AG$5:$AG$10)</f>
        <v>46274</v>
      </c>
      <c r="H59" s="84">
        <f>WORKDAY.INTL(H76,25,"0000100",$AG$5:$AG$10)</f>
        <v>46253</v>
      </c>
      <c r="I59" s="84">
        <f>WORKDAY.INTL(H59,18,"0000100",$AG$5:$AG$10)</f>
        <v>46274</v>
      </c>
      <c r="J59" s="84"/>
      <c r="K59" s="84"/>
      <c r="L59" s="367"/>
      <c r="M59" s="367" t="str">
        <f t="shared" ca="1" si="7"/>
        <v>Not Started</v>
      </c>
      <c r="N59" s="85"/>
      <c r="O59" s="50"/>
      <c r="P59" s="50"/>
      <c r="Q59" s="50"/>
      <c r="R59" s="50"/>
      <c r="S59" s="50"/>
      <c r="T59" s="50"/>
      <c r="U59" s="50"/>
      <c r="V59" s="519"/>
      <c r="W59" s="1253"/>
      <c r="X59" s="523" t="s">
        <v>140</v>
      </c>
      <c r="Y59" s="34" t="s">
        <v>352</v>
      </c>
      <c r="Z59" s="499"/>
      <c r="AA59" s="21"/>
      <c r="AC59" s="34"/>
    </row>
    <row r="60" spans="2:34" ht="58.5">
      <c r="B60" s="1235"/>
      <c r="C60" s="430" t="s">
        <v>138</v>
      </c>
      <c r="D60" s="378" t="s">
        <v>143</v>
      </c>
      <c r="E60" s="348">
        <f>NETWORKDAYS.INTL(F60,G60,"0000100",$AG$5:$AG$11)</f>
        <v>66</v>
      </c>
      <c r="F60" s="379">
        <f>F59</f>
        <v>46253</v>
      </c>
      <c r="G60" s="379">
        <f>WORKDAY.INTL(F60,65,"0000100",$AG$5:$AG$10)</f>
        <v>46329</v>
      </c>
      <c r="H60" s="379">
        <f>H59</f>
        <v>46253</v>
      </c>
      <c r="I60" s="379">
        <f>WORKDAY.INTL(H60,65,"0000100",$AG$5:$AG$10)</f>
        <v>46329</v>
      </c>
      <c r="J60" s="379"/>
      <c r="K60" s="379"/>
      <c r="L60" s="380"/>
      <c r="M60" s="380" t="str">
        <f t="shared" ca="1" si="7"/>
        <v>Not Started</v>
      </c>
      <c r="N60" s="71"/>
      <c r="O60" s="113"/>
      <c r="P60" s="113"/>
      <c r="Q60" s="113"/>
      <c r="R60" s="113"/>
      <c r="S60" s="113"/>
      <c r="T60" s="113"/>
      <c r="U60" s="113"/>
      <c r="V60" s="520"/>
      <c r="W60" s="1254"/>
      <c r="X60" s="525" t="s">
        <v>353</v>
      </c>
      <c r="Y60" s="70" t="s">
        <v>352</v>
      </c>
      <c r="Z60" s="526"/>
      <c r="AA60" s="21"/>
      <c r="AC60" s="34"/>
    </row>
    <row r="61" spans="2:34" s="19" customFormat="1" ht="8.85" customHeight="1">
      <c r="B61" s="114"/>
      <c r="C61" s="114"/>
      <c r="D61" s="381"/>
      <c r="E61" s="382"/>
      <c r="F61" s="381"/>
      <c r="G61" s="381"/>
      <c r="H61" s="381"/>
      <c r="I61" s="381"/>
      <c r="J61" s="381"/>
      <c r="K61" s="381"/>
      <c r="L61" s="383"/>
      <c r="M61" s="383"/>
      <c r="N61" s="114"/>
      <c r="O61" s="114"/>
      <c r="P61" s="114"/>
      <c r="Q61" s="114"/>
      <c r="R61" s="114"/>
      <c r="S61" s="114"/>
      <c r="T61" s="114"/>
      <c r="U61" s="114"/>
      <c r="V61" s="383"/>
      <c r="W61" s="512"/>
      <c r="X61" s="114"/>
      <c r="Y61" s="114"/>
      <c r="Z61" s="114"/>
      <c r="AC61" s="33"/>
      <c r="AD61" s="33"/>
    </row>
    <row r="62" spans="2:34" s="103" customFormat="1" ht="154.5" thickBot="1">
      <c r="B62" s="442" t="s">
        <v>145</v>
      </c>
      <c r="C62" s="545" t="s">
        <v>146</v>
      </c>
      <c r="D62" s="546" t="s">
        <v>354</v>
      </c>
      <c r="E62" s="547">
        <f>NETWORKDAYS.INTL(F62,G62,"0000110",$AG$5:$AG$11)</f>
        <v>3</v>
      </c>
      <c r="F62" s="443">
        <f>MAX(WORKDAY.INTL(G56,1,"0000110"),WORKDAY.INTL(G69,1,"0000110"),WORKDAY.INTL(G67,1,"0000110"))</f>
        <v>46321</v>
      </c>
      <c r="G62" s="443">
        <f t="shared" ref="G62" si="58">WORKDAY.INTL(F62,2,"0000110")</f>
        <v>46323</v>
      </c>
      <c r="H62" s="443">
        <f>MAX(WORKDAY.INTL(I56,1,"0000110"),WORKDAY.INTL(I69,1,"0000110"),WORKDAY.INTL(I67,1,"0000110"))</f>
        <v>46321</v>
      </c>
      <c r="I62" s="443">
        <f t="shared" ref="I62" si="59">WORKDAY.INTL(H62,2,"0000110")</f>
        <v>46323</v>
      </c>
      <c r="J62" s="443"/>
      <c r="K62" s="443"/>
      <c r="L62" s="444"/>
      <c r="M62" s="444" t="str">
        <f t="shared" ref="M62" ca="1" si="60">IF(L62=100%,"Completed",
IF(AND(L62&lt;100%,G62&lt;TODAY()),"Delayed",
IF(AND(OR(L62="",L62=0),F62&gt;TODAY()),"Not Started",
IF(AND(OR(L62="",L62=0),F62&lt;=TODAY()),"Delayed",
IF(AND(L62&gt;0,L62&lt;100%),"In Progress","")))))</f>
        <v>Not Started</v>
      </c>
      <c r="N62" s="548"/>
      <c r="O62" s="549"/>
      <c r="P62" s="549"/>
      <c r="Q62" s="549"/>
      <c r="R62" s="549"/>
      <c r="S62" s="549"/>
      <c r="T62" s="549"/>
      <c r="U62" s="549"/>
      <c r="V62" s="669"/>
      <c r="W62" s="668"/>
      <c r="X62" s="673" t="s">
        <v>148</v>
      </c>
      <c r="Y62" s="445" t="s">
        <v>355</v>
      </c>
      <c r="Z62" s="992"/>
      <c r="AC62" s="115"/>
      <c r="AD62" s="115"/>
    </row>
    <row r="63" spans="2:34" ht="42" hidden="1" customHeight="1">
      <c r="B63" s="1270" t="s">
        <v>241</v>
      </c>
      <c r="C63" s="116" t="s">
        <v>241</v>
      </c>
      <c r="D63" s="989" t="s">
        <v>36</v>
      </c>
      <c r="E63" s="368">
        <f>NETWORKDAYS.INTL(F63,G63,"0000110",$AF$5:$AF$12)</f>
        <v>3</v>
      </c>
      <c r="F63" s="369">
        <f>MAX(WORKDAY.INTL(G54,1,"0000110",$AF$5:$AF$11),WORKDAY.INTL(G59,1,"0000110",$AF$5:$AF$11))</f>
        <v>46301</v>
      </c>
      <c r="G63" s="369">
        <f>WORKDAY.INTL(F63,2,"0000110",$AF$5:$AF$11)</f>
        <v>46303</v>
      </c>
      <c r="H63" s="369">
        <f>MAX(WORKDAY.INTL(I54,1,"0000110",$AF$5:$AF$11),WORKDAY.INTL(I59,1,"0000110",$AF$5:$AF$11))</f>
        <v>46301</v>
      </c>
      <c r="I63" s="369">
        <f>WORKDAY.INTL(H63,2,"0000110",$AF$5:$AF$11)</f>
        <v>46303</v>
      </c>
      <c r="J63" s="369"/>
      <c r="K63" s="369"/>
      <c r="L63" s="371"/>
      <c r="M63" s="371" t="str">
        <f t="shared" ref="M63:M67" ca="1" si="61">IF(OR(L63=100%,K63&lt;&gt;""),"Completed",IF(AND(OR(L63="",L63=0),F63&gt;TODAY()),"Not Started",IF(AND(OR(L63="",L63=0),F63&lt;=TODAY()),"Delayed",IF(AND(L63&gt;0,L63&lt;100%,G63&lt;TODAY()),"Delayed",IF(AND(L63&gt;0,L63&lt;100%),"In Progress","")))))</f>
        <v>Not Started</v>
      </c>
      <c r="N63" s="109"/>
      <c r="O63" s="990"/>
      <c r="P63" s="990"/>
      <c r="Q63" s="990"/>
      <c r="R63" s="990"/>
      <c r="S63" s="990"/>
      <c r="T63" s="990"/>
      <c r="U63" s="991"/>
      <c r="V63" s="371"/>
      <c r="W63" s="513"/>
      <c r="X63" s="1263"/>
      <c r="Y63" s="108"/>
      <c r="Z63" s="108"/>
      <c r="AA63" s="21"/>
      <c r="AC63" s="34"/>
    </row>
    <row r="64" spans="2:34" ht="42" hidden="1" customHeight="1">
      <c r="B64" s="1270"/>
      <c r="C64" s="116" t="s">
        <v>241</v>
      </c>
      <c r="D64" s="373" t="s">
        <v>38</v>
      </c>
      <c r="E64" s="372">
        <f>NETWORKDAYS.INTL(F64,G64,"0000110",$AF$5:$AF$12)</f>
        <v>5</v>
      </c>
      <c r="F64" s="370">
        <f>WORKDAY.INTL(G63,1,"0000110",$AF$5:$AF$11)</f>
        <v>46306</v>
      </c>
      <c r="G64" s="370">
        <f>WORKDAY.INTL(F64,4,"0000110",$AF$5:$AF$11)</f>
        <v>46310</v>
      </c>
      <c r="H64" s="370">
        <f>WORKDAY.INTL(I63,1,"0000110",$AF$5:$AF$11)</f>
        <v>46306</v>
      </c>
      <c r="I64" s="370">
        <f>WORKDAY.INTL(H64,4,"0000110",$AF$5:$AF$11)</f>
        <v>46310</v>
      </c>
      <c r="J64" s="370"/>
      <c r="K64" s="370"/>
      <c r="L64" s="374"/>
      <c r="M64" s="374" t="str">
        <f t="shared" ca="1" si="61"/>
        <v>Not Started</v>
      </c>
      <c r="N64" s="109"/>
      <c r="O64" s="110"/>
      <c r="P64" s="110"/>
      <c r="Q64" s="110"/>
      <c r="R64" s="110"/>
      <c r="S64" s="110"/>
      <c r="T64" s="110"/>
      <c r="U64" s="111"/>
      <c r="V64" s="374"/>
      <c r="W64" s="514"/>
      <c r="X64" s="1263"/>
      <c r="Y64" s="95"/>
      <c r="Z64" s="95"/>
      <c r="AA64" s="21"/>
      <c r="AC64" s="19"/>
      <c r="AD64" s="19"/>
    </row>
    <row r="65" spans="2:31" ht="42" hidden="1" customHeight="1">
      <c r="B65" s="1270"/>
      <c r="C65" s="116" t="s">
        <v>241</v>
      </c>
      <c r="D65" s="373" t="s">
        <v>43</v>
      </c>
      <c r="E65" s="372">
        <f>NETWORKDAYS.INTL(F65,G65,"0000110",$AF$5:$AF$12)</f>
        <v>2</v>
      </c>
      <c r="F65" s="370">
        <f>WORKDAY.INTL(G64,1,"0000110",$AF$5:$AF$11)</f>
        <v>46313</v>
      </c>
      <c r="G65" s="370">
        <f>WORKDAY.INTL(F65,1,"0000110",$AF$5:$AF$11)</f>
        <v>46314</v>
      </c>
      <c r="H65" s="370">
        <f>WORKDAY.INTL(I64,1,"0000110",$AF$5:$AF$11)</f>
        <v>46313</v>
      </c>
      <c r="I65" s="370">
        <f>WORKDAY.INTL(H65,1,"0000110",$AF$5:$AF$11)</f>
        <v>46314</v>
      </c>
      <c r="J65" s="370"/>
      <c r="K65" s="370"/>
      <c r="L65" s="374"/>
      <c r="M65" s="374" t="str">
        <f t="shared" ca="1" si="61"/>
        <v>Not Started</v>
      </c>
      <c r="N65" s="109"/>
      <c r="O65" s="110"/>
      <c r="P65" s="110"/>
      <c r="Q65" s="110"/>
      <c r="R65" s="110"/>
      <c r="S65" s="110"/>
      <c r="T65" s="110"/>
      <c r="U65" s="111"/>
      <c r="V65" s="374"/>
      <c r="W65" s="514"/>
      <c r="X65" s="432"/>
      <c r="Y65" s="95"/>
      <c r="Z65" s="95"/>
      <c r="AA65" s="21"/>
      <c r="AC65" s="34"/>
    </row>
    <row r="66" spans="2:31" ht="42" hidden="1" customHeight="1">
      <c r="B66" s="1270"/>
      <c r="C66" s="116" t="s">
        <v>241</v>
      </c>
      <c r="D66" s="373" t="s">
        <v>44</v>
      </c>
      <c r="E66" s="372">
        <f>NETWORKDAYS.INTL(F66,G66,"0000110",$AF$5:$AF$12)</f>
        <v>1</v>
      </c>
      <c r="F66" s="370">
        <f>WORKDAY.INTL(G65,1,"0000110",$AF$5:$AF$11)</f>
        <v>46315</v>
      </c>
      <c r="G66" s="370">
        <f>WORKDAY.INTL(F66,0,"0000110",$AF$5:$AF$11)</f>
        <v>46315</v>
      </c>
      <c r="H66" s="370">
        <f>WORKDAY.INTL(I65,1,"0000110",$AF$5:$AF$11)</f>
        <v>46315</v>
      </c>
      <c r="I66" s="370">
        <f>WORKDAY.INTL(H66,0,"0000110",$AF$5:$AF$11)</f>
        <v>46315</v>
      </c>
      <c r="J66" s="370"/>
      <c r="K66" s="370"/>
      <c r="L66" s="374"/>
      <c r="M66" s="374" t="str">
        <f t="shared" ca="1" si="61"/>
        <v>Not Started</v>
      </c>
      <c r="N66" s="109"/>
      <c r="O66" s="110"/>
      <c r="P66" s="110"/>
      <c r="Q66" s="110"/>
      <c r="R66" s="110"/>
      <c r="S66" s="110"/>
      <c r="T66" s="110"/>
      <c r="U66" s="111"/>
      <c r="V66" s="374"/>
      <c r="W66" s="514"/>
      <c r="X66" s="432"/>
      <c r="Y66" s="95"/>
      <c r="Z66" s="95"/>
      <c r="AA66" s="21"/>
      <c r="AC66" s="34"/>
    </row>
    <row r="67" spans="2:31" ht="42" hidden="1" customHeight="1">
      <c r="B67" s="1271"/>
      <c r="C67" s="117" t="s">
        <v>241</v>
      </c>
      <c r="D67" s="386" t="s">
        <v>46</v>
      </c>
      <c r="E67" s="387">
        <f>NETWORKDAYS.INTL(F67,G67,"0000110",$AF$5:$AF$12)</f>
        <v>1</v>
      </c>
      <c r="F67" s="388">
        <f>WORKDAY.INTL(G66,1,"0000110",$AF$5:$AF$11)</f>
        <v>46316</v>
      </c>
      <c r="G67" s="388">
        <f>WORKDAY.INTL(F67,0,"0000110",$AF$5:$AF$11)</f>
        <v>46316</v>
      </c>
      <c r="H67" s="388">
        <f>WORKDAY.INTL(I66,1,"0000110",$AF$5:$AF$11)</f>
        <v>46316</v>
      </c>
      <c r="I67" s="388">
        <f>WORKDAY.INTL(H67,0,"0000110",$AF$5:$AF$11)</f>
        <v>46316</v>
      </c>
      <c r="J67" s="388"/>
      <c r="K67" s="388"/>
      <c r="L67" s="389"/>
      <c r="M67" s="389" t="str">
        <f t="shared" ca="1" si="61"/>
        <v>Not Started</v>
      </c>
      <c r="N67" s="118"/>
      <c r="O67" s="119"/>
      <c r="P67" s="119"/>
      <c r="Q67" s="119"/>
      <c r="R67" s="119"/>
      <c r="S67" s="119"/>
      <c r="T67" s="119"/>
      <c r="U67" s="120"/>
      <c r="V67" s="389"/>
      <c r="W67" s="515"/>
      <c r="X67" s="121"/>
      <c r="Y67" s="100"/>
      <c r="Z67" s="100"/>
      <c r="AA67" s="21"/>
      <c r="AC67" s="34"/>
    </row>
    <row r="68" spans="2:31" s="19" customFormat="1" ht="9" customHeight="1" thickBot="1">
      <c r="B68" s="51"/>
      <c r="C68" s="51"/>
      <c r="D68" s="339"/>
      <c r="E68" s="340"/>
      <c r="F68" s="339"/>
      <c r="G68" s="339"/>
      <c r="H68" s="339"/>
      <c r="I68" s="339"/>
      <c r="J68" s="339"/>
      <c r="K68" s="339"/>
      <c r="L68" s="375"/>
      <c r="M68" s="375"/>
      <c r="N68" s="51"/>
      <c r="O68" s="51"/>
      <c r="P68" s="51"/>
      <c r="Q68" s="51"/>
      <c r="R68" s="51"/>
      <c r="S68" s="51"/>
      <c r="T68" s="51"/>
      <c r="U68" s="51"/>
      <c r="V68" s="375"/>
      <c r="W68" s="510"/>
      <c r="X68" s="53"/>
      <c r="Y68" s="51"/>
      <c r="Z68" s="51"/>
    </row>
    <row r="69" spans="2:31" ht="49.5">
      <c r="B69" s="1234" t="s">
        <v>150</v>
      </c>
      <c r="C69" s="428" t="s">
        <v>150</v>
      </c>
      <c r="D69" s="346" t="s">
        <v>47</v>
      </c>
      <c r="E69" s="347">
        <f>NETWORKDAYS.INTL(F69,G69,"0000110",$AG$5:$AG$11)</f>
        <v>30</v>
      </c>
      <c r="F69" s="81">
        <v>46249</v>
      </c>
      <c r="G69" s="81">
        <f>WORKDAY.INTL(F69,30,"0000110",$AG$5:$AG$10)</f>
        <v>46289</v>
      </c>
      <c r="H69" s="81">
        <v>46249</v>
      </c>
      <c r="I69" s="81">
        <f>WORKDAY.INTL(H69,30,"0000110",$AG$5:$AG$10)</f>
        <v>46289</v>
      </c>
      <c r="J69" s="81"/>
      <c r="K69" s="81"/>
      <c r="L69" s="377"/>
      <c r="M69" s="377"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7"/>
      <c r="W69" s="1222"/>
      <c r="X69" s="522"/>
      <c r="Y69" s="67" t="s">
        <v>352</v>
      </c>
      <c r="Z69" s="498"/>
      <c r="AA69" s="21"/>
    </row>
    <row r="70" spans="2:31" ht="49.5">
      <c r="B70" s="1235"/>
      <c r="C70" s="430" t="s">
        <v>150</v>
      </c>
      <c r="D70" s="490" t="s">
        <v>153</v>
      </c>
      <c r="E70" s="348">
        <f>NETWORKDAYS.INTL(F70,G70,"0000110",$AG$5:$AG$11)</f>
        <v>30</v>
      </c>
      <c r="F70" s="379">
        <f>G62+4</f>
        <v>46327</v>
      </c>
      <c r="G70" s="379">
        <f>WORKDAY.INTL(F70,29,"0000110",$AG$5:$AG$10)</f>
        <v>46366</v>
      </c>
      <c r="H70" s="379">
        <f>I62+4</f>
        <v>46327</v>
      </c>
      <c r="I70" s="379">
        <f>WORKDAY.INTL(H70,29,"0000110",$AG$5:$AG$10)</f>
        <v>46366</v>
      </c>
      <c r="J70" s="379"/>
      <c r="K70" s="379"/>
      <c r="L70" s="380"/>
      <c r="M70" s="380" t="str">
        <f t="shared" ca="1" si="62"/>
        <v>Not Started</v>
      </c>
      <c r="N70" s="71"/>
      <c r="O70" s="72"/>
      <c r="P70" s="72"/>
      <c r="Q70" s="72"/>
      <c r="R70" s="72"/>
      <c r="S70" s="72"/>
      <c r="T70" s="72"/>
      <c r="U70" s="72"/>
      <c r="V70" s="520"/>
      <c r="W70" s="1224"/>
      <c r="X70" s="525" t="s">
        <v>154</v>
      </c>
      <c r="Y70" s="70"/>
      <c r="Z70" s="526"/>
      <c r="AA70" s="21"/>
    </row>
    <row r="71" spans="2:31" s="19" customFormat="1" ht="7.5" customHeight="1">
      <c r="B71" s="114"/>
      <c r="C71" s="114"/>
      <c r="D71" s="381"/>
      <c r="E71" s="382"/>
      <c r="F71" s="381"/>
      <c r="G71" s="381"/>
      <c r="H71" s="381"/>
      <c r="I71" s="381"/>
      <c r="J71" s="381"/>
      <c r="K71" s="381"/>
      <c r="L71" s="383"/>
      <c r="M71" s="383"/>
      <c r="N71" s="114"/>
      <c r="O71" s="114"/>
      <c r="P71" s="114"/>
      <c r="Q71" s="114"/>
      <c r="R71" s="114"/>
      <c r="S71" s="114"/>
      <c r="T71" s="114"/>
      <c r="U71" s="114"/>
      <c r="V71" s="383"/>
      <c r="W71" s="510"/>
      <c r="X71" s="661"/>
      <c r="Y71" s="114"/>
      <c r="Z71" s="114"/>
      <c r="AD71" s="24"/>
      <c r="AE71" s="24"/>
    </row>
    <row r="72" spans="2:31" ht="142.5" customHeight="1">
      <c r="B72" s="1240" t="s">
        <v>155</v>
      </c>
      <c r="C72" s="564" t="s">
        <v>155</v>
      </c>
      <c r="D72" s="390" t="s">
        <v>156</v>
      </c>
      <c r="E72" s="391">
        <f>NETWORKDAYS.INTL(F72,G72,"0000100",$AF$5:$AF$12)</f>
        <v>19</v>
      </c>
      <c r="F72" s="418">
        <v>46246</v>
      </c>
      <c r="G72" s="418">
        <f>WORKDAY.INTL(F72,15,"0000110",$AG$5:$AG$10)</f>
        <v>46267</v>
      </c>
      <c r="H72" s="392">
        <v>46246</v>
      </c>
      <c r="I72" s="392">
        <f>WORKDAY.INTL(H72,15,"0000110",$AG$5:$AG$10)</f>
        <v>46267</v>
      </c>
      <c r="J72" s="392"/>
      <c r="K72" s="392"/>
      <c r="L72" s="393"/>
      <c r="M72" s="393"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5"/>
      <c r="W72" s="1222"/>
      <c r="X72" s="678" t="s">
        <v>157</v>
      </c>
      <c r="Y72" s="123"/>
      <c r="Z72" s="993"/>
      <c r="AA72" s="21"/>
      <c r="AD72" s="33"/>
      <c r="AE72" s="33"/>
    </row>
    <row r="73" spans="2:31" ht="46.5">
      <c r="B73" s="1242"/>
      <c r="C73" s="568" t="s">
        <v>155</v>
      </c>
      <c r="D73" s="394" t="s">
        <v>51</v>
      </c>
      <c r="E73" s="395">
        <f>NETWORKDAYS.INTL(F73,G73,"0000110",$AF$5:$AF$12)</f>
        <v>15</v>
      </c>
      <c r="F73" s="419">
        <f>WORKDAY.INTL(G72,15,"0000110",$AG$5:$AG$10)</f>
        <v>46288</v>
      </c>
      <c r="G73" s="419">
        <f>WORKDAY.INTL(F73,15,"0000110",$AG$5:$AG$10)</f>
        <v>46309</v>
      </c>
      <c r="H73" s="396">
        <f>WORKDAY.INTL(I72,15,"0000110",$AG$5:$AG$10)</f>
        <v>46288</v>
      </c>
      <c r="I73" s="396">
        <f>WORKDAY.INTL(H73,15,"0000110",$AG$5:$AG$10)</f>
        <v>46309</v>
      </c>
      <c r="J73" s="396"/>
      <c r="K73" s="396"/>
      <c r="L73" s="397"/>
      <c r="M73" s="397" t="str">
        <f t="shared" ca="1" si="63"/>
        <v>Not Started</v>
      </c>
      <c r="N73" s="126"/>
      <c r="O73" s="125"/>
      <c r="P73" s="125"/>
      <c r="Q73" s="125"/>
      <c r="R73" s="125"/>
      <c r="S73" s="125"/>
      <c r="T73" s="125"/>
      <c r="U73" s="125"/>
      <c r="V73" s="569"/>
      <c r="W73" s="1224"/>
      <c r="X73" s="680" t="s">
        <v>158</v>
      </c>
      <c r="Y73" s="60"/>
      <c r="Z73" s="994"/>
      <c r="AA73" s="21"/>
    </row>
    <row r="74" spans="2:31" s="19" customFormat="1" ht="7.5" customHeight="1">
      <c r="B74" s="114"/>
      <c r="C74" s="114"/>
      <c r="D74" s="381"/>
      <c r="E74" s="382"/>
      <c r="F74" s="381"/>
      <c r="G74" s="381"/>
      <c r="H74" s="381"/>
      <c r="I74" s="381"/>
      <c r="J74" s="381"/>
      <c r="K74" s="381"/>
      <c r="L74" s="383"/>
      <c r="M74" s="383"/>
      <c r="N74" s="114"/>
      <c r="O74" s="114"/>
      <c r="P74" s="114"/>
      <c r="Q74" s="114"/>
      <c r="R74" s="114"/>
      <c r="S74" s="114"/>
      <c r="T74" s="114"/>
      <c r="U74" s="114"/>
      <c r="V74" s="383"/>
      <c r="W74" s="510"/>
      <c r="X74" s="661"/>
      <c r="Y74" s="114"/>
      <c r="Z74" s="114"/>
      <c r="AD74" s="24"/>
      <c r="AE74" s="24"/>
    </row>
    <row r="75" spans="2:31" ht="42.95" customHeight="1">
      <c r="B75" s="1236" t="s">
        <v>243</v>
      </c>
      <c r="C75" s="438" t="s">
        <v>91</v>
      </c>
      <c r="D75" s="346" t="s">
        <v>160</v>
      </c>
      <c r="E75" s="347">
        <f>NETWORKDAYS.INTL(F75,G75,"0000100",$AG$5:$AG$11)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7"/>
      <c r="W75" s="1222"/>
      <c r="X75" s="522"/>
      <c r="Y75" s="81"/>
      <c r="Z75" s="487"/>
      <c r="AA75" s="21"/>
      <c r="AC75" s="24"/>
    </row>
    <row r="76" spans="2:31" ht="78">
      <c r="B76" s="1237"/>
      <c r="C76" s="488" t="s">
        <v>91</v>
      </c>
      <c r="D76" s="354" t="s">
        <v>356</v>
      </c>
      <c r="E76" s="355">
        <f t="shared" ref="E76:E104" si="65">NETWORKDAYS.INTL(F76,G76,"0000100",$AG$5:$AG$12)</f>
        <v>10</v>
      </c>
      <c r="F76" s="84">
        <f>WORKDAY.INTL(G75,8,"0000100",$AG$5:$AG$11)</f>
        <v>46224</v>
      </c>
      <c r="G76" s="84">
        <f>WORKDAY.INTL(F76,9,"0000100",$AG$5:$AG$11)</f>
        <v>46235</v>
      </c>
      <c r="H76" s="84">
        <f>WORKDAY.INTL(I75,8,"0000100",$AG$5:$AG$11)</f>
        <v>46224</v>
      </c>
      <c r="I76" s="84">
        <f>WORKDAY.INTL(H76,9,"0000100",$AG$5:$AG$11)</f>
        <v>46235</v>
      </c>
      <c r="J76" s="84"/>
      <c r="K76" s="84"/>
      <c r="L76" s="367"/>
      <c r="M76" s="367" t="str">
        <f t="shared" ca="1" si="64"/>
        <v>Delayed</v>
      </c>
      <c r="N76" s="85"/>
      <c r="O76" s="82"/>
      <c r="P76" s="82"/>
      <c r="Q76" s="82"/>
      <c r="R76" s="82"/>
      <c r="S76" s="82"/>
      <c r="T76" s="82"/>
      <c r="U76" s="82"/>
      <c r="V76" s="519"/>
      <c r="W76" s="1223"/>
      <c r="X76" s="689" t="s">
        <v>162</v>
      </c>
      <c r="Y76" s="84" t="s">
        <v>357</v>
      </c>
      <c r="Z76" s="489" t="s">
        <v>358</v>
      </c>
      <c r="AA76" s="21"/>
      <c r="AC76" s="24"/>
    </row>
    <row r="77" spans="2:31" ht="39.75" customHeight="1">
      <c r="B77" s="1235"/>
      <c r="C77" s="439" t="s">
        <v>91</v>
      </c>
      <c r="D77" s="490" t="s">
        <v>165</v>
      </c>
      <c r="E77" s="348">
        <f t="shared" si="65"/>
        <v>4</v>
      </c>
      <c r="F77" s="379">
        <f t="shared" ref="F77:F83" si="66">WORKDAY.INTL(G76,1,"0000100",$AG$5:$AG$11)</f>
        <v>46236</v>
      </c>
      <c r="G77" s="379">
        <f>WORKDAY.INTL(F77,3,"0000100",$AG$5:$AG$11)</f>
        <v>46239</v>
      </c>
      <c r="H77" s="379">
        <f t="shared" ref="H77" si="67">WORKDAY.INTL(I76,1,"0000100",$AG$5:$AG$11)</f>
        <v>46236</v>
      </c>
      <c r="I77" s="379">
        <f>WORKDAY.INTL(H77,3,"0000100",$AG$5:$AG$11)</f>
        <v>46239</v>
      </c>
      <c r="J77" s="379"/>
      <c r="K77" s="379"/>
      <c r="L77" s="380"/>
      <c r="M77" s="380" t="str">
        <f t="shared" ca="1" si="64"/>
        <v>Not Started</v>
      </c>
      <c r="N77" s="71"/>
      <c r="O77" s="72"/>
      <c r="P77" s="72"/>
      <c r="Q77" s="72"/>
      <c r="R77" s="72"/>
      <c r="S77" s="72"/>
      <c r="T77" s="72"/>
      <c r="U77" s="72"/>
      <c r="V77" s="520"/>
      <c r="W77" s="1224"/>
      <c r="X77" s="525"/>
      <c r="Y77" s="379"/>
      <c r="Z77" s="491"/>
      <c r="AA77" s="21"/>
      <c r="AC77" s="24"/>
    </row>
    <row r="78" spans="2:31" s="19" customFormat="1" ht="7.5" customHeight="1">
      <c r="B78" s="114"/>
      <c r="C78" s="114"/>
      <c r="D78" s="381"/>
      <c r="E78" s="382"/>
      <c r="F78" s="381"/>
      <c r="G78" s="381"/>
      <c r="H78" s="381"/>
      <c r="I78" s="381"/>
      <c r="J78" s="381"/>
      <c r="K78" s="381"/>
      <c r="L78" s="383"/>
      <c r="M78" s="383"/>
      <c r="N78" s="114"/>
      <c r="O78" s="114"/>
      <c r="P78" s="114"/>
      <c r="Q78" s="114"/>
      <c r="R78" s="114"/>
      <c r="S78" s="114"/>
      <c r="T78" s="114"/>
      <c r="U78" s="114"/>
      <c r="V78" s="383"/>
      <c r="W78" s="510"/>
      <c r="X78" s="661"/>
      <c r="Y78" s="114"/>
      <c r="Z78" s="114"/>
      <c r="AD78" s="24"/>
      <c r="AE78" s="24"/>
    </row>
    <row r="79" spans="2:31" ht="51" customHeight="1">
      <c r="B79" s="1266" t="s">
        <v>359</v>
      </c>
      <c r="C79" s="571" t="s">
        <v>91</v>
      </c>
      <c r="D79" s="995" t="s">
        <v>360</v>
      </c>
      <c r="E79" s="996">
        <f t="shared" si="65"/>
        <v>7</v>
      </c>
      <c r="F79" s="997">
        <f>WORKDAY.INTL(G76,1,"0000100",$AG$5:$AG$11)</f>
        <v>46236</v>
      </c>
      <c r="G79" s="997">
        <f>WORKDAY.INTL(F79,6,"0000100",$AG$5:$AG$11)</f>
        <v>46243</v>
      </c>
      <c r="H79" s="997">
        <f>WORKDAY.INTL(I76,1,"0000100",$AG$5:$AG$11)</f>
        <v>46236</v>
      </c>
      <c r="I79" s="997">
        <f>WORKDAY.INTL(H79,6,"0000100",$AG$5:$AG$11)</f>
        <v>46243</v>
      </c>
      <c r="J79" s="997"/>
      <c r="K79" s="997"/>
      <c r="L79" s="998"/>
      <c r="M79" s="998" t="str">
        <f t="shared" ca="1" si="64"/>
        <v>Not Started</v>
      </c>
      <c r="N79" s="999"/>
      <c r="O79" s="1000"/>
      <c r="P79" s="1000"/>
      <c r="Q79" s="1000"/>
      <c r="R79" s="1000"/>
      <c r="S79" s="1000"/>
      <c r="T79" s="1000"/>
      <c r="U79" s="1000"/>
      <c r="V79" s="1001"/>
      <c r="W79" s="1250"/>
      <c r="X79" s="1003" t="s">
        <v>162</v>
      </c>
      <c r="Y79" s="997" t="s">
        <v>357</v>
      </c>
      <c r="Z79" s="1004" t="s">
        <v>361</v>
      </c>
      <c r="AA79" s="21"/>
      <c r="AC79" s="24"/>
    </row>
    <row r="80" spans="2:31" ht="52.5" customHeight="1">
      <c r="B80" s="1267"/>
      <c r="C80" s="461" t="s">
        <v>91</v>
      </c>
      <c r="D80" s="462" t="s">
        <v>165</v>
      </c>
      <c r="E80" s="463">
        <f t="shared" si="65"/>
        <v>5</v>
      </c>
      <c r="F80" s="464">
        <f t="shared" si="66"/>
        <v>46244</v>
      </c>
      <c r="G80" s="464">
        <f t="shared" ref="G80:I83" si="68">WORKDAY.INTL(G79,5,"0000100",$AG$5:$AG$11)</f>
        <v>46249</v>
      </c>
      <c r="H80" s="464">
        <f t="shared" ref="H80" si="69">WORKDAY.INTL(I79,1,"0000100",$AG$5:$AG$11)</f>
        <v>46244</v>
      </c>
      <c r="I80" s="464">
        <f t="shared" si="68"/>
        <v>46249</v>
      </c>
      <c r="J80" s="464"/>
      <c r="K80" s="464"/>
      <c r="L80" s="465"/>
      <c r="M80" s="465" t="str">
        <f t="shared" ca="1" si="64"/>
        <v>Not Started</v>
      </c>
      <c r="N80" s="570"/>
      <c r="O80" s="467"/>
      <c r="P80" s="467"/>
      <c r="Q80" s="467"/>
      <c r="R80" s="467"/>
      <c r="S80" s="467"/>
      <c r="T80" s="467"/>
      <c r="U80" s="467"/>
      <c r="V80" s="1002"/>
      <c r="W80" s="1251"/>
      <c r="X80" s="1005"/>
      <c r="Y80" s="464"/>
      <c r="Z80" s="1006"/>
      <c r="AA80" s="21"/>
      <c r="AC80" s="24"/>
    </row>
    <row r="81" spans="2:31" s="19" customFormat="1" ht="7.5" customHeight="1">
      <c r="B81" s="114"/>
      <c r="C81" s="114"/>
      <c r="D81" s="381"/>
      <c r="E81" s="382"/>
      <c r="F81" s="381"/>
      <c r="G81" s="381"/>
      <c r="H81" s="381"/>
      <c r="I81" s="381"/>
      <c r="J81" s="381"/>
      <c r="K81" s="381"/>
      <c r="L81" s="383"/>
      <c r="M81" s="383"/>
      <c r="N81" s="114"/>
      <c r="O81" s="114"/>
      <c r="P81" s="114"/>
      <c r="Q81" s="114"/>
      <c r="R81" s="114"/>
      <c r="S81" s="114"/>
      <c r="T81" s="114"/>
      <c r="U81" s="114"/>
      <c r="V81" s="383"/>
      <c r="W81" s="510"/>
      <c r="X81" s="661"/>
      <c r="Y81" s="114"/>
      <c r="Z81" s="114"/>
      <c r="AD81" s="24"/>
      <c r="AE81" s="24"/>
    </row>
    <row r="82" spans="2:31" ht="78">
      <c r="B82" s="1236" t="s">
        <v>362</v>
      </c>
      <c r="C82" s="438" t="s">
        <v>91</v>
      </c>
      <c r="D82" s="346" t="s">
        <v>363</v>
      </c>
      <c r="E82" s="347">
        <f t="shared" si="65"/>
        <v>5</v>
      </c>
      <c r="F82" s="81">
        <f>WORKDAY.INTL(G79,1,"0000100",$AG$5:$AG$11)</f>
        <v>46244</v>
      </c>
      <c r="G82" s="81">
        <f>WORKDAY.INTL(F82,4,"0000100",$AG$5:$AG$11)</f>
        <v>46249</v>
      </c>
      <c r="H82" s="81">
        <f>WORKDAY.INTL(I79,1,"0000100",$AG$5:$AG$11)</f>
        <v>46244</v>
      </c>
      <c r="I82" s="81">
        <f>WORKDAY.INTL(H82,4,"0000100",$AG$5:$AG$11)</f>
        <v>46249</v>
      </c>
      <c r="J82" s="81"/>
      <c r="K82" s="81"/>
      <c r="L82" s="377"/>
      <c r="M82" s="377" t="str">
        <f t="shared" ca="1" si="64"/>
        <v>Not Started</v>
      </c>
      <c r="N82" s="68"/>
      <c r="O82" s="65"/>
      <c r="P82" s="65"/>
      <c r="Q82" s="65"/>
      <c r="R82" s="65"/>
      <c r="S82" s="65"/>
      <c r="T82" s="65"/>
      <c r="U82" s="65"/>
      <c r="V82" s="517"/>
      <c r="W82" s="1222"/>
      <c r="X82" s="522"/>
      <c r="Y82" s="81" t="s">
        <v>364</v>
      </c>
      <c r="Z82" s="487" t="s">
        <v>365</v>
      </c>
      <c r="AA82" s="21"/>
      <c r="AC82" s="24"/>
    </row>
    <row r="83" spans="2:31" ht="54.75" customHeight="1">
      <c r="B83" s="1235"/>
      <c r="C83" s="439" t="s">
        <v>91</v>
      </c>
      <c r="D83" s="490" t="s">
        <v>165</v>
      </c>
      <c r="E83" s="348">
        <f t="shared" si="65"/>
        <v>5</v>
      </c>
      <c r="F83" s="379">
        <f t="shared" si="66"/>
        <v>46250</v>
      </c>
      <c r="G83" s="379">
        <f t="shared" si="68"/>
        <v>46254</v>
      </c>
      <c r="H83" s="379">
        <f t="shared" ref="H83" si="70">WORKDAY.INTL(I82,1,"0000100",$AG$5:$AG$11)</f>
        <v>46250</v>
      </c>
      <c r="I83" s="379">
        <f t="shared" si="68"/>
        <v>46254</v>
      </c>
      <c r="J83" s="379"/>
      <c r="K83" s="379"/>
      <c r="L83" s="380"/>
      <c r="M83" s="380" t="str">
        <f t="shared" ca="1" si="64"/>
        <v>Not Started</v>
      </c>
      <c r="N83" s="71"/>
      <c r="O83" s="72"/>
      <c r="P83" s="72"/>
      <c r="Q83" s="72"/>
      <c r="R83" s="72"/>
      <c r="S83" s="72"/>
      <c r="T83" s="72"/>
      <c r="U83" s="72"/>
      <c r="V83" s="520"/>
      <c r="W83" s="1224"/>
      <c r="X83" s="525"/>
      <c r="Y83" s="379"/>
      <c r="Z83" s="491"/>
      <c r="AA83" s="21"/>
      <c r="AC83" s="24"/>
    </row>
    <row r="84" spans="2:31" s="19" customFormat="1" ht="7.5" customHeight="1">
      <c r="B84" s="114"/>
      <c r="C84" s="114"/>
      <c r="D84" s="381"/>
      <c r="E84" s="382"/>
      <c r="F84" s="381"/>
      <c r="G84" s="381"/>
      <c r="H84" s="381"/>
      <c r="I84" s="381"/>
      <c r="J84" s="381"/>
      <c r="K84" s="381"/>
      <c r="L84" s="383"/>
      <c r="M84" s="383"/>
      <c r="N84" s="114"/>
      <c r="O84" s="114"/>
      <c r="P84" s="114"/>
      <c r="Q84" s="114"/>
      <c r="R84" s="114"/>
      <c r="S84" s="114"/>
      <c r="T84" s="114"/>
      <c r="U84" s="114"/>
      <c r="V84" s="383"/>
      <c r="W84" s="510"/>
      <c r="X84" s="661"/>
      <c r="Y84" s="114"/>
      <c r="Z84" s="114"/>
      <c r="AD84" s="24"/>
      <c r="AE84" s="24"/>
    </row>
    <row r="85" spans="2:31" s="104" customFormat="1" ht="78">
      <c r="B85" s="1266" t="s">
        <v>366</v>
      </c>
      <c r="C85" s="571" t="s">
        <v>91</v>
      </c>
      <c r="D85" s="995" t="s">
        <v>367</v>
      </c>
      <c r="E85" s="996">
        <f t="shared" si="65"/>
        <v>7</v>
      </c>
      <c r="F85" s="997">
        <f t="shared" ref="F85" si="71">WORKDAY.INTL(G82,1,"0000100",$AG$5:$AG$11)</f>
        <v>46250</v>
      </c>
      <c r="G85" s="997">
        <f>WORKDAY.INTL(F85,6,"0000100",$AG$5:$AG$11)</f>
        <v>46257</v>
      </c>
      <c r="H85" s="997">
        <f>WORKDAY.INTL(I82,1,"0000100",$AG$5:$AG$11)</f>
        <v>46250</v>
      </c>
      <c r="I85" s="997">
        <f>WORKDAY.INTL(H85,6,"0000100",$AG$5:$AG$11)</f>
        <v>46257</v>
      </c>
      <c r="J85" s="997"/>
      <c r="K85" s="997"/>
      <c r="L85" s="998"/>
      <c r="M85" s="998" t="str">
        <f t="shared" ca="1" si="64"/>
        <v>Not Started</v>
      </c>
      <c r="N85" s="999"/>
      <c r="O85" s="1000"/>
      <c r="P85" s="1000"/>
      <c r="Q85" s="1000"/>
      <c r="R85" s="1000"/>
      <c r="S85" s="1000"/>
      <c r="T85" s="1000"/>
      <c r="U85" s="1000"/>
      <c r="V85" s="1001"/>
      <c r="W85" s="1250"/>
      <c r="X85" s="1007"/>
      <c r="Y85" s="997" t="s">
        <v>364</v>
      </c>
      <c r="Z85" s="1004" t="s">
        <v>368</v>
      </c>
      <c r="AA85" s="127"/>
      <c r="AC85" s="128"/>
      <c r="AD85" s="128"/>
      <c r="AE85" s="128"/>
    </row>
    <row r="86" spans="2:31" s="104" customFormat="1" ht="53.25" customHeight="1">
      <c r="B86" s="1267"/>
      <c r="C86" s="461" t="s">
        <v>91</v>
      </c>
      <c r="D86" s="462" t="s">
        <v>165</v>
      </c>
      <c r="E86" s="463">
        <f t="shared" si="65"/>
        <v>5</v>
      </c>
      <c r="F86" s="464">
        <f t="shared" ref="F86:F92" si="72">WORKDAY.INTL(G85,1,"0000100",$AG$5:$AG$11)</f>
        <v>46258</v>
      </c>
      <c r="G86" s="464">
        <f t="shared" ref="G86:I92" si="73">WORKDAY.INTL(G85,5,"0000100",$AG$5:$AG$11)</f>
        <v>46263</v>
      </c>
      <c r="H86" s="464">
        <f t="shared" ref="H86" si="74">WORKDAY.INTL(I85,1,"0000100",$AG$5:$AG$11)</f>
        <v>46258</v>
      </c>
      <c r="I86" s="464">
        <f t="shared" si="73"/>
        <v>46263</v>
      </c>
      <c r="J86" s="464"/>
      <c r="K86" s="464"/>
      <c r="L86" s="465"/>
      <c r="M86" s="465" t="str">
        <f t="shared" ca="1" si="64"/>
        <v>Not Started</v>
      </c>
      <c r="N86" s="570"/>
      <c r="O86" s="467"/>
      <c r="P86" s="467"/>
      <c r="Q86" s="467"/>
      <c r="R86" s="467"/>
      <c r="S86" s="467"/>
      <c r="T86" s="467"/>
      <c r="U86" s="467"/>
      <c r="V86" s="1002"/>
      <c r="W86" s="1251"/>
      <c r="X86" s="1005"/>
      <c r="Y86" s="464"/>
      <c r="Z86" s="1006"/>
      <c r="AA86" s="127"/>
      <c r="AC86" s="128"/>
      <c r="AD86" s="128"/>
      <c r="AE86" s="128"/>
    </row>
    <row r="87" spans="2:31" s="19" customFormat="1" ht="7.5" customHeight="1">
      <c r="B87" s="114"/>
      <c r="C87" s="114"/>
      <c r="D87" s="381"/>
      <c r="E87" s="382"/>
      <c r="F87" s="381"/>
      <c r="G87" s="381"/>
      <c r="H87" s="381"/>
      <c r="I87" s="381"/>
      <c r="J87" s="381"/>
      <c r="K87" s="381"/>
      <c r="L87" s="383"/>
      <c r="M87" s="383"/>
      <c r="N87" s="114"/>
      <c r="O87" s="114"/>
      <c r="P87" s="114"/>
      <c r="Q87" s="114"/>
      <c r="R87" s="114"/>
      <c r="S87" s="114"/>
      <c r="T87" s="114"/>
      <c r="U87" s="114"/>
      <c r="V87" s="383"/>
      <c r="W87" s="510"/>
      <c r="X87" s="661"/>
      <c r="Y87" s="114"/>
      <c r="Z87" s="114"/>
      <c r="AD87" s="24"/>
      <c r="AE87" s="24"/>
    </row>
    <row r="88" spans="2:31" ht="42.95" customHeight="1">
      <c r="B88" s="1236" t="s">
        <v>369</v>
      </c>
      <c r="C88" s="438" t="s">
        <v>91</v>
      </c>
      <c r="D88" s="346" t="s">
        <v>370</v>
      </c>
      <c r="E88" s="347">
        <f t="shared" si="65"/>
        <v>5</v>
      </c>
      <c r="F88" s="81">
        <f>WORKDAY.INTL(G85,1,"0000100",$AG$5:$AG$11)</f>
        <v>46258</v>
      </c>
      <c r="G88" s="81">
        <f>WORKDAY.INTL(F88,4,"0000100",$AG$5:$AG$11)</f>
        <v>46263</v>
      </c>
      <c r="H88" s="81">
        <f>WORKDAY.INTL(I85,1,"0000100",$AG$5:$AG$11)</f>
        <v>46258</v>
      </c>
      <c r="I88" s="81">
        <f>WORKDAY.INTL(H88,4,"0000100",$AG$5:$AG$11)</f>
        <v>46263</v>
      </c>
      <c r="J88" s="81"/>
      <c r="K88" s="81"/>
      <c r="L88" s="377"/>
      <c r="M88" s="377" t="str">
        <f t="shared" ca="1" si="64"/>
        <v>Not Started</v>
      </c>
      <c r="N88" s="68"/>
      <c r="O88" s="65"/>
      <c r="P88" s="65"/>
      <c r="Q88" s="65"/>
      <c r="R88" s="65"/>
      <c r="S88" s="65"/>
      <c r="T88" s="65"/>
      <c r="U88" s="65"/>
      <c r="V88" s="517"/>
      <c r="W88" s="1222"/>
      <c r="X88" s="522"/>
      <c r="Y88" s="81" t="s">
        <v>364</v>
      </c>
      <c r="Z88" s="487" t="s">
        <v>371</v>
      </c>
      <c r="AA88" s="21"/>
      <c r="AC88" s="24"/>
    </row>
    <row r="89" spans="2:31" ht="53.25" customHeight="1">
      <c r="B89" s="1235"/>
      <c r="C89" s="439" t="s">
        <v>91</v>
      </c>
      <c r="D89" s="490" t="s">
        <v>165</v>
      </c>
      <c r="E89" s="348">
        <f t="shared" si="65"/>
        <v>5</v>
      </c>
      <c r="F89" s="379">
        <f t="shared" si="72"/>
        <v>46264</v>
      </c>
      <c r="G89" s="379">
        <f t="shared" si="73"/>
        <v>46268</v>
      </c>
      <c r="H89" s="379">
        <f t="shared" ref="H89" si="75">WORKDAY.INTL(I88,1,"0000100",$AG$5:$AG$11)</f>
        <v>46264</v>
      </c>
      <c r="I89" s="379">
        <f t="shared" si="73"/>
        <v>46268</v>
      </c>
      <c r="J89" s="379"/>
      <c r="K89" s="379"/>
      <c r="L89" s="380"/>
      <c r="M89" s="380" t="str">
        <f t="shared" ca="1" si="64"/>
        <v>Not Started</v>
      </c>
      <c r="N89" s="71"/>
      <c r="O89" s="72"/>
      <c r="P89" s="72"/>
      <c r="Q89" s="72"/>
      <c r="R89" s="72"/>
      <c r="S89" s="72"/>
      <c r="T89" s="72"/>
      <c r="U89" s="72"/>
      <c r="V89" s="520"/>
      <c r="W89" s="1224"/>
      <c r="X89" s="525"/>
      <c r="Y89" s="379"/>
      <c r="Z89" s="491"/>
      <c r="AA89" s="21"/>
      <c r="AC89" s="24"/>
    </row>
    <row r="90" spans="2:31" s="19" customFormat="1" ht="7.5" customHeight="1">
      <c r="B90" s="114"/>
      <c r="C90" s="114"/>
      <c r="D90" s="381"/>
      <c r="E90" s="382"/>
      <c r="F90" s="381"/>
      <c r="G90" s="381"/>
      <c r="H90" s="381"/>
      <c r="I90" s="381"/>
      <c r="J90" s="381"/>
      <c r="K90" s="381"/>
      <c r="L90" s="383"/>
      <c r="M90" s="383"/>
      <c r="N90" s="114"/>
      <c r="O90" s="114"/>
      <c r="P90" s="114"/>
      <c r="Q90" s="114"/>
      <c r="R90" s="114"/>
      <c r="S90" s="114"/>
      <c r="T90" s="114"/>
      <c r="U90" s="114"/>
      <c r="V90" s="383"/>
      <c r="W90" s="510"/>
      <c r="X90" s="661"/>
      <c r="Y90" s="114"/>
      <c r="Z90" s="114"/>
      <c r="AD90" s="24"/>
      <c r="AE90" s="24"/>
    </row>
    <row r="91" spans="2:31" s="104" customFormat="1" ht="78">
      <c r="B91" s="1266" t="s">
        <v>372</v>
      </c>
      <c r="C91" s="571" t="s">
        <v>91</v>
      </c>
      <c r="D91" s="995" t="s">
        <v>373</v>
      </c>
      <c r="E91" s="996">
        <f t="shared" si="65"/>
        <v>7</v>
      </c>
      <c r="F91" s="997">
        <f>WORKDAY.INTL(G88,1,"0000100",$AG$5:$AG$11)</f>
        <v>46264</v>
      </c>
      <c r="G91" s="997">
        <f>WORKDAY.INTL(F91,6,"0000100",$AG$5:$AG$11)</f>
        <v>46271</v>
      </c>
      <c r="H91" s="997">
        <f>WORKDAY.INTL(I88,1,"0000100",$AG$5:$AG$11)</f>
        <v>46264</v>
      </c>
      <c r="I91" s="997">
        <f>WORKDAY.INTL(H91,6,"0000100",$AG$5:$AG$11)</f>
        <v>46271</v>
      </c>
      <c r="J91" s="997"/>
      <c r="K91" s="997"/>
      <c r="L91" s="998"/>
      <c r="M91" s="998" t="str">
        <f t="shared" ca="1" si="64"/>
        <v>Not Started</v>
      </c>
      <c r="N91" s="999"/>
      <c r="O91" s="1000"/>
      <c r="P91" s="1000"/>
      <c r="Q91" s="1000"/>
      <c r="R91" s="1000"/>
      <c r="S91" s="1000"/>
      <c r="T91" s="1000"/>
      <c r="U91" s="1000"/>
      <c r="V91" s="1001"/>
      <c r="W91" s="1250"/>
      <c r="X91" s="1007"/>
      <c r="Y91" s="997" t="s">
        <v>364</v>
      </c>
      <c r="Z91" s="1004" t="s">
        <v>374</v>
      </c>
      <c r="AA91" s="127"/>
      <c r="AC91" s="128"/>
      <c r="AD91" s="128"/>
      <c r="AE91" s="128"/>
    </row>
    <row r="92" spans="2:31" s="104" customFormat="1" ht="53.25" customHeight="1">
      <c r="B92" s="1267"/>
      <c r="C92" s="461" t="s">
        <v>91</v>
      </c>
      <c r="D92" s="462" t="s">
        <v>165</v>
      </c>
      <c r="E92" s="463">
        <f t="shared" si="65"/>
        <v>5</v>
      </c>
      <c r="F92" s="464">
        <f t="shared" si="72"/>
        <v>46272</v>
      </c>
      <c r="G92" s="464">
        <f t="shared" si="73"/>
        <v>46277</v>
      </c>
      <c r="H92" s="464">
        <f t="shared" ref="H92" si="76">WORKDAY.INTL(I91,1,"0000100",$AG$5:$AG$11)</f>
        <v>46272</v>
      </c>
      <c r="I92" s="464">
        <f t="shared" si="73"/>
        <v>46277</v>
      </c>
      <c r="J92" s="464"/>
      <c r="K92" s="464"/>
      <c r="L92" s="465"/>
      <c r="M92" s="465" t="str">
        <f t="shared" ca="1" si="64"/>
        <v>Not Started</v>
      </c>
      <c r="N92" s="570"/>
      <c r="O92" s="467"/>
      <c r="P92" s="467"/>
      <c r="Q92" s="467"/>
      <c r="R92" s="467"/>
      <c r="S92" s="467"/>
      <c r="T92" s="467"/>
      <c r="U92" s="467"/>
      <c r="V92" s="1002"/>
      <c r="W92" s="1251"/>
      <c r="X92" s="1005"/>
      <c r="Y92" s="464"/>
      <c r="Z92" s="1006"/>
      <c r="AA92" s="127"/>
      <c r="AC92" s="128"/>
      <c r="AD92" s="128"/>
      <c r="AE92" s="128"/>
    </row>
    <row r="93" spans="2:31" s="19" customFormat="1" ht="7.5" customHeight="1">
      <c r="B93" s="114"/>
      <c r="C93" s="114"/>
      <c r="D93" s="381"/>
      <c r="E93" s="382"/>
      <c r="F93" s="381"/>
      <c r="G93" s="381"/>
      <c r="H93" s="381"/>
      <c r="I93" s="381"/>
      <c r="J93" s="381"/>
      <c r="K93" s="381"/>
      <c r="L93" s="383"/>
      <c r="M93" s="383"/>
      <c r="N93" s="114"/>
      <c r="O93" s="114"/>
      <c r="P93" s="114"/>
      <c r="Q93" s="114"/>
      <c r="R93" s="114"/>
      <c r="S93" s="114"/>
      <c r="T93" s="114"/>
      <c r="U93" s="114"/>
      <c r="V93" s="383"/>
      <c r="W93" s="510"/>
      <c r="X93" s="661"/>
      <c r="Y93" s="114"/>
      <c r="Z93" s="114"/>
      <c r="AD93" s="24"/>
      <c r="AE93" s="24"/>
    </row>
    <row r="94" spans="2:31" ht="78">
      <c r="B94" s="1236" t="s">
        <v>375</v>
      </c>
      <c r="C94" s="438" t="s">
        <v>91</v>
      </c>
      <c r="D94" s="346" t="s">
        <v>376</v>
      </c>
      <c r="E94" s="347">
        <f t="shared" si="65"/>
        <v>5</v>
      </c>
      <c r="F94" s="81">
        <f t="shared" ref="F94" si="77">WORKDAY.INTL(G91,1,"0000100",$AG$5:$AG$11)</f>
        <v>46272</v>
      </c>
      <c r="G94" s="81">
        <f>WORKDAY.INTL(F94,4,"0000100",$AG$5:$AG$11)</f>
        <v>46277</v>
      </c>
      <c r="H94" s="81">
        <f>WORKDAY.INTL(I91,1,"0000100",$AG$5:$AG$11)</f>
        <v>46272</v>
      </c>
      <c r="I94" s="81">
        <f>WORKDAY.INTL(H94,4,"0000100",$AG$5:$AG$11)</f>
        <v>46277</v>
      </c>
      <c r="J94" s="81"/>
      <c r="K94" s="81"/>
      <c r="L94" s="377"/>
      <c r="M94" s="377" t="str">
        <f t="shared" ca="1" si="64"/>
        <v>Not Started</v>
      </c>
      <c r="N94" s="68"/>
      <c r="O94" s="65"/>
      <c r="P94" s="65"/>
      <c r="Q94" s="65"/>
      <c r="R94" s="65"/>
      <c r="S94" s="65"/>
      <c r="T94" s="65"/>
      <c r="U94" s="65"/>
      <c r="V94" s="517"/>
      <c r="W94" s="1222"/>
      <c r="X94" s="522"/>
      <c r="Y94" s="81" t="s">
        <v>364</v>
      </c>
      <c r="Z94" s="487" t="s">
        <v>309</v>
      </c>
      <c r="AA94" s="21"/>
      <c r="AC94" s="24"/>
    </row>
    <row r="95" spans="2:31" ht="66" customHeight="1">
      <c r="B95" s="1235"/>
      <c r="C95" s="439" t="s">
        <v>91</v>
      </c>
      <c r="D95" s="490" t="s">
        <v>165</v>
      </c>
      <c r="E95" s="348">
        <f t="shared" si="65"/>
        <v>5</v>
      </c>
      <c r="F95" s="379">
        <f t="shared" ref="F95:F98" si="78">WORKDAY.INTL(G94,1,"0000100",$AG$5:$AG$11)</f>
        <v>46278</v>
      </c>
      <c r="G95" s="379">
        <f t="shared" ref="G95:I101" si="79">WORKDAY.INTL(G94,5,"0000100",$AG$5:$AG$11)</f>
        <v>46282</v>
      </c>
      <c r="H95" s="379">
        <f t="shared" ref="H95" si="80">WORKDAY.INTL(I94,1,"0000100",$AG$5:$AG$11)</f>
        <v>46278</v>
      </c>
      <c r="I95" s="379">
        <f t="shared" si="79"/>
        <v>46282</v>
      </c>
      <c r="J95" s="379"/>
      <c r="K95" s="379"/>
      <c r="L95" s="380"/>
      <c r="M95" s="380" t="str">
        <f t="shared" ca="1" si="64"/>
        <v>Not Started</v>
      </c>
      <c r="N95" s="71"/>
      <c r="O95" s="72"/>
      <c r="P95" s="72"/>
      <c r="Q95" s="72"/>
      <c r="R95" s="72"/>
      <c r="S95" s="72"/>
      <c r="T95" s="72"/>
      <c r="U95" s="72"/>
      <c r="V95" s="520"/>
      <c r="W95" s="1224"/>
      <c r="X95" s="525"/>
      <c r="Y95" s="379"/>
      <c r="Z95" s="491"/>
      <c r="AA95" s="21"/>
      <c r="AC95" s="24"/>
    </row>
    <row r="96" spans="2:31" s="19" customFormat="1" ht="7.5" customHeight="1">
      <c r="B96" s="114"/>
      <c r="C96" s="114"/>
      <c r="D96" s="381"/>
      <c r="E96" s="382"/>
      <c r="F96" s="381"/>
      <c r="G96" s="381"/>
      <c r="H96" s="381"/>
      <c r="I96" s="381"/>
      <c r="J96" s="381"/>
      <c r="K96" s="381"/>
      <c r="L96" s="383"/>
      <c r="M96" s="383"/>
      <c r="N96" s="114"/>
      <c r="O96" s="114"/>
      <c r="P96" s="114"/>
      <c r="Q96" s="114"/>
      <c r="R96" s="114"/>
      <c r="S96" s="114"/>
      <c r="T96" s="114"/>
      <c r="U96" s="114"/>
      <c r="V96" s="383"/>
      <c r="W96" s="510"/>
      <c r="X96" s="661"/>
      <c r="Y96" s="114"/>
      <c r="Z96" s="114"/>
      <c r="AD96" s="24"/>
      <c r="AE96" s="24"/>
    </row>
    <row r="97" spans="2:31" s="104" customFormat="1" ht="56.1" customHeight="1">
      <c r="B97" s="1266" t="s">
        <v>377</v>
      </c>
      <c r="C97" s="571" t="s">
        <v>91</v>
      </c>
      <c r="D97" s="995" t="s">
        <v>378</v>
      </c>
      <c r="E97" s="996">
        <f t="shared" si="65"/>
        <v>6</v>
      </c>
      <c r="F97" s="997">
        <f>WORKDAY.INTL(G94,1,"0000100",$AG$5:$AG$11)</f>
        <v>46278</v>
      </c>
      <c r="G97" s="997">
        <f>WORKDAY.INTL(F97,5,"0000100",$AG$5:$AG$11)</f>
        <v>46284</v>
      </c>
      <c r="H97" s="997">
        <f>WORKDAY.INTL(I94,1,"0000100",$AG$5:$AG$11)</f>
        <v>46278</v>
      </c>
      <c r="I97" s="997">
        <f>WORKDAY.INTL(H97,5,"0000100",$AG$5:$AG$11)</f>
        <v>46284</v>
      </c>
      <c r="J97" s="997"/>
      <c r="K97" s="997"/>
      <c r="L97" s="998"/>
      <c r="M97" s="998" t="str">
        <f t="shared" ca="1" si="64"/>
        <v>Not Started</v>
      </c>
      <c r="N97" s="999"/>
      <c r="O97" s="1000"/>
      <c r="P97" s="1000"/>
      <c r="Q97" s="1000"/>
      <c r="R97" s="1000"/>
      <c r="S97" s="1000"/>
      <c r="T97" s="1000"/>
      <c r="U97" s="1000"/>
      <c r="V97" s="1001"/>
      <c r="W97" s="1008"/>
      <c r="X97" s="1007"/>
      <c r="Y97" s="997" t="s">
        <v>364</v>
      </c>
      <c r="Z97" s="1004" t="s">
        <v>317</v>
      </c>
      <c r="AA97" s="127"/>
      <c r="AC97" s="128"/>
      <c r="AD97" s="128"/>
      <c r="AE97" s="128"/>
    </row>
    <row r="98" spans="2:31" s="104" customFormat="1" ht="47.1" customHeight="1">
      <c r="B98" s="1267"/>
      <c r="C98" s="461" t="s">
        <v>91</v>
      </c>
      <c r="D98" s="462" t="s">
        <v>165</v>
      </c>
      <c r="E98" s="463">
        <f t="shared" si="65"/>
        <v>5</v>
      </c>
      <c r="F98" s="464">
        <f t="shared" si="78"/>
        <v>46285</v>
      </c>
      <c r="G98" s="464">
        <f t="shared" si="79"/>
        <v>46289</v>
      </c>
      <c r="H98" s="464">
        <f t="shared" ref="H98" si="81">WORKDAY.INTL(I97,1,"0000100",$AG$5:$AG$11)</f>
        <v>46285</v>
      </c>
      <c r="I98" s="464">
        <f t="shared" si="79"/>
        <v>46289</v>
      </c>
      <c r="J98" s="464"/>
      <c r="K98" s="464"/>
      <c r="L98" s="465"/>
      <c r="M98" s="465" t="str">
        <f t="shared" ca="1" si="64"/>
        <v>Not Started</v>
      </c>
      <c r="N98" s="570"/>
      <c r="O98" s="467"/>
      <c r="P98" s="467"/>
      <c r="Q98" s="467"/>
      <c r="R98" s="467"/>
      <c r="S98" s="467"/>
      <c r="T98" s="467"/>
      <c r="U98" s="467"/>
      <c r="V98" s="1002"/>
      <c r="W98" s="1009"/>
      <c r="X98" s="1005"/>
      <c r="Y98" s="464"/>
      <c r="Z98" s="1006"/>
      <c r="AA98" s="127"/>
      <c r="AC98" s="128"/>
      <c r="AD98" s="128"/>
      <c r="AE98" s="128"/>
    </row>
    <row r="99" spans="2:31" s="19" customFormat="1" ht="7.5" customHeight="1">
      <c r="B99" s="114"/>
      <c r="C99" s="114"/>
      <c r="D99" s="381"/>
      <c r="E99" s="382"/>
      <c r="F99" s="381"/>
      <c r="G99" s="381"/>
      <c r="H99" s="381"/>
      <c r="I99" s="381"/>
      <c r="J99" s="381"/>
      <c r="K99" s="381"/>
      <c r="L99" s="383"/>
      <c r="M99" s="383"/>
      <c r="N99" s="114"/>
      <c r="O99" s="114"/>
      <c r="P99" s="114"/>
      <c r="Q99" s="114"/>
      <c r="R99" s="114"/>
      <c r="S99" s="114"/>
      <c r="T99" s="114"/>
      <c r="U99" s="114"/>
      <c r="V99" s="383"/>
      <c r="W99" s="510"/>
      <c r="X99" s="661"/>
      <c r="Y99" s="114"/>
      <c r="Z99" s="114"/>
      <c r="AD99" s="24"/>
      <c r="AE99" s="24"/>
    </row>
    <row r="100" spans="2:31" ht="78">
      <c r="B100" s="1236" t="s">
        <v>379</v>
      </c>
      <c r="C100" s="438" t="s">
        <v>91</v>
      </c>
      <c r="D100" s="346" t="s">
        <v>380</v>
      </c>
      <c r="E100" s="347">
        <f t="shared" si="65"/>
        <v>5</v>
      </c>
      <c r="F100" s="81">
        <f>WORKDAY.INTL(G97,1,"0000100",$AG$5:$AG$11)</f>
        <v>46285</v>
      </c>
      <c r="G100" s="81">
        <f>WORKDAY.INTL(F100,4,"0000100",$AG$5:$AG$11)</f>
        <v>46289</v>
      </c>
      <c r="H100" s="81">
        <f>WORKDAY.INTL(I97,1,"0000100",$AG$5:$AG$11)</f>
        <v>46285</v>
      </c>
      <c r="I100" s="81">
        <f>WORKDAY.INTL(H100,4,"0000100",$AG$5:$AG$11)</f>
        <v>46289</v>
      </c>
      <c r="J100" s="81"/>
      <c r="K100" s="81"/>
      <c r="L100" s="377"/>
      <c r="M100" s="377" t="str">
        <f t="shared" ca="1" si="64"/>
        <v>Not Started</v>
      </c>
      <c r="N100" s="68"/>
      <c r="O100" s="65"/>
      <c r="P100" s="65"/>
      <c r="Q100" s="65"/>
      <c r="R100" s="65"/>
      <c r="S100" s="65"/>
      <c r="T100" s="65"/>
      <c r="U100" s="65"/>
      <c r="V100" s="517"/>
      <c r="W100" s="625"/>
      <c r="X100" s="522"/>
      <c r="Y100" s="81" t="s">
        <v>364</v>
      </c>
      <c r="Z100" s="487" t="s">
        <v>371</v>
      </c>
      <c r="AA100" s="21"/>
      <c r="AC100" s="24"/>
    </row>
    <row r="101" spans="2:31" ht="57" customHeight="1">
      <c r="B101" s="1235"/>
      <c r="C101" s="439" t="s">
        <v>91</v>
      </c>
      <c r="D101" s="490" t="s">
        <v>165</v>
      </c>
      <c r="E101" s="348">
        <f t="shared" si="65"/>
        <v>5</v>
      </c>
      <c r="F101" s="379">
        <f>WORKDAY.INTL(G100,1,"0000100",$AG$5:$AG$11)</f>
        <v>46291</v>
      </c>
      <c r="G101" s="379">
        <f t="shared" si="79"/>
        <v>46295</v>
      </c>
      <c r="H101" s="379">
        <f>WORKDAY.INTL(I100,1,"0000100",$AG$5:$AG$11)</f>
        <v>46291</v>
      </c>
      <c r="I101" s="379">
        <f t="shared" si="79"/>
        <v>46295</v>
      </c>
      <c r="J101" s="379"/>
      <c r="K101" s="379"/>
      <c r="L101" s="380"/>
      <c r="M101" s="380" t="str">
        <f t="shared" ca="1" si="64"/>
        <v>Not Started</v>
      </c>
      <c r="N101" s="71"/>
      <c r="O101" s="72"/>
      <c r="P101" s="72"/>
      <c r="Q101" s="72"/>
      <c r="R101" s="72"/>
      <c r="S101" s="72"/>
      <c r="T101" s="72"/>
      <c r="U101" s="72"/>
      <c r="V101" s="520"/>
      <c r="W101" s="627"/>
      <c r="X101" s="525"/>
      <c r="Y101" s="379"/>
      <c r="Z101" s="491"/>
      <c r="AA101" s="21"/>
      <c r="AC101" s="24"/>
    </row>
    <row r="102" spans="2:31" s="19" customFormat="1" ht="7.5" customHeight="1">
      <c r="B102" s="114"/>
      <c r="C102" s="114"/>
      <c r="D102" s="381"/>
      <c r="E102" s="382"/>
      <c r="F102" s="381"/>
      <c r="G102" s="381"/>
      <c r="H102" s="381"/>
      <c r="I102" s="381"/>
      <c r="J102" s="381"/>
      <c r="K102" s="381"/>
      <c r="L102" s="383"/>
      <c r="M102" s="383"/>
      <c r="N102" s="114"/>
      <c r="O102" s="114"/>
      <c r="P102" s="114"/>
      <c r="Q102" s="114"/>
      <c r="R102" s="114"/>
      <c r="S102" s="114"/>
      <c r="T102" s="114"/>
      <c r="U102" s="114"/>
      <c r="V102" s="383"/>
      <c r="W102" s="510"/>
      <c r="X102" s="661"/>
      <c r="Y102" s="114"/>
      <c r="Z102" s="114"/>
      <c r="AD102" s="24"/>
      <c r="AE102" s="24"/>
    </row>
    <row r="103" spans="2:31" s="104" customFormat="1" ht="78">
      <c r="B103" s="1268" t="s">
        <v>381</v>
      </c>
      <c r="C103" s="438" t="s">
        <v>91</v>
      </c>
      <c r="D103" s="1010" t="s">
        <v>382</v>
      </c>
      <c r="E103" s="1011">
        <f t="shared" si="65"/>
        <v>6</v>
      </c>
      <c r="F103" s="1012">
        <f t="shared" ref="F103" si="82">WORKDAY.INTL(G100,1,"0000100",$AG$5:$AG$11)</f>
        <v>46291</v>
      </c>
      <c r="G103" s="1012">
        <f>WORKDAY.INTL(F103,5,"0000100",$AG$5:$AG$11)</f>
        <v>46296</v>
      </c>
      <c r="H103" s="1012">
        <f>WORKDAY.INTL(I100,1,"0000100",$AG$5:$AG$11)</f>
        <v>46291</v>
      </c>
      <c r="I103" s="1012">
        <f>WORKDAY.INTL(H103,5,"0000100",$AG$5:$AG$11)</f>
        <v>46296</v>
      </c>
      <c r="J103" s="1012"/>
      <c r="K103" s="1012"/>
      <c r="L103" s="1013"/>
      <c r="M103" s="1013" t="str">
        <f t="shared" ca="1" si="64"/>
        <v>Not Started</v>
      </c>
      <c r="N103" s="1014"/>
      <c r="O103" s="1015"/>
      <c r="P103" s="1015"/>
      <c r="Q103" s="1015"/>
      <c r="R103" s="1015"/>
      <c r="S103" s="1015"/>
      <c r="T103" s="1015"/>
      <c r="U103" s="1015"/>
      <c r="V103" s="1016"/>
      <c r="W103" s="625"/>
      <c r="X103" s="1024"/>
      <c r="Y103" s="1012" t="s">
        <v>364</v>
      </c>
      <c r="Z103" s="1025" t="s">
        <v>383</v>
      </c>
      <c r="AA103" s="127"/>
      <c r="AC103" s="128"/>
      <c r="AD103" s="128"/>
      <c r="AE103" s="128"/>
    </row>
    <row r="104" spans="2:31" s="104" customFormat="1" ht="64.5" customHeight="1">
      <c r="B104" s="1269"/>
      <c r="C104" s="439" t="s">
        <v>91</v>
      </c>
      <c r="D104" s="1017" t="s">
        <v>165</v>
      </c>
      <c r="E104" s="1018">
        <f t="shared" si="65"/>
        <v>4</v>
      </c>
      <c r="F104" s="1019">
        <f>WORKDAY.INTL(G103,1,"0000100",$AG$5:$AG$11)</f>
        <v>46298</v>
      </c>
      <c r="G104" s="1019">
        <f>WORKDAY.INTL(G103,4,"0000100",$AG$5:$AG$11)</f>
        <v>46301</v>
      </c>
      <c r="H104" s="1019">
        <f>WORKDAY.INTL(I103,1,"0000100",$AG$5:$AG$11)</f>
        <v>46298</v>
      </c>
      <c r="I104" s="1019">
        <f>WORKDAY.INTL(I103,4,"0000100",$AG$5:$AG$11)</f>
        <v>46301</v>
      </c>
      <c r="J104" s="1019"/>
      <c r="K104" s="1019"/>
      <c r="L104" s="1020"/>
      <c r="M104" s="1020" t="str">
        <f t="shared" ca="1" si="64"/>
        <v>Not Started</v>
      </c>
      <c r="N104" s="1021"/>
      <c r="O104" s="1022"/>
      <c r="P104" s="1022"/>
      <c r="Q104" s="1022"/>
      <c r="R104" s="1022"/>
      <c r="S104" s="1022"/>
      <c r="T104" s="1022"/>
      <c r="U104" s="1022"/>
      <c r="V104" s="1023"/>
      <c r="W104" s="627"/>
      <c r="X104" s="1026"/>
      <c r="Y104" s="1019"/>
      <c r="Z104" s="1027"/>
      <c r="AA104" s="127"/>
      <c r="AC104" s="128"/>
      <c r="AD104" s="128"/>
      <c r="AE104" s="128"/>
    </row>
    <row r="105" spans="2:31" s="19" customFormat="1" ht="7.5" customHeight="1">
      <c r="B105" s="114"/>
      <c r="C105" s="114"/>
      <c r="D105" s="381"/>
      <c r="E105" s="382"/>
      <c r="F105" s="381"/>
      <c r="G105" s="381"/>
      <c r="H105" s="381"/>
      <c r="I105" s="381"/>
      <c r="J105" s="381"/>
      <c r="K105" s="381"/>
      <c r="L105" s="383"/>
      <c r="M105" s="383"/>
      <c r="N105" s="114"/>
      <c r="O105" s="114"/>
      <c r="P105" s="114"/>
      <c r="Q105" s="114"/>
      <c r="R105" s="114"/>
      <c r="S105" s="114"/>
      <c r="T105" s="114"/>
      <c r="U105" s="114"/>
      <c r="V105" s="383"/>
      <c r="W105" s="510"/>
      <c r="X105" s="661"/>
      <c r="Y105" s="114"/>
      <c r="Z105" s="114"/>
      <c r="AD105" s="24"/>
      <c r="AE105" s="24"/>
    </row>
    <row r="106" spans="2:31" ht="110.25">
      <c r="B106" s="722" t="s">
        <v>185</v>
      </c>
      <c r="C106" s="723" t="s">
        <v>91</v>
      </c>
      <c r="D106" s="724" t="s">
        <v>384</v>
      </c>
      <c r="E106" s="725">
        <f>NETWORKDAYS.INTL(F106,G106,"0000110",$AG$5:$AG$12)</f>
        <v>45</v>
      </c>
      <c r="F106" s="729">
        <f>WORKDAY.INTL(G77,1,"0000110")</f>
        <v>46240</v>
      </c>
      <c r="G106" s="729">
        <f>WORKDAY.INTL(F106,44,"0000110")</f>
        <v>46302</v>
      </c>
      <c r="H106" s="729">
        <f>WORKDAY.INTL(I77,1,"0000110")</f>
        <v>46240</v>
      </c>
      <c r="I106" s="729">
        <f>WORKDAY.INTL(H106,44,"0000110")</f>
        <v>46302</v>
      </c>
      <c r="J106" s="729"/>
      <c r="K106" s="729"/>
      <c r="L106" s="730"/>
      <c r="M106" s="730" t="str">
        <f t="shared" ca="1" si="64"/>
        <v>Not Started</v>
      </c>
      <c r="N106" s="731"/>
      <c r="O106" s="732"/>
      <c r="P106" s="732"/>
      <c r="Q106" s="732"/>
      <c r="R106" s="732"/>
      <c r="S106" s="732"/>
      <c r="T106" s="732"/>
      <c r="U106" s="732"/>
      <c r="V106" s="733"/>
      <c r="W106" s="668"/>
      <c r="X106" s="460" t="s">
        <v>385</v>
      </c>
      <c r="Y106" s="729" t="s">
        <v>386</v>
      </c>
      <c r="Z106" s="1028" t="s">
        <v>387</v>
      </c>
      <c r="AA106" s="21"/>
      <c r="AC106" s="24"/>
    </row>
    <row r="107" spans="2:31" s="19" customFormat="1" ht="6.75" customHeight="1">
      <c r="B107" s="114"/>
      <c r="C107" s="114"/>
      <c r="D107" s="381"/>
      <c r="E107" s="382"/>
      <c r="F107" s="381"/>
      <c r="G107" s="381"/>
      <c r="H107" s="381"/>
      <c r="I107" s="381"/>
      <c r="J107" s="381"/>
      <c r="K107" s="381"/>
      <c r="L107" s="383"/>
      <c r="M107" s="383"/>
      <c r="N107" s="114"/>
      <c r="O107" s="114"/>
      <c r="P107" s="114"/>
      <c r="Q107" s="114"/>
      <c r="R107" s="114"/>
      <c r="S107" s="114"/>
      <c r="T107" s="114"/>
      <c r="U107" s="114"/>
      <c r="V107" s="383"/>
      <c r="W107" s="510"/>
      <c r="X107" s="661"/>
      <c r="Y107" s="114"/>
      <c r="Z107" s="114"/>
      <c r="AD107" s="24"/>
      <c r="AE107" s="24"/>
    </row>
    <row r="108" spans="2:31" ht="81.75" customHeight="1">
      <c r="B108" s="736" t="s">
        <v>190</v>
      </c>
      <c r="C108" s="1029" t="s">
        <v>191</v>
      </c>
      <c r="D108" s="546" t="s">
        <v>192</v>
      </c>
      <c r="E108" s="547">
        <f>NETWORKDAYS.INTL(F108,G108,"0000110",$AG$5:$AG$12)</f>
        <v>3</v>
      </c>
      <c r="F108" s="806">
        <f>MAX(WORKDAY.INTL(G106,1,"0000100"),WORKDAY.INTL(G116,1,"0000100"))</f>
        <v>46322</v>
      </c>
      <c r="G108" s="806">
        <f>WORKDAY.INTL(F108,4,"0000000")</f>
        <v>46326</v>
      </c>
      <c r="H108" s="443">
        <f>MAX(WORKDAY.INTL(I106,1,"0000100"),WORKDAY.INTL(I116,1,"0000100"))</f>
        <v>46322</v>
      </c>
      <c r="I108" s="443">
        <f>WORKDAY.INTL(H108,4,"0000000")</f>
        <v>46326</v>
      </c>
      <c r="J108" s="443"/>
      <c r="K108" s="443"/>
      <c r="L108" s="444"/>
      <c r="M108" s="444" t="str">
        <f t="shared" ca="1" si="64"/>
        <v>Not Started</v>
      </c>
      <c r="N108" s="548"/>
      <c r="O108" s="549"/>
      <c r="P108" s="549"/>
      <c r="Q108" s="549"/>
      <c r="R108" s="549"/>
      <c r="S108" s="549"/>
      <c r="T108" s="549"/>
      <c r="U108" s="549"/>
      <c r="V108" s="669"/>
      <c r="W108" s="1030"/>
      <c r="X108" s="673" t="s">
        <v>193</v>
      </c>
      <c r="Y108" s="806" t="s">
        <v>388</v>
      </c>
      <c r="Z108" s="868"/>
      <c r="AA108" s="21"/>
      <c r="AC108" s="24"/>
    </row>
    <row r="109" spans="2:31" s="19" customFormat="1" ht="7.5" customHeight="1">
      <c r="B109" s="114"/>
      <c r="C109" s="114"/>
      <c r="D109" s="381"/>
      <c r="E109" s="382"/>
      <c r="F109" s="381"/>
      <c r="G109" s="381"/>
      <c r="H109" s="381"/>
      <c r="I109" s="381"/>
      <c r="J109" s="398"/>
      <c r="K109" s="398"/>
      <c r="L109" s="383"/>
      <c r="M109" s="383"/>
      <c r="N109" s="114"/>
      <c r="O109" s="114"/>
      <c r="P109" s="114"/>
      <c r="Q109" s="114"/>
      <c r="R109" s="114"/>
      <c r="S109" s="114"/>
      <c r="T109" s="114"/>
      <c r="U109" s="114"/>
      <c r="V109" s="383"/>
      <c r="W109" s="510"/>
      <c r="X109" s="661"/>
      <c r="Y109" s="114"/>
      <c r="Z109" s="114"/>
      <c r="AD109" s="24"/>
      <c r="AE109" s="24"/>
    </row>
    <row r="110" spans="2:31" ht="41.1" customHeight="1">
      <c r="B110" s="1240" t="s">
        <v>195</v>
      </c>
      <c r="C110" s="1031" t="s">
        <v>34</v>
      </c>
      <c r="D110" s="296" t="s">
        <v>196</v>
      </c>
      <c r="E110" s="391">
        <f t="shared" ref="E110:E116" si="83">NETWORKDAYS.INTL(F110,G110,"0000110",$AG$5:$AG$12)</f>
        <v>2</v>
      </c>
      <c r="F110" s="259">
        <f>MAX(WORKDAY.INTL(G104,1,"0000110",$AG$5:$AG$10),WORKDAY.INTL(G54,1,"0000110",$AG$5:$AG$10),WORKDAY.INTL(G46,1,"0000110",$AG$5:$AG$10))</f>
        <v>46302</v>
      </c>
      <c r="G110" s="259">
        <f>WORKDAY.INTL(F110,1,"0000110",$AG$5:$AG$10)</f>
        <v>46303</v>
      </c>
      <c r="H110" s="392">
        <f>MAX(WORKDAY.INTL(I104,1,"0000110",$AG$5:$AG$10),WORKDAY.INTL(I54,1,"0000110",$AG$5:$AG$10),WORKDAY.INTL(I46,1,"0000110",$AG$5:$AG$10))</f>
        <v>46302</v>
      </c>
      <c r="I110" s="392">
        <f>WORKDAY.INTL(H110,1,"0000110",$AG$5:$AG$10)</f>
        <v>46303</v>
      </c>
      <c r="J110" s="392"/>
      <c r="K110" s="392"/>
      <c r="L110" s="393"/>
      <c r="M110" s="393"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5"/>
      <c r="W110" s="1222"/>
      <c r="X110" s="1264"/>
      <c r="Y110" s="1255" t="s">
        <v>389</v>
      </c>
      <c r="Z110" s="742"/>
      <c r="AA110" s="21"/>
      <c r="AC110" s="24"/>
      <c r="AD110" s="33"/>
      <c r="AE110" s="33"/>
    </row>
    <row r="111" spans="2:31" ht="41.1" customHeight="1">
      <c r="B111" s="1241"/>
      <c r="C111" s="1032" t="s">
        <v>34</v>
      </c>
      <c r="D111" s="300" t="s">
        <v>198</v>
      </c>
      <c r="E111" s="399">
        <f t="shared" si="83"/>
        <v>5</v>
      </c>
      <c r="F111" s="262">
        <f t="shared" ref="F111:F114" si="85">WORKDAY.INTL(G110,1,"0000100",$AG$5:$AG$11)</f>
        <v>46305</v>
      </c>
      <c r="G111" s="262">
        <f>WORKDAY.INTL(F111,5,"0000110",$AG$5:$AG$9)</f>
        <v>46310</v>
      </c>
      <c r="H111" s="400">
        <f t="shared" ref="H111" si="86">WORKDAY.INTL(I110,1,"0000100",$AG$5:$AG$11)</f>
        <v>46305</v>
      </c>
      <c r="I111" s="400">
        <f>WORKDAY.INTL(H111,5,"0000110",$AG$5:$AG$9)</f>
        <v>46310</v>
      </c>
      <c r="J111" s="400"/>
      <c r="K111" s="400"/>
      <c r="L111" s="401"/>
      <c r="M111" s="401" t="str">
        <f t="shared" ca="1" si="84"/>
        <v>Not Started</v>
      </c>
      <c r="N111" s="131"/>
      <c r="O111" s="132"/>
      <c r="P111" s="132"/>
      <c r="Q111" s="132"/>
      <c r="R111" s="132"/>
      <c r="S111" s="132"/>
      <c r="T111" s="132"/>
      <c r="U111" s="132"/>
      <c r="V111" s="567"/>
      <c r="W111" s="1223"/>
      <c r="X111" s="1265"/>
      <c r="Y111" s="1256"/>
      <c r="Z111" s="744"/>
      <c r="AA111" s="21"/>
      <c r="AC111" s="24"/>
    </row>
    <row r="112" spans="2:31" ht="96.75" customHeight="1">
      <c r="B112" s="1241"/>
      <c r="C112" s="1032" t="s">
        <v>34</v>
      </c>
      <c r="D112" s="300" t="s">
        <v>199</v>
      </c>
      <c r="E112" s="399">
        <f t="shared" si="83"/>
        <v>5</v>
      </c>
      <c r="F112" s="262">
        <f>WORKDAY.INTL(G110,1,"0000100",$AG$5:$AG$11)</f>
        <v>46305</v>
      </c>
      <c r="G112" s="262">
        <f>WORKDAY.INTL(F112,5,"0000110",$AG$5:$AG$9)</f>
        <v>46310</v>
      </c>
      <c r="H112" s="400">
        <f>WORKDAY.INTL(I110,1,"0000100",$AG$5:$AG$11)</f>
        <v>46305</v>
      </c>
      <c r="I112" s="400">
        <f>WORKDAY.INTL(H112,5,"0000110",$AG$5:$AG$9)</f>
        <v>46310</v>
      </c>
      <c r="J112" s="400"/>
      <c r="K112" s="400"/>
      <c r="L112" s="401"/>
      <c r="M112" s="401" t="str">
        <f t="shared" ca="1" si="84"/>
        <v>Not Started</v>
      </c>
      <c r="N112" s="131"/>
      <c r="O112" s="132"/>
      <c r="P112" s="132"/>
      <c r="Q112" s="132"/>
      <c r="R112" s="132"/>
      <c r="S112" s="132"/>
      <c r="T112" s="132"/>
      <c r="U112" s="132"/>
      <c r="V112" s="567"/>
      <c r="W112" s="1223"/>
      <c r="X112" s="745" t="s">
        <v>200</v>
      </c>
      <c r="Y112" s="1256"/>
      <c r="Z112" s="744"/>
      <c r="AA112" s="21"/>
      <c r="AC112" s="24"/>
      <c r="AD112" s="33"/>
      <c r="AE112" s="33"/>
    </row>
    <row r="113" spans="2:29" ht="41.1" customHeight="1">
      <c r="B113" s="1241"/>
      <c r="C113" s="1032" t="s">
        <v>34</v>
      </c>
      <c r="D113" s="300" t="s">
        <v>201</v>
      </c>
      <c r="E113" s="399">
        <f t="shared" si="83"/>
        <v>1</v>
      </c>
      <c r="F113" s="262">
        <f t="shared" si="85"/>
        <v>46312</v>
      </c>
      <c r="G113" s="262">
        <f>WORKDAY.INTL(F113,1,"0000110",$AG$5:$AG$9)</f>
        <v>46313</v>
      </c>
      <c r="H113" s="400">
        <f t="shared" ref="H113:H114" si="87">WORKDAY.INTL(I112,1,"0000100",$AG$5:$AG$11)</f>
        <v>46312</v>
      </c>
      <c r="I113" s="400">
        <f>WORKDAY.INTL(H113,1,"0000110",$AG$5:$AG$9)</f>
        <v>46313</v>
      </c>
      <c r="J113" s="400"/>
      <c r="K113" s="400"/>
      <c r="L113" s="401"/>
      <c r="M113" s="401" t="str">
        <f t="shared" ca="1" si="84"/>
        <v>Not Started</v>
      </c>
      <c r="N113" s="131"/>
      <c r="O113" s="132"/>
      <c r="P113" s="132"/>
      <c r="Q113" s="132"/>
      <c r="R113" s="132"/>
      <c r="S113" s="132"/>
      <c r="T113" s="132"/>
      <c r="U113" s="132"/>
      <c r="V113" s="567"/>
      <c r="W113" s="1223"/>
      <c r="X113" s="745"/>
      <c r="Y113" s="1256"/>
      <c r="Z113" s="744"/>
      <c r="AA113" s="21"/>
      <c r="AC113" s="24"/>
    </row>
    <row r="114" spans="2:29" ht="41.1" customHeight="1">
      <c r="B114" s="1241"/>
      <c r="C114" s="1032" t="s">
        <v>34</v>
      </c>
      <c r="D114" s="300" t="s">
        <v>202</v>
      </c>
      <c r="E114" s="399">
        <f t="shared" si="83"/>
        <v>4</v>
      </c>
      <c r="F114" s="262">
        <f t="shared" si="85"/>
        <v>46314</v>
      </c>
      <c r="G114" s="262">
        <f>WORKDAY.INTL(F114,4,"0000100",$AG$5:$AG$9)</f>
        <v>46319</v>
      </c>
      <c r="H114" s="400">
        <f t="shared" si="87"/>
        <v>46314</v>
      </c>
      <c r="I114" s="400">
        <f>WORKDAY.INTL(H114,4,"0000100",$AG$5:$AG$9)</f>
        <v>46319</v>
      </c>
      <c r="J114" s="400"/>
      <c r="K114" s="400"/>
      <c r="L114" s="401"/>
      <c r="M114" s="401" t="str">
        <f t="shared" ca="1" si="84"/>
        <v>Not Started</v>
      </c>
      <c r="N114" s="131"/>
      <c r="O114" s="132"/>
      <c r="P114" s="132"/>
      <c r="Q114" s="132"/>
      <c r="R114" s="132"/>
      <c r="S114" s="132"/>
      <c r="T114" s="132"/>
      <c r="U114" s="132"/>
      <c r="V114" s="567"/>
      <c r="W114" s="1223"/>
      <c r="X114" s="745"/>
      <c r="Y114" s="1256"/>
      <c r="Z114" s="744"/>
      <c r="AA114" s="21"/>
      <c r="AC114" s="24"/>
    </row>
    <row r="115" spans="2:29" ht="41.1" customHeight="1">
      <c r="B115" s="1241"/>
      <c r="C115" s="1032" t="s">
        <v>34</v>
      </c>
      <c r="D115" s="300" t="s">
        <v>203</v>
      </c>
      <c r="E115" s="399">
        <f t="shared" si="83"/>
        <v>1</v>
      </c>
      <c r="F115" s="257">
        <f>WORKDAY.INTL(G114,1,"0000110",$AG$5:$AG$10)</f>
        <v>46320</v>
      </c>
      <c r="G115" s="257">
        <f>WORKDAY.INTL(F115,0,"0000110",$AG$5:$AG$10)</f>
        <v>46320</v>
      </c>
      <c r="H115" s="400">
        <f>WORKDAY.INTL(I114,1,"0000110",$AG$5:$AG$10)</f>
        <v>46320</v>
      </c>
      <c r="I115" s="400">
        <f>WORKDAY.INTL(H115,0,"0000110",$AG$5:$AG$10)</f>
        <v>46320</v>
      </c>
      <c r="J115" s="400"/>
      <c r="K115" s="400"/>
      <c r="L115" s="401"/>
      <c r="M115" s="401" t="str">
        <f t="shared" ca="1" si="84"/>
        <v>Not Started</v>
      </c>
      <c r="N115" s="131"/>
      <c r="O115" s="132"/>
      <c r="P115" s="132"/>
      <c r="Q115" s="132"/>
      <c r="R115" s="132"/>
      <c r="S115" s="132"/>
      <c r="T115" s="132"/>
      <c r="U115" s="132"/>
      <c r="V115" s="567"/>
      <c r="W115" s="1223"/>
      <c r="X115" s="745"/>
      <c r="Y115" s="1256"/>
      <c r="Z115" s="746"/>
      <c r="AA115" s="21"/>
      <c r="AC115" s="24"/>
    </row>
    <row r="116" spans="2:29" ht="41.1" customHeight="1">
      <c r="B116" s="1242"/>
      <c r="C116" s="1033" t="s">
        <v>34</v>
      </c>
      <c r="D116" s="301" t="s">
        <v>204</v>
      </c>
      <c r="E116" s="395">
        <f t="shared" si="83"/>
        <v>1</v>
      </c>
      <c r="F116" s="260">
        <f>WORKDAY.INTL(G115,1,"0000110",$AG$5:$AG$10)</f>
        <v>46321</v>
      </c>
      <c r="G116" s="260">
        <f>WORKDAY.INTL(F116,0,"0000110",$AG$5:$AG$10)</f>
        <v>46321</v>
      </c>
      <c r="H116" s="396">
        <f>WORKDAY.INTL(I115,1,"0000110",$AG$5:$AG$10)</f>
        <v>46321</v>
      </c>
      <c r="I116" s="396">
        <f>WORKDAY.INTL(H116,0,"0000110",$AG$5:$AG$10)</f>
        <v>46321</v>
      </c>
      <c r="J116" s="396"/>
      <c r="K116" s="396"/>
      <c r="L116" s="397"/>
      <c r="M116" s="397" t="str">
        <f t="shared" ca="1" si="84"/>
        <v>Not Started</v>
      </c>
      <c r="N116" s="126"/>
      <c r="O116" s="133"/>
      <c r="P116" s="133"/>
      <c r="Q116" s="133"/>
      <c r="R116" s="133"/>
      <c r="S116" s="133"/>
      <c r="T116" s="133"/>
      <c r="U116" s="133"/>
      <c r="V116" s="569"/>
      <c r="W116" s="1224"/>
      <c r="X116" s="1034"/>
      <c r="Y116" s="1257"/>
      <c r="Z116" s="748"/>
      <c r="AA116" s="21"/>
      <c r="AC116" s="24"/>
    </row>
    <row r="117" spans="2:29" ht="6.75" customHeight="1">
      <c r="Y117" s="22"/>
      <c r="Z117" s="22"/>
    </row>
    <row r="118" spans="2:29" ht="48.75" customHeight="1">
      <c r="B118" s="1258" t="s">
        <v>205</v>
      </c>
      <c r="C118" s="572" t="s">
        <v>205</v>
      </c>
      <c r="D118" s="573" t="s">
        <v>206</v>
      </c>
      <c r="E118" s="574">
        <f>NETWORKDAYS.INTL(F118,G118,"0000110",$AG$5:$AG$11)</f>
        <v>16</v>
      </c>
      <c r="F118" s="575">
        <f>WORKDAY.INTL(G118,-15,"0000110",$AG$5:$AG$10)</f>
        <v>46280</v>
      </c>
      <c r="G118" s="575">
        <f>WORKDAY.INTL(F110,-1,"0000110",$AG$5:$AG$10)</f>
        <v>46301</v>
      </c>
      <c r="H118" s="575">
        <f>WORKDAY.INTL(I118,-15,"0000110",$AG$5:$AG$10)</f>
        <v>46280</v>
      </c>
      <c r="I118" s="575">
        <f>WORKDAY.INTL(H110,-1,"0000110",$AG$5:$AG$10)</f>
        <v>46301</v>
      </c>
      <c r="J118" s="575"/>
      <c r="K118" s="575"/>
      <c r="L118" s="576"/>
      <c r="M118" s="576" t="str">
        <f t="shared" ref="M118:M119" ca="1" si="88">IF(L118=100%,"Completed",
IF(AND(L118&lt;100%,G118&lt;TODAY()),"Delayed",
IF(AND(OR(L118="",L118=0),F118&gt;TODAY()),"Not Started",
IF(AND(OR(L118="",L118=0),F118&lt;=TODAY()),"Delayed",
IF(AND(L118&gt;0,L118&lt;100%),"In Progress","")))))</f>
        <v>Not Started</v>
      </c>
      <c r="N118" s="577"/>
      <c r="O118" s="578"/>
      <c r="P118" s="578"/>
      <c r="Q118" s="578"/>
      <c r="R118" s="578"/>
      <c r="S118" s="578"/>
      <c r="T118" s="578"/>
      <c r="U118" s="578"/>
      <c r="V118" s="579"/>
      <c r="W118" s="1222"/>
      <c r="X118" s="587" t="s">
        <v>207</v>
      </c>
      <c r="Y118" s="588"/>
      <c r="Z118" s="589"/>
      <c r="AA118" s="21"/>
    </row>
    <row r="119" spans="2:29" ht="71.25">
      <c r="B119" s="1259"/>
      <c r="C119" s="580" t="s">
        <v>205</v>
      </c>
      <c r="D119" s="581" t="s">
        <v>208</v>
      </c>
      <c r="E119" s="582">
        <f>NETWORKDAYS.INTL(F119,G119,"0000110",$AG$5:$AG$11)</f>
        <v>20</v>
      </c>
      <c r="F119" s="403">
        <f>WORKDAY.INTL(G123,10,"0000110",$AG$5:$AG$10)</f>
        <v>46366</v>
      </c>
      <c r="G119" s="403">
        <f>WORKDAY.INTL(F119,19,"0000110",$AG$5:$AG$10)</f>
        <v>46393</v>
      </c>
      <c r="H119" s="403">
        <f>WORKDAY.INTL(I123,10,"0000110",$AG$5:$AG$10)</f>
        <v>46366</v>
      </c>
      <c r="I119" s="403">
        <f>WORKDAY.INTL(H119,19,"0000110",$AG$5:$AG$10)</f>
        <v>46393</v>
      </c>
      <c r="J119" s="403"/>
      <c r="K119" s="403"/>
      <c r="L119" s="583"/>
      <c r="M119" s="583" t="str">
        <f t="shared" ca="1" si="88"/>
        <v>Not Started</v>
      </c>
      <c r="N119" s="584"/>
      <c r="O119" s="585"/>
      <c r="P119" s="585"/>
      <c r="Q119" s="585"/>
      <c r="R119" s="585"/>
      <c r="S119" s="585"/>
      <c r="T119" s="585"/>
      <c r="U119" s="585"/>
      <c r="V119" s="586"/>
      <c r="W119" s="1224"/>
      <c r="X119" s="951" t="s">
        <v>209</v>
      </c>
      <c r="Y119" s="246"/>
      <c r="Z119" s="590"/>
      <c r="AA119" s="21"/>
    </row>
    <row r="120" spans="2:29" ht="6" customHeight="1" thickBot="1">
      <c r="X120" s="157"/>
      <c r="Y120" s="22"/>
      <c r="Z120" s="22"/>
    </row>
    <row r="121" spans="2:29" ht="144.75">
      <c r="B121" s="1260" t="s">
        <v>210</v>
      </c>
      <c r="C121" s="550" t="s">
        <v>210</v>
      </c>
      <c r="D121" s="346" t="s">
        <v>211</v>
      </c>
      <c r="E121" s="551">
        <f>NETWORKDAYS.INTL(F121,G121,"0000100",$AF$5:$AF$12)</f>
        <v>21</v>
      </c>
      <c r="F121" s="81">
        <v>46300</v>
      </c>
      <c r="G121" s="81">
        <f>WORKDAY.INTL(F121,17,"0000110")</f>
        <v>46323</v>
      </c>
      <c r="H121" s="492">
        <v>46300</v>
      </c>
      <c r="I121" s="492">
        <f>WORKDAY.INTL(H121,17,"0000110")</f>
        <v>46323</v>
      </c>
      <c r="J121" s="492"/>
      <c r="K121" s="493"/>
      <c r="L121" s="493"/>
      <c r="M121" s="377" t="str">
        <f t="shared" ref="M121:M123" ca="1" si="89">IF(L121=100%,"Completed",
IF(AND(L121&lt;100%,G121&lt;TODAY()),"Delayed",
IF(AND(OR(L121="",L121=0),F121&gt;TODAY()),"Not Started",
IF(AND(OR(L121="",L121=0),F121&lt;=TODAY()),"Delayed",
IF(AND(L121&gt;0,L121&lt;100%),"In Progress","")))))</f>
        <v>Not Started</v>
      </c>
      <c r="N121" s="552"/>
      <c r="O121" s="552"/>
      <c r="P121" s="552"/>
      <c r="Q121" s="552"/>
      <c r="R121" s="552"/>
      <c r="S121" s="552"/>
      <c r="T121" s="552"/>
      <c r="U121" s="497"/>
      <c r="V121" s="517"/>
      <c r="W121" s="1222"/>
      <c r="X121" s="560" t="s">
        <v>212</v>
      </c>
      <c r="Y121" s="67"/>
      <c r="Z121" s="498"/>
    </row>
    <row r="122" spans="2:29" ht="54.75" customHeight="1">
      <c r="B122" s="1261"/>
      <c r="C122" s="553" t="s">
        <v>210</v>
      </c>
      <c r="D122" s="354" t="s">
        <v>213</v>
      </c>
      <c r="E122" s="554">
        <f>NETWORKDAYS.INTL(F122,G122,"0000100",$AF$5:$AF$12)</f>
        <v>9</v>
      </c>
      <c r="F122" s="84">
        <v>46215</v>
      </c>
      <c r="G122" s="84">
        <f>WORKDAY.INTL(F122,7,"0000110")</f>
        <v>46224</v>
      </c>
      <c r="H122" s="404">
        <v>46215</v>
      </c>
      <c r="I122" s="404">
        <f>WORKDAY.INTL(H122,7,"0000110")</f>
        <v>46224</v>
      </c>
      <c r="J122" s="563" t="s">
        <v>390</v>
      </c>
      <c r="K122" s="405"/>
      <c r="L122" s="405">
        <v>1</v>
      </c>
      <c r="M122" s="367" t="str">
        <f t="shared" ca="1" si="89"/>
        <v>Completed</v>
      </c>
      <c r="N122" s="555"/>
      <c r="O122" s="555"/>
      <c r="P122" s="555"/>
      <c r="Q122" s="555"/>
      <c r="R122" s="555"/>
      <c r="S122" s="555"/>
      <c r="T122" s="555"/>
      <c r="U122" s="556"/>
      <c r="V122" s="519"/>
      <c r="W122" s="1223"/>
      <c r="X122" s="561" t="s">
        <v>214</v>
      </c>
      <c r="Y122" s="34"/>
      <c r="Z122" s="499"/>
    </row>
    <row r="123" spans="2:29" ht="54.75" customHeight="1" thickBot="1">
      <c r="B123" s="1262"/>
      <c r="C123" s="557" t="s">
        <v>210</v>
      </c>
      <c r="D123" s="490" t="s">
        <v>215</v>
      </c>
      <c r="E123" s="558">
        <f>NETWORKDAYS.INTL(F123,G123,"0000100",$AF$5:$AF$12)</f>
        <v>37</v>
      </c>
      <c r="F123" s="379">
        <v>46310</v>
      </c>
      <c r="G123" s="379">
        <f>WORKDAY.INTL(F123,30,"0000110")</f>
        <v>46352</v>
      </c>
      <c r="H123" s="500">
        <v>46310</v>
      </c>
      <c r="I123" s="500">
        <f>WORKDAY.INTL(H123,30,"0000110")</f>
        <v>46352</v>
      </c>
      <c r="J123" s="500"/>
      <c r="K123" s="501"/>
      <c r="L123" s="501"/>
      <c r="M123" s="380" t="str">
        <f t="shared" ca="1" si="89"/>
        <v>Not Started</v>
      </c>
      <c r="N123" s="559"/>
      <c r="O123" s="559"/>
      <c r="P123" s="559"/>
      <c r="Q123" s="559"/>
      <c r="R123" s="559"/>
      <c r="S123" s="559"/>
      <c r="T123" s="559"/>
      <c r="U123" s="505"/>
      <c r="V123" s="520"/>
      <c r="W123" s="1224"/>
      <c r="X123" s="562" t="s">
        <v>216</v>
      </c>
      <c r="Y123" s="506"/>
      <c r="Z123" s="507"/>
    </row>
  </sheetData>
  <sheetProtection formatCells="0" formatColumns="0" formatRows="0" insertColumns="0" insertRows="0" insertHyperlinks="0" deleteColumns="0" deleteRows="0" sort="0" autoFilter="0" pivotTables="0"/>
  <mergeCells count="51">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Y110:Y116"/>
    <mergeCell ref="B118:B119"/>
    <mergeCell ref="B121:B123"/>
    <mergeCell ref="W118:W119"/>
    <mergeCell ref="W121:W123"/>
    <mergeCell ref="W5:W11"/>
    <mergeCell ref="W18:W21"/>
    <mergeCell ref="W23:W26"/>
    <mergeCell ref="W28:W31"/>
    <mergeCell ref="W33:W36"/>
    <mergeCell ref="W38:W41"/>
    <mergeCell ref="W43:W46"/>
    <mergeCell ref="W48:W51"/>
    <mergeCell ref="W58:W60"/>
    <mergeCell ref="W69:W70"/>
    <mergeCell ref="W85:W86"/>
    <mergeCell ref="W88:W89"/>
    <mergeCell ref="W91:W92"/>
    <mergeCell ref="W94:W95"/>
    <mergeCell ref="W110:W116"/>
  </mergeCells>
  <phoneticPr fontId="30"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A62 AA110:AA116 AA75:AA77 AA79:AA80 AA82:AA83 AA85:AA86 AA88:AA89 AA91:AA92 AA94:AA95 AA97:AA98 AA100:AA101 AA103:AA104 AA106 AA108" xr:uid="{00000000-0002-0000-0400-000000000000}">
      <formula1>$AB$2:$AB$5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7" t="s">
        <v>391</v>
      </c>
      <c r="B1" s="1088" t="s">
        <v>98</v>
      </c>
      <c r="C1" s="1088" t="s">
        <v>83</v>
      </c>
      <c r="D1" s="1088" t="s">
        <v>392</v>
      </c>
      <c r="E1" s="1088" t="s">
        <v>393</v>
      </c>
      <c r="F1" s="1088" t="s">
        <v>394</v>
      </c>
      <c r="G1" s="1088" t="s">
        <v>395</v>
      </c>
      <c r="H1" s="1088" t="s">
        <v>396</v>
      </c>
      <c r="I1" s="1089" t="s">
        <v>397</v>
      </c>
      <c r="K1" s="1084">
        <v>46230</v>
      </c>
      <c r="L1" s="1085">
        <v>46237</v>
      </c>
      <c r="M1" s="1085">
        <v>46244</v>
      </c>
      <c r="N1" s="1085">
        <v>46251</v>
      </c>
      <c r="O1" s="1085">
        <v>46258</v>
      </c>
      <c r="P1" s="1085">
        <v>46265</v>
      </c>
      <c r="Q1" s="1085">
        <v>46272</v>
      </c>
      <c r="R1" s="1085">
        <v>46279</v>
      </c>
      <c r="S1" s="1085">
        <v>46286</v>
      </c>
      <c r="T1" s="1085">
        <v>46293</v>
      </c>
      <c r="U1" s="1085">
        <v>46300</v>
      </c>
      <c r="V1" s="1085">
        <v>46307</v>
      </c>
      <c r="W1" s="1085">
        <v>46314</v>
      </c>
      <c r="X1" s="1086">
        <v>46321</v>
      </c>
    </row>
    <row r="2" spans="1:24" ht="30">
      <c r="A2" s="1090" t="s">
        <v>92</v>
      </c>
      <c r="B2" s="1091">
        <v>46230</v>
      </c>
      <c r="C2" s="1091">
        <v>46320</v>
      </c>
      <c r="D2" s="1100">
        <v>91</v>
      </c>
      <c r="E2" s="1092">
        <v>2</v>
      </c>
      <c r="F2" s="1093" t="s">
        <v>398</v>
      </c>
      <c r="G2" s="1093" t="s">
        <v>399</v>
      </c>
      <c r="H2" s="1093" t="s">
        <v>400</v>
      </c>
      <c r="I2" s="1094"/>
      <c r="K2" s="1102">
        <f t="shared" ref="K2:X6" si="0">IF(AND(K$1&lt;=$C2,K$1+6&gt;=$B2),$E2,"")</f>
        <v>2</v>
      </c>
      <c r="L2" s="1103">
        <f t="shared" si="0"/>
        <v>2</v>
      </c>
      <c r="M2" s="1103">
        <f t="shared" si="0"/>
        <v>2</v>
      </c>
      <c r="N2" s="1103">
        <f t="shared" si="0"/>
        <v>2</v>
      </c>
      <c r="O2" s="1103">
        <f t="shared" si="0"/>
        <v>2</v>
      </c>
      <c r="P2" s="1103">
        <f t="shared" si="0"/>
        <v>2</v>
      </c>
      <c r="Q2" s="1103">
        <f t="shared" si="0"/>
        <v>2</v>
      </c>
      <c r="R2" s="1103">
        <f t="shared" si="0"/>
        <v>2</v>
      </c>
      <c r="S2" s="1103">
        <f t="shared" si="0"/>
        <v>2</v>
      </c>
      <c r="T2" s="1103">
        <f t="shared" si="0"/>
        <v>2</v>
      </c>
      <c r="U2" s="1103">
        <f t="shared" si="0"/>
        <v>2</v>
      </c>
      <c r="V2" s="1103">
        <f t="shared" si="0"/>
        <v>2</v>
      </c>
      <c r="W2" s="1103">
        <f t="shared" si="0"/>
        <v>2</v>
      </c>
      <c r="X2" s="1104" t="str">
        <f t="shared" si="0"/>
        <v/>
      </c>
    </row>
    <row r="3" spans="1:24" ht="30">
      <c r="A3" s="1090" t="s">
        <v>94</v>
      </c>
      <c r="B3" s="1091">
        <v>46236</v>
      </c>
      <c r="C3" s="1091">
        <v>46308</v>
      </c>
      <c r="D3" s="1100">
        <v>73</v>
      </c>
      <c r="E3" s="1092">
        <v>2</v>
      </c>
      <c r="F3" s="1093" t="s">
        <v>401</v>
      </c>
      <c r="G3" s="1093" t="s">
        <v>402</v>
      </c>
      <c r="H3" s="1093" t="s">
        <v>403</v>
      </c>
      <c r="I3" s="1094"/>
      <c r="K3" s="1102">
        <f t="shared" si="0"/>
        <v>2</v>
      </c>
      <c r="L3" s="1103">
        <f t="shared" si="0"/>
        <v>2</v>
      </c>
      <c r="M3" s="1103">
        <f t="shared" si="0"/>
        <v>2</v>
      </c>
      <c r="N3" s="1103">
        <f t="shared" si="0"/>
        <v>2</v>
      </c>
      <c r="O3" s="1103">
        <f t="shared" si="0"/>
        <v>2</v>
      </c>
      <c r="P3" s="1103">
        <f t="shared" si="0"/>
        <v>2</v>
      </c>
      <c r="Q3" s="1103">
        <f t="shared" si="0"/>
        <v>2</v>
      </c>
      <c r="R3" s="1103">
        <f t="shared" si="0"/>
        <v>2</v>
      </c>
      <c r="S3" s="1103">
        <f t="shared" si="0"/>
        <v>2</v>
      </c>
      <c r="T3" s="1103">
        <f t="shared" si="0"/>
        <v>2</v>
      </c>
      <c r="U3" s="1103">
        <f t="shared" si="0"/>
        <v>2</v>
      </c>
      <c r="V3" s="1103">
        <f t="shared" si="0"/>
        <v>2</v>
      </c>
      <c r="W3" s="1103" t="str">
        <f t="shared" si="0"/>
        <v/>
      </c>
      <c r="X3" s="1104" t="str">
        <f t="shared" si="0"/>
        <v/>
      </c>
    </row>
    <row r="4" spans="1:24" ht="30">
      <c r="A4" s="1090" t="s">
        <v>80</v>
      </c>
      <c r="B4" s="1091">
        <v>46230</v>
      </c>
      <c r="C4" s="1091">
        <v>46292</v>
      </c>
      <c r="D4" s="1100">
        <v>63</v>
      </c>
      <c r="E4" s="1092">
        <v>2</v>
      </c>
      <c r="F4" s="1093" t="s">
        <v>404</v>
      </c>
      <c r="G4" s="1093" t="s">
        <v>405</v>
      </c>
      <c r="H4" s="1093" t="s">
        <v>406</v>
      </c>
      <c r="I4" s="1094"/>
      <c r="K4" s="1102">
        <f t="shared" si="0"/>
        <v>2</v>
      </c>
      <c r="L4" s="1103">
        <f t="shared" si="0"/>
        <v>2</v>
      </c>
      <c r="M4" s="1103">
        <f t="shared" si="0"/>
        <v>2</v>
      </c>
      <c r="N4" s="1103">
        <f t="shared" si="0"/>
        <v>2</v>
      </c>
      <c r="O4" s="1103">
        <f t="shared" si="0"/>
        <v>2</v>
      </c>
      <c r="P4" s="1103">
        <f t="shared" si="0"/>
        <v>2</v>
      </c>
      <c r="Q4" s="1103">
        <f t="shared" si="0"/>
        <v>2</v>
      </c>
      <c r="R4" s="1103">
        <f t="shared" si="0"/>
        <v>2</v>
      </c>
      <c r="S4" s="1103">
        <f t="shared" si="0"/>
        <v>2</v>
      </c>
      <c r="T4" s="1103" t="str">
        <f t="shared" si="0"/>
        <v/>
      </c>
      <c r="U4" s="1103" t="str">
        <f t="shared" si="0"/>
        <v/>
      </c>
      <c r="V4" s="1103" t="str">
        <f t="shared" si="0"/>
        <v/>
      </c>
      <c r="W4" s="1103" t="str">
        <f t="shared" si="0"/>
        <v/>
      </c>
      <c r="X4" s="1104" t="str">
        <f t="shared" si="0"/>
        <v/>
      </c>
    </row>
    <row r="5" spans="1:24" ht="30">
      <c r="A5" s="1090" t="s">
        <v>81</v>
      </c>
      <c r="B5" s="1091">
        <v>46236</v>
      </c>
      <c r="C5" s="1091">
        <v>46292</v>
      </c>
      <c r="D5" s="1100">
        <v>57</v>
      </c>
      <c r="E5" s="1092">
        <v>4</v>
      </c>
      <c r="F5" s="1093" t="s">
        <v>407</v>
      </c>
      <c r="G5" s="1093" t="s">
        <v>408</v>
      </c>
      <c r="H5" s="1093" t="s">
        <v>409</v>
      </c>
      <c r="I5" s="1094"/>
      <c r="K5" s="1102">
        <f t="shared" si="0"/>
        <v>4</v>
      </c>
      <c r="L5" s="1103">
        <f t="shared" si="0"/>
        <v>4</v>
      </c>
      <c r="M5" s="1103">
        <f t="shared" si="0"/>
        <v>4</v>
      </c>
      <c r="N5" s="1103">
        <f t="shared" si="0"/>
        <v>4</v>
      </c>
      <c r="O5" s="1103">
        <f t="shared" si="0"/>
        <v>4</v>
      </c>
      <c r="P5" s="1103">
        <f t="shared" si="0"/>
        <v>4</v>
      </c>
      <c r="Q5" s="1103">
        <f t="shared" si="0"/>
        <v>4</v>
      </c>
      <c r="R5" s="1103">
        <f t="shared" si="0"/>
        <v>4</v>
      </c>
      <c r="S5" s="1103">
        <f t="shared" si="0"/>
        <v>4</v>
      </c>
      <c r="T5" s="1103" t="str">
        <f t="shared" si="0"/>
        <v/>
      </c>
      <c r="U5" s="1103" t="str">
        <f t="shared" si="0"/>
        <v/>
      </c>
      <c r="V5" s="1103" t="str">
        <f t="shared" si="0"/>
        <v/>
      </c>
      <c r="W5" s="1103" t="str">
        <f t="shared" si="0"/>
        <v/>
      </c>
      <c r="X5" s="1104" t="str">
        <f t="shared" si="0"/>
        <v/>
      </c>
    </row>
    <row r="6" spans="1:24" ht="30">
      <c r="A6" s="1095" t="s">
        <v>93</v>
      </c>
      <c r="B6" s="1096">
        <v>46230</v>
      </c>
      <c r="C6" s="1096">
        <v>46280</v>
      </c>
      <c r="D6" s="1101">
        <v>51</v>
      </c>
      <c r="E6" s="1097">
        <v>2</v>
      </c>
      <c r="F6" s="1098" t="s">
        <v>410</v>
      </c>
      <c r="G6" s="1098" t="s">
        <v>411</v>
      </c>
      <c r="H6" s="1098" t="s">
        <v>412</v>
      </c>
      <c r="I6" s="1099"/>
      <c r="K6" s="1105">
        <f t="shared" si="0"/>
        <v>2</v>
      </c>
      <c r="L6" s="1106">
        <f t="shared" si="0"/>
        <v>2</v>
      </c>
      <c r="M6" s="1106">
        <f t="shared" si="0"/>
        <v>2</v>
      </c>
      <c r="N6" s="1106">
        <f t="shared" si="0"/>
        <v>2</v>
      </c>
      <c r="O6" s="1106">
        <f t="shared" si="0"/>
        <v>2</v>
      </c>
      <c r="P6" s="1106">
        <f t="shared" si="0"/>
        <v>2</v>
      </c>
      <c r="Q6" s="1106">
        <f t="shared" si="0"/>
        <v>2</v>
      </c>
      <c r="R6" s="1106">
        <f t="shared" si="0"/>
        <v>2</v>
      </c>
      <c r="S6" s="1106" t="str">
        <f t="shared" si="0"/>
        <v/>
      </c>
      <c r="T6" s="1106" t="str">
        <f t="shared" si="0"/>
        <v/>
      </c>
      <c r="U6" s="1106" t="str">
        <f t="shared" si="0"/>
        <v/>
      </c>
      <c r="V6" s="1106" t="str">
        <f t="shared" si="0"/>
        <v/>
      </c>
      <c r="W6" s="1106" t="str">
        <f t="shared" si="0"/>
        <v/>
      </c>
      <c r="X6" s="1107" t="str">
        <f t="shared" si="0"/>
        <v/>
      </c>
    </row>
    <row r="8" spans="1:24" ht="25.5" customHeight="1">
      <c r="K8" s="1078">
        <f t="shared" ref="K8:X8" si="1">K1</f>
        <v>46230</v>
      </c>
      <c r="L8" s="1079">
        <f t="shared" si="1"/>
        <v>46237</v>
      </c>
      <c r="M8" s="1079">
        <f t="shared" si="1"/>
        <v>46244</v>
      </c>
      <c r="N8" s="1079">
        <f t="shared" si="1"/>
        <v>46251</v>
      </c>
      <c r="O8" s="1079">
        <f t="shared" si="1"/>
        <v>46258</v>
      </c>
      <c r="P8" s="1079">
        <f t="shared" si="1"/>
        <v>46265</v>
      </c>
      <c r="Q8" s="1079">
        <f t="shared" si="1"/>
        <v>46272</v>
      </c>
      <c r="R8" s="1079">
        <f t="shared" si="1"/>
        <v>46279</v>
      </c>
      <c r="S8" s="1079">
        <f t="shared" si="1"/>
        <v>46286</v>
      </c>
      <c r="T8" s="1079">
        <f t="shared" si="1"/>
        <v>46293</v>
      </c>
      <c r="U8" s="1079">
        <f t="shared" si="1"/>
        <v>46300</v>
      </c>
      <c r="V8" s="1079">
        <f t="shared" si="1"/>
        <v>46307</v>
      </c>
      <c r="W8" s="1079">
        <f t="shared" si="1"/>
        <v>46314</v>
      </c>
      <c r="X8" s="1080">
        <f t="shared" si="1"/>
        <v>46321</v>
      </c>
    </row>
    <row r="9" spans="1:24" ht="36" customHeight="1">
      <c r="K9" s="1081">
        <f t="shared" ref="K9:X9" si="2">SUM(K2:K6)</f>
        <v>12</v>
      </c>
      <c r="L9" s="1082">
        <f t="shared" si="2"/>
        <v>12</v>
      </c>
      <c r="M9" s="1082">
        <f t="shared" si="2"/>
        <v>12</v>
      </c>
      <c r="N9" s="1082">
        <f t="shared" si="2"/>
        <v>12</v>
      </c>
      <c r="O9" s="1082">
        <f t="shared" si="2"/>
        <v>12</v>
      </c>
      <c r="P9" s="1082">
        <f t="shared" si="2"/>
        <v>12</v>
      </c>
      <c r="Q9" s="1082">
        <f t="shared" si="2"/>
        <v>12</v>
      </c>
      <c r="R9" s="1082">
        <f t="shared" si="2"/>
        <v>12</v>
      </c>
      <c r="S9" s="1082">
        <f t="shared" si="2"/>
        <v>10</v>
      </c>
      <c r="T9" s="1082">
        <f t="shared" si="2"/>
        <v>4</v>
      </c>
      <c r="U9" s="1082">
        <f t="shared" si="2"/>
        <v>4</v>
      </c>
      <c r="V9" s="1082">
        <f t="shared" si="2"/>
        <v>4</v>
      </c>
      <c r="W9" s="1082">
        <f t="shared" si="2"/>
        <v>2</v>
      </c>
      <c r="X9" s="1083">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141"/>
  <sheetViews>
    <sheetView showGridLines="0" zoomScale="85" zoomScaleNormal="85" workbookViewId="0">
      <pane ySplit="4" topLeftCell="A14" activePane="bottomLeft" state="frozen"/>
      <selection pane="bottomLeft" activeCell="H60" sqref="H60"/>
    </sheetView>
  </sheetViews>
  <sheetFormatPr defaultColWidth="9" defaultRowHeight="15.75" customHeight="1"/>
  <cols>
    <col min="1" max="1" width="1" style="20" customWidth="1"/>
    <col min="2" max="2" width="16" style="20" customWidth="1"/>
    <col min="3" max="3" width="7.625" style="20" hidden="1" customWidth="1"/>
    <col min="4" max="4" width="38" style="326" customWidth="1"/>
    <col min="5" max="5" width="10.375" style="327" customWidth="1"/>
    <col min="6" max="6" width="13.125" style="398" customWidth="1"/>
    <col min="7" max="7" width="14.375" style="398" customWidth="1"/>
    <col min="8" max="8" width="15" style="398" bestFit="1" customWidth="1"/>
    <col min="9" max="9" width="10.625" style="398" bestFit="1" customWidth="1"/>
    <col min="10" max="10" width="18" style="398" customWidth="1"/>
    <col min="11" max="11" width="16.375" style="398" customWidth="1"/>
    <col min="12" max="12" width="12.625" style="402" customWidth="1"/>
    <col min="13" max="13" width="11.875" style="402" bestFit="1" customWidth="1"/>
    <col min="14" max="14" width="19.5" style="402" bestFit="1" customWidth="1"/>
    <col min="15" max="15" width="1.25" style="20" customWidth="1"/>
    <col min="16" max="22" width="9.125" style="20" hidden="1" customWidth="1"/>
    <col min="23" max="23" width="42.625" style="23" customWidth="1"/>
    <col min="24" max="24" width="54.375" style="23" customWidth="1"/>
    <col min="25" max="25" width="42.625" style="23" customWidth="1"/>
    <col min="26" max="26" width="9" style="20" hidden="1" customWidth="1"/>
    <col min="27" max="27" width="0" style="20" hidden="1" customWidth="1"/>
    <col min="28" max="28" width="9" style="20" hidden="1" customWidth="1"/>
    <col min="29" max="29" width="12.125" style="24" hidden="1" customWidth="1"/>
    <col min="30" max="30" width="10.125" style="24" hidden="1" customWidth="1"/>
    <col min="31" max="31" width="10.125" style="20" hidden="1" customWidth="1"/>
    <col min="32" max="32" width="0" style="20" hidden="1" customWidth="1"/>
    <col min="33" max="16384" width="9" style="20"/>
  </cols>
  <sheetData>
    <row r="1" spans="2:33" ht="4.5" customHeight="1">
      <c r="F1" s="362"/>
      <c r="G1" s="362"/>
      <c r="H1" s="362"/>
      <c r="I1" s="362"/>
      <c r="J1" s="362"/>
      <c r="K1" s="362"/>
      <c r="L1" s="363"/>
      <c r="M1" s="363"/>
      <c r="N1" s="363"/>
      <c r="O1" s="105"/>
    </row>
    <row r="2" spans="2:33" ht="36" customHeight="1" thickBot="1">
      <c r="B2" s="26"/>
      <c r="C2" s="26" t="s">
        <v>96</v>
      </c>
      <c r="D2" s="329" t="s">
        <v>1</v>
      </c>
      <c r="E2" s="1071" t="s">
        <v>97</v>
      </c>
      <c r="F2" s="1072" t="s">
        <v>98</v>
      </c>
      <c r="G2" s="1072" t="s">
        <v>83</v>
      </c>
      <c r="H2" s="1072" t="s">
        <v>99</v>
      </c>
      <c r="I2" s="1072" t="s">
        <v>84</v>
      </c>
      <c r="J2" s="1073" t="s">
        <v>100</v>
      </c>
      <c r="K2" s="1073" t="s">
        <v>101</v>
      </c>
      <c r="L2" s="364" t="s">
        <v>82</v>
      </c>
      <c r="M2" s="364" t="s">
        <v>102</v>
      </c>
      <c r="N2" s="364" t="s">
        <v>103</v>
      </c>
      <c r="O2" s="106"/>
      <c r="P2" s="27">
        <v>46113</v>
      </c>
      <c r="Q2" s="28">
        <v>46143</v>
      </c>
      <c r="R2" s="28">
        <v>46174</v>
      </c>
      <c r="S2" s="28">
        <v>46204</v>
      </c>
      <c r="T2" s="28">
        <v>46235</v>
      </c>
      <c r="U2" s="28">
        <v>46266</v>
      </c>
      <c r="V2" s="28">
        <v>46296</v>
      </c>
      <c r="W2" s="241" t="s">
        <v>2</v>
      </c>
      <c r="X2" s="162" t="s">
        <v>104</v>
      </c>
      <c r="Y2" s="162" t="s">
        <v>105</v>
      </c>
      <c r="Z2" s="20" t="s">
        <v>218</v>
      </c>
    </row>
    <row r="3" spans="2:33" ht="45" hidden="1" customHeight="1">
      <c r="B3" s="29"/>
      <c r="C3" s="29"/>
      <c r="D3" s="330" t="s">
        <v>106</v>
      </c>
      <c r="E3" s="331"/>
      <c r="F3" s="413">
        <f>WORKDAY.INTL("6-May-26",0,"0000100")</f>
        <v>46148</v>
      </c>
      <c r="G3" s="413">
        <f>WORKDAY.INTL(F3,13,"0000100",$AE$5:$AE$12)</f>
        <v>46163</v>
      </c>
      <c r="H3" s="413">
        <f>WORKDAY.INTL("6-May-26",0,"0000100")</f>
        <v>46148</v>
      </c>
      <c r="I3" s="413">
        <f>WORKDAY.INTL(H3,13,"0000100",$AE$5:$AE$12)</f>
        <v>46163</v>
      </c>
      <c r="J3" s="413"/>
      <c r="K3" s="413"/>
      <c r="L3" s="414">
        <v>1</v>
      </c>
      <c r="M3" s="365" t="str">
        <f ca="1">IF(OR(L3=100%,K3&lt;&gt;""),"Completed",IF(AND(OR(L3="",L3=0),F3&gt;TODAY()),"Not Started",IF(AND(OR(L3="",L3=0),F3&lt;=TODAY()),"Delayed",IF(AND(L3&gt;0,L3&lt;100%,G3&lt;TODAY()),"Delayed",IF(AND(L3&gt;0,L3&lt;100%),"In Progress","")))))</f>
        <v>Completed</v>
      </c>
      <c r="N3" s="365"/>
      <c r="O3" s="106"/>
      <c r="P3" s="30"/>
      <c r="Q3" s="31"/>
      <c r="R3" s="31"/>
      <c r="S3" s="31"/>
      <c r="T3" s="31"/>
      <c r="U3" s="31"/>
      <c r="V3" s="31"/>
      <c r="W3" s="242" t="s">
        <v>329</v>
      </c>
      <c r="X3" s="240"/>
      <c r="Y3" s="240"/>
      <c r="Z3" s="20" t="s">
        <v>110</v>
      </c>
    </row>
    <row r="4" spans="2:33" s="19" customFormat="1" ht="4.5" customHeight="1" thickBot="1">
      <c r="B4" s="51"/>
      <c r="C4" s="51"/>
      <c r="D4" s="339"/>
      <c r="E4" s="1074"/>
      <c r="F4" s="1075"/>
      <c r="G4" s="1075"/>
      <c r="H4" s="1075"/>
      <c r="I4" s="1075"/>
      <c r="J4" s="1075"/>
      <c r="K4" s="1075"/>
      <c r="L4" s="375"/>
      <c r="M4" s="375"/>
      <c r="N4" s="375"/>
      <c r="O4" s="452"/>
      <c r="P4" s="32"/>
      <c r="Q4" s="32"/>
      <c r="R4" s="32"/>
      <c r="S4" s="32"/>
      <c r="T4" s="32"/>
      <c r="U4" s="32"/>
      <c r="V4" s="32"/>
      <c r="W4" s="51"/>
      <c r="X4" s="1035"/>
      <c r="Y4" s="1035"/>
      <c r="AC4" s="33"/>
      <c r="AD4" s="33"/>
    </row>
    <row r="5" spans="2:33" ht="45" customHeight="1">
      <c r="B5" s="1234" t="s">
        <v>108</v>
      </c>
      <c r="C5" s="428" t="s">
        <v>86</v>
      </c>
      <c r="D5" s="376" t="s">
        <v>109</v>
      </c>
      <c r="E5" s="347">
        <f>NETWORKDAYS.INTL(F5,G5,"0000100",$AE$5:$AE$12)</f>
        <v>17</v>
      </c>
      <c r="F5" s="81">
        <f>WORKDAY.INTL("27-Jun-26",0,"0000100")</f>
        <v>46200</v>
      </c>
      <c r="G5" s="81">
        <f>WORKDAY.INTL(F5,16,"0000100",$AE$5:$AE$11)</f>
        <v>46218</v>
      </c>
      <c r="H5" s="1077">
        <f>WORKDAY.INTL("27-Jun-26",0,"0000100")</f>
        <v>46200</v>
      </c>
      <c r="I5" s="1077">
        <f>WORKDAY.INTL(H5,17,"0000100",$AE$5:$AE$11)</f>
        <v>46219</v>
      </c>
      <c r="J5" s="81"/>
      <c r="K5" s="81">
        <v>46219</v>
      </c>
      <c r="L5" s="377">
        <v>1</v>
      </c>
      <c r="M5" s="377" t="str">
        <f t="shared" ref="M5:M60" ca="1" si="0">IF(L5=100%,"Completed",
IF(AND(L5&lt;100%,G5&lt;TODAY()),"Delayed",
IF(AND(OR(L5="",L5=0),F5&gt;TODAY()),"Not Started",
IF(AND(OR(L5="",L5=0),F5&lt;=TODAY()),"Delayed",
IF(AND(L5&gt;0,L5&lt;100%),"In Progress","")))))</f>
        <v>Completed</v>
      </c>
      <c r="N5" s="1076"/>
      <c r="O5" s="1274"/>
      <c r="P5" s="35"/>
      <c r="Q5" s="35"/>
      <c r="R5" s="35"/>
      <c r="S5" s="35"/>
      <c r="T5" s="35"/>
      <c r="U5" s="35"/>
      <c r="V5" s="35"/>
      <c r="W5" s="522" t="s">
        <v>413</v>
      </c>
      <c r="X5" s="67" t="s">
        <v>414</v>
      </c>
      <c r="Y5" s="498"/>
      <c r="Z5" s="20" t="s">
        <v>121</v>
      </c>
      <c r="AB5" s="34" t="s">
        <v>62</v>
      </c>
      <c r="AC5" s="24" t="s">
        <v>68</v>
      </c>
      <c r="AE5" s="37">
        <v>46166</v>
      </c>
    </row>
    <row r="6" spans="2:33" ht="45" customHeight="1">
      <c r="B6" s="1237"/>
      <c r="C6" s="429" t="s">
        <v>86</v>
      </c>
      <c r="D6" s="518" t="s">
        <v>330</v>
      </c>
      <c r="E6" s="355">
        <f>NETWORKDAYS.INTL(F6,G6,"0000100",$AE$5:$AE$12)</f>
        <v>25</v>
      </c>
      <c r="F6" s="84">
        <f>WORKDAY.INTL("17-Jun-26",0,"0000100")</f>
        <v>46190</v>
      </c>
      <c r="G6" s="84">
        <f>WORKDAY.INTL(F6,24,"0000100",$AE$5:$AE$11)</f>
        <v>46218</v>
      </c>
      <c r="H6" s="84">
        <f>WORKDAY.INTL("17-Jun-26",0,"0000100")</f>
        <v>46190</v>
      </c>
      <c r="I6" s="84">
        <f>WORKDAY.INTL(H6,24,"0000100",$AE$5:$AE$11)</f>
        <v>46218</v>
      </c>
      <c r="J6" s="84"/>
      <c r="K6" s="84"/>
      <c r="L6" s="367">
        <v>1</v>
      </c>
      <c r="M6" s="367" t="str">
        <f t="shared" ca="1" si="0"/>
        <v>Completed</v>
      </c>
      <c r="N6" s="519"/>
      <c r="O6" s="1294"/>
      <c r="P6" s="35"/>
      <c r="Q6" s="35"/>
      <c r="R6" s="35"/>
      <c r="S6" s="35"/>
      <c r="T6" s="35"/>
      <c r="U6" s="35"/>
      <c r="V6" s="35"/>
      <c r="W6" s="523"/>
      <c r="X6" s="34"/>
      <c r="Y6" s="499"/>
      <c r="AB6" s="24"/>
      <c r="AE6" s="37"/>
    </row>
    <row r="7" spans="2:33" ht="45" customHeight="1">
      <c r="B7" s="1237"/>
      <c r="C7" s="429" t="s">
        <v>86</v>
      </c>
      <c r="D7" s="518" t="s">
        <v>331</v>
      </c>
      <c r="E7" s="355">
        <f>NETWORKDAYS.INTL(F7,G7,"0000100",$AE$5:$AE$12)</f>
        <v>14</v>
      </c>
      <c r="F7" s="84">
        <f>WORKDAY.INTL(G6,1,"0000100",$AE$5:$AE$11)</f>
        <v>46219</v>
      </c>
      <c r="G7" s="84">
        <f>WORKDAY.INTL(F7,13,"0000100",$AE$5:$AE$11)</f>
        <v>46235</v>
      </c>
      <c r="H7" s="84">
        <f>WORKDAY.INTL(I6,1,"0000100",$AE$5:$AE$11)</f>
        <v>46219</v>
      </c>
      <c r="I7" s="84">
        <f>WORKDAY.INTL(H7,13,"0000100",$AE$5:$AE$11)</f>
        <v>46235</v>
      </c>
      <c r="J7" s="84"/>
      <c r="K7" s="84"/>
      <c r="L7" s="367">
        <v>0.3</v>
      </c>
      <c r="M7" s="367" t="str">
        <f t="shared" ca="1" si="0"/>
        <v>In Progress</v>
      </c>
      <c r="N7" s="519"/>
      <c r="O7" s="1294"/>
      <c r="P7" s="35"/>
      <c r="Q7" s="35"/>
      <c r="R7" s="35"/>
      <c r="S7" s="35"/>
      <c r="T7" s="35"/>
      <c r="U7" s="35"/>
      <c r="V7" s="35"/>
      <c r="W7" s="523" t="s">
        <v>415</v>
      </c>
      <c r="X7" s="34"/>
      <c r="Y7" s="499"/>
      <c r="AB7" s="24"/>
      <c r="AE7" s="37"/>
    </row>
    <row r="8" spans="2:33" ht="45" customHeight="1">
      <c r="B8" s="1237"/>
      <c r="C8" s="429" t="s">
        <v>86</v>
      </c>
      <c r="D8" s="518" t="s">
        <v>111</v>
      </c>
      <c r="E8" s="355">
        <f>NETWORKDAYS.INTL(F8,G8,"0000100",$AE$5:$AE$12)</f>
        <v>3</v>
      </c>
      <c r="F8" s="84">
        <f>MAX(WORKDAY.INTL(G6,1,"0000100",$AE$5:$AE$12),WORKDAY.INTL(G5,1,"0000100",$AE$5:$AE$12))</f>
        <v>46219</v>
      </c>
      <c r="G8" s="84">
        <f>WORKDAY.INTL(F8,2,"0000100",$AE$5:$AE$12)</f>
        <v>46222</v>
      </c>
      <c r="H8" s="84">
        <f>MAX(WORKDAY.INTL(I6,1,"0000100",$AE$5:$AE$12),WORKDAY.INTL(I5,1,"0000100",$AE$5:$AE$12))</f>
        <v>46221</v>
      </c>
      <c r="I8" s="84">
        <f>WORKDAY.INTL(H8,2,"0000100",$AE$5:$AE$12)</f>
        <v>46223</v>
      </c>
      <c r="J8" s="84">
        <v>46221</v>
      </c>
      <c r="K8" s="84">
        <v>46223</v>
      </c>
      <c r="L8" s="367">
        <v>0.65</v>
      </c>
      <c r="M8" s="367" t="str">
        <f t="shared" ca="1" si="0"/>
        <v>Delayed</v>
      </c>
      <c r="N8" s="519" t="s">
        <v>416</v>
      </c>
      <c r="O8" s="1294"/>
      <c r="P8" s="35"/>
      <c r="Q8" s="35"/>
      <c r="R8" s="35"/>
      <c r="S8" s="35"/>
      <c r="T8" s="35"/>
      <c r="U8" s="35"/>
      <c r="V8" s="35"/>
      <c r="W8" s="523" t="s">
        <v>417</v>
      </c>
      <c r="X8" s="34"/>
      <c r="Y8" s="499"/>
      <c r="AB8" s="34" t="s">
        <v>63</v>
      </c>
      <c r="AC8" s="24" t="s">
        <v>68</v>
      </c>
      <c r="AE8" s="37">
        <v>46167</v>
      </c>
    </row>
    <row r="9" spans="2:33" ht="45" customHeight="1">
      <c r="B9" s="1237"/>
      <c r="C9" s="429" t="s">
        <v>86</v>
      </c>
      <c r="D9" s="518" t="s">
        <v>112</v>
      </c>
      <c r="E9" s="355"/>
      <c r="F9" s="84" t="s">
        <v>113</v>
      </c>
      <c r="G9" s="84">
        <v>46232</v>
      </c>
      <c r="H9" s="84" t="s">
        <v>113</v>
      </c>
      <c r="I9" s="84">
        <v>46232</v>
      </c>
      <c r="J9" s="84"/>
      <c r="K9" s="84"/>
      <c r="L9" s="367">
        <v>0.96</v>
      </c>
      <c r="M9" s="367" t="str">
        <f t="shared" ca="1" si="0"/>
        <v>In Progress</v>
      </c>
      <c r="N9" s="519" t="s">
        <v>418</v>
      </c>
      <c r="O9" s="1294"/>
      <c r="P9" s="35"/>
      <c r="Q9" s="35"/>
      <c r="R9" s="35"/>
      <c r="S9" s="35"/>
      <c r="T9" s="35"/>
      <c r="U9" s="35"/>
      <c r="V9" s="35"/>
      <c r="W9" s="523" t="s">
        <v>222</v>
      </c>
      <c r="X9" s="34"/>
      <c r="Y9" s="499"/>
      <c r="AB9" s="24"/>
      <c r="AE9" s="37">
        <v>46168</v>
      </c>
    </row>
    <row r="10" spans="2:33" ht="61.5">
      <c r="B10" s="1237"/>
      <c r="C10" s="429" t="s">
        <v>86</v>
      </c>
      <c r="D10" s="354" t="s">
        <v>117</v>
      </c>
      <c r="E10" s="355">
        <f>NETWORKDAYS.INTL(F10,G10,"0000110",$AE$5:$AE$12)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7"/>
      <c r="M10" s="367" t="str">
        <f t="shared" ca="1" si="0"/>
        <v>Not Started</v>
      </c>
      <c r="N10" s="519"/>
      <c r="O10" s="1294"/>
      <c r="P10" s="38"/>
      <c r="Q10" s="38"/>
      <c r="R10" s="38"/>
      <c r="S10" s="38"/>
      <c r="T10" s="38"/>
      <c r="U10" s="38"/>
      <c r="V10" s="38"/>
      <c r="W10" s="524" t="s">
        <v>334</v>
      </c>
      <c r="X10" s="34" t="s">
        <v>419</v>
      </c>
      <c r="Y10" s="499" t="s">
        <v>120</v>
      </c>
      <c r="AB10" s="34" t="s">
        <v>64</v>
      </c>
      <c r="AC10" s="24" t="s">
        <v>68</v>
      </c>
      <c r="AE10" s="37">
        <v>46169</v>
      </c>
    </row>
    <row r="11" spans="2:33" ht="45" customHeight="1">
      <c r="B11" s="1235"/>
      <c r="C11" s="430" t="s">
        <v>86</v>
      </c>
      <c r="D11" s="490" t="s">
        <v>122</v>
      </c>
      <c r="E11" s="348">
        <f>NETWORKDAYS.INTL(F11,G11,"0000110",$AE$5:$AE$12)</f>
        <v>2</v>
      </c>
      <c r="F11" s="379">
        <f t="shared" ref="F11" si="5">WORKDAY.INTL(G10,1,"0000110")</f>
        <v>46238</v>
      </c>
      <c r="G11" s="379">
        <f t="shared" si="2"/>
        <v>46239</v>
      </c>
      <c r="H11" s="379">
        <f t="shared" ref="H11" si="6">WORKDAY.INTL(I10,1,"0000110")</f>
        <v>46238</v>
      </c>
      <c r="I11" s="379">
        <f t="shared" si="4"/>
        <v>46239</v>
      </c>
      <c r="J11" s="379"/>
      <c r="K11" s="379"/>
      <c r="L11" s="380"/>
      <c r="M11" s="380" t="str">
        <f t="shared" ca="1" si="0"/>
        <v>Not Started</v>
      </c>
      <c r="N11" s="520"/>
      <c r="O11" s="1275"/>
      <c r="P11" s="38"/>
      <c r="Q11" s="38"/>
      <c r="R11" s="38"/>
      <c r="S11" s="38"/>
      <c r="T11" s="38"/>
      <c r="U11" s="38"/>
      <c r="V11" s="38"/>
      <c r="W11" s="525" t="s">
        <v>123</v>
      </c>
      <c r="X11" s="70"/>
      <c r="Y11" s="526"/>
      <c r="AB11" s="34" t="s">
        <v>65</v>
      </c>
      <c r="AC11" s="24" t="s">
        <v>68</v>
      </c>
      <c r="AE11" s="37">
        <v>46170</v>
      </c>
    </row>
    <row r="12" spans="2:33" s="19" customFormat="1" ht="4.5" customHeight="1">
      <c r="B12" s="114"/>
      <c r="C12" s="114"/>
      <c r="D12" s="381" t="s">
        <v>225</v>
      </c>
      <c r="E12" s="382"/>
      <c r="F12" s="381"/>
      <c r="G12" s="381"/>
      <c r="H12" s="381"/>
      <c r="I12" s="381"/>
      <c r="J12" s="381"/>
      <c r="K12" s="381"/>
      <c r="L12" s="383"/>
      <c r="M12" s="383"/>
      <c r="N12" s="383"/>
      <c r="O12" s="452"/>
      <c r="P12" s="32"/>
      <c r="Q12" s="32"/>
      <c r="R12" s="32"/>
      <c r="S12" s="32"/>
      <c r="T12" s="32"/>
      <c r="U12" s="32"/>
      <c r="V12" s="32"/>
      <c r="W12" s="114"/>
      <c r="X12" s="114"/>
      <c r="Y12" s="114"/>
      <c r="AA12" s="20"/>
      <c r="AC12" s="24" t="s">
        <v>69</v>
      </c>
      <c r="AE12" s="37">
        <v>46288</v>
      </c>
    </row>
    <row r="13" spans="2:33" ht="45" customHeight="1">
      <c r="B13" s="1240" t="s">
        <v>271</v>
      </c>
      <c r="C13" s="564" t="s">
        <v>86</v>
      </c>
      <c r="D13" s="390" t="s">
        <v>109</v>
      </c>
      <c r="E13" s="391">
        <f>NETWORKDAYS.INTL(F13,G13,"0000100",$AE$5:$AE$12)</f>
        <v>7</v>
      </c>
      <c r="F13" s="392">
        <f>WORKDAY.INTL(G8,1,"0000100")</f>
        <v>46223</v>
      </c>
      <c r="G13" s="392">
        <f>WORKDAY.INTL(F13,6,"0000100",$AE$5:$AE$11)</f>
        <v>46230</v>
      </c>
      <c r="H13" s="392">
        <f>WORKDAY.INTL(I8,1,"0000100")</f>
        <v>46224</v>
      </c>
      <c r="I13" s="392">
        <f>WORKDAY.INTL(H13,5,"0000100",$AE$5:$AE$11)</f>
        <v>46230</v>
      </c>
      <c r="J13" s="392">
        <v>46224</v>
      </c>
      <c r="K13" s="392"/>
      <c r="L13" s="393">
        <v>0</v>
      </c>
      <c r="M13" s="393" t="str">
        <f t="shared" ca="1" si="0"/>
        <v>Delayed</v>
      </c>
      <c r="N13" s="565" t="s">
        <v>420</v>
      </c>
      <c r="O13" s="1274"/>
      <c r="P13" s="43"/>
      <c r="Q13" s="43"/>
      <c r="R13" s="43"/>
      <c r="S13" s="43"/>
      <c r="T13" s="43"/>
      <c r="U13" s="43"/>
      <c r="V13" s="43"/>
      <c r="W13" s="652"/>
      <c r="X13" s="93" t="s">
        <v>421</v>
      </c>
      <c r="Y13" s="993"/>
      <c r="AB13" s="34" t="s">
        <v>62</v>
      </c>
      <c r="AC13" s="24" t="s">
        <v>69</v>
      </c>
      <c r="AE13" s="20">
        <v>46288</v>
      </c>
      <c r="AG13" s="37"/>
    </row>
    <row r="14" spans="2:33" ht="45" customHeight="1">
      <c r="B14" s="1241"/>
      <c r="C14" s="566" t="s">
        <v>86</v>
      </c>
      <c r="D14" s="646" t="s">
        <v>111</v>
      </c>
      <c r="E14" s="399">
        <f>NETWORKDAYS.INTL(F14,G14,"0000100",$AE$5:$AE$12)</f>
        <v>3</v>
      </c>
      <c r="F14" s="400">
        <f>WORKDAY.INTL(G13,1,"0000100",$AE$5:$AE$11)</f>
        <v>46231</v>
      </c>
      <c r="G14" s="400">
        <f>WORKDAY.INTL(F14,2,"0000100",$AE$5:$AE$11)</f>
        <v>46233</v>
      </c>
      <c r="H14" s="400">
        <f>WORKDAY.INTL(I13,1,"0000100",$AE$5:$AE$11)</f>
        <v>46231</v>
      </c>
      <c r="I14" s="400">
        <f>WORKDAY.INTL(H14,2,"0000100",$AE$5:$AE$11)</f>
        <v>46233</v>
      </c>
      <c r="J14" s="400"/>
      <c r="K14" s="400"/>
      <c r="L14" s="401"/>
      <c r="M14" s="401" t="str">
        <f t="shared" ca="1" si="0"/>
        <v>Not Started</v>
      </c>
      <c r="N14" s="567"/>
      <c r="O14" s="1294"/>
      <c r="P14" s="45"/>
      <c r="Q14" s="45"/>
      <c r="R14" s="45"/>
      <c r="S14" s="45"/>
      <c r="T14" s="45"/>
      <c r="U14" s="45"/>
      <c r="V14" s="45"/>
      <c r="W14" s="655"/>
      <c r="X14" s="41"/>
      <c r="Y14" s="1036"/>
      <c r="AB14" s="34" t="s">
        <v>63</v>
      </c>
      <c r="AC14" s="24" t="s">
        <v>69</v>
      </c>
    </row>
    <row r="15" spans="2:33" ht="45" customHeight="1">
      <c r="B15" s="1241"/>
      <c r="C15" s="566" t="s">
        <v>86</v>
      </c>
      <c r="D15" s="648" t="s">
        <v>117</v>
      </c>
      <c r="E15" s="399">
        <f>NETWORKDAYS.INTL(F15,G15,"0000110",$AE$5:$AE$12)</f>
        <v>3</v>
      </c>
      <c r="F15" s="400">
        <f>MAX(WORKDAY.INTL(G14,1,"0000100",$AH$5:$AH$10),WORKDAY.INTL(G10,1,"0000100",$AH$5:$AH$10))</f>
        <v>46238</v>
      </c>
      <c r="G15" s="400">
        <f t="shared" ref="G15" si="7">WORKDAY.INTL(F15,2,"0000110")</f>
        <v>46240</v>
      </c>
      <c r="H15" s="400">
        <f>MAX(WORKDAY.INTL(I14,1,"0000100",$AH$5:$AH$10),WORKDAY.INTL(I10,1,"0000100",$AH$5:$AH$10))</f>
        <v>46238</v>
      </c>
      <c r="I15" s="400">
        <f t="shared" ref="I15" si="8">WORKDAY.INTL(H15,2,"0000110")</f>
        <v>46240</v>
      </c>
      <c r="J15" s="400"/>
      <c r="K15" s="400"/>
      <c r="L15" s="401"/>
      <c r="M15" s="401" t="str">
        <f t="shared" ca="1" si="0"/>
        <v>Not Started</v>
      </c>
      <c r="N15" s="567"/>
      <c r="O15" s="1294"/>
      <c r="P15" s="46"/>
      <c r="Q15" s="46"/>
      <c r="R15" s="46"/>
      <c r="S15" s="46"/>
      <c r="T15" s="46"/>
      <c r="U15" s="46"/>
      <c r="V15" s="46"/>
      <c r="W15" s="655" t="s">
        <v>334</v>
      </c>
      <c r="X15" s="41" t="s">
        <v>419</v>
      </c>
      <c r="Y15" s="1036" t="s">
        <v>120</v>
      </c>
      <c r="AB15" s="34" t="s">
        <v>64</v>
      </c>
      <c r="AC15" s="24" t="s">
        <v>69</v>
      </c>
    </row>
    <row r="16" spans="2:33" ht="45" customHeight="1">
      <c r="B16" s="1242"/>
      <c r="C16" s="568" t="s">
        <v>86</v>
      </c>
      <c r="D16" s="649" t="s">
        <v>122</v>
      </c>
      <c r="E16" s="395">
        <f>NETWORKDAYS.INTL(F16,G16,"0000110",$AE$5:$AE$12)</f>
        <v>2</v>
      </c>
      <c r="F16" s="396">
        <f t="shared" ref="F16" si="9">WORKDAY.INTL(G15,1,"0000110")</f>
        <v>46243</v>
      </c>
      <c r="G16" s="396">
        <f t="shared" ref="G16" si="10">WORKDAY.INTL(F16,1,"0000110")</f>
        <v>46244</v>
      </c>
      <c r="H16" s="396">
        <f t="shared" ref="H16" si="11">WORKDAY.INTL(I15,1,"0000110")</f>
        <v>46243</v>
      </c>
      <c r="I16" s="396">
        <f t="shared" ref="I16" si="12">WORKDAY.INTL(H16,1,"0000110")</f>
        <v>46244</v>
      </c>
      <c r="J16" s="396"/>
      <c r="K16" s="396"/>
      <c r="L16" s="397"/>
      <c r="M16" s="397" t="str">
        <f t="shared" ca="1" si="0"/>
        <v>Not Started</v>
      </c>
      <c r="N16" s="569"/>
      <c r="O16" s="1275"/>
      <c r="P16" s="46"/>
      <c r="Q16" s="46"/>
      <c r="R16" s="46"/>
      <c r="S16" s="46"/>
      <c r="T16" s="46"/>
      <c r="U16" s="46"/>
      <c r="V16" s="46"/>
      <c r="W16" s="658" t="s">
        <v>123</v>
      </c>
      <c r="X16" s="60"/>
      <c r="Y16" s="994"/>
      <c r="AB16" s="34" t="s">
        <v>65</v>
      </c>
      <c r="AC16" s="24" t="s">
        <v>69</v>
      </c>
    </row>
    <row r="17" spans="2:33" s="19" customFormat="1" ht="4.5" customHeight="1">
      <c r="B17" s="114"/>
      <c r="C17" s="114"/>
      <c r="D17" s="381" t="s">
        <v>225</v>
      </c>
      <c r="E17" s="382"/>
      <c r="F17" s="381"/>
      <c r="G17" s="381"/>
      <c r="H17" s="381"/>
      <c r="I17" s="381"/>
      <c r="J17" s="381"/>
      <c r="K17" s="381"/>
      <c r="L17" s="383"/>
      <c r="M17" s="383"/>
      <c r="N17" s="383"/>
      <c r="O17" s="452"/>
      <c r="P17" s="32"/>
      <c r="Q17" s="32"/>
      <c r="R17" s="32"/>
      <c r="S17" s="32"/>
      <c r="T17" s="32"/>
      <c r="U17" s="32"/>
      <c r="V17" s="32"/>
      <c r="W17" s="114"/>
      <c r="X17" s="114"/>
      <c r="Y17" s="114"/>
      <c r="AB17" s="33"/>
      <c r="AC17" s="33" t="s">
        <v>70</v>
      </c>
    </row>
    <row r="18" spans="2:33" ht="45" customHeight="1">
      <c r="B18" s="1234" t="s">
        <v>422</v>
      </c>
      <c r="C18" s="428" t="s">
        <v>86</v>
      </c>
      <c r="D18" s="376" t="s">
        <v>109</v>
      </c>
      <c r="E18" s="347">
        <f>NETWORKDAYS.INTL(F18,G18,"0000100",$AE$5:$AE$12)</f>
        <v>5</v>
      </c>
      <c r="F18" s="81">
        <f>WORKDAY.INTL(G14,1,"0000100",$AE$5:$AE$11)</f>
        <v>46235</v>
      </c>
      <c r="G18" s="81">
        <f>WORKDAY.INTL(F18,4,"0000100",$AE$5:$AE$11)</f>
        <v>46239</v>
      </c>
      <c r="H18" s="81">
        <f>WORKDAY.INTL(I14,1,"0000100",$AE$5:$AE$11)</f>
        <v>46235</v>
      </c>
      <c r="I18" s="81">
        <f>WORKDAY.INTL(H18,4,"0000100",$AE$5:$AE$11)</f>
        <v>46239</v>
      </c>
      <c r="J18" s="81"/>
      <c r="K18" s="81"/>
      <c r="L18" s="377"/>
      <c r="M18" s="377" t="str">
        <f t="shared" ca="1" si="0"/>
        <v>Not Started</v>
      </c>
      <c r="N18" s="517"/>
      <c r="O18" s="1274"/>
      <c r="P18" s="35"/>
      <c r="Q18" s="35"/>
      <c r="R18" s="35"/>
      <c r="S18" s="35"/>
      <c r="T18" s="35"/>
      <c r="U18" s="35"/>
      <c r="V18" s="35"/>
      <c r="W18" s="522"/>
      <c r="X18" s="67" t="s">
        <v>421</v>
      </c>
      <c r="Y18" s="498" t="s">
        <v>120</v>
      </c>
      <c r="AB18" s="34" t="s">
        <v>62</v>
      </c>
      <c r="AC18" s="24" t="s">
        <v>70</v>
      </c>
    </row>
    <row r="19" spans="2:33" ht="45" customHeight="1">
      <c r="B19" s="1237"/>
      <c r="C19" s="429" t="s">
        <v>86</v>
      </c>
      <c r="D19" s="518" t="s">
        <v>111</v>
      </c>
      <c r="E19" s="355">
        <f>NETWORKDAYS.INTL(F19,G19,"0000100",$AE$5:$AE$12)</f>
        <v>2</v>
      </c>
      <c r="F19" s="84">
        <f>WORKDAY.INTL(G18,1,"0000100",$AE$5:$AE$11)</f>
        <v>46240</v>
      </c>
      <c r="G19" s="84">
        <f>WORKDAY.INTL(F19,1,"0000100",$AE$5:$AE$11)</f>
        <v>46242</v>
      </c>
      <c r="H19" s="84">
        <f>WORKDAY.INTL(I18,1,"0000100",$AE$5:$AE$11)</f>
        <v>46240</v>
      </c>
      <c r="I19" s="84">
        <f>WORKDAY.INTL(H19,1,"0000100",$AE$5:$AE$11)</f>
        <v>46242</v>
      </c>
      <c r="J19" s="84"/>
      <c r="K19" s="84"/>
      <c r="L19" s="367"/>
      <c r="M19" s="367" t="str">
        <f t="shared" ca="1" si="0"/>
        <v>Not Started</v>
      </c>
      <c r="N19" s="519"/>
      <c r="O19" s="1294"/>
      <c r="P19" s="35"/>
      <c r="Q19" s="35"/>
      <c r="R19" s="35"/>
      <c r="S19" s="35"/>
      <c r="T19" s="35"/>
      <c r="U19" s="35"/>
      <c r="V19" s="35"/>
      <c r="W19" s="523"/>
      <c r="X19" s="34"/>
      <c r="Y19" s="499"/>
      <c r="AB19" s="34" t="s">
        <v>63</v>
      </c>
      <c r="AC19" s="24" t="s">
        <v>70</v>
      </c>
    </row>
    <row r="20" spans="2:33" ht="45" customHeight="1">
      <c r="B20" s="1237"/>
      <c r="C20" s="429" t="s">
        <v>86</v>
      </c>
      <c r="D20" s="518" t="s">
        <v>117</v>
      </c>
      <c r="E20" s="355">
        <f>NETWORKDAYS.INTL(F20,G20,"0000110",$AE$5:$AE$12)</f>
        <v>5</v>
      </c>
      <c r="F20" s="84">
        <f>MAX(WORKDAY.INTL(G19,1,"0000100",$AH$5:$AH$10),WORKDAY.INTL(G15,1,"0000100",$AH$5:$AH$10))</f>
        <v>46243</v>
      </c>
      <c r="G20" s="84">
        <f t="shared" ref="G20" si="13">WORKDAY.INTL(F20,4,"0000110")</f>
        <v>46247</v>
      </c>
      <c r="H20" s="84">
        <f>MAX(WORKDAY.INTL(I19,1,"0000100",$AH$5:$AH$10),WORKDAY.INTL(I15,1,"0000100",$AH$5:$AH$10))</f>
        <v>46243</v>
      </c>
      <c r="I20" s="84">
        <f t="shared" ref="I20" si="14">WORKDAY.INTL(H20,4,"0000110")</f>
        <v>46247</v>
      </c>
      <c r="J20" s="84"/>
      <c r="K20" s="84"/>
      <c r="L20" s="367"/>
      <c r="M20" s="367" t="str">
        <f t="shared" ca="1" si="0"/>
        <v>Not Started</v>
      </c>
      <c r="N20" s="519"/>
      <c r="O20" s="1294"/>
      <c r="P20" s="35"/>
      <c r="Q20" s="35"/>
      <c r="R20" s="35"/>
      <c r="S20" s="35"/>
      <c r="T20" s="35"/>
      <c r="U20" s="35"/>
      <c r="V20" s="35"/>
      <c r="W20" s="523" t="s">
        <v>334</v>
      </c>
      <c r="X20" s="34" t="s">
        <v>419</v>
      </c>
      <c r="Y20" s="499" t="s">
        <v>120</v>
      </c>
      <c r="AB20" s="34" t="s">
        <v>64</v>
      </c>
      <c r="AC20" s="24" t="s">
        <v>70</v>
      </c>
    </row>
    <row r="21" spans="2:33" ht="45" customHeight="1">
      <c r="B21" s="1235"/>
      <c r="C21" s="430" t="s">
        <v>86</v>
      </c>
      <c r="D21" s="490" t="s">
        <v>122</v>
      </c>
      <c r="E21" s="348">
        <f>NETWORKDAYS.INTL(F21,G21,"0000110",$AE$5:$AE$12)</f>
        <v>2</v>
      </c>
      <c r="F21" s="379">
        <f t="shared" ref="F21" si="15">WORKDAY.INTL(G20,1,"0000110")</f>
        <v>46250</v>
      </c>
      <c r="G21" s="379">
        <f t="shared" ref="G21" si="16">WORKDAY.INTL(F21,1,"0000110")</f>
        <v>46251</v>
      </c>
      <c r="H21" s="379">
        <f t="shared" ref="H21" si="17">WORKDAY.INTL(I20,1,"0000110")</f>
        <v>46250</v>
      </c>
      <c r="I21" s="379">
        <f t="shared" ref="I21" si="18">WORKDAY.INTL(H21,1,"0000110")</f>
        <v>46251</v>
      </c>
      <c r="J21" s="379"/>
      <c r="K21" s="379"/>
      <c r="L21" s="380"/>
      <c r="M21" s="380" t="str">
        <f t="shared" ca="1" si="0"/>
        <v>Not Started</v>
      </c>
      <c r="N21" s="520"/>
      <c r="O21" s="1275"/>
      <c r="P21" s="38"/>
      <c r="Q21" s="38"/>
      <c r="R21" s="38"/>
      <c r="S21" s="38"/>
      <c r="T21" s="38"/>
      <c r="U21" s="38"/>
      <c r="V21" s="38"/>
      <c r="W21" s="525" t="s">
        <v>123</v>
      </c>
      <c r="X21" s="70"/>
      <c r="Y21" s="526"/>
      <c r="AB21" s="34" t="s">
        <v>65</v>
      </c>
      <c r="AC21" s="24" t="s">
        <v>70</v>
      </c>
    </row>
    <row r="22" spans="2:33" s="19" customFormat="1" ht="4.5" customHeight="1">
      <c r="B22" s="114"/>
      <c r="C22" s="114"/>
      <c r="D22" s="381" t="s">
        <v>225</v>
      </c>
      <c r="E22" s="382"/>
      <c r="F22" s="381"/>
      <c r="G22" s="381"/>
      <c r="H22" s="381"/>
      <c r="I22" s="381"/>
      <c r="J22" s="381"/>
      <c r="K22" s="381"/>
      <c r="L22" s="383"/>
      <c r="M22" s="383"/>
      <c r="N22" s="383"/>
      <c r="O22" s="452"/>
      <c r="P22" s="32"/>
      <c r="Q22" s="32"/>
      <c r="R22" s="32"/>
      <c r="S22" s="32"/>
      <c r="T22" s="32"/>
      <c r="U22" s="32"/>
      <c r="V22" s="32"/>
      <c r="W22" s="114"/>
      <c r="X22" s="114"/>
      <c r="Y22" s="114"/>
      <c r="AB22" s="33"/>
      <c r="AC22" s="33" t="s">
        <v>71</v>
      </c>
    </row>
    <row r="23" spans="2:33" ht="45" customHeight="1">
      <c r="B23" s="1240" t="s">
        <v>423</v>
      </c>
      <c r="C23" s="564" t="s">
        <v>86</v>
      </c>
      <c r="D23" s="390" t="s">
        <v>109</v>
      </c>
      <c r="E23" s="391">
        <f>NETWORKDAYS.INTL(F23,G23,"0000100",$AE$5:$AE$12)</f>
        <v>5</v>
      </c>
      <c r="F23" s="392">
        <f>WORKDAY.INTL(G19,1,"0000100",$AE$5:$AE$11)</f>
        <v>46243</v>
      </c>
      <c r="G23" s="392">
        <f>WORKDAY.INTL(F23,4,"0000100",$AE$5:$AE$11)</f>
        <v>46247</v>
      </c>
      <c r="H23" s="392">
        <f>WORKDAY.INTL(I19,1,"0000100",$AE$5:$AE$11)</f>
        <v>46243</v>
      </c>
      <c r="I23" s="392">
        <f>WORKDAY.INTL(H23,4,"0000100",$AE$5:$AE$11)</f>
        <v>46247</v>
      </c>
      <c r="J23" s="392"/>
      <c r="K23" s="392"/>
      <c r="L23" s="393"/>
      <c r="M23" s="393" t="str">
        <f t="shared" ca="1" si="0"/>
        <v>Not Started</v>
      </c>
      <c r="N23" s="565"/>
      <c r="O23" s="1274"/>
      <c r="P23" s="43"/>
      <c r="Q23" s="43"/>
      <c r="R23" s="43"/>
      <c r="S23" s="43"/>
      <c r="T23" s="43"/>
      <c r="U23" s="43"/>
      <c r="V23" s="43"/>
      <c r="W23" s="652"/>
      <c r="X23" s="54" t="s">
        <v>421</v>
      </c>
      <c r="Y23" s="993" t="s">
        <v>120</v>
      </c>
      <c r="AB23" s="34" t="s">
        <v>62</v>
      </c>
      <c r="AC23" s="24" t="s">
        <v>71</v>
      </c>
      <c r="AG23" s="37"/>
    </row>
    <row r="24" spans="2:33" ht="45" customHeight="1">
      <c r="B24" s="1241"/>
      <c r="C24" s="566" t="s">
        <v>86</v>
      </c>
      <c r="D24" s="646" t="s">
        <v>111</v>
      </c>
      <c r="E24" s="399">
        <f>NETWORKDAYS.INTL(F24,G24,"0000100",$AE$5:$AE$12)</f>
        <v>2</v>
      </c>
      <c r="F24" s="400">
        <f>WORKDAY.INTL(G23,1,"0000100",$AE$5:$AE$11)</f>
        <v>46249</v>
      </c>
      <c r="G24" s="400">
        <f>WORKDAY.INTL(F24,1,"0000100",$AE$5:$AE$11)</f>
        <v>46250</v>
      </c>
      <c r="H24" s="400">
        <f>WORKDAY.INTL(I23,1,"0000100",$AE$5:$AE$11)</f>
        <v>46249</v>
      </c>
      <c r="I24" s="400">
        <f>WORKDAY.INTL(H24,1,"0000100",$AE$5:$AE$11)</f>
        <v>46250</v>
      </c>
      <c r="J24" s="400"/>
      <c r="K24" s="400"/>
      <c r="L24" s="401"/>
      <c r="M24" s="401" t="str">
        <f t="shared" ca="1" si="0"/>
        <v>Not Started</v>
      </c>
      <c r="N24" s="567"/>
      <c r="O24" s="1294"/>
      <c r="P24" s="45"/>
      <c r="Q24" s="45"/>
      <c r="R24" s="45"/>
      <c r="S24" s="45"/>
      <c r="T24" s="45"/>
      <c r="U24" s="45"/>
      <c r="V24" s="45"/>
      <c r="W24" s="655"/>
      <c r="X24" s="41"/>
      <c r="Y24" s="1036"/>
      <c r="AB24" s="34" t="s">
        <v>63</v>
      </c>
      <c r="AC24" s="24" t="s">
        <v>71</v>
      </c>
    </row>
    <row r="25" spans="2:33" ht="45" customHeight="1">
      <c r="B25" s="1241"/>
      <c r="C25" s="566" t="s">
        <v>86</v>
      </c>
      <c r="D25" s="648" t="s">
        <v>117</v>
      </c>
      <c r="E25" s="399">
        <f>NETWORKDAYS.INTL(F25,G25,"0000110",$AE$5:$AE$12)</f>
        <v>5</v>
      </c>
      <c r="F25" s="400">
        <f>MAX(WORKDAY.INTL(G24,1,"0000100",$AH$5:$AH$10),WORKDAY.INTL(G20,1,"0000100",$AH$5:$AH$10))</f>
        <v>46251</v>
      </c>
      <c r="G25" s="400">
        <f t="shared" ref="G25" si="19">WORKDAY.INTL(F25,4,"0000110")</f>
        <v>46257</v>
      </c>
      <c r="H25" s="400">
        <f>MAX(WORKDAY.INTL(I24,1,"0000100",$AH$5:$AH$10),WORKDAY.INTL(I20,1,"0000100",$AH$5:$AH$10))</f>
        <v>46251</v>
      </c>
      <c r="I25" s="400">
        <f t="shared" ref="I25" si="20">WORKDAY.INTL(H25,4,"0000110")</f>
        <v>46257</v>
      </c>
      <c r="J25" s="400"/>
      <c r="K25" s="400"/>
      <c r="L25" s="401"/>
      <c r="M25" s="401" t="str">
        <f t="shared" ca="1" si="0"/>
        <v>Not Started</v>
      </c>
      <c r="N25" s="567"/>
      <c r="O25" s="1294"/>
      <c r="P25" s="46"/>
      <c r="Q25" s="46"/>
      <c r="R25" s="46"/>
      <c r="S25" s="46"/>
      <c r="T25" s="46"/>
      <c r="U25" s="46"/>
      <c r="V25" s="46"/>
      <c r="W25" s="655" t="s">
        <v>334</v>
      </c>
      <c r="X25" s="41" t="s">
        <v>419</v>
      </c>
      <c r="Y25" s="1036" t="s">
        <v>120</v>
      </c>
      <c r="AB25" s="34" t="s">
        <v>64</v>
      </c>
      <c r="AC25" s="24" t="s">
        <v>71</v>
      </c>
    </row>
    <row r="26" spans="2:33" ht="45" customHeight="1">
      <c r="B26" s="1242"/>
      <c r="C26" s="568" t="s">
        <v>86</v>
      </c>
      <c r="D26" s="649" t="s">
        <v>122</v>
      </c>
      <c r="E26" s="395">
        <f>NETWORKDAYS.INTL(F26,G26,"0000110",$AE$5:$AE$12)</f>
        <v>2</v>
      </c>
      <c r="F26" s="396">
        <f>WORKDAY.INTL(G25,1,"0000110")</f>
        <v>46258</v>
      </c>
      <c r="G26" s="396">
        <f t="shared" ref="G26" si="21">WORKDAY.INTL(F26,1,"0000110")</f>
        <v>46259</v>
      </c>
      <c r="H26" s="396">
        <f>WORKDAY.INTL(I25,1,"0000110")</f>
        <v>46258</v>
      </c>
      <c r="I26" s="396">
        <f t="shared" ref="I26" si="22">WORKDAY.INTL(H26,1,"0000110")</f>
        <v>46259</v>
      </c>
      <c r="J26" s="396"/>
      <c r="K26" s="396"/>
      <c r="L26" s="397"/>
      <c r="M26" s="397" t="str">
        <f t="shared" ca="1" si="0"/>
        <v>Not Started</v>
      </c>
      <c r="N26" s="569"/>
      <c r="O26" s="1275"/>
      <c r="P26" s="46"/>
      <c r="Q26" s="46"/>
      <c r="R26" s="46"/>
      <c r="S26" s="46"/>
      <c r="T26" s="46"/>
      <c r="U26" s="46"/>
      <c r="V26" s="46"/>
      <c r="W26" s="658" t="s">
        <v>123</v>
      </c>
      <c r="X26" s="60"/>
      <c r="Y26" s="994"/>
      <c r="AB26" s="34" t="s">
        <v>65</v>
      </c>
      <c r="AC26" s="24" t="s">
        <v>71</v>
      </c>
    </row>
    <row r="27" spans="2:33" s="19" customFormat="1" ht="4.5" customHeight="1">
      <c r="B27" s="114"/>
      <c r="C27" s="114"/>
      <c r="D27" s="381" t="s">
        <v>225</v>
      </c>
      <c r="E27" s="382"/>
      <c r="F27" s="381"/>
      <c r="G27" s="381"/>
      <c r="H27" s="381"/>
      <c r="I27" s="381"/>
      <c r="J27" s="381"/>
      <c r="K27" s="381"/>
      <c r="L27" s="383"/>
      <c r="M27" s="383"/>
      <c r="N27" s="383"/>
      <c r="O27" s="452"/>
      <c r="P27" s="32"/>
      <c r="Q27" s="32"/>
      <c r="R27" s="32"/>
      <c r="S27" s="32"/>
      <c r="T27" s="32"/>
      <c r="U27" s="32"/>
      <c r="V27" s="32"/>
      <c r="W27" s="114"/>
      <c r="X27" s="114"/>
      <c r="Y27" s="114"/>
      <c r="AB27" s="33"/>
      <c r="AC27" s="33" t="s">
        <v>72</v>
      </c>
    </row>
    <row r="28" spans="2:33" ht="45" customHeight="1">
      <c r="B28" s="1234" t="s">
        <v>424</v>
      </c>
      <c r="C28" s="428" t="s">
        <v>86</v>
      </c>
      <c r="D28" s="376" t="s">
        <v>109</v>
      </c>
      <c r="E28" s="347">
        <f>NETWORKDAYS.INTL(F28,G28,"0000100",$AE$5:$AE$12)</f>
        <v>5</v>
      </c>
      <c r="F28" s="81">
        <f>WORKDAY.INTL(G24,1,"0000100",$AE$5:$AE$11)</f>
        <v>46251</v>
      </c>
      <c r="G28" s="81">
        <f>WORKDAY.INTL(F28,4,"0000100",$AE$5:$AE$11)</f>
        <v>46256</v>
      </c>
      <c r="H28" s="81">
        <f>WORKDAY.INTL(I24,1,"0000100",$AE$5:$AE$11)</f>
        <v>46251</v>
      </c>
      <c r="I28" s="81">
        <f>WORKDAY.INTL(H28,4,"0000100",$AE$5:$AE$11)</f>
        <v>46256</v>
      </c>
      <c r="J28" s="81"/>
      <c r="K28" s="81"/>
      <c r="L28" s="377"/>
      <c r="M28" s="377" t="str">
        <f t="shared" ca="1" si="0"/>
        <v>Not Started</v>
      </c>
      <c r="N28" s="517"/>
      <c r="O28" s="1037"/>
      <c r="P28" s="35"/>
      <c r="Q28" s="35"/>
      <c r="R28" s="35"/>
      <c r="S28" s="35"/>
      <c r="T28" s="35"/>
      <c r="U28" s="35"/>
      <c r="V28" s="35"/>
      <c r="W28" s="522"/>
      <c r="X28" s="67" t="s">
        <v>421</v>
      </c>
      <c r="Y28" s="498" t="s">
        <v>120</v>
      </c>
      <c r="AB28" s="34" t="s">
        <v>62</v>
      </c>
      <c r="AC28" s="24" t="s">
        <v>72</v>
      </c>
    </row>
    <row r="29" spans="2:33" ht="45" customHeight="1">
      <c r="B29" s="1237"/>
      <c r="C29" s="429" t="s">
        <v>86</v>
      </c>
      <c r="D29" s="518" t="s">
        <v>111</v>
      </c>
      <c r="E29" s="355">
        <f>NETWORKDAYS.INTL(F29,G29,"0000100",$AE$5:$AE$12)</f>
        <v>2</v>
      </c>
      <c r="F29" s="84">
        <f>WORKDAY.INTL(G28,1,"0000100",$AE$5:$AE$11)</f>
        <v>46257</v>
      </c>
      <c r="G29" s="84">
        <f>WORKDAY.INTL(F29,1,"0000100",$AE$5:$AE$11)</f>
        <v>46258</v>
      </c>
      <c r="H29" s="84">
        <f>WORKDAY.INTL(I28,1,"0000100",$AE$5:$AE$11)</f>
        <v>46257</v>
      </c>
      <c r="I29" s="84">
        <f>WORKDAY.INTL(H29,1,"0000100",$AE$5:$AE$11)</f>
        <v>46258</v>
      </c>
      <c r="J29" s="84"/>
      <c r="K29" s="84"/>
      <c r="L29" s="367"/>
      <c r="M29" s="367" t="str">
        <f t="shared" ca="1" si="0"/>
        <v>Not Started</v>
      </c>
      <c r="N29" s="519"/>
      <c r="O29" s="1038"/>
      <c r="P29" s="35"/>
      <c r="Q29" s="35"/>
      <c r="R29" s="35"/>
      <c r="S29" s="35"/>
      <c r="T29" s="35"/>
      <c r="U29" s="35"/>
      <c r="V29" s="35"/>
      <c r="W29" s="523"/>
      <c r="X29" s="34"/>
      <c r="Y29" s="499"/>
      <c r="AB29" s="34" t="s">
        <v>63</v>
      </c>
      <c r="AC29" s="24" t="s">
        <v>72</v>
      </c>
    </row>
    <row r="30" spans="2:33" ht="45" customHeight="1">
      <c r="B30" s="1237"/>
      <c r="C30" s="429" t="s">
        <v>86</v>
      </c>
      <c r="D30" s="518" t="s">
        <v>117</v>
      </c>
      <c r="E30" s="355">
        <f>NETWORKDAYS.INTL(F30,G30,"0000110",$AE$5:$AE$12)</f>
        <v>5</v>
      </c>
      <c r="F30" s="84">
        <f>MAX(WORKDAY.INTL(G29,1,"0000100",$AH$5:$AH$10),WORKDAY.INTL(G25,1,"0000100",$AH$5:$AH$10))</f>
        <v>46259</v>
      </c>
      <c r="G30" s="84">
        <f t="shared" ref="G30" si="23">WORKDAY.INTL(F30,4,"0000110")</f>
        <v>46265</v>
      </c>
      <c r="H30" s="84">
        <f>MAX(WORKDAY.INTL(I29,1,"0000100",$AH$5:$AH$10),WORKDAY.INTL(I25,1,"0000100",$AH$5:$AH$10))</f>
        <v>46259</v>
      </c>
      <c r="I30" s="84">
        <f t="shared" ref="I30" si="24">WORKDAY.INTL(H30,4,"0000110")</f>
        <v>46265</v>
      </c>
      <c r="J30" s="84"/>
      <c r="K30" s="84"/>
      <c r="L30" s="367"/>
      <c r="M30" s="367" t="str">
        <f t="shared" ca="1" si="0"/>
        <v>Not Started</v>
      </c>
      <c r="N30" s="519"/>
      <c r="O30" s="1038"/>
      <c r="P30" s="35"/>
      <c r="Q30" s="35"/>
      <c r="R30" s="35"/>
      <c r="S30" s="35"/>
      <c r="T30" s="35"/>
      <c r="U30" s="35"/>
      <c r="V30" s="35"/>
      <c r="W30" s="523" t="s">
        <v>334</v>
      </c>
      <c r="X30" s="34" t="s">
        <v>419</v>
      </c>
      <c r="Y30" s="499" t="s">
        <v>120</v>
      </c>
      <c r="AB30" s="34" t="s">
        <v>64</v>
      </c>
      <c r="AC30" s="24" t="s">
        <v>72</v>
      </c>
    </row>
    <row r="31" spans="2:33" ht="45" customHeight="1">
      <c r="B31" s="1235"/>
      <c r="C31" s="430" t="s">
        <v>86</v>
      </c>
      <c r="D31" s="490" t="s">
        <v>122</v>
      </c>
      <c r="E31" s="348">
        <f>NETWORKDAYS.INTL(F31,G31,"0000110",$AE$5:$AE$12)</f>
        <v>2</v>
      </c>
      <c r="F31" s="379">
        <f t="shared" ref="F31" si="25">WORKDAY.INTL(G30,1,"0000110")</f>
        <v>46266</v>
      </c>
      <c r="G31" s="379">
        <f t="shared" ref="G31" si="26">WORKDAY.INTL(F31,1,"0000110")</f>
        <v>46267</v>
      </c>
      <c r="H31" s="379">
        <f t="shared" ref="H31" si="27">WORKDAY.INTL(I30,1,"0000110")</f>
        <v>46266</v>
      </c>
      <c r="I31" s="379">
        <f t="shared" ref="I31" si="28">WORKDAY.INTL(H31,1,"0000110")</f>
        <v>46267</v>
      </c>
      <c r="J31" s="379"/>
      <c r="K31" s="379"/>
      <c r="L31" s="380"/>
      <c r="M31" s="380" t="str">
        <f t="shared" ca="1" si="0"/>
        <v>Not Started</v>
      </c>
      <c r="N31" s="520"/>
      <c r="O31" s="1039"/>
      <c r="P31" s="38"/>
      <c r="Q31" s="38"/>
      <c r="R31" s="38"/>
      <c r="S31" s="38"/>
      <c r="T31" s="38"/>
      <c r="U31" s="38"/>
      <c r="V31" s="38"/>
      <c r="W31" s="525" t="s">
        <v>123</v>
      </c>
      <c r="X31" s="70"/>
      <c r="Y31" s="526"/>
      <c r="AB31" s="34" t="s">
        <v>65</v>
      </c>
      <c r="AC31" s="24" t="s">
        <v>72</v>
      </c>
    </row>
    <row r="32" spans="2:33" s="19" customFormat="1" ht="4.5" customHeight="1">
      <c r="B32" s="114"/>
      <c r="C32" s="114"/>
      <c r="D32" s="381" t="s">
        <v>225</v>
      </c>
      <c r="E32" s="382"/>
      <c r="F32" s="381"/>
      <c r="G32" s="381"/>
      <c r="H32" s="381"/>
      <c r="I32" s="381"/>
      <c r="J32" s="381"/>
      <c r="K32" s="381"/>
      <c r="L32" s="383"/>
      <c r="M32" s="383"/>
      <c r="N32" s="383"/>
      <c r="O32" s="452"/>
      <c r="P32" s="32"/>
      <c r="Q32" s="32"/>
      <c r="R32" s="32"/>
      <c r="S32" s="32"/>
      <c r="T32" s="32"/>
      <c r="U32" s="32"/>
      <c r="V32" s="32"/>
      <c r="W32" s="114"/>
      <c r="X32" s="114"/>
      <c r="Y32" s="114"/>
      <c r="AB32" s="33"/>
      <c r="AC32" s="33" t="s">
        <v>73</v>
      </c>
    </row>
    <row r="33" spans="2:33" ht="45" customHeight="1">
      <c r="B33" s="1240" t="s">
        <v>425</v>
      </c>
      <c r="C33" s="564" t="s">
        <v>86</v>
      </c>
      <c r="D33" s="390" t="s">
        <v>109</v>
      </c>
      <c r="E33" s="391">
        <f>NETWORKDAYS.INTL(F33,G33,"0000100",$AE$5:$AE$12)</f>
        <v>5</v>
      </c>
      <c r="F33" s="392">
        <f>WORKDAY.INTL(G29,1,"0000100",$AE$5:$AE$11)</f>
        <v>46259</v>
      </c>
      <c r="G33" s="392">
        <f>WORKDAY.INTL(F33,4,"0000100",$AE$5:$AE$11)</f>
        <v>46264</v>
      </c>
      <c r="H33" s="392">
        <f>WORKDAY.INTL(I29,1,"0000100",$AE$5:$AE$11)</f>
        <v>46259</v>
      </c>
      <c r="I33" s="392">
        <f>WORKDAY.INTL(H33,4,"0000100",$AE$5:$AE$11)</f>
        <v>46264</v>
      </c>
      <c r="J33" s="392"/>
      <c r="K33" s="392"/>
      <c r="L33" s="393"/>
      <c r="M33" s="393" t="str">
        <f t="shared" ca="1" si="0"/>
        <v>Not Started</v>
      </c>
      <c r="N33" s="565"/>
      <c r="O33" s="1274"/>
      <c r="P33" s="43"/>
      <c r="Q33" s="43"/>
      <c r="R33" s="43"/>
      <c r="S33" s="43"/>
      <c r="T33" s="43"/>
      <c r="U33" s="43"/>
      <c r="V33" s="43"/>
      <c r="W33" s="652"/>
      <c r="X33" s="54" t="s">
        <v>421</v>
      </c>
      <c r="Y33" s="993" t="s">
        <v>120</v>
      </c>
      <c r="AB33" s="34" t="s">
        <v>62</v>
      </c>
      <c r="AC33" s="24" t="s">
        <v>73</v>
      </c>
      <c r="AG33" s="37"/>
    </row>
    <row r="34" spans="2:33" ht="45" customHeight="1">
      <c r="B34" s="1241"/>
      <c r="C34" s="566" t="s">
        <v>86</v>
      </c>
      <c r="D34" s="646" t="s">
        <v>111</v>
      </c>
      <c r="E34" s="399">
        <f>NETWORKDAYS.INTL(F34,G34,"0000100",$AE$5:$AE$12)</f>
        <v>2</v>
      </c>
      <c r="F34" s="400">
        <f>WORKDAY.INTL(G33,1,"0000100",$AE$5:$AE$11)</f>
        <v>46265</v>
      </c>
      <c r="G34" s="400">
        <f>WORKDAY.INTL(F34,1,"0000100",$AE$5:$AE$11)</f>
        <v>46266</v>
      </c>
      <c r="H34" s="400">
        <f>WORKDAY.INTL(I33,1,"0000100",$AE$5:$AE$11)</f>
        <v>46265</v>
      </c>
      <c r="I34" s="400">
        <f>WORKDAY.INTL(H34,1,"0000100",$AE$5:$AE$11)</f>
        <v>46266</v>
      </c>
      <c r="J34" s="400"/>
      <c r="K34" s="400"/>
      <c r="L34" s="401"/>
      <c r="M34" s="401" t="str">
        <f t="shared" ca="1" si="0"/>
        <v>Not Started</v>
      </c>
      <c r="N34" s="567"/>
      <c r="O34" s="1294"/>
      <c r="P34" s="45"/>
      <c r="Q34" s="45"/>
      <c r="R34" s="45"/>
      <c r="S34" s="45"/>
      <c r="T34" s="45"/>
      <c r="U34" s="45"/>
      <c r="V34" s="45"/>
      <c r="W34" s="655"/>
      <c r="X34" s="41"/>
      <c r="Y34" s="1036"/>
      <c r="AB34" s="34" t="s">
        <v>63</v>
      </c>
      <c r="AC34" s="24" t="s">
        <v>73</v>
      </c>
    </row>
    <row r="35" spans="2:33" ht="45" customHeight="1">
      <c r="B35" s="1241"/>
      <c r="C35" s="566" t="s">
        <v>86</v>
      </c>
      <c r="D35" s="648" t="s">
        <v>117</v>
      </c>
      <c r="E35" s="399">
        <f>NETWORKDAYS.INTL(F35,G35,"0000110",$AE$5:$AE$12)</f>
        <v>5</v>
      </c>
      <c r="F35" s="400">
        <f>MAX(WORKDAY.INTL(G34,1,"0000100",$AH$5:$AH$10),WORKDAY.INTL(G30,1,"0000100",$AH$5:$AH$10))</f>
        <v>46267</v>
      </c>
      <c r="G35" s="400">
        <f t="shared" ref="G35" si="29">WORKDAY.INTL(F35,4,"0000110")</f>
        <v>46273</v>
      </c>
      <c r="H35" s="400">
        <f>MAX(WORKDAY.INTL(I34,1,"0000100",$AH$5:$AH$10),WORKDAY.INTL(I30,1,"0000100",$AH$5:$AH$10))</f>
        <v>46267</v>
      </c>
      <c r="I35" s="400">
        <f t="shared" ref="I35" si="30">WORKDAY.INTL(H35,4,"0000110")</f>
        <v>46273</v>
      </c>
      <c r="J35" s="400"/>
      <c r="K35" s="400"/>
      <c r="L35" s="401"/>
      <c r="M35" s="401" t="str">
        <f t="shared" ca="1" si="0"/>
        <v>Not Started</v>
      </c>
      <c r="N35" s="567"/>
      <c r="O35" s="1294"/>
      <c r="P35" s="46"/>
      <c r="Q35" s="46"/>
      <c r="R35" s="46"/>
      <c r="S35" s="46"/>
      <c r="T35" s="46"/>
      <c r="U35" s="46"/>
      <c r="V35" s="46"/>
      <c r="W35" s="655" t="s">
        <v>334</v>
      </c>
      <c r="X35" s="41" t="s">
        <v>419</v>
      </c>
      <c r="Y35" s="1036" t="s">
        <v>120</v>
      </c>
      <c r="AB35" s="34" t="s">
        <v>64</v>
      </c>
      <c r="AC35" s="24" t="s">
        <v>73</v>
      </c>
    </row>
    <row r="36" spans="2:33" ht="45" customHeight="1">
      <c r="B36" s="1242"/>
      <c r="C36" s="568" t="s">
        <v>86</v>
      </c>
      <c r="D36" s="649" t="s">
        <v>122</v>
      </c>
      <c r="E36" s="395">
        <f>NETWORKDAYS.INTL(F36,G36,"0000110",$AE$5:$AE$12)</f>
        <v>2</v>
      </c>
      <c r="F36" s="396">
        <f t="shared" ref="F36" si="31">WORKDAY.INTL(G35,1,"0000110")</f>
        <v>46274</v>
      </c>
      <c r="G36" s="396">
        <f t="shared" ref="G36" si="32">WORKDAY.INTL(F36,1,"0000110")</f>
        <v>46275</v>
      </c>
      <c r="H36" s="396">
        <f t="shared" ref="H36" si="33">WORKDAY.INTL(I35,1,"0000110")</f>
        <v>46274</v>
      </c>
      <c r="I36" s="396">
        <f t="shared" ref="I36" si="34">WORKDAY.INTL(H36,1,"0000110")</f>
        <v>46275</v>
      </c>
      <c r="J36" s="396"/>
      <c r="K36" s="396"/>
      <c r="L36" s="397"/>
      <c r="M36" s="397" t="str">
        <f t="shared" ca="1" si="0"/>
        <v>Not Started</v>
      </c>
      <c r="N36" s="569"/>
      <c r="O36" s="1275"/>
      <c r="P36" s="46"/>
      <c r="Q36" s="46"/>
      <c r="R36" s="46"/>
      <c r="S36" s="46"/>
      <c r="T36" s="46"/>
      <c r="U36" s="46"/>
      <c r="V36" s="46"/>
      <c r="W36" s="658" t="s">
        <v>123</v>
      </c>
      <c r="X36" s="60"/>
      <c r="Y36" s="994"/>
      <c r="AB36" s="34" t="s">
        <v>65</v>
      </c>
      <c r="AC36" s="24" t="s">
        <v>73</v>
      </c>
    </row>
    <row r="37" spans="2:33" s="19" customFormat="1" ht="4.5" customHeight="1">
      <c r="B37" s="114"/>
      <c r="C37" s="114"/>
      <c r="D37" s="381" t="s">
        <v>225</v>
      </c>
      <c r="E37" s="382"/>
      <c r="F37" s="381"/>
      <c r="G37" s="381"/>
      <c r="H37" s="381"/>
      <c r="I37" s="381"/>
      <c r="J37" s="381"/>
      <c r="K37" s="381"/>
      <c r="L37" s="383"/>
      <c r="M37" s="383"/>
      <c r="N37" s="383"/>
      <c r="O37" s="452"/>
      <c r="P37" s="32"/>
      <c r="Q37" s="32"/>
      <c r="R37" s="32"/>
      <c r="S37" s="32"/>
      <c r="T37" s="32"/>
      <c r="U37" s="32"/>
      <c r="V37" s="32"/>
      <c r="W37" s="114"/>
      <c r="X37" s="114"/>
      <c r="Y37" s="114"/>
      <c r="AB37" s="33"/>
      <c r="AC37" s="33" t="s">
        <v>74</v>
      </c>
    </row>
    <row r="38" spans="2:33" ht="45" customHeight="1">
      <c r="B38" s="1234" t="s">
        <v>136</v>
      </c>
      <c r="C38" s="428" t="s">
        <v>86</v>
      </c>
      <c r="D38" s="376" t="s">
        <v>109</v>
      </c>
      <c r="E38" s="347">
        <f>NETWORKDAYS.INTL(F38,G38,"0000100",$AE$5:$AE$12)</f>
        <v>5</v>
      </c>
      <c r="F38" s="81">
        <f>WORKDAY.INTL(G34,1,"0000100",$AE$5:$AE$11)</f>
        <v>46267</v>
      </c>
      <c r="G38" s="81">
        <f>WORKDAY.INTL(F38,4,"0000100",$AE$5:$AE$11)</f>
        <v>46272</v>
      </c>
      <c r="H38" s="81">
        <f>WORKDAY.INTL(I34,1,"0000100",$AE$5:$AE$11)</f>
        <v>46267</v>
      </c>
      <c r="I38" s="81">
        <f>WORKDAY.INTL(H38,4,"0000100",$AE$5:$AE$11)</f>
        <v>46272</v>
      </c>
      <c r="J38" s="81"/>
      <c r="K38" s="81"/>
      <c r="L38" s="377"/>
      <c r="M38" s="377" t="str">
        <f t="shared" ca="1" si="0"/>
        <v>Not Started</v>
      </c>
      <c r="N38" s="517"/>
      <c r="O38" s="1274"/>
      <c r="P38" s="35"/>
      <c r="Q38" s="35"/>
      <c r="R38" s="35"/>
      <c r="S38" s="35"/>
      <c r="T38" s="35"/>
      <c r="U38" s="35"/>
      <c r="V38" s="35"/>
      <c r="W38" s="522"/>
      <c r="X38" s="67" t="s">
        <v>421</v>
      </c>
      <c r="Y38" s="498" t="s">
        <v>120</v>
      </c>
      <c r="AB38" s="34" t="s">
        <v>62</v>
      </c>
      <c r="AC38" s="24" t="s">
        <v>74</v>
      </c>
    </row>
    <row r="39" spans="2:33" ht="45" customHeight="1">
      <c r="B39" s="1237"/>
      <c r="C39" s="429" t="s">
        <v>86</v>
      </c>
      <c r="D39" s="518" t="s">
        <v>111</v>
      </c>
      <c r="E39" s="355">
        <f>NETWORKDAYS.INTL(F39,G39,"0000100",$AE$5:$AE$12)</f>
        <v>2</v>
      </c>
      <c r="F39" s="84">
        <f>WORKDAY.INTL(G38,1,"0000100",$AE$5:$AE$11)</f>
        <v>46273</v>
      </c>
      <c r="G39" s="84">
        <f>WORKDAY.INTL(F39,1,"0000100",$AE$5:$AE$11)</f>
        <v>46274</v>
      </c>
      <c r="H39" s="84">
        <f>WORKDAY.INTL(I38,1,"0000100",$AE$5:$AE$11)</f>
        <v>46273</v>
      </c>
      <c r="I39" s="84">
        <f>WORKDAY.INTL(H39,1,"0000100",$AE$5:$AE$11)</f>
        <v>46274</v>
      </c>
      <c r="J39" s="84"/>
      <c r="K39" s="84"/>
      <c r="L39" s="367"/>
      <c r="M39" s="367" t="str">
        <f t="shared" ca="1" si="0"/>
        <v>Not Started</v>
      </c>
      <c r="N39" s="519"/>
      <c r="O39" s="1294"/>
      <c r="P39" s="35"/>
      <c r="Q39" s="35"/>
      <c r="R39" s="35"/>
      <c r="S39" s="35"/>
      <c r="T39" s="35"/>
      <c r="U39" s="35"/>
      <c r="V39" s="35"/>
      <c r="W39" s="523"/>
      <c r="X39" s="34"/>
      <c r="Y39" s="499"/>
      <c r="AB39" s="34" t="s">
        <v>63</v>
      </c>
      <c r="AC39" s="24" t="s">
        <v>74</v>
      </c>
    </row>
    <row r="40" spans="2:33" ht="45" customHeight="1">
      <c r="B40" s="1237"/>
      <c r="C40" s="429" t="s">
        <v>86</v>
      </c>
      <c r="D40" s="518" t="s">
        <v>117</v>
      </c>
      <c r="E40" s="355">
        <f>NETWORKDAYS.INTL(F40,G40,"0000110",$AE$5:$AE$12)</f>
        <v>5</v>
      </c>
      <c r="F40" s="84">
        <f>MAX(WORKDAY.INTL(G39,1,"0000100",$AH$5:$AH$10),WORKDAY.INTL(G35,1,"0000100",$AH$5:$AH$10))</f>
        <v>46275</v>
      </c>
      <c r="G40" s="84">
        <f t="shared" ref="G40" si="35">WORKDAY.INTL(F40,4,"0000110")</f>
        <v>46281</v>
      </c>
      <c r="H40" s="84">
        <f>MAX(WORKDAY.INTL(I39,1,"0000100",$AH$5:$AH$10),WORKDAY.INTL(I35,1,"0000100",$AH$5:$AH$10))</f>
        <v>46275</v>
      </c>
      <c r="I40" s="84">
        <f t="shared" ref="I40" si="36">WORKDAY.INTL(H40,4,"0000110")</f>
        <v>46281</v>
      </c>
      <c r="J40" s="84"/>
      <c r="K40" s="84"/>
      <c r="L40" s="367"/>
      <c r="M40" s="367" t="str">
        <f t="shared" ca="1" si="0"/>
        <v>Not Started</v>
      </c>
      <c r="N40" s="519"/>
      <c r="O40" s="1294"/>
      <c r="P40" s="35"/>
      <c r="Q40" s="35"/>
      <c r="R40" s="35"/>
      <c r="S40" s="35"/>
      <c r="T40" s="35"/>
      <c r="U40" s="35"/>
      <c r="V40" s="35"/>
      <c r="W40" s="523" t="s">
        <v>334</v>
      </c>
      <c r="X40" s="34" t="s">
        <v>419</v>
      </c>
      <c r="Y40" s="499" t="s">
        <v>120</v>
      </c>
      <c r="AB40" s="34" t="s">
        <v>64</v>
      </c>
      <c r="AC40" s="24" t="s">
        <v>74</v>
      </c>
    </row>
    <row r="41" spans="2:33" ht="45" customHeight="1">
      <c r="B41" s="1235"/>
      <c r="C41" s="430" t="s">
        <v>86</v>
      </c>
      <c r="D41" s="490" t="s">
        <v>122</v>
      </c>
      <c r="E41" s="348">
        <f>NETWORKDAYS.INTL(F41,G41,"0000110",$AE$5:$AE$12)</f>
        <v>2</v>
      </c>
      <c r="F41" s="379">
        <f t="shared" ref="F41" si="37">WORKDAY.INTL(G40,1,"0000110")</f>
        <v>46282</v>
      </c>
      <c r="G41" s="379">
        <f t="shared" ref="G41" si="38">WORKDAY.INTL(F41,1,"0000110")</f>
        <v>46285</v>
      </c>
      <c r="H41" s="379">
        <f t="shared" ref="H41" si="39">WORKDAY.INTL(I40,1,"0000110")</f>
        <v>46282</v>
      </c>
      <c r="I41" s="379">
        <f t="shared" ref="I41" si="40">WORKDAY.INTL(H41,1,"0000110")</f>
        <v>46285</v>
      </c>
      <c r="J41" s="379"/>
      <c r="K41" s="379"/>
      <c r="L41" s="380"/>
      <c r="M41" s="380" t="str">
        <f t="shared" ca="1" si="0"/>
        <v>Not Started</v>
      </c>
      <c r="N41" s="520"/>
      <c r="O41" s="1275"/>
      <c r="P41" s="38"/>
      <c r="Q41" s="38"/>
      <c r="R41" s="38"/>
      <c r="S41" s="38"/>
      <c r="T41" s="38"/>
      <c r="U41" s="38"/>
      <c r="V41" s="38"/>
      <c r="W41" s="525" t="s">
        <v>123</v>
      </c>
      <c r="X41" s="70"/>
      <c r="Y41" s="526"/>
      <c r="AB41" s="34" t="s">
        <v>65</v>
      </c>
      <c r="AC41" s="24" t="s">
        <v>74</v>
      </c>
    </row>
    <row r="42" spans="2:33" s="19" customFormat="1" ht="4.5" customHeight="1">
      <c r="B42" s="114"/>
      <c r="C42" s="114"/>
      <c r="D42" s="381" t="s">
        <v>225</v>
      </c>
      <c r="E42" s="382"/>
      <c r="F42" s="381"/>
      <c r="G42" s="381"/>
      <c r="H42" s="381"/>
      <c r="I42" s="381"/>
      <c r="J42" s="381"/>
      <c r="K42" s="381"/>
      <c r="L42" s="383"/>
      <c r="M42" s="383"/>
      <c r="N42" s="383"/>
      <c r="O42" s="452"/>
      <c r="P42" s="32"/>
      <c r="Q42" s="32"/>
      <c r="R42" s="32"/>
      <c r="S42" s="32"/>
      <c r="T42" s="32"/>
      <c r="U42" s="32"/>
      <c r="V42" s="32"/>
      <c r="W42" s="114"/>
      <c r="X42" s="114"/>
      <c r="Y42" s="114"/>
      <c r="AB42" s="33"/>
      <c r="AC42" s="33" t="s">
        <v>75</v>
      </c>
    </row>
    <row r="43" spans="2:33" ht="45" customHeight="1">
      <c r="B43" s="1240" t="s">
        <v>137</v>
      </c>
      <c r="C43" s="564" t="s">
        <v>86</v>
      </c>
      <c r="D43" s="390" t="s">
        <v>109</v>
      </c>
      <c r="E43" s="391">
        <f>NETWORKDAYS.INTL(F43,G43,"0000100",$AE$5:$AE$12)</f>
        <v>5</v>
      </c>
      <c r="F43" s="392">
        <f>WORKDAY.INTL(G39,1,"0000100",$AE$5:$AE$11)</f>
        <v>46275</v>
      </c>
      <c r="G43" s="392">
        <f>WORKDAY.INTL(F43,4,"0000100",$AE$5:$AE$11)</f>
        <v>46280</v>
      </c>
      <c r="H43" s="392">
        <f>WORKDAY.INTL(I39,1,"0000100",$AE$5:$AE$11)</f>
        <v>46275</v>
      </c>
      <c r="I43" s="392">
        <f>WORKDAY.INTL(H43,4,"0000100",$AE$5:$AE$11)</f>
        <v>46280</v>
      </c>
      <c r="J43" s="392"/>
      <c r="K43" s="392"/>
      <c r="L43" s="393"/>
      <c r="M43" s="393" t="str">
        <f t="shared" ca="1" si="0"/>
        <v>Not Started</v>
      </c>
      <c r="N43" s="565"/>
      <c r="O43" s="1274"/>
      <c r="P43" s="43"/>
      <c r="Q43" s="43"/>
      <c r="R43" s="43"/>
      <c r="S43" s="43"/>
      <c r="T43" s="43"/>
      <c r="U43" s="43"/>
      <c r="V43" s="43"/>
      <c r="W43" s="652"/>
      <c r="X43" s="54" t="s">
        <v>421</v>
      </c>
      <c r="Y43" s="993" t="s">
        <v>120</v>
      </c>
      <c r="AB43" s="34" t="s">
        <v>62</v>
      </c>
      <c r="AC43" s="24" t="s">
        <v>75</v>
      </c>
      <c r="AG43" s="37"/>
    </row>
    <row r="44" spans="2:33" ht="45" customHeight="1">
      <c r="B44" s="1241"/>
      <c r="C44" s="566" t="s">
        <v>86</v>
      </c>
      <c r="D44" s="646" t="s">
        <v>111</v>
      </c>
      <c r="E44" s="399">
        <f>NETWORKDAYS.INTL(F44,G44,"0000100",$AE$5:$AE$12)</f>
        <v>2</v>
      </c>
      <c r="F44" s="400">
        <f>WORKDAY.INTL(G43,1,"0000100",$AE$5:$AE$11)</f>
        <v>46281</v>
      </c>
      <c r="G44" s="400">
        <f>WORKDAY.INTL(F44,1,"0000100",$AE$5:$AE$11)</f>
        <v>46282</v>
      </c>
      <c r="H44" s="400">
        <f>WORKDAY.INTL(I43,1,"0000100",$AE$5:$AE$11)</f>
        <v>46281</v>
      </c>
      <c r="I44" s="400">
        <f>WORKDAY.INTL(H44,1,"0000100",$AE$5:$AE$11)</f>
        <v>46282</v>
      </c>
      <c r="J44" s="400"/>
      <c r="K44" s="400"/>
      <c r="L44" s="401"/>
      <c r="M44" s="401" t="str">
        <f t="shared" ca="1" si="0"/>
        <v>Not Started</v>
      </c>
      <c r="N44" s="567"/>
      <c r="O44" s="1294"/>
      <c r="P44" s="45"/>
      <c r="Q44" s="45"/>
      <c r="R44" s="45"/>
      <c r="S44" s="45"/>
      <c r="T44" s="45"/>
      <c r="U44" s="45"/>
      <c r="V44" s="45"/>
      <c r="W44" s="655"/>
      <c r="X44" s="41"/>
      <c r="Y44" s="1036"/>
      <c r="AB44" s="34" t="s">
        <v>63</v>
      </c>
      <c r="AC44" s="24" t="s">
        <v>75</v>
      </c>
    </row>
    <row r="45" spans="2:33" ht="45" customHeight="1">
      <c r="B45" s="1241"/>
      <c r="C45" s="566" t="s">
        <v>86</v>
      </c>
      <c r="D45" s="648" t="s">
        <v>117</v>
      </c>
      <c r="E45" s="399">
        <f>NETWORKDAYS.INTL(F45,G45,"0000110",$AE$5:$AE$12)</f>
        <v>3</v>
      </c>
      <c r="F45" s="400">
        <f>MAX(WORKDAY.INTL(G44,1,"0000100",$AH$5:$AH$10),WORKDAY.INTL(G40,1,"0000100",$AH$5:$AH$10))</f>
        <v>46284</v>
      </c>
      <c r="G45" s="400">
        <f t="shared" ref="G45" si="41">WORKDAY.INTL(F45,4,"0000110")</f>
        <v>46288</v>
      </c>
      <c r="H45" s="400">
        <f>MAX(WORKDAY.INTL(I44,1,"0000100",$AH$5:$AH$10),WORKDAY.INTL(I40,1,"0000100",$AH$5:$AH$10))</f>
        <v>46284</v>
      </c>
      <c r="I45" s="400">
        <f t="shared" ref="I45" si="42">WORKDAY.INTL(H45,4,"0000110")</f>
        <v>46288</v>
      </c>
      <c r="J45" s="400"/>
      <c r="K45" s="400"/>
      <c r="L45" s="401"/>
      <c r="M45" s="401" t="str">
        <f t="shared" ca="1" si="0"/>
        <v>Not Started</v>
      </c>
      <c r="N45" s="567"/>
      <c r="O45" s="1294"/>
      <c r="P45" s="46"/>
      <c r="Q45" s="46"/>
      <c r="R45" s="46"/>
      <c r="S45" s="46"/>
      <c r="T45" s="46"/>
      <c r="U45" s="46"/>
      <c r="V45" s="46"/>
      <c r="W45" s="655" t="s">
        <v>334</v>
      </c>
      <c r="X45" s="41" t="s">
        <v>419</v>
      </c>
      <c r="Y45" s="1036" t="s">
        <v>120</v>
      </c>
      <c r="AB45" s="34" t="s">
        <v>64</v>
      </c>
      <c r="AC45" s="24" t="s">
        <v>75</v>
      </c>
    </row>
    <row r="46" spans="2:33" ht="45" customHeight="1">
      <c r="B46" s="1242"/>
      <c r="C46" s="568" t="s">
        <v>86</v>
      </c>
      <c r="D46" s="649" t="s">
        <v>122</v>
      </c>
      <c r="E46" s="395">
        <f>NETWORKDAYS.INTL(F46,G46,"0000110",$AE$5:$AE$12)</f>
        <v>2</v>
      </c>
      <c r="F46" s="396">
        <f t="shared" ref="F46" si="43">WORKDAY.INTL(G45,1,"0000110")</f>
        <v>46289</v>
      </c>
      <c r="G46" s="396">
        <f t="shared" ref="G46" si="44">WORKDAY.INTL(F46,1,"0000110")</f>
        <v>46292</v>
      </c>
      <c r="H46" s="396">
        <f t="shared" ref="H46" si="45">WORKDAY.INTL(I45,1,"0000110")</f>
        <v>46289</v>
      </c>
      <c r="I46" s="396">
        <f t="shared" ref="I46" si="46">WORKDAY.INTL(H46,1,"0000110")</f>
        <v>46292</v>
      </c>
      <c r="J46" s="396"/>
      <c r="K46" s="396"/>
      <c r="L46" s="397"/>
      <c r="M46" s="397" t="str">
        <f t="shared" ca="1" si="0"/>
        <v>Not Started</v>
      </c>
      <c r="N46" s="569"/>
      <c r="O46" s="1275"/>
      <c r="P46" s="46"/>
      <c r="Q46" s="46"/>
      <c r="R46" s="46"/>
      <c r="S46" s="46"/>
      <c r="T46" s="46"/>
      <c r="U46" s="46"/>
      <c r="V46" s="46"/>
      <c r="W46" s="658" t="s">
        <v>123</v>
      </c>
      <c r="X46" s="60"/>
      <c r="Y46" s="994"/>
      <c r="AB46" s="34" t="s">
        <v>65</v>
      </c>
      <c r="AC46" s="24" t="s">
        <v>75</v>
      </c>
    </row>
    <row r="47" spans="2:33" s="19" customFormat="1" ht="4.5" customHeight="1">
      <c r="B47" s="114"/>
      <c r="C47" s="114"/>
      <c r="D47" s="381" t="s">
        <v>225</v>
      </c>
      <c r="E47" s="382"/>
      <c r="F47" s="381"/>
      <c r="G47" s="381"/>
      <c r="H47" s="381"/>
      <c r="I47" s="381"/>
      <c r="J47" s="381"/>
      <c r="K47" s="381"/>
      <c r="L47" s="383"/>
      <c r="M47" s="383"/>
      <c r="N47" s="383"/>
      <c r="O47" s="452"/>
      <c r="P47" s="32"/>
      <c r="Q47" s="32"/>
      <c r="R47" s="32"/>
      <c r="S47" s="32"/>
      <c r="T47" s="32"/>
      <c r="U47" s="32"/>
      <c r="V47" s="32"/>
      <c r="W47" s="114"/>
      <c r="X47" s="114"/>
      <c r="Y47" s="114"/>
      <c r="AB47" s="33"/>
      <c r="AC47" s="33" t="s">
        <v>76</v>
      </c>
    </row>
    <row r="48" spans="2:33" ht="45" customHeight="1">
      <c r="B48" s="1234" t="s">
        <v>426</v>
      </c>
      <c r="C48" s="428" t="s">
        <v>86</v>
      </c>
      <c r="D48" s="376" t="s">
        <v>109</v>
      </c>
      <c r="E48" s="347">
        <f>NETWORKDAYS.INTL(F48,G48,"0000100",$AE$5:$AE$12)</f>
        <v>4</v>
      </c>
      <c r="F48" s="81">
        <f>WORKDAY.INTL(G44,1,"0000100",$AE$5:$AE$11)</f>
        <v>46284</v>
      </c>
      <c r="G48" s="81">
        <f>WORKDAY.INTL(F48,4,"0000100",$AE$5:$AE$11)</f>
        <v>46288</v>
      </c>
      <c r="H48" s="81">
        <f>WORKDAY.INTL(I44,1,"0000100",$AE$5:$AE$11)</f>
        <v>46284</v>
      </c>
      <c r="I48" s="81">
        <f>WORKDAY.INTL(H48,4,"0000100",$AE$5:$AE$11)</f>
        <v>46288</v>
      </c>
      <c r="J48" s="81"/>
      <c r="K48" s="81"/>
      <c r="L48" s="377"/>
      <c r="M48" s="377" t="str">
        <f t="shared" ca="1" si="0"/>
        <v>Not Started</v>
      </c>
      <c r="N48" s="517"/>
      <c r="O48" s="1274"/>
      <c r="P48" s="35"/>
      <c r="Q48" s="35"/>
      <c r="R48" s="35"/>
      <c r="S48" s="35"/>
      <c r="T48" s="35"/>
      <c r="U48" s="35"/>
      <c r="V48" s="35"/>
      <c r="W48" s="522"/>
      <c r="X48" s="67" t="s">
        <v>421</v>
      </c>
      <c r="Y48" s="498" t="s">
        <v>234</v>
      </c>
      <c r="AB48" s="34" t="s">
        <v>62</v>
      </c>
      <c r="AC48" s="24" t="s">
        <v>76</v>
      </c>
    </row>
    <row r="49" spans="2:33" ht="45" customHeight="1">
      <c r="B49" s="1237"/>
      <c r="C49" s="429" t="s">
        <v>86</v>
      </c>
      <c r="D49" s="518" t="s">
        <v>111</v>
      </c>
      <c r="E49" s="355">
        <f>NETWORKDAYS.INTL(F49,G49,"0000100",$AE$5:$AE$12)</f>
        <v>2</v>
      </c>
      <c r="F49" s="84">
        <f>WORKDAY.INTL(G48,1,"0000100",$AE$5:$AE$11)</f>
        <v>46289</v>
      </c>
      <c r="G49" s="84">
        <f>WORKDAY.INTL(F49,1,"0000100",$AE$5:$AE$11)</f>
        <v>46291</v>
      </c>
      <c r="H49" s="84">
        <f>WORKDAY.INTL(I48,1,"0000100",$AE$5:$AE$11)</f>
        <v>46289</v>
      </c>
      <c r="I49" s="84">
        <f>WORKDAY.INTL(H49,1,"0000100",$AE$5:$AE$11)</f>
        <v>46291</v>
      </c>
      <c r="J49" s="84"/>
      <c r="K49" s="84"/>
      <c r="L49" s="367"/>
      <c r="M49" s="367" t="str">
        <f t="shared" ca="1" si="0"/>
        <v>Not Started</v>
      </c>
      <c r="N49" s="519"/>
      <c r="O49" s="1294"/>
      <c r="P49" s="35"/>
      <c r="Q49" s="35"/>
      <c r="R49" s="35"/>
      <c r="S49" s="35"/>
      <c r="T49" s="35"/>
      <c r="U49" s="35"/>
      <c r="V49" s="35"/>
      <c r="W49" s="523"/>
      <c r="X49" s="34"/>
      <c r="Y49" s="499"/>
      <c r="AB49" s="34" t="s">
        <v>63</v>
      </c>
      <c r="AC49" s="24" t="s">
        <v>76</v>
      </c>
    </row>
    <row r="50" spans="2:33" ht="45" customHeight="1">
      <c r="B50" s="1237"/>
      <c r="C50" s="429" t="s">
        <v>86</v>
      </c>
      <c r="D50" s="518" t="s">
        <v>117</v>
      </c>
      <c r="E50" s="355">
        <f>NETWORKDAYS.INTL(F50,G50,"0000110",$AE$5:$AE$12)</f>
        <v>5</v>
      </c>
      <c r="F50" s="84">
        <f>MAX(WORKDAY.INTL(G49,1,"0000100",$AH$5:$AH$10),WORKDAY.INTL(G45,1,"0000100",$AH$5:$AH$10))</f>
        <v>46292</v>
      </c>
      <c r="G50" s="84">
        <f t="shared" ref="G50" si="47">WORKDAY.INTL(F50,4,"0000110")</f>
        <v>46296</v>
      </c>
      <c r="H50" s="84">
        <f>MAX(WORKDAY.INTL(I49,1,"0000100",$AH$5:$AH$10),WORKDAY.INTL(I45,1,"0000100",$AH$5:$AH$10))</f>
        <v>46292</v>
      </c>
      <c r="I50" s="84">
        <f t="shared" ref="I50" si="48">WORKDAY.INTL(H50,4,"0000110")</f>
        <v>46296</v>
      </c>
      <c r="J50" s="84"/>
      <c r="K50" s="84"/>
      <c r="L50" s="367"/>
      <c r="M50" s="367" t="str">
        <f t="shared" ca="1" si="0"/>
        <v>Not Started</v>
      </c>
      <c r="N50" s="519"/>
      <c r="O50" s="1294"/>
      <c r="P50" s="35"/>
      <c r="Q50" s="35"/>
      <c r="R50" s="35"/>
      <c r="S50" s="35"/>
      <c r="T50" s="35"/>
      <c r="U50" s="35"/>
      <c r="V50" s="35"/>
      <c r="W50" s="523" t="s">
        <v>334</v>
      </c>
      <c r="X50" s="34" t="s">
        <v>419</v>
      </c>
      <c r="Y50" s="499" t="s">
        <v>120</v>
      </c>
      <c r="AB50" s="34" t="s">
        <v>64</v>
      </c>
      <c r="AC50" s="24" t="s">
        <v>76</v>
      </c>
    </row>
    <row r="51" spans="2:33" ht="45" customHeight="1">
      <c r="B51" s="1235"/>
      <c r="C51" s="430" t="s">
        <v>86</v>
      </c>
      <c r="D51" s="490" t="s">
        <v>122</v>
      </c>
      <c r="E51" s="348">
        <f>NETWORKDAYS.INTL(F51,G51,"0000110",$AE$5:$AE$12)</f>
        <v>2</v>
      </c>
      <c r="F51" s="379">
        <f t="shared" ref="F51" si="49">WORKDAY.INTL(G50,1,"0000110")</f>
        <v>46299</v>
      </c>
      <c r="G51" s="379">
        <f t="shared" ref="G51" si="50">WORKDAY.INTL(F51,1,"0000110")</f>
        <v>46300</v>
      </c>
      <c r="H51" s="379">
        <f t="shared" ref="H51" si="51">WORKDAY.INTL(I50,1,"0000110")</f>
        <v>46299</v>
      </c>
      <c r="I51" s="379">
        <f t="shared" ref="I51" si="52">WORKDAY.INTL(H51,1,"0000110")</f>
        <v>46300</v>
      </c>
      <c r="J51" s="379"/>
      <c r="K51" s="379"/>
      <c r="L51" s="380"/>
      <c r="M51" s="380" t="str">
        <f t="shared" ca="1" si="0"/>
        <v>Not Started</v>
      </c>
      <c r="N51" s="520"/>
      <c r="O51" s="1275"/>
      <c r="P51" s="38"/>
      <c r="Q51" s="38"/>
      <c r="R51" s="38"/>
      <c r="S51" s="38"/>
      <c r="T51" s="38"/>
      <c r="U51" s="38"/>
      <c r="V51" s="38"/>
      <c r="W51" s="525" t="s">
        <v>123</v>
      </c>
      <c r="X51" s="70"/>
      <c r="Y51" s="526"/>
      <c r="AB51" s="34" t="s">
        <v>65</v>
      </c>
      <c r="AC51" s="24" t="s">
        <v>76</v>
      </c>
    </row>
    <row r="52" spans="2:33" s="19" customFormat="1" ht="4.5" customHeight="1">
      <c r="B52" s="114"/>
      <c r="C52" s="114"/>
      <c r="D52" s="381" t="s">
        <v>225</v>
      </c>
      <c r="E52" s="382"/>
      <c r="F52" s="381"/>
      <c r="G52" s="381"/>
      <c r="H52" s="381"/>
      <c r="I52" s="381"/>
      <c r="J52" s="381"/>
      <c r="K52" s="381"/>
      <c r="L52" s="383"/>
      <c r="M52" s="383"/>
      <c r="N52" s="383"/>
      <c r="O52" s="452"/>
      <c r="P52" s="32"/>
      <c r="Q52" s="32"/>
      <c r="R52" s="32"/>
      <c r="S52" s="32"/>
      <c r="T52" s="32"/>
      <c r="U52" s="32"/>
      <c r="V52" s="32"/>
      <c r="W52" s="114"/>
      <c r="X52" s="114"/>
      <c r="Y52" s="114"/>
      <c r="Z52" s="49"/>
      <c r="AC52" s="19" t="s">
        <v>77</v>
      </c>
      <c r="AF52" s="20"/>
    </row>
    <row r="53" spans="2:33" ht="45" customHeight="1">
      <c r="B53" s="1240" t="s">
        <v>427</v>
      </c>
      <c r="C53" s="564" t="s">
        <v>86</v>
      </c>
      <c r="D53" s="390" t="s">
        <v>109</v>
      </c>
      <c r="E53" s="391">
        <f>NETWORKDAYS.INTL(F53,G53,"0000100",$AE$5:$AE$12)</f>
        <v>5</v>
      </c>
      <c r="F53" s="392">
        <f>WORKDAY.INTL(G49,1,"0000100",$AE$5:$AE$11)</f>
        <v>46292</v>
      </c>
      <c r="G53" s="392">
        <f>WORKDAY.INTL(F53,4,"0000100",$AE$5:$AE$11)</f>
        <v>46296</v>
      </c>
      <c r="H53" s="392">
        <f>WORKDAY.INTL(I49,1,"0000100",$AE$5:$AE$11)</f>
        <v>46292</v>
      </c>
      <c r="I53" s="392">
        <f>WORKDAY.INTL(H53,4,"0000100",$AE$5:$AE$11)</f>
        <v>46296</v>
      </c>
      <c r="J53" s="392"/>
      <c r="K53" s="392"/>
      <c r="L53" s="393"/>
      <c r="M53" s="393" t="str">
        <f t="shared" ca="1" si="0"/>
        <v>Not Started</v>
      </c>
      <c r="N53" s="565"/>
      <c r="O53" s="1274"/>
      <c r="P53" s="43"/>
      <c r="Q53" s="43"/>
      <c r="R53" s="43"/>
      <c r="S53" s="43"/>
      <c r="T53" s="43"/>
      <c r="U53" s="43"/>
      <c r="V53" s="43"/>
      <c r="W53" s="652"/>
      <c r="X53" s="54" t="s">
        <v>421</v>
      </c>
      <c r="Y53" s="993" t="s">
        <v>120</v>
      </c>
      <c r="AB53" s="34" t="s">
        <v>62</v>
      </c>
      <c r="AC53" s="24" t="s">
        <v>77</v>
      </c>
      <c r="AG53" s="37"/>
    </row>
    <row r="54" spans="2:33" ht="45" customHeight="1">
      <c r="B54" s="1241"/>
      <c r="C54" s="566" t="s">
        <v>86</v>
      </c>
      <c r="D54" s="646" t="s">
        <v>111</v>
      </c>
      <c r="E54" s="399">
        <f>NETWORKDAYS.INTL(F54,G54,"0000100",$AE$5:$AE$12)</f>
        <v>2</v>
      </c>
      <c r="F54" s="400">
        <f>WORKDAY.INTL(G53,1,"0000100",$AE$5:$AE$11)</f>
        <v>46298</v>
      </c>
      <c r="G54" s="400">
        <f>WORKDAY.INTL(F54,1,"0000100",$AE$5:$AE$11)</f>
        <v>46299</v>
      </c>
      <c r="H54" s="400">
        <f>WORKDAY.INTL(I53,1,"0000100",$AE$5:$AE$11)</f>
        <v>46298</v>
      </c>
      <c r="I54" s="400">
        <f>WORKDAY.INTL(H54,1,"0000100",$AE$5:$AE$11)</f>
        <v>46299</v>
      </c>
      <c r="J54" s="400"/>
      <c r="K54" s="400"/>
      <c r="L54" s="401"/>
      <c r="M54" s="401" t="str">
        <f t="shared" ca="1" si="0"/>
        <v>Not Started</v>
      </c>
      <c r="N54" s="567"/>
      <c r="O54" s="1294"/>
      <c r="P54" s="45"/>
      <c r="Q54" s="45"/>
      <c r="R54" s="45"/>
      <c r="S54" s="45"/>
      <c r="T54" s="45"/>
      <c r="U54" s="45"/>
      <c r="V54" s="45"/>
      <c r="W54" s="655"/>
      <c r="X54" s="41"/>
      <c r="Y54" s="1036"/>
      <c r="AB54" s="34" t="s">
        <v>63</v>
      </c>
      <c r="AC54" s="24" t="s">
        <v>77</v>
      </c>
    </row>
    <row r="55" spans="2:33" ht="45" customHeight="1">
      <c r="B55" s="1241"/>
      <c r="C55" s="566" t="s">
        <v>86</v>
      </c>
      <c r="D55" s="648" t="s">
        <v>117</v>
      </c>
      <c r="E55" s="399">
        <f>NETWORKDAYS.INTL(F55,G55,"0000110",$AE$5:$AE$12)</f>
        <v>5</v>
      </c>
      <c r="F55" s="400">
        <f>MAX(WORKDAY.INTL(G54,1,"0000100",$AH$5:$AH$10),WORKDAY.INTL(G50,1,"0000100",$AH$5:$AH$10))</f>
        <v>46300</v>
      </c>
      <c r="G55" s="400">
        <f t="shared" ref="G55" si="53">WORKDAY.INTL(F55,4,"0000110")</f>
        <v>46306</v>
      </c>
      <c r="H55" s="400">
        <f>MAX(WORKDAY.INTL(I54,1,"0000100",$AH$5:$AH$10),WORKDAY.INTL(I50,1,"0000100",$AH$5:$AH$10))</f>
        <v>46300</v>
      </c>
      <c r="I55" s="400">
        <f t="shared" ref="I55" si="54">WORKDAY.INTL(H55,4,"0000110")</f>
        <v>46306</v>
      </c>
      <c r="J55" s="400"/>
      <c r="K55" s="400"/>
      <c r="L55" s="401"/>
      <c r="M55" s="401" t="str">
        <f t="shared" ca="1" si="0"/>
        <v>Not Started</v>
      </c>
      <c r="N55" s="567"/>
      <c r="O55" s="1294"/>
      <c r="P55" s="46"/>
      <c r="Q55" s="46"/>
      <c r="R55" s="46"/>
      <c r="S55" s="46"/>
      <c r="T55" s="46"/>
      <c r="U55" s="46"/>
      <c r="V55" s="46"/>
      <c r="W55" s="655" t="s">
        <v>334</v>
      </c>
      <c r="X55" s="41" t="s">
        <v>419</v>
      </c>
      <c r="Y55" s="1036" t="s">
        <v>120</v>
      </c>
      <c r="AB55" s="34" t="s">
        <v>64</v>
      </c>
      <c r="AC55" s="24" t="s">
        <v>77</v>
      </c>
    </row>
    <row r="56" spans="2:33" ht="45" customHeight="1">
      <c r="B56" s="1242"/>
      <c r="C56" s="568" t="s">
        <v>86</v>
      </c>
      <c r="D56" s="649" t="s">
        <v>122</v>
      </c>
      <c r="E56" s="395">
        <f>NETWORKDAYS.INTL(F56,G56,"0000110",$AE$5:$AE$12)</f>
        <v>2</v>
      </c>
      <c r="F56" s="396">
        <f t="shared" ref="F56" si="55">WORKDAY.INTL(G55,1,"0000110")</f>
        <v>46307</v>
      </c>
      <c r="G56" s="396">
        <f>WORKDAY.INTL(F56,1,"0000110")</f>
        <v>46308</v>
      </c>
      <c r="H56" s="396">
        <f t="shared" ref="H56" si="56">WORKDAY.INTL(I55,1,"0000110")</f>
        <v>46307</v>
      </c>
      <c r="I56" s="396">
        <f>WORKDAY.INTL(H56,1,"0000110")</f>
        <v>46308</v>
      </c>
      <c r="J56" s="396"/>
      <c r="K56" s="396"/>
      <c r="L56" s="397"/>
      <c r="M56" s="397" t="str">
        <f t="shared" ca="1" si="0"/>
        <v>Not Started</v>
      </c>
      <c r="N56" s="569"/>
      <c r="O56" s="1275"/>
      <c r="P56" s="46"/>
      <c r="Q56" s="46"/>
      <c r="R56" s="46"/>
      <c r="S56" s="46"/>
      <c r="T56" s="46"/>
      <c r="U56" s="46"/>
      <c r="V56" s="46"/>
      <c r="W56" s="658" t="s">
        <v>123</v>
      </c>
      <c r="X56" s="60"/>
      <c r="Y56" s="994"/>
      <c r="AB56" s="34" t="s">
        <v>65</v>
      </c>
      <c r="AC56" s="24" t="s">
        <v>77</v>
      </c>
    </row>
    <row r="57" spans="2:33" s="19" customFormat="1" ht="4.5" customHeight="1">
      <c r="B57" s="114"/>
      <c r="C57" s="114"/>
      <c r="D57" s="381"/>
      <c r="E57" s="382"/>
      <c r="F57" s="381"/>
      <c r="G57" s="381"/>
      <c r="H57" s="381"/>
      <c r="I57" s="381"/>
      <c r="J57" s="381"/>
      <c r="K57" s="381"/>
      <c r="L57" s="383"/>
      <c r="M57" s="383"/>
      <c r="N57" s="383"/>
      <c r="O57" s="452"/>
      <c r="P57" s="32"/>
      <c r="Q57" s="32"/>
      <c r="R57" s="32"/>
      <c r="S57" s="32"/>
      <c r="T57" s="32"/>
      <c r="U57" s="32"/>
      <c r="V57" s="32"/>
      <c r="W57" s="114"/>
      <c r="X57" s="114"/>
      <c r="Y57" s="114"/>
      <c r="Z57" s="49"/>
      <c r="AF57" s="20"/>
    </row>
    <row r="58" spans="2:33" ht="57.75">
      <c r="B58" s="1234" t="s">
        <v>138</v>
      </c>
      <c r="C58" s="428" t="s">
        <v>138</v>
      </c>
      <c r="D58" s="376" t="s">
        <v>139</v>
      </c>
      <c r="E58" s="347">
        <f>NETWORKDAYS.INTL(F58,G58,"0000100",$AF$5:$AF$11)</f>
        <v>19</v>
      </c>
      <c r="F58" s="81">
        <f>WORKDAY.INTL(G59,1,"0000100",$AF$5:$AF$11)</f>
        <v>46278</v>
      </c>
      <c r="G58" s="81">
        <f>WORKDAY.INTL(F58,18,"0000100",$AF$5:$AF$11)</f>
        <v>46299</v>
      </c>
      <c r="H58" s="81">
        <f>WORKDAY.INTL(I59,1,"0000100",$AF$5:$AF$11)</f>
        <v>46278</v>
      </c>
      <c r="I58" s="81">
        <f>WORKDAY.INTL(H58,18,"0000100",$AF$5:$AF$11)</f>
        <v>46299</v>
      </c>
      <c r="J58" s="81"/>
      <c r="K58" s="81"/>
      <c r="L58" s="377"/>
      <c r="M58" s="377" t="str">
        <f t="shared" ca="1" si="0"/>
        <v>Not Started</v>
      </c>
      <c r="N58" s="517"/>
      <c r="O58" s="1037"/>
      <c r="P58" s="36"/>
      <c r="Q58" s="50"/>
      <c r="R58" s="50"/>
      <c r="S58" s="50"/>
      <c r="T58" s="50"/>
      <c r="U58" s="50"/>
      <c r="V58" s="621"/>
      <c r="W58" s="522" t="s">
        <v>428</v>
      </c>
      <c r="X58" s="67" t="s">
        <v>429</v>
      </c>
      <c r="Y58" s="498"/>
      <c r="Z58" s="21"/>
      <c r="AB58" s="34"/>
    </row>
    <row r="59" spans="2:33" ht="57.75">
      <c r="B59" s="1237"/>
      <c r="C59" s="429" t="s">
        <v>138</v>
      </c>
      <c r="D59" s="518" t="s">
        <v>142</v>
      </c>
      <c r="E59" s="355">
        <f>NETWORKDAYS.INTL(F59,G59,"0000100",$AF$5:$AF$11)</f>
        <v>19</v>
      </c>
      <c r="F59" s="84">
        <f>WORKDAY.INTL(F75,35,"0000100",$AF$5:$AF$11)</f>
        <v>46256</v>
      </c>
      <c r="G59" s="84">
        <f>WORKDAY.INTL(F59,18,"0000100",$AF$5:$AF$11)</f>
        <v>46277</v>
      </c>
      <c r="H59" s="84">
        <f>WORKDAY.INTL(H75,35,"0000100",$AF$5:$AF$11)</f>
        <v>46256</v>
      </c>
      <c r="I59" s="84">
        <f>WORKDAY.INTL(H59,18,"0000100",$AF$5:$AF$11)</f>
        <v>46277</v>
      </c>
      <c r="J59" s="84"/>
      <c r="K59" s="84"/>
      <c r="L59" s="367"/>
      <c r="M59" s="367" t="str">
        <f t="shared" ca="1" si="0"/>
        <v>Not Started</v>
      </c>
      <c r="N59" s="519"/>
      <c r="O59" s="1038"/>
      <c r="P59" s="36"/>
      <c r="Q59" s="50"/>
      <c r="R59" s="50"/>
      <c r="S59" s="50"/>
      <c r="T59" s="50"/>
      <c r="U59" s="50"/>
      <c r="V59" s="621"/>
      <c r="W59" s="523" t="s">
        <v>428</v>
      </c>
      <c r="X59" s="34" t="s">
        <v>429</v>
      </c>
      <c r="Y59" s="499"/>
      <c r="Z59" s="21"/>
      <c r="AB59" s="34"/>
    </row>
    <row r="60" spans="2:33" ht="57.75">
      <c r="B60" s="1235"/>
      <c r="C60" s="430" t="s">
        <v>138</v>
      </c>
      <c r="D60" s="378" t="s">
        <v>143</v>
      </c>
      <c r="E60" s="348">
        <f>NETWORKDAYS.INTL(F60,G60,"0000100",$AF$5:$AF$11)</f>
        <v>65</v>
      </c>
      <c r="F60" s="379">
        <f>WORKDAY.INTL(F75,35,"0000100",$AF$5:$AF$11)</f>
        <v>46256</v>
      </c>
      <c r="G60" s="379">
        <f>WORKDAY.INTL(F60,64,"0000100",$AF$5:$AF$11)</f>
        <v>46330</v>
      </c>
      <c r="H60" s="379">
        <f>WORKDAY.INTL(H75,35,"0000100",$AF$5:$AF$11)</f>
        <v>46256</v>
      </c>
      <c r="I60" s="379">
        <f t="shared" ref="I60" si="57">WORKDAY.INTL(H60,64,"0000100",$AF$5:$AF$11)</f>
        <v>46330</v>
      </c>
      <c r="J60" s="379"/>
      <c r="K60" s="379"/>
      <c r="L60" s="380"/>
      <c r="M60" s="380" t="str">
        <f t="shared" ca="1" si="0"/>
        <v>Not Started</v>
      </c>
      <c r="N60" s="520"/>
      <c r="O60" s="1039"/>
      <c r="P60" s="35"/>
      <c r="Q60" s="35"/>
      <c r="R60" s="35"/>
      <c r="S60" s="35"/>
      <c r="T60" s="35"/>
      <c r="U60" s="35"/>
      <c r="V60" s="35"/>
      <c r="W60" s="525" t="s">
        <v>353</v>
      </c>
      <c r="X60" s="70" t="s">
        <v>429</v>
      </c>
      <c r="Y60" s="526"/>
      <c r="Z60" s="21"/>
      <c r="AB60" s="34"/>
    </row>
    <row r="61" spans="2:33" s="19" customFormat="1" ht="4.5" customHeight="1">
      <c r="B61" s="114"/>
      <c r="C61" s="114"/>
      <c r="D61" s="381"/>
      <c r="E61" s="382"/>
      <c r="F61" s="381"/>
      <c r="G61" s="381"/>
      <c r="H61" s="381"/>
      <c r="I61" s="381"/>
      <c r="J61" s="381"/>
      <c r="K61" s="381"/>
      <c r="L61" s="383"/>
      <c r="M61" s="383"/>
      <c r="N61" s="383"/>
      <c r="O61" s="454"/>
      <c r="P61" s="51"/>
      <c r="Q61" s="51"/>
      <c r="R61" s="51"/>
      <c r="S61" s="51"/>
      <c r="T61" s="51"/>
      <c r="U61" s="51"/>
      <c r="V61" s="51"/>
      <c r="W61" s="114"/>
      <c r="X61" s="114"/>
      <c r="Y61" s="114"/>
      <c r="AB61" s="33"/>
      <c r="AC61" s="33"/>
    </row>
    <row r="62" spans="2:33" s="19" customFormat="1" ht="85.5" customHeight="1" thickBot="1">
      <c r="B62" s="442" t="s">
        <v>145</v>
      </c>
      <c r="C62" s="545" t="s">
        <v>146</v>
      </c>
      <c r="D62" s="546" t="s">
        <v>354</v>
      </c>
      <c r="E62" s="547">
        <f>NETWORKDAYS.INTL(F62,G62,"0000110",$AF$5:$AF$11)</f>
        <v>3</v>
      </c>
      <c r="F62" s="443">
        <f>MAX(WORKDAY.INTL(G56,1,"0000110"),WORKDAY.INTL(G69,1,"0000110"),WORKDAY.INTL(G67,1,"0000110"))</f>
        <v>46316</v>
      </c>
      <c r="G62" s="443">
        <f t="shared" ref="G62" si="58">WORKDAY.INTL(F62,2,"0000110")</f>
        <v>46320</v>
      </c>
      <c r="H62" s="443">
        <f>MAX(WORKDAY.INTL(I56,1,"0000110"),WORKDAY.INTL(I69,1,"0000110"),WORKDAY.INTL(I67,1,"0000110"))</f>
        <v>46316</v>
      </c>
      <c r="I62" s="443">
        <f t="shared" ref="I62" si="59">WORKDAY.INTL(H62,2,"0000110")</f>
        <v>46320</v>
      </c>
      <c r="J62" s="443"/>
      <c r="K62" s="443"/>
      <c r="L62" s="444"/>
      <c r="M62" s="444" t="str">
        <f t="shared" ref="M62" ca="1" si="60">IF(L62=100%,"Completed",
IF(AND(L62&lt;100%,G62&lt;TODAY()),"Delayed",
IF(AND(OR(L62="",L62=0),F62&gt;TODAY()),"Not Started",
IF(AND(OR(L62="",L62=0),F62&lt;=TODAY()),"Delayed",
IF(AND(L62&gt;0,L62&lt;100%),"In Progress","")))))</f>
        <v>Not Started</v>
      </c>
      <c r="N62" s="669"/>
      <c r="O62" s="1040"/>
      <c r="P62" s="237"/>
      <c r="Q62" s="237"/>
      <c r="R62" s="237"/>
      <c r="S62" s="237"/>
      <c r="T62" s="237"/>
      <c r="U62" s="237"/>
      <c r="V62" s="237"/>
      <c r="W62" s="673" t="s">
        <v>148</v>
      </c>
      <c r="X62" s="445" t="s">
        <v>430</v>
      </c>
      <c r="Y62" s="992"/>
      <c r="AB62" s="33"/>
      <c r="AC62" s="33"/>
    </row>
    <row r="63" spans="2:33" ht="29.1" hidden="1" customHeight="1">
      <c r="B63" s="1243" t="s">
        <v>34</v>
      </c>
      <c r="C63" s="57" t="s">
        <v>241</v>
      </c>
      <c r="D63" s="670" t="s">
        <v>36</v>
      </c>
      <c r="E63" s="334">
        <f>NETWORKDAYS.INTL(F63,G63,"0000110",$AE$5:$AE$12)</f>
        <v>3</v>
      </c>
      <c r="F63" s="415">
        <f>MAX(WORKDAY.INTL(G54,1,"0000110",$AE$5:$AE$11),WORKDAY.INTL(G59,1,"0000110",$AE$5:$AE$11))</f>
        <v>46300</v>
      </c>
      <c r="G63" s="415">
        <f>WORKDAY.INTL(F63,2,"0000110",$AE$5:$AE$11)</f>
        <v>46302</v>
      </c>
      <c r="H63" s="415">
        <f>MAX(WORKDAY.INTL(I54,1,"0000110",$AE$5:$AE$11),WORKDAY.INTL(I59,1,"0000110",$AE$5:$AE$11))</f>
        <v>46300</v>
      </c>
      <c r="I63" s="415">
        <f>WORKDAY.INTL(H63,2,"0000110",$AE$5:$AE$11)</f>
        <v>46302</v>
      </c>
      <c r="J63" s="415"/>
      <c r="K63" s="415"/>
      <c r="L63" s="406"/>
      <c r="M63" s="406" t="str">
        <f t="shared" ref="M63:M67" ca="1" si="61">IF(OR(L63=100%,K63&lt;&gt;""),"Completed",IF(AND(OR(L63="",L63=0),F63&gt;TODAY()),"Not Started",IF(AND(OR(L63="",L63=0),F63&lt;=TODAY()),"Delayed",IF(AND(L63&gt;0,L63&lt;100%,G63&lt;TODAY()),"Delayed",IF(AND(L63&gt;0,L63&lt;100%),"In Progress","")))))</f>
        <v>Not Started</v>
      </c>
      <c r="N63" s="406"/>
      <c r="O63" s="456"/>
      <c r="P63" s="55"/>
      <c r="Q63" s="55"/>
      <c r="R63" s="55"/>
      <c r="S63" s="55"/>
      <c r="T63" s="55"/>
      <c r="U63" s="55"/>
      <c r="V63" s="56"/>
      <c r="W63" s="1287"/>
      <c r="X63" s="48"/>
      <c r="Y63" s="48"/>
      <c r="Z63" s="21"/>
      <c r="AB63" s="34"/>
    </row>
    <row r="64" spans="2:33" ht="29.1" hidden="1" customHeight="1">
      <c r="B64" s="1243"/>
      <c r="C64" s="57" t="s">
        <v>241</v>
      </c>
      <c r="D64" s="337" t="s">
        <v>38</v>
      </c>
      <c r="E64" s="336">
        <f>NETWORKDAYS.INTL(F64,G64,"0000110",$AE$5:$AE$12)</f>
        <v>5</v>
      </c>
      <c r="F64" s="400">
        <f>WORKDAY.INTL(G63,1,"0000110",$AE$5:$AE$11)</f>
        <v>46303</v>
      </c>
      <c r="G64" s="400">
        <f>WORKDAY.INTL(F64,4,"0000110",$AE$5:$AE$11)</f>
        <v>46309</v>
      </c>
      <c r="H64" s="400">
        <f>WORKDAY.INTL(I63,1,"0000110",$AE$5:$AE$11)</f>
        <v>46303</v>
      </c>
      <c r="I64" s="400">
        <f>WORKDAY.INTL(H64,4,"0000110",$AE$5:$AE$11)</f>
        <v>46309</v>
      </c>
      <c r="J64" s="400"/>
      <c r="K64" s="400"/>
      <c r="L64" s="401"/>
      <c r="M64" s="401" t="str">
        <f t="shared" ca="1" si="61"/>
        <v>Not Started</v>
      </c>
      <c r="N64" s="401"/>
      <c r="O64" s="106"/>
      <c r="P64" s="46"/>
      <c r="Q64" s="46"/>
      <c r="R64" s="46"/>
      <c r="S64" s="46"/>
      <c r="T64" s="46"/>
      <c r="U64" s="46"/>
      <c r="V64" s="47"/>
      <c r="W64" s="1287"/>
      <c r="X64" s="41"/>
      <c r="Y64" s="41"/>
      <c r="Z64" s="21"/>
      <c r="AB64" s="19"/>
      <c r="AC64" s="19"/>
    </row>
    <row r="65" spans="2:30" ht="29.1" hidden="1" customHeight="1">
      <c r="B65" s="1243"/>
      <c r="C65" s="57" t="s">
        <v>241</v>
      </c>
      <c r="D65" s="337" t="s">
        <v>43</v>
      </c>
      <c r="E65" s="336">
        <f>NETWORKDAYS.INTL(F65,G65,"0000110",$AE$5:$AE$12)</f>
        <v>2</v>
      </c>
      <c r="F65" s="400">
        <f>WORKDAY.INTL(G64,1,"0000110",$AE$5:$AE$11)</f>
        <v>46310</v>
      </c>
      <c r="G65" s="400">
        <f>WORKDAY.INTL(F65,1,"0000110",$AE$5:$AE$11)</f>
        <v>46313</v>
      </c>
      <c r="H65" s="400">
        <f>WORKDAY.INTL(I64,1,"0000110",$AE$5:$AE$11)</f>
        <v>46310</v>
      </c>
      <c r="I65" s="400">
        <f>WORKDAY.INTL(H65,1,"0000110",$AE$5:$AE$11)</f>
        <v>46313</v>
      </c>
      <c r="J65" s="400"/>
      <c r="K65" s="400"/>
      <c r="L65" s="401"/>
      <c r="M65" s="401" t="str">
        <f t="shared" ca="1" si="61"/>
        <v>Not Started</v>
      </c>
      <c r="N65" s="401"/>
      <c r="O65" s="106"/>
      <c r="P65" s="46"/>
      <c r="Q65" s="46"/>
      <c r="R65" s="46"/>
      <c r="S65" s="46"/>
      <c r="T65" s="46"/>
      <c r="U65" s="46"/>
      <c r="V65" s="47"/>
      <c r="W65" s="433"/>
      <c r="X65" s="41"/>
      <c r="Y65" s="41"/>
      <c r="Z65" s="21"/>
      <c r="AB65" s="34"/>
    </row>
    <row r="66" spans="2:30" ht="29.1" hidden="1" customHeight="1">
      <c r="B66" s="1243"/>
      <c r="C66" s="57" t="s">
        <v>241</v>
      </c>
      <c r="D66" s="337" t="s">
        <v>44</v>
      </c>
      <c r="E66" s="336">
        <f>NETWORKDAYS.INTL(F66,G66,"0000110",$AE$5:$AE$12)</f>
        <v>1</v>
      </c>
      <c r="F66" s="400">
        <f>WORKDAY.INTL(G65,1,"0000110",$AE$5:$AE$11)</f>
        <v>46314</v>
      </c>
      <c r="G66" s="400">
        <f>WORKDAY.INTL(F66,0,"0000110",$AE$5:$AE$11)</f>
        <v>46314</v>
      </c>
      <c r="H66" s="400">
        <f>WORKDAY.INTL(I65,1,"0000110",$AE$5:$AE$11)</f>
        <v>46314</v>
      </c>
      <c r="I66" s="400">
        <f>WORKDAY.INTL(H66,0,"0000110",$AE$5:$AE$11)</f>
        <v>46314</v>
      </c>
      <c r="J66" s="400"/>
      <c r="K66" s="400"/>
      <c r="L66" s="401"/>
      <c r="M66" s="401" t="str">
        <f t="shared" ca="1" si="61"/>
        <v>Not Started</v>
      </c>
      <c r="N66" s="401"/>
      <c r="O66" s="106"/>
      <c r="P66" s="46"/>
      <c r="Q66" s="46"/>
      <c r="R66" s="46"/>
      <c r="S66" s="46"/>
      <c r="T66" s="46"/>
      <c r="U66" s="46"/>
      <c r="V66" s="47"/>
      <c r="W66" s="433"/>
      <c r="X66" s="41"/>
      <c r="Y66" s="41"/>
      <c r="Z66" s="21"/>
      <c r="AB66" s="34"/>
    </row>
    <row r="67" spans="2:30" ht="29.1" hidden="1" customHeight="1">
      <c r="B67" s="1244"/>
      <c r="C67" s="58" t="s">
        <v>241</v>
      </c>
      <c r="D67" s="343" t="s">
        <v>46</v>
      </c>
      <c r="E67" s="344">
        <f>NETWORKDAYS.INTL(F67,G67,"0000110",$AE$5:$AE$12)</f>
        <v>1</v>
      </c>
      <c r="F67" s="396">
        <f>WORKDAY.INTL(G66,1,"0000110",$AE$5:$AE$11)</f>
        <v>46315</v>
      </c>
      <c r="G67" s="396">
        <f>WORKDAY.INTL(F67,0,"0000110",$AE$5:$AE$11)</f>
        <v>46315</v>
      </c>
      <c r="H67" s="396">
        <f>WORKDAY.INTL(I66,1,"0000110",$AE$5:$AE$11)</f>
        <v>46315</v>
      </c>
      <c r="I67" s="396">
        <f>WORKDAY.INTL(H67,0,"0000110",$AE$5:$AE$11)</f>
        <v>46315</v>
      </c>
      <c r="J67" s="396"/>
      <c r="K67" s="396"/>
      <c r="L67" s="397"/>
      <c r="M67" s="397" t="str">
        <f t="shared" ca="1" si="61"/>
        <v>Not Started</v>
      </c>
      <c r="N67" s="397"/>
      <c r="O67" s="457"/>
      <c r="P67" s="62"/>
      <c r="Q67" s="62"/>
      <c r="R67" s="62"/>
      <c r="S67" s="62"/>
      <c r="T67" s="62"/>
      <c r="U67" s="62"/>
      <c r="V67" s="63"/>
      <c r="W67" s="243"/>
      <c r="X67" s="60"/>
      <c r="Y67" s="60"/>
      <c r="Z67" s="21"/>
      <c r="AB67" s="34"/>
    </row>
    <row r="68" spans="2:30" s="19" customFormat="1" ht="4.5" customHeight="1" thickBot="1">
      <c r="B68" s="51"/>
      <c r="C68" s="51"/>
      <c r="D68" s="339"/>
      <c r="E68" s="340"/>
      <c r="F68" s="339"/>
      <c r="G68" s="339"/>
      <c r="H68" s="339"/>
      <c r="I68" s="339"/>
      <c r="J68" s="339"/>
      <c r="K68" s="339"/>
      <c r="L68" s="375"/>
      <c r="M68" s="375"/>
      <c r="N68" s="375"/>
      <c r="O68" s="452"/>
      <c r="P68" s="32"/>
      <c r="Q68" s="32"/>
      <c r="R68" s="32"/>
      <c r="S68" s="32"/>
      <c r="T68" s="32"/>
      <c r="U68" s="32"/>
      <c r="V68" s="32"/>
      <c r="W68" s="51"/>
      <c r="X68" s="51"/>
      <c r="Y68" s="51"/>
    </row>
    <row r="69" spans="2:30" ht="34.5" customHeight="1">
      <c r="B69" s="1234" t="s">
        <v>150</v>
      </c>
      <c r="C69" s="428" t="s">
        <v>150</v>
      </c>
      <c r="D69" s="346" t="s">
        <v>47</v>
      </c>
      <c r="E69" s="347">
        <f>NETWORKDAYS.INTL(F69,G69,"0000110",$AF$5:$AF$11)</f>
        <v>30</v>
      </c>
      <c r="F69" s="81">
        <v>46249</v>
      </c>
      <c r="G69" s="81">
        <f>WORKDAY.INTL(F69,30,"0000110",$AF$5:$AF$10)</f>
        <v>46289</v>
      </c>
      <c r="H69" s="81">
        <v>46249</v>
      </c>
      <c r="I69" s="81">
        <f>WORKDAY.INTL(H69,30,"0000110",$AF$5:$AF$10)</f>
        <v>46289</v>
      </c>
      <c r="J69" s="81"/>
      <c r="K69" s="81"/>
      <c r="L69" s="377"/>
      <c r="M69" s="377" t="str">
        <f t="shared" ref="M69:M70" ca="1" si="62">IF(L69=100%,"Completed",
IF(AND(L69&lt;100%,G69&lt;TODAY()),"Delayed",
IF(AND(OR(L69="",L69=0),F69&gt;TODAY()),"Not Started",
IF(AND(OR(L69="",L69=0),F69&lt;=TODAY()),"Delayed",
IF(AND(L69&gt;0,L69&lt;100%),"In Progress","")))))</f>
        <v>Not Started</v>
      </c>
      <c r="N69" s="517"/>
      <c r="O69" s="1274"/>
      <c r="P69" s="446"/>
      <c r="Q69" s="65"/>
      <c r="R69" s="65"/>
      <c r="S69" s="65"/>
      <c r="T69" s="65"/>
      <c r="U69" s="65"/>
      <c r="V69" s="622"/>
      <c r="W69" s="522"/>
      <c r="X69" s="67" t="s">
        <v>429</v>
      </c>
      <c r="Y69" s="498"/>
      <c r="Z69" s="21"/>
    </row>
    <row r="70" spans="2:30" ht="45.75" customHeight="1">
      <c r="B70" s="1235"/>
      <c r="C70" s="430" t="s">
        <v>150</v>
      </c>
      <c r="D70" s="490" t="s">
        <v>153</v>
      </c>
      <c r="E70" s="348">
        <f>NETWORKDAYS.INTL(F70,G70,"0000110",$AF$5:$AF$11)</f>
        <v>30</v>
      </c>
      <c r="F70" s="379">
        <f>G62+7</f>
        <v>46327</v>
      </c>
      <c r="G70" s="379">
        <f>WORKDAY.INTL(F70,29,"0000110",$AF$5:$AF$10)</f>
        <v>46366</v>
      </c>
      <c r="H70" s="379">
        <f>I62+7</f>
        <v>46327</v>
      </c>
      <c r="I70" s="379">
        <f>WORKDAY.INTL(H70,29,"0000110",$AF$5:$AF$10)</f>
        <v>46366</v>
      </c>
      <c r="J70" s="379"/>
      <c r="K70" s="379"/>
      <c r="L70" s="380"/>
      <c r="M70" s="380" t="str">
        <f t="shared" ca="1" si="62"/>
        <v>Not Started</v>
      </c>
      <c r="N70" s="520"/>
      <c r="O70" s="1275"/>
      <c r="P70" s="447"/>
      <c r="Q70" s="72"/>
      <c r="R70" s="72"/>
      <c r="S70" s="72"/>
      <c r="T70" s="72"/>
      <c r="U70" s="72"/>
      <c r="V70" s="623"/>
      <c r="W70" s="525" t="s">
        <v>154</v>
      </c>
      <c r="X70" s="70"/>
      <c r="Y70" s="526"/>
      <c r="Z70" s="21"/>
    </row>
    <row r="71" spans="2:30" s="19" customFormat="1" ht="4.5" customHeight="1">
      <c r="B71" s="114"/>
      <c r="C71" s="114"/>
      <c r="D71" s="381"/>
      <c r="E71" s="382"/>
      <c r="F71" s="381"/>
      <c r="G71" s="381"/>
      <c r="H71" s="381"/>
      <c r="I71" s="381"/>
      <c r="J71" s="381"/>
      <c r="K71" s="381"/>
      <c r="L71" s="383"/>
      <c r="M71" s="383"/>
      <c r="N71" s="383"/>
      <c r="O71" s="452"/>
      <c r="P71" s="32"/>
      <c r="Q71" s="32"/>
      <c r="R71" s="32"/>
      <c r="S71" s="32"/>
      <c r="T71" s="32"/>
      <c r="U71" s="32"/>
      <c r="V71" s="32"/>
      <c r="W71" s="114"/>
      <c r="X71" s="114"/>
      <c r="Y71" s="114"/>
      <c r="AC71" s="24"/>
      <c r="AD71" s="24"/>
    </row>
    <row r="72" spans="2:30" ht="165" customHeight="1">
      <c r="B72" s="1220" t="s">
        <v>155</v>
      </c>
      <c r="C72" s="140" t="s">
        <v>155</v>
      </c>
      <c r="D72" s="350" t="s">
        <v>156</v>
      </c>
      <c r="E72" s="351">
        <f>NETWORKDAYS.INTL(F72,G72,"0000100",$AE$5:$AE$12)</f>
        <v>19</v>
      </c>
      <c r="F72" s="418">
        <v>46260</v>
      </c>
      <c r="G72" s="418">
        <f>WORKDAY.INTL(F72,15,"0000110",$AF$5:$AF$10)</f>
        <v>46281</v>
      </c>
      <c r="H72" s="416">
        <v>46260</v>
      </c>
      <c r="I72" s="416">
        <f>WORKDAY.INTL(H72,15,"0000110",$AF$5:$AF$10)</f>
        <v>46281</v>
      </c>
      <c r="J72" s="416"/>
      <c r="K72" s="416"/>
      <c r="L72" s="407"/>
      <c r="M72" s="407" t="str">
        <f t="shared" ref="M72:M73" ca="1" si="63">IF(L72=100%,"Completed",
IF(AND(L72&lt;100%,G72&lt;TODAY()),"Delayed",
IF(AND(OR(L72="",L72=0),F72&gt;TODAY()),"Not Started",
IF(AND(OR(L72="",L72=0),F72&lt;=TODAY()),"Delayed",
IF(AND(L72&gt;0,L72&lt;100%),"In Progress","")))))</f>
        <v>Not Started</v>
      </c>
      <c r="N72" s="676"/>
      <c r="O72" s="1274"/>
      <c r="P72" s="448"/>
      <c r="Q72" s="73"/>
      <c r="R72" s="73"/>
      <c r="S72" s="73"/>
      <c r="T72" s="73"/>
      <c r="U72" s="73"/>
      <c r="V72" s="78"/>
      <c r="W72" s="678" t="s">
        <v>157</v>
      </c>
      <c r="X72" s="75"/>
      <c r="Y72" s="1043"/>
      <c r="Z72" s="21"/>
      <c r="AC72" s="33"/>
      <c r="AD72" s="33"/>
    </row>
    <row r="73" spans="2:30" ht="36" customHeight="1">
      <c r="B73" s="1221"/>
      <c r="C73" s="141" t="s">
        <v>155</v>
      </c>
      <c r="D73" s="352" t="s">
        <v>51</v>
      </c>
      <c r="E73" s="353">
        <f>NETWORKDAYS.INTL(F73,G73,"0000110",$AE$5:$AE$12)</f>
        <v>16</v>
      </c>
      <c r="F73" s="419">
        <f>WORKDAY.INTL(G72,15,"0000110",$AF$5:$AF$10)</f>
        <v>46302</v>
      </c>
      <c r="G73" s="419">
        <f>WORKDAY.INTL(F73,15,"0000110",$AF$5:$AF$10)</f>
        <v>46323</v>
      </c>
      <c r="H73" s="1041">
        <f>WORKDAY.INTL(I72,15,"0000110",$AF$5:$AF$10)</f>
        <v>46302</v>
      </c>
      <c r="I73" s="1041">
        <f>WORKDAY.INTL(H73,15,"0000110",$AF$5:$AF$10)</f>
        <v>46323</v>
      </c>
      <c r="J73" s="1041"/>
      <c r="K73" s="1041"/>
      <c r="L73" s="408"/>
      <c r="M73" s="408" t="str">
        <f t="shared" ca="1" si="63"/>
        <v>Not Started</v>
      </c>
      <c r="N73" s="677"/>
      <c r="O73" s="1275"/>
      <c r="P73" s="449"/>
      <c r="Q73" s="79"/>
      <c r="R73" s="79"/>
      <c r="S73" s="79"/>
      <c r="T73" s="79"/>
      <c r="U73" s="79"/>
      <c r="V73" s="1042"/>
      <c r="W73" s="680" t="s">
        <v>158</v>
      </c>
      <c r="X73" s="144"/>
      <c r="Y73" s="1044"/>
      <c r="Z73" s="21"/>
    </row>
    <row r="74" spans="2:30" ht="8.1" customHeight="1">
      <c r="B74" s="1045"/>
      <c r="C74" s="90"/>
      <c r="D74" s="417"/>
      <c r="E74" s="417"/>
      <c r="F74" s="417"/>
      <c r="G74" s="417"/>
      <c r="H74" s="417"/>
      <c r="I74" s="417"/>
      <c r="J74" s="417"/>
      <c r="K74" s="417"/>
      <c r="L74" s="417"/>
      <c r="M74" s="417"/>
      <c r="N74" s="417"/>
      <c r="O74" s="458"/>
      <c r="P74" s="80"/>
      <c r="Q74" s="80"/>
      <c r="R74" s="80"/>
      <c r="S74" s="80"/>
      <c r="T74" s="80"/>
      <c r="U74" s="80"/>
      <c r="V74" s="80"/>
      <c r="W74" s="90"/>
      <c r="X74" s="90"/>
      <c r="Y74" s="90"/>
      <c r="Z74" s="21"/>
    </row>
    <row r="75" spans="2:30" ht="36" customHeight="1">
      <c r="B75" s="1236" t="s">
        <v>159</v>
      </c>
      <c r="C75" s="438" t="s">
        <v>91</v>
      </c>
      <c r="D75" s="346" t="s">
        <v>160</v>
      </c>
      <c r="E75" s="347">
        <f>NETWORKDAYS.INTL(F75,G75,"0000100",$AF$5:$AF$11)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517"/>
      <c r="O75" s="1276"/>
      <c r="P75" s="446"/>
      <c r="Q75" s="65"/>
      <c r="R75" s="65"/>
      <c r="S75" s="65"/>
      <c r="T75" s="65"/>
      <c r="U75" s="65"/>
      <c r="V75" s="622"/>
      <c r="W75" s="522"/>
      <c r="X75" s="81"/>
      <c r="Y75" s="487"/>
      <c r="Z75" s="21"/>
    </row>
    <row r="76" spans="2:30" ht="50.1" customHeight="1">
      <c r="B76" s="1237"/>
      <c r="C76" s="488" t="s">
        <v>91</v>
      </c>
      <c r="D76" s="354" t="s">
        <v>294</v>
      </c>
      <c r="E76" s="355">
        <f t="shared" ref="E76:E104" si="65">NETWORKDAYS.INTL(F76,G76,"0000100",$AF$5:$AF$12)</f>
        <v>11</v>
      </c>
      <c r="F76" s="84">
        <f>WORKDAY.INTL(G75,8,"0000100",$AF$5:$AF$11)</f>
        <v>46224</v>
      </c>
      <c r="G76" s="84">
        <f>WORKDAY.INTL(F76,10,"0000100",$AF$5:$AF$11)</f>
        <v>46236</v>
      </c>
      <c r="H76" s="84">
        <f>WORKDAY.INTL(I75,8,"0000100",$AF$5:$AF$11)</f>
        <v>46224</v>
      </c>
      <c r="I76" s="84">
        <f>WORKDAY.INTL(H76,10,"0000100",$AF$5:$AF$11)</f>
        <v>46236</v>
      </c>
      <c r="J76" s="84"/>
      <c r="K76" s="84"/>
      <c r="L76" s="367"/>
      <c r="M76" s="367" t="str">
        <f t="shared" ca="1" si="64"/>
        <v>Delayed</v>
      </c>
      <c r="N76" s="519"/>
      <c r="O76" s="1277"/>
      <c r="P76" s="39"/>
      <c r="Q76" s="82"/>
      <c r="R76" s="82"/>
      <c r="S76" s="82"/>
      <c r="T76" s="82"/>
      <c r="U76" s="82"/>
      <c r="V76" s="1046"/>
      <c r="W76" s="689" t="s">
        <v>162</v>
      </c>
      <c r="X76" s="84" t="s">
        <v>431</v>
      </c>
      <c r="Y76" s="489" t="s">
        <v>432</v>
      </c>
      <c r="Z76" s="21"/>
    </row>
    <row r="77" spans="2:30" ht="36" customHeight="1">
      <c r="B77" s="1235"/>
      <c r="C77" s="439" t="s">
        <v>91</v>
      </c>
      <c r="D77" s="490" t="s">
        <v>165</v>
      </c>
      <c r="E77" s="348">
        <f t="shared" si="65"/>
        <v>5</v>
      </c>
      <c r="F77" s="379">
        <f t="shared" ref="F77:F83" si="66">WORKDAY.INTL(G76,1,"0000100",$AF$5:$AF$11)</f>
        <v>46237</v>
      </c>
      <c r="G77" s="379">
        <f t="shared" ref="G77:I83" si="67">WORKDAY.INTL(G76,5,"0000100",$AF$5:$AF$11)</f>
        <v>46242</v>
      </c>
      <c r="H77" s="379">
        <f t="shared" ref="H77" si="68">WORKDAY.INTL(I76,1,"0000100",$AF$5:$AF$11)</f>
        <v>46237</v>
      </c>
      <c r="I77" s="379">
        <f t="shared" si="67"/>
        <v>46242</v>
      </c>
      <c r="J77" s="379"/>
      <c r="K77" s="379"/>
      <c r="L77" s="380"/>
      <c r="M77" s="380" t="str">
        <f t="shared" ca="1" si="64"/>
        <v>Not Started</v>
      </c>
      <c r="N77" s="520"/>
      <c r="O77" s="1278"/>
      <c r="P77" s="447"/>
      <c r="Q77" s="72"/>
      <c r="R77" s="72"/>
      <c r="S77" s="72"/>
      <c r="T77" s="72"/>
      <c r="U77" s="72"/>
      <c r="V77" s="623"/>
      <c r="W77" s="525"/>
      <c r="X77" s="379"/>
      <c r="Y77" s="491"/>
      <c r="Z77" s="21"/>
    </row>
    <row r="78" spans="2:30" s="19" customFormat="1" ht="4.5" customHeight="1">
      <c r="B78" s="114"/>
      <c r="C78" s="114"/>
      <c r="D78" s="381"/>
      <c r="E78" s="382"/>
      <c r="F78" s="381"/>
      <c r="G78" s="381"/>
      <c r="H78" s="381"/>
      <c r="I78" s="381"/>
      <c r="J78" s="381"/>
      <c r="K78" s="381"/>
      <c r="L78" s="383"/>
      <c r="M78" s="383"/>
      <c r="N78" s="383"/>
      <c r="O78" s="452"/>
      <c r="P78" s="32"/>
      <c r="Q78" s="32"/>
      <c r="R78" s="32"/>
      <c r="S78" s="32"/>
      <c r="T78" s="32"/>
      <c r="U78" s="32"/>
      <c r="V78" s="32"/>
      <c r="W78" s="114"/>
      <c r="X78" s="114"/>
      <c r="Y78" s="114"/>
      <c r="AC78" s="24"/>
      <c r="AD78" s="24"/>
    </row>
    <row r="79" spans="2:30" ht="50.1" customHeight="1">
      <c r="B79" s="1238" t="s">
        <v>297</v>
      </c>
      <c r="C79" s="438" t="s">
        <v>91</v>
      </c>
      <c r="D79" s="696" t="s">
        <v>433</v>
      </c>
      <c r="E79" s="697">
        <f t="shared" si="65"/>
        <v>5</v>
      </c>
      <c r="F79" s="700">
        <f>WORKDAY.INTL(G76,1,"0000100",$AF$5:$AF$11)</f>
        <v>46237</v>
      </c>
      <c r="G79" s="700">
        <f t="shared" ref="G79" si="69">WORKDAY.INTL(F79,4,"0000100",$AF$5:$AF$11)</f>
        <v>46242</v>
      </c>
      <c r="H79" s="700">
        <f t="shared" ref="H79" si="70">WORKDAY.INTL(I76,1,"0000100",$AF$5:$AF$11)</f>
        <v>46237</v>
      </c>
      <c r="I79" s="700">
        <f t="shared" ref="I79" si="71">WORKDAY.INTL(H79,4,"0000100",$AF$5:$AF$11)</f>
        <v>46242</v>
      </c>
      <c r="J79" s="700"/>
      <c r="K79" s="700"/>
      <c r="L79" s="701"/>
      <c r="M79" s="701" t="str">
        <f t="shared" ca="1" si="64"/>
        <v>Not Started</v>
      </c>
      <c r="N79" s="704"/>
      <c r="O79" s="1279"/>
      <c r="P79" s="451"/>
      <c r="Q79" s="87"/>
      <c r="R79" s="87"/>
      <c r="S79" s="87"/>
      <c r="T79" s="87"/>
      <c r="U79" s="87"/>
      <c r="V79" s="1049"/>
      <c r="W79" s="705" t="s">
        <v>162</v>
      </c>
      <c r="X79" s="700" t="s">
        <v>431</v>
      </c>
      <c r="Y79" s="1047" t="s">
        <v>434</v>
      </c>
      <c r="Z79" s="21"/>
    </row>
    <row r="80" spans="2:30" ht="36" customHeight="1">
      <c r="B80" s="1239"/>
      <c r="C80" s="439" t="s">
        <v>91</v>
      </c>
      <c r="D80" s="709" t="s">
        <v>165</v>
      </c>
      <c r="E80" s="710">
        <f t="shared" si="65"/>
        <v>5</v>
      </c>
      <c r="F80" s="713">
        <f t="shared" si="66"/>
        <v>46243</v>
      </c>
      <c r="G80" s="713">
        <f t="shared" si="67"/>
        <v>46247</v>
      </c>
      <c r="H80" s="713">
        <f t="shared" ref="H80" si="72">WORKDAY.INTL(I79,1,"0000100",$AF$5:$AF$11)</f>
        <v>46243</v>
      </c>
      <c r="I80" s="713">
        <f t="shared" si="67"/>
        <v>46247</v>
      </c>
      <c r="J80" s="713"/>
      <c r="K80" s="713"/>
      <c r="L80" s="714"/>
      <c r="M80" s="714" t="str">
        <f t="shared" ca="1" si="64"/>
        <v>Not Started</v>
      </c>
      <c r="N80" s="717"/>
      <c r="O80" s="1280"/>
      <c r="P80" s="451"/>
      <c r="Q80" s="87"/>
      <c r="R80" s="87"/>
      <c r="S80" s="87"/>
      <c r="T80" s="87"/>
      <c r="U80" s="87"/>
      <c r="V80" s="1049"/>
      <c r="W80" s="718"/>
      <c r="X80" s="713"/>
      <c r="Y80" s="1048"/>
      <c r="Z80" s="21"/>
    </row>
    <row r="81" spans="2:30" s="19" customFormat="1" ht="4.5" customHeight="1">
      <c r="B81" s="114"/>
      <c r="C81" s="114"/>
      <c r="D81" s="381"/>
      <c r="E81" s="382"/>
      <c r="F81" s="381"/>
      <c r="G81" s="381"/>
      <c r="H81" s="381"/>
      <c r="I81" s="381"/>
      <c r="J81" s="381"/>
      <c r="K81" s="381"/>
      <c r="L81" s="383"/>
      <c r="M81" s="383"/>
      <c r="N81" s="383"/>
      <c r="O81" s="452"/>
      <c r="P81" s="32"/>
      <c r="Q81" s="32"/>
      <c r="R81" s="32"/>
      <c r="S81" s="32"/>
      <c r="T81" s="32"/>
      <c r="U81" s="32"/>
      <c r="V81" s="32"/>
      <c r="W81" s="114"/>
      <c r="X81" s="114"/>
      <c r="Y81" s="114"/>
      <c r="AC81" s="24"/>
      <c r="AD81" s="24"/>
    </row>
    <row r="82" spans="2:30" ht="51" customHeight="1">
      <c r="B82" s="1236" t="s">
        <v>435</v>
      </c>
      <c r="C82" s="438" t="s">
        <v>91</v>
      </c>
      <c r="D82" s="346" t="s">
        <v>436</v>
      </c>
      <c r="E82" s="347">
        <f t="shared" si="65"/>
        <v>6</v>
      </c>
      <c r="F82" s="81">
        <f>WORKDAY.INTL(G79,1,"0000100",$AF$5:$AF$11)</f>
        <v>46243</v>
      </c>
      <c r="G82" s="81">
        <f>WORKDAY.INTL(F82,5,"0000100",$AF$5:$AF$11)</f>
        <v>46249</v>
      </c>
      <c r="H82" s="81">
        <f t="shared" ref="H82" si="73">WORKDAY.INTL(I79,1,"0000100",$AF$5:$AF$11)</f>
        <v>46243</v>
      </c>
      <c r="I82" s="81">
        <f>WORKDAY.INTL(H82,5,"0000100",$AF$5:$AF$11)</f>
        <v>46249</v>
      </c>
      <c r="J82" s="81"/>
      <c r="K82" s="81"/>
      <c r="L82" s="377"/>
      <c r="M82" s="377" t="str">
        <f t="shared" ca="1" si="64"/>
        <v>Not Started</v>
      </c>
      <c r="N82" s="517"/>
      <c r="O82" s="1274"/>
      <c r="P82" s="39"/>
      <c r="Q82" s="82"/>
      <c r="R82" s="82"/>
      <c r="S82" s="82"/>
      <c r="T82" s="82"/>
      <c r="U82" s="82"/>
      <c r="V82" s="1046"/>
      <c r="W82" s="522"/>
      <c r="X82" s="81" t="s">
        <v>437</v>
      </c>
      <c r="Y82" s="1050" t="s">
        <v>438</v>
      </c>
      <c r="Z82" s="21"/>
    </row>
    <row r="83" spans="2:30" ht="36" customHeight="1">
      <c r="B83" s="1235"/>
      <c r="C83" s="439" t="s">
        <v>91</v>
      </c>
      <c r="D83" s="490" t="s">
        <v>165</v>
      </c>
      <c r="E83" s="348">
        <f t="shared" si="65"/>
        <v>5</v>
      </c>
      <c r="F83" s="379">
        <f t="shared" si="66"/>
        <v>46250</v>
      </c>
      <c r="G83" s="379">
        <f t="shared" si="67"/>
        <v>46254</v>
      </c>
      <c r="H83" s="379">
        <f t="shared" ref="H83" si="74">WORKDAY.INTL(I82,1,"0000100",$AF$5:$AF$11)</f>
        <v>46250</v>
      </c>
      <c r="I83" s="379">
        <f t="shared" si="67"/>
        <v>46254</v>
      </c>
      <c r="J83" s="379"/>
      <c r="K83" s="379"/>
      <c r="L83" s="380"/>
      <c r="M83" s="380" t="str">
        <f t="shared" ca="1" si="64"/>
        <v>Not Started</v>
      </c>
      <c r="N83" s="520"/>
      <c r="O83" s="1275"/>
      <c r="P83" s="39"/>
      <c r="Q83" s="82"/>
      <c r="R83" s="82"/>
      <c r="S83" s="82"/>
      <c r="T83" s="82"/>
      <c r="U83" s="82"/>
      <c r="V83" s="1046"/>
      <c r="W83" s="525"/>
      <c r="X83" s="379"/>
      <c r="Y83" s="491"/>
      <c r="Z83" s="21"/>
    </row>
    <row r="84" spans="2:30" s="19" customFormat="1" ht="4.5" customHeight="1">
      <c r="B84" s="114"/>
      <c r="C84" s="114"/>
      <c r="D84" s="381"/>
      <c r="E84" s="382"/>
      <c r="F84" s="381"/>
      <c r="G84" s="381"/>
      <c r="H84" s="381"/>
      <c r="I84" s="381"/>
      <c r="J84" s="381"/>
      <c r="K84" s="381"/>
      <c r="L84" s="383"/>
      <c r="M84" s="383"/>
      <c r="N84" s="383"/>
      <c r="O84" s="452"/>
      <c r="P84" s="32"/>
      <c r="Q84" s="32"/>
      <c r="R84" s="32"/>
      <c r="S84" s="32"/>
      <c r="T84" s="32"/>
      <c r="U84" s="32"/>
      <c r="V84" s="32"/>
      <c r="W84" s="114"/>
      <c r="X84" s="114"/>
      <c r="Y84" s="114"/>
      <c r="AC84" s="24"/>
      <c r="AD84" s="24"/>
    </row>
    <row r="85" spans="2:30" ht="36" customHeight="1">
      <c r="B85" s="1248" t="s">
        <v>439</v>
      </c>
      <c r="C85" s="438" t="s">
        <v>91</v>
      </c>
      <c r="D85" s="696" t="s">
        <v>440</v>
      </c>
      <c r="E85" s="697">
        <f t="shared" si="65"/>
        <v>6</v>
      </c>
      <c r="F85" s="700">
        <f t="shared" ref="F85" si="75">WORKDAY.INTL(G82,1,"0000100",$AF$5:$AF$11)</f>
        <v>46250</v>
      </c>
      <c r="G85" s="700">
        <f>WORKDAY.INTL(F85,5,"0000100",$AF$5:$AF$11)</f>
        <v>46256</v>
      </c>
      <c r="H85" s="700">
        <f t="shared" ref="H85" si="76">WORKDAY.INTL(I82,1,"0000100",$AF$5:$AF$11)</f>
        <v>46250</v>
      </c>
      <c r="I85" s="700">
        <f>WORKDAY.INTL(H85,5,"0000100",$AF$5:$AF$11)</f>
        <v>46256</v>
      </c>
      <c r="J85" s="700"/>
      <c r="K85" s="700"/>
      <c r="L85" s="701"/>
      <c r="M85" s="701" t="str">
        <f t="shared" ca="1" si="64"/>
        <v>Not Started</v>
      </c>
      <c r="N85" s="704"/>
      <c r="O85" s="1274"/>
      <c r="P85" s="451"/>
      <c r="Q85" s="87"/>
      <c r="R85" s="87"/>
      <c r="S85" s="87"/>
      <c r="T85" s="87"/>
      <c r="U85" s="87"/>
      <c r="V85" s="1049"/>
      <c r="W85" s="486"/>
      <c r="X85" s="700" t="s">
        <v>437</v>
      </c>
      <c r="Y85" s="1047" t="s">
        <v>438</v>
      </c>
      <c r="Z85" s="21"/>
    </row>
    <row r="86" spans="2:30" ht="36" customHeight="1">
      <c r="B86" s="1249"/>
      <c r="C86" s="439" t="s">
        <v>91</v>
      </c>
      <c r="D86" s="709" t="s">
        <v>165</v>
      </c>
      <c r="E86" s="710">
        <f t="shared" si="65"/>
        <v>5</v>
      </c>
      <c r="F86" s="713">
        <f t="shared" ref="F86:F92" si="77">WORKDAY.INTL(G85,1,"0000100",$AF$5:$AF$11)</f>
        <v>46257</v>
      </c>
      <c r="G86" s="713">
        <f t="shared" ref="G86:I92" si="78">WORKDAY.INTL(G85,5,"0000100",$AF$5:$AF$11)</f>
        <v>46261</v>
      </c>
      <c r="H86" s="713">
        <f t="shared" ref="H86" si="79">WORKDAY.INTL(I85,1,"0000100",$AF$5:$AF$11)</f>
        <v>46257</v>
      </c>
      <c r="I86" s="713">
        <f t="shared" si="78"/>
        <v>46261</v>
      </c>
      <c r="J86" s="713"/>
      <c r="K86" s="713"/>
      <c r="L86" s="714"/>
      <c r="M86" s="714" t="str">
        <f t="shared" ca="1" si="64"/>
        <v>Not Started</v>
      </c>
      <c r="N86" s="717"/>
      <c r="O86" s="1275"/>
      <c r="P86" s="451"/>
      <c r="Q86" s="87"/>
      <c r="R86" s="87"/>
      <c r="S86" s="87"/>
      <c r="T86" s="87"/>
      <c r="U86" s="87"/>
      <c r="V86" s="1049"/>
      <c r="W86" s="718"/>
      <c r="X86" s="713"/>
      <c r="Y86" s="1048"/>
      <c r="Z86" s="21"/>
    </row>
    <row r="87" spans="2:30" s="19" customFormat="1" ht="4.5" customHeight="1">
      <c r="B87" s="114"/>
      <c r="C87" s="114"/>
      <c r="D87" s="381"/>
      <c r="E87" s="382"/>
      <c r="F87" s="381"/>
      <c r="G87" s="381"/>
      <c r="H87" s="381"/>
      <c r="I87" s="381"/>
      <c r="J87" s="381"/>
      <c r="K87" s="381"/>
      <c r="L87" s="383"/>
      <c r="M87" s="383"/>
      <c r="N87" s="383"/>
      <c r="O87" s="452"/>
      <c r="P87" s="32"/>
      <c r="Q87" s="32"/>
      <c r="R87" s="32"/>
      <c r="S87" s="32"/>
      <c r="T87" s="32"/>
      <c r="U87" s="32"/>
      <c r="V87" s="32"/>
      <c r="W87" s="114"/>
      <c r="X87" s="114"/>
      <c r="Y87" s="114"/>
      <c r="AC87" s="24"/>
      <c r="AD87" s="24"/>
    </row>
    <row r="88" spans="2:30" ht="77.25">
      <c r="B88" s="1236" t="s">
        <v>441</v>
      </c>
      <c r="C88" s="438" t="s">
        <v>91</v>
      </c>
      <c r="D88" s="346" t="s">
        <v>442</v>
      </c>
      <c r="E88" s="347">
        <f t="shared" si="65"/>
        <v>6</v>
      </c>
      <c r="F88" s="81">
        <f>WORKDAY.INTL(G85,1,"0000100",$AF$5:$AF$11)</f>
        <v>46257</v>
      </c>
      <c r="G88" s="81">
        <f>WORKDAY.INTL(F88,5,"0000100",$AF$5:$AF$11)</f>
        <v>46263</v>
      </c>
      <c r="H88" s="81">
        <f t="shared" ref="H88" si="80">WORKDAY.INTL(I85,1,"0000100",$AF$5:$AF$11)</f>
        <v>46257</v>
      </c>
      <c r="I88" s="81">
        <f>WORKDAY.INTL(H88,5,"0000100",$AF$5:$AF$11)</f>
        <v>46263</v>
      </c>
      <c r="J88" s="81"/>
      <c r="K88" s="81"/>
      <c r="L88" s="377"/>
      <c r="M88" s="377" t="str">
        <f t="shared" ca="1" si="64"/>
        <v>Not Started</v>
      </c>
      <c r="N88" s="517"/>
      <c r="O88" s="1274"/>
      <c r="P88" s="39"/>
      <c r="Q88" s="82"/>
      <c r="R88" s="82"/>
      <c r="S88" s="82"/>
      <c r="T88" s="82"/>
      <c r="U88" s="82"/>
      <c r="V88" s="1046"/>
      <c r="W88" s="522"/>
      <c r="X88" s="81" t="s">
        <v>437</v>
      </c>
      <c r="Y88" s="1050" t="s">
        <v>438</v>
      </c>
      <c r="Z88" s="21"/>
    </row>
    <row r="89" spans="2:30" ht="36" customHeight="1">
      <c r="B89" s="1235"/>
      <c r="C89" s="439" t="s">
        <v>91</v>
      </c>
      <c r="D89" s="490" t="s">
        <v>165</v>
      </c>
      <c r="E89" s="348">
        <f t="shared" si="65"/>
        <v>5</v>
      </c>
      <c r="F89" s="379">
        <f t="shared" si="77"/>
        <v>46264</v>
      </c>
      <c r="G89" s="379">
        <f t="shared" si="78"/>
        <v>46268</v>
      </c>
      <c r="H89" s="379">
        <f t="shared" ref="H89" si="81">WORKDAY.INTL(I88,1,"0000100",$AF$5:$AF$11)</f>
        <v>46264</v>
      </c>
      <c r="I89" s="379">
        <f t="shared" si="78"/>
        <v>46268</v>
      </c>
      <c r="J89" s="379"/>
      <c r="K89" s="379"/>
      <c r="L89" s="380"/>
      <c r="M89" s="380" t="str">
        <f t="shared" ca="1" si="64"/>
        <v>Not Started</v>
      </c>
      <c r="N89" s="520"/>
      <c r="O89" s="1275"/>
      <c r="P89" s="39"/>
      <c r="Q89" s="82"/>
      <c r="R89" s="82"/>
      <c r="S89" s="82"/>
      <c r="T89" s="82"/>
      <c r="U89" s="82"/>
      <c r="V89" s="1046"/>
      <c r="W89" s="525"/>
      <c r="X89" s="379"/>
      <c r="Y89" s="1051"/>
      <c r="Z89" s="21"/>
    </row>
    <row r="90" spans="2:30" s="19" customFormat="1" ht="4.5" customHeight="1">
      <c r="B90" s="129"/>
      <c r="C90" s="129"/>
      <c r="D90" s="631"/>
      <c r="E90" s="632"/>
      <c r="F90" s="631"/>
      <c r="G90" s="631"/>
      <c r="H90" s="631"/>
      <c r="I90" s="631"/>
      <c r="J90" s="631"/>
      <c r="K90" s="631"/>
      <c r="L90" s="633"/>
      <c r="M90" s="633"/>
      <c r="N90" s="633"/>
      <c r="O90" s="452"/>
      <c r="P90" s="32"/>
      <c r="Q90" s="32"/>
      <c r="R90" s="32"/>
      <c r="S90" s="32"/>
      <c r="T90" s="32"/>
      <c r="U90" s="32"/>
      <c r="V90" s="32"/>
      <c r="W90" s="114"/>
      <c r="X90" s="129"/>
      <c r="Y90" s="129"/>
      <c r="AC90" s="24"/>
      <c r="AD90" s="24"/>
    </row>
    <row r="91" spans="2:30" ht="77.25">
      <c r="B91" s="1292" t="s">
        <v>443</v>
      </c>
      <c r="C91" s="438" t="s">
        <v>91</v>
      </c>
      <c r="D91" s="356" t="s">
        <v>444</v>
      </c>
      <c r="E91" s="357">
        <f t="shared" si="65"/>
        <v>6</v>
      </c>
      <c r="F91" s="88">
        <f>WORKDAY.INTL(G88,1,"0000100",$AF$5:$AF$11)</f>
        <v>46264</v>
      </c>
      <c r="G91" s="88">
        <f>WORKDAY.INTL(F91,5,"0000100",$AF$5:$AF$11)</f>
        <v>46270</v>
      </c>
      <c r="H91" s="88">
        <f t="shared" ref="H91" si="82">WORKDAY.INTL(I88,1,"0000100",$AF$5:$AF$11)</f>
        <v>46264</v>
      </c>
      <c r="I91" s="88">
        <f>WORKDAY.INTL(H91,5,"0000100",$AF$5:$AF$11)</f>
        <v>46270</v>
      </c>
      <c r="J91" s="88"/>
      <c r="K91" s="88"/>
      <c r="L91" s="409"/>
      <c r="M91" s="409" t="str">
        <f t="shared" ca="1" si="64"/>
        <v>Not Started</v>
      </c>
      <c r="N91" s="450"/>
      <c r="O91" s="1281"/>
      <c r="P91" s="451"/>
      <c r="Q91" s="87"/>
      <c r="R91" s="87"/>
      <c r="S91" s="87"/>
      <c r="T91" s="87"/>
      <c r="U91" s="87"/>
      <c r="V91" s="89"/>
      <c r="W91" s="486"/>
      <c r="X91" s="88" t="s">
        <v>437</v>
      </c>
      <c r="Y91" s="88" t="s">
        <v>438</v>
      </c>
      <c r="Z91" s="21"/>
    </row>
    <row r="92" spans="2:30" ht="36" customHeight="1">
      <c r="B92" s="1293"/>
      <c r="C92" s="438" t="s">
        <v>91</v>
      </c>
      <c r="D92" s="356" t="s">
        <v>165</v>
      </c>
      <c r="E92" s="357">
        <f t="shared" si="65"/>
        <v>5</v>
      </c>
      <c r="F92" s="88">
        <f t="shared" si="77"/>
        <v>46271</v>
      </c>
      <c r="G92" s="88">
        <f t="shared" si="78"/>
        <v>46275</v>
      </c>
      <c r="H92" s="88">
        <f t="shared" ref="H92" si="83">WORKDAY.INTL(I91,1,"0000100",$AF$5:$AF$11)</f>
        <v>46271</v>
      </c>
      <c r="I92" s="88">
        <f t="shared" si="78"/>
        <v>46275</v>
      </c>
      <c r="J92" s="88"/>
      <c r="K92" s="88"/>
      <c r="L92" s="409"/>
      <c r="M92" s="409" t="str">
        <f t="shared" ca="1" si="64"/>
        <v>Not Started</v>
      </c>
      <c r="N92" s="450"/>
      <c r="O92" s="1282"/>
      <c r="P92" s="451"/>
      <c r="Q92" s="87"/>
      <c r="R92" s="87"/>
      <c r="S92" s="87"/>
      <c r="T92" s="87"/>
      <c r="U92" s="87"/>
      <c r="V92" s="89"/>
      <c r="W92" s="245"/>
      <c r="X92" s="88"/>
      <c r="Y92" s="88"/>
      <c r="Z92" s="21"/>
    </row>
    <row r="93" spans="2:30" s="19" customFormat="1" ht="36" customHeight="1">
      <c r="B93" s="32"/>
      <c r="C93" s="32"/>
      <c r="D93" s="332"/>
      <c r="E93" s="333"/>
      <c r="F93" s="332"/>
      <c r="G93" s="332"/>
      <c r="H93" s="332"/>
      <c r="I93" s="332"/>
      <c r="J93" s="332"/>
      <c r="K93" s="332"/>
      <c r="L93" s="366"/>
      <c r="M93" s="366"/>
      <c r="N93" s="366"/>
      <c r="O93" s="1282"/>
      <c r="P93" s="32"/>
      <c r="Q93" s="32"/>
      <c r="R93" s="32"/>
      <c r="S93" s="32"/>
      <c r="T93" s="32"/>
      <c r="U93" s="32"/>
      <c r="V93" s="32"/>
      <c r="W93" s="51"/>
      <c r="X93" s="32"/>
      <c r="Y93" s="32"/>
      <c r="AC93" s="24"/>
      <c r="AD93" s="24"/>
    </row>
    <row r="94" spans="2:30" ht="63.95" customHeight="1">
      <c r="B94" s="1290" t="s">
        <v>180</v>
      </c>
      <c r="C94" s="438" t="s">
        <v>91</v>
      </c>
      <c r="D94" s="354" t="s">
        <v>445</v>
      </c>
      <c r="E94" s="355">
        <f t="shared" si="65"/>
        <v>6</v>
      </c>
      <c r="F94" s="84">
        <f t="shared" ref="F94" si="84">WORKDAY.INTL(G91,1,"0000100",$AF$5:$AF$11)</f>
        <v>46271</v>
      </c>
      <c r="G94" s="84">
        <f>WORKDAY.INTL(F94,5,"0000100",$AF$5:$AF$11)</f>
        <v>46277</v>
      </c>
      <c r="H94" s="84">
        <f t="shared" ref="H94" si="85">WORKDAY.INTL(I91,1,"0000100",$AF$5:$AF$11)</f>
        <v>46271</v>
      </c>
      <c r="I94" s="84">
        <f>WORKDAY.INTL(H94,5,"0000100",$AF$5:$AF$11)</f>
        <v>46277</v>
      </c>
      <c r="J94" s="84"/>
      <c r="K94" s="84"/>
      <c r="L94" s="367"/>
      <c r="M94" s="367" t="str">
        <f t="shared" ca="1" si="64"/>
        <v>Not Started</v>
      </c>
      <c r="N94" s="441"/>
      <c r="O94" s="1282"/>
      <c r="P94" s="39"/>
      <c r="Q94" s="82"/>
      <c r="R94" s="82"/>
      <c r="S94" s="82"/>
      <c r="T94" s="82"/>
      <c r="U94" s="82"/>
      <c r="V94" s="86"/>
      <c r="W94" s="244"/>
      <c r="X94" s="84" t="s">
        <v>437</v>
      </c>
      <c r="Y94" s="251" t="s">
        <v>438</v>
      </c>
      <c r="Z94" s="21"/>
    </row>
    <row r="95" spans="2:30" ht="36" customHeight="1" thickBot="1">
      <c r="B95" s="1291"/>
      <c r="C95" s="438" t="s">
        <v>91</v>
      </c>
      <c r="D95" s="354" t="s">
        <v>165</v>
      </c>
      <c r="E95" s="355">
        <f t="shared" si="65"/>
        <v>5</v>
      </c>
      <c r="F95" s="84">
        <f t="shared" ref="F95:F98" si="86">WORKDAY.INTL(G94,1,"0000100",$AF$5:$AF$11)</f>
        <v>46278</v>
      </c>
      <c r="G95" s="84">
        <f t="shared" ref="G95:I101" si="87">WORKDAY.INTL(G94,5,"0000100",$AF$5:$AF$11)</f>
        <v>46282</v>
      </c>
      <c r="H95" s="84">
        <f t="shared" ref="H95" si="88">WORKDAY.INTL(I94,1,"0000100",$AF$5:$AF$11)</f>
        <v>46278</v>
      </c>
      <c r="I95" s="84">
        <f t="shared" si="87"/>
        <v>46282</v>
      </c>
      <c r="J95" s="84"/>
      <c r="K95" s="84"/>
      <c r="L95" s="367"/>
      <c r="M95" s="367" t="str">
        <f t="shared" ca="1" si="64"/>
        <v>Not Started</v>
      </c>
      <c r="N95" s="441"/>
      <c r="O95" s="1283"/>
      <c r="P95" s="39"/>
      <c r="Q95" s="82"/>
      <c r="R95" s="82"/>
      <c r="S95" s="82"/>
      <c r="T95" s="82"/>
      <c r="U95" s="82"/>
      <c r="V95" s="86"/>
      <c r="W95" s="244"/>
      <c r="X95" s="84"/>
      <c r="Y95" s="251"/>
      <c r="Z95" s="21"/>
    </row>
    <row r="96" spans="2:30" s="19" customFormat="1" ht="4.5" customHeight="1" thickBot="1">
      <c r="B96" s="32"/>
      <c r="C96" s="32"/>
      <c r="D96" s="332"/>
      <c r="E96" s="333"/>
      <c r="F96" s="332"/>
      <c r="G96" s="332"/>
      <c r="H96" s="332"/>
      <c r="I96" s="332"/>
      <c r="J96" s="332"/>
      <c r="K96" s="332"/>
      <c r="L96" s="366"/>
      <c r="M96" s="366"/>
      <c r="N96" s="366"/>
      <c r="O96" s="452"/>
      <c r="P96" s="32"/>
      <c r="Q96" s="32"/>
      <c r="R96" s="32"/>
      <c r="S96" s="32"/>
      <c r="T96" s="32"/>
      <c r="U96" s="32"/>
      <c r="V96" s="32"/>
      <c r="W96" s="51"/>
      <c r="X96" s="32"/>
      <c r="Y96" s="32"/>
      <c r="AC96" s="24"/>
      <c r="AD96" s="24"/>
    </row>
    <row r="97" spans="1:30" ht="75" customHeight="1" thickBot="1">
      <c r="B97" s="1292" t="s">
        <v>183</v>
      </c>
      <c r="C97" s="438" t="s">
        <v>91</v>
      </c>
      <c r="D97" s="356" t="s">
        <v>446</v>
      </c>
      <c r="E97" s="357">
        <f t="shared" si="65"/>
        <v>6</v>
      </c>
      <c r="F97" s="88">
        <f>WORKDAY.INTL(G94,1,"0000100",$AF$5:$AF$11)</f>
        <v>46278</v>
      </c>
      <c r="G97" s="88">
        <f>WORKDAY.INTL(F97,5,"0000100",$AF$5:$AF$11)</f>
        <v>46284</v>
      </c>
      <c r="H97" s="88">
        <f t="shared" ref="H97" si="89">WORKDAY.INTL(I94,1,"0000100",$AF$5:$AF$11)</f>
        <v>46278</v>
      </c>
      <c r="I97" s="88">
        <f>WORKDAY.INTL(H97,5,"0000100",$AF$5:$AF$11)</f>
        <v>46284</v>
      </c>
      <c r="J97" s="88"/>
      <c r="K97" s="88"/>
      <c r="L97" s="409"/>
      <c r="M97" s="409" t="str">
        <f t="shared" ca="1" si="64"/>
        <v>Not Started</v>
      </c>
      <c r="N97" s="450"/>
      <c r="O97" s="1281"/>
      <c r="P97" s="451"/>
      <c r="Q97" s="87"/>
      <c r="R97" s="87"/>
      <c r="S97" s="87"/>
      <c r="T97" s="87"/>
      <c r="U97" s="87"/>
      <c r="V97" s="89"/>
      <c r="W97" s="486"/>
      <c r="X97" s="88" t="s">
        <v>437</v>
      </c>
      <c r="Y97" s="88" t="s">
        <v>438</v>
      </c>
      <c r="Z97" s="21"/>
    </row>
    <row r="98" spans="1:30" ht="36" customHeight="1">
      <c r="B98" s="1293"/>
      <c r="C98" s="438" t="s">
        <v>91</v>
      </c>
      <c r="D98" s="356" t="s">
        <v>165</v>
      </c>
      <c r="E98" s="357">
        <f t="shared" si="65"/>
        <v>5</v>
      </c>
      <c r="F98" s="88">
        <f t="shared" si="86"/>
        <v>46285</v>
      </c>
      <c r="G98" s="88">
        <f t="shared" si="87"/>
        <v>46289</v>
      </c>
      <c r="H98" s="88">
        <f t="shared" ref="H98" si="90">WORKDAY.INTL(I97,1,"0000100",$AF$5:$AF$11)</f>
        <v>46285</v>
      </c>
      <c r="I98" s="88">
        <f t="shared" si="87"/>
        <v>46289</v>
      </c>
      <c r="J98" s="88"/>
      <c r="K98" s="88"/>
      <c r="L98" s="409"/>
      <c r="M98" s="409" t="str">
        <f t="shared" ca="1" si="64"/>
        <v>Not Started</v>
      </c>
      <c r="N98" s="450"/>
      <c r="O98" s="1283"/>
      <c r="P98" s="451"/>
      <c r="Q98" s="87"/>
      <c r="R98" s="87"/>
      <c r="S98" s="87"/>
      <c r="T98" s="87"/>
      <c r="U98" s="87"/>
      <c r="V98" s="89"/>
      <c r="W98" s="245"/>
      <c r="X98" s="88"/>
      <c r="Y98" s="88"/>
      <c r="Z98" s="21"/>
    </row>
    <row r="99" spans="1:30" s="19" customFormat="1" ht="4.5" customHeight="1">
      <c r="B99" s="32"/>
      <c r="C99" s="32"/>
      <c r="D99" s="332"/>
      <c r="E99" s="333"/>
      <c r="F99" s="332"/>
      <c r="G99" s="332"/>
      <c r="H99" s="332"/>
      <c r="I99" s="332"/>
      <c r="J99" s="332"/>
      <c r="K99" s="332"/>
      <c r="L99" s="366"/>
      <c r="M99" s="366"/>
      <c r="N99" s="366"/>
      <c r="O99" s="452"/>
      <c r="P99" s="32"/>
      <c r="Q99" s="32"/>
      <c r="R99" s="32"/>
      <c r="S99" s="32"/>
      <c r="T99" s="32"/>
      <c r="U99" s="32"/>
      <c r="V99" s="32"/>
      <c r="W99" s="51"/>
      <c r="X99" s="51"/>
      <c r="Y99" s="51"/>
      <c r="AC99" s="24"/>
      <c r="AD99" s="24"/>
    </row>
    <row r="100" spans="1:30" ht="48.95" customHeight="1">
      <c r="B100" s="1290" t="s">
        <v>447</v>
      </c>
      <c r="C100" s="438" t="s">
        <v>91</v>
      </c>
      <c r="D100" s="354" t="s">
        <v>448</v>
      </c>
      <c r="E100" s="355">
        <f t="shared" si="65"/>
        <v>5</v>
      </c>
      <c r="F100" s="84">
        <f>WORKDAY.INTL(G97,1,"0000100",$AF$5:$AF$11)</f>
        <v>46285</v>
      </c>
      <c r="G100" s="84">
        <f>WORKDAY.INTL(F100,4,"0000100",$AF$5:$AF$11)</f>
        <v>46289</v>
      </c>
      <c r="H100" s="84">
        <f t="shared" ref="H100" si="91">WORKDAY.INTL(I97,1,"0000100",$AF$5:$AF$11)</f>
        <v>46285</v>
      </c>
      <c r="I100" s="84">
        <f>WORKDAY.INTL(H100,4,"0000100",$AF$5:$AF$11)</f>
        <v>46289</v>
      </c>
      <c r="J100" s="84"/>
      <c r="K100" s="84"/>
      <c r="L100" s="367"/>
      <c r="M100" s="367" t="str">
        <f t="shared" ca="1" si="64"/>
        <v>Not Started</v>
      </c>
      <c r="N100" s="441"/>
      <c r="O100" s="1281"/>
      <c r="P100" s="39"/>
      <c r="Q100" s="82"/>
      <c r="R100" s="82"/>
      <c r="S100" s="82"/>
      <c r="T100" s="82"/>
      <c r="U100" s="82"/>
      <c r="V100" s="1046"/>
      <c r="W100" s="522"/>
      <c r="X100" s="81" t="s">
        <v>437</v>
      </c>
      <c r="Y100" s="487" t="s">
        <v>449</v>
      </c>
      <c r="Z100" s="21"/>
    </row>
    <row r="101" spans="1:30" ht="36" customHeight="1">
      <c r="B101" s="1291"/>
      <c r="C101" s="438" t="s">
        <v>91</v>
      </c>
      <c r="D101" s="354" t="s">
        <v>165</v>
      </c>
      <c r="E101" s="355">
        <f t="shared" si="65"/>
        <v>5</v>
      </c>
      <c r="F101" s="84">
        <f>WORKDAY.INTL(G100,1,"0000100",$AF$5:$AF$11)</f>
        <v>46291</v>
      </c>
      <c r="G101" s="84">
        <f t="shared" si="87"/>
        <v>46295</v>
      </c>
      <c r="H101" s="84">
        <f>WORKDAY.INTL(I100,1,"0000100",$AF$5:$AF$11)</f>
        <v>46291</v>
      </c>
      <c r="I101" s="84">
        <f t="shared" si="87"/>
        <v>46295</v>
      </c>
      <c r="J101" s="84"/>
      <c r="K101" s="84"/>
      <c r="L101" s="367"/>
      <c r="M101" s="367" t="str">
        <f t="shared" ca="1" si="64"/>
        <v>Not Started</v>
      </c>
      <c r="N101" s="441"/>
      <c r="O101" s="1283"/>
      <c r="P101" s="39"/>
      <c r="Q101" s="82"/>
      <c r="R101" s="82"/>
      <c r="S101" s="82"/>
      <c r="T101" s="82"/>
      <c r="U101" s="82"/>
      <c r="V101" s="1046"/>
      <c r="W101" s="525"/>
      <c r="X101" s="379"/>
      <c r="Y101" s="491"/>
      <c r="Z101" s="21"/>
    </row>
    <row r="102" spans="1:30" s="19" customFormat="1" ht="7.5" customHeight="1">
      <c r="B102" s="51"/>
      <c r="C102" s="51"/>
      <c r="D102" s="339"/>
      <c r="E102" s="340"/>
      <c r="F102" s="339"/>
      <c r="G102" s="339"/>
      <c r="H102" s="339"/>
      <c r="I102" s="339"/>
      <c r="J102" s="339"/>
      <c r="K102" s="339"/>
      <c r="L102" s="375"/>
      <c r="M102" s="375"/>
      <c r="N102" s="375"/>
      <c r="O102" s="453"/>
      <c r="P102" s="32"/>
      <c r="Q102" s="32"/>
      <c r="R102" s="32"/>
      <c r="S102" s="32"/>
      <c r="T102" s="32"/>
      <c r="U102" s="32"/>
      <c r="V102" s="32"/>
      <c r="W102" s="114"/>
      <c r="X102" s="114"/>
      <c r="Y102" s="114"/>
      <c r="AC102" s="24"/>
      <c r="AD102" s="24"/>
    </row>
    <row r="103" spans="1:30" ht="72.75" customHeight="1">
      <c r="B103" s="1248" t="s">
        <v>450</v>
      </c>
      <c r="C103" s="438" t="s">
        <v>91</v>
      </c>
      <c r="D103" s="696" t="s">
        <v>451</v>
      </c>
      <c r="E103" s="697">
        <f t="shared" si="65"/>
        <v>5</v>
      </c>
      <c r="F103" s="700">
        <f t="shared" ref="F103" si="92">WORKDAY.INTL(G100,1,"0000100",$AF$5:$AF$11)</f>
        <v>46291</v>
      </c>
      <c r="G103" s="700">
        <f>WORKDAY.INTL(F103,4,"0000100",$AF$5:$AF$11)</f>
        <v>46295</v>
      </c>
      <c r="H103" s="700">
        <f t="shared" ref="H103" si="93">WORKDAY.INTL(I100,1,"0000100",$AF$5:$AF$11)</f>
        <v>46291</v>
      </c>
      <c r="I103" s="700">
        <f>WORKDAY.INTL(H103,4,"0000100",$AF$5:$AF$11)</f>
        <v>46295</v>
      </c>
      <c r="J103" s="700"/>
      <c r="K103" s="700"/>
      <c r="L103" s="701"/>
      <c r="M103" s="701" t="str">
        <f t="shared" ca="1" si="64"/>
        <v>Not Started</v>
      </c>
      <c r="N103" s="704"/>
      <c r="O103" s="1274"/>
      <c r="P103" s="451"/>
      <c r="Q103" s="87"/>
      <c r="R103" s="87"/>
      <c r="S103" s="87"/>
      <c r="T103" s="87"/>
      <c r="U103" s="87"/>
      <c r="V103" s="1049"/>
      <c r="W103" s="486"/>
      <c r="X103" s="700" t="s">
        <v>437</v>
      </c>
      <c r="Y103" s="1047" t="s">
        <v>449</v>
      </c>
      <c r="Z103" s="21"/>
    </row>
    <row r="104" spans="1:30" ht="36" customHeight="1">
      <c r="B104" s="1249"/>
      <c r="C104" s="439" t="s">
        <v>91</v>
      </c>
      <c r="D104" s="709" t="s">
        <v>165</v>
      </c>
      <c r="E104" s="710">
        <f t="shared" si="65"/>
        <v>5</v>
      </c>
      <c r="F104" s="713">
        <f>WORKDAY.INTL(G103,1,"0000100",$AF$5:$AF$11)</f>
        <v>46296</v>
      </c>
      <c r="G104" s="713">
        <f>WORKDAY.INTL(G103,5,"0000100",$AF$5:$AF$11)</f>
        <v>46301</v>
      </c>
      <c r="H104" s="713">
        <f>WORKDAY.INTL(I103,1,"0000100",$AF$5:$AF$11)</f>
        <v>46296</v>
      </c>
      <c r="I104" s="713">
        <f>WORKDAY.INTL(I103,5,"0000100",$AF$5:$AF$11)</f>
        <v>46301</v>
      </c>
      <c r="J104" s="713"/>
      <c r="K104" s="713"/>
      <c r="L104" s="714"/>
      <c r="M104" s="714" t="str">
        <f t="shared" ca="1" si="64"/>
        <v>Not Started</v>
      </c>
      <c r="N104" s="717"/>
      <c r="O104" s="1275"/>
      <c r="P104" s="451"/>
      <c r="Q104" s="87"/>
      <c r="R104" s="87"/>
      <c r="S104" s="87"/>
      <c r="T104" s="87"/>
      <c r="U104" s="87"/>
      <c r="V104" s="1049"/>
      <c r="W104" s="718"/>
      <c r="X104" s="713"/>
      <c r="Y104" s="1048"/>
      <c r="Z104" s="21"/>
    </row>
    <row r="105" spans="1:30" s="19" customFormat="1" ht="4.5" customHeight="1">
      <c r="B105" s="129"/>
      <c r="C105" s="129"/>
      <c r="D105" s="631"/>
      <c r="E105" s="632"/>
      <c r="F105" s="631"/>
      <c r="G105" s="631"/>
      <c r="H105" s="631"/>
      <c r="I105" s="631"/>
      <c r="J105" s="631"/>
      <c r="K105" s="631"/>
      <c r="L105" s="633"/>
      <c r="M105" s="633"/>
      <c r="N105" s="633"/>
      <c r="O105" s="452"/>
      <c r="P105" s="32"/>
      <c r="Q105" s="32"/>
      <c r="R105" s="32"/>
      <c r="S105" s="32"/>
      <c r="T105" s="32"/>
      <c r="U105" s="32"/>
      <c r="V105" s="32"/>
      <c r="W105" s="114"/>
      <c r="X105" s="114"/>
      <c r="Y105" s="114"/>
      <c r="AC105" s="24"/>
      <c r="AD105" s="24"/>
    </row>
    <row r="106" spans="1:30" ht="69.75" customHeight="1">
      <c r="B106" s="431" t="s">
        <v>185</v>
      </c>
      <c r="C106" s="438" t="s">
        <v>91</v>
      </c>
      <c r="D106" s="354" t="s">
        <v>452</v>
      </c>
      <c r="E106" s="355">
        <f>NETWORKDAYS.INTL(F106,G106,"0000110",$AF$5:$AF$12)</f>
        <v>44</v>
      </c>
      <c r="F106" s="84">
        <f>WORKDAY.INTL(G77,0,"0000110")</f>
        <v>46242</v>
      </c>
      <c r="G106" s="84">
        <f>WORKDAY.INTL(F106,44,"0000110")</f>
        <v>46302</v>
      </c>
      <c r="H106" s="84">
        <f>WORKDAY.INTL(I77,0,"0000110")</f>
        <v>46242</v>
      </c>
      <c r="I106" s="84">
        <f>WORKDAY.INTL(H106,44,"0000110")</f>
        <v>46302</v>
      </c>
      <c r="J106" s="84"/>
      <c r="K106" s="84"/>
      <c r="L106" s="367"/>
      <c r="M106" s="367" t="str">
        <f t="shared" ca="1" si="64"/>
        <v>Not Started</v>
      </c>
      <c r="N106" s="441"/>
      <c r="O106" s="455"/>
      <c r="P106" s="39"/>
      <c r="Q106" s="82"/>
      <c r="R106" s="82"/>
      <c r="S106" s="82"/>
      <c r="T106" s="82"/>
      <c r="U106" s="82"/>
      <c r="V106" s="1046"/>
      <c r="W106" s="460" t="s">
        <v>453</v>
      </c>
      <c r="X106" s="729" t="s">
        <v>454</v>
      </c>
      <c r="Y106" s="1057" t="s">
        <v>455</v>
      </c>
      <c r="Z106" s="21"/>
    </row>
    <row r="107" spans="1:30" s="19" customFormat="1" ht="4.5" customHeight="1">
      <c r="B107" s="51"/>
      <c r="C107" s="51"/>
      <c r="D107" s="339"/>
      <c r="E107" s="340"/>
      <c r="F107" s="339"/>
      <c r="G107" s="339"/>
      <c r="H107" s="339"/>
      <c r="I107" s="339"/>
      <c r="J107" s="339"/>
      <c r="K107" s="339"/>
      <c r="L107" s="375"/>
      <c r="M107" s="375"/>
      <c r="N107" s="375"/>
      <c r="O107" s="452"/>
      <c r="P107" s="32"/>
      <c r="Q107" s="32"/>
      <c r="R107" s="32"/>
      <c r="S107" s="32"/>
      <c r="T107" s="32"/>
      <c r="U107" s="32"/>
      <c r="V107" s="32"/>
      <c r="W107" s="114"/>
      <c r="X107" s="114"/>
      <c r="Y107" s="114"/>
      <c r="AC107" s="24"/>
      <c r="AD107" s="24"/>
    </row>
    <row r="108" spans="1:30" ht="81.75" customHeight="1">
      <c r="B108" s="736" t="s">
        <v>190</v>
      </c>
      <c r="C108" s="1052" t="s">
        <v>191</v>
      </c>
      <c r="D108" s="546" t="s">
        <v>192</v>
      </c>
      <c r="E108" s="547">
        <f>NETWORKDAYS.INTL(F108,G108,"0000110",$AF$5:$AF$12)</f>
        <v>2</v>
      </c>
      <c r="F108" s="443">
        <f>MAX(WORKDAY.INTL(G106,1,"0000100"),WORKDAY.INTL(G116,1,"0000100"))</f>
        <v>46323</v>
      </c>
      <c r="G108" s="443">
        <f>WORKDAY.INTL(F108,3,"0000000")</f>
        <v>46326</v>
      </c>
      <c r="H108" s="443">
        <f>MAX(WORKDAY.INTL(I106,1,"0000100"),WORKDAY.INTL(I116,1,"0000100"))</f>
        <v>46323</v>
      </c>
      <c r="I108" s="443">
        <f>WORKDAY.INTL(H108,3,"0000000")</f>
        <v>46326</v>
      </c>
      <c r="J108" s="443"/>
      <c r="K108" s="443"/>
      <c r="L108" s="444"/>
      <c r="M108" s="444" t="str">
        <f t="shared" ca="1" si="64"/>
        <v>Not Started</v>
      </c>
      <c r="N108" s="669"/>
      <c r="O108" s="1053"/>
      <c r="P108" s="466"/>
      <c r="Q108" s="467"/>
      <c r="R108" s="467"/>
      <c r="S108" s="467"/>
      <c r="T108" s="467"/>
      <c r="U108" s="467"/>
      <c r="V108" s="468"/>
      <c r="W108" s="1054" t="s">
        <v>193</v>
      </c>
      <c r="X108" s="1055" t="s">
        <v>454</v>
      </c>
      <c r="Y108" s="1056"/>
      <c r="Z108" s="21"/>
    </row>
    <row r="109" spans="1:30" ht="6" customHeight="1">
      <c r="B109" s="90"/>
      <c r="C109" s="90"/>
      <c r="D109" s="417"/>
      <c r="E109" s="417"/>
      <c r="F109" s="417"/>
      <c r="G109" s="417"/>
      <c r="H109" s="417"/>
      <c r="I109" s="417"/>
      <c r="J109" s="417"/>
      <c r="K109" s="417"/>
      <c r="L109" s="417"/>
      <c r="M109" s="417"/>
      <c r="N109" s="417"/>
      <c r="O109" s="90"/>
      <c r="P109" s="90"/>
      <c r="Q109" s="90"/>
      <c r="R109" s="90"/>
      <c r="S109" s="90"/>
      <c r="T109" s="90"/>
      <c r="U109" s="90"/>
      <c r="V109" s="90"/>
      <c r="W109" s="90"/>
      <c r="X109" s="90"/>
      <c r="Y109" s="90"/>
      <c r="Z109" s="21"/>
    </row>
    <row r="110" spans="1:30" ht="36" customHeight="1">
      <c r="B110" s="1234" t="s">
        <v>195</v>
      </c>
      <c r="C110" s="1031" t="s">
        <v>34</v>
      </c>
      <c r="D110" s="294" t="s">
        <v>196</v>
      </c>
      <c r="E110" s="347">
        <f t="shared" ref="E110:E116" si="94">NETWORKDAYS.INTL(F110,G110,"0000110",$AF$5:$AF$12)</f>
        <v>2</v>
      </c>
      <c r="F110" s="198">
        <f>MAX(WORKDAY.INTL(G106,1,"0000110",$AF$5:$AF$10),WORKDAY.INTL(G54,1,"0000110",$AF$5:$AF$10),WORKDAY.INTL(G46,1,"0000110",$AF$5:$AF$10))</f>
        <v>46303</v>
      </c>
      <c r="G110" s="198">
        <f>WORKDAY.INTL(F110,1,"0000110",$AF$5:$AF$10)</f>
        <v>46306</v>
      </c>
      <c r="H110" s="81">
        <f>MAX(WORKDAY.INTL(I106,1,"0000110",$AF$5:$AF$10),WORKDAY.INTL(I54,1,"0000110",$AF$5:$AF$10),WORKDAY.INTL(I46,1,"0000110",$AF$5:$AF$10))</f>
        <v>46303</v>
      </c>
      <c r="I110" s="81">
        <f>WORKDAY.INTL(H110,1,"0000110",$AF$5:$AF$10)</f>
        <v>46306</v>
      </c>
      <c r="J110" s="81"/>
      <c r="K110" s="81"/>
      <c r="L110" s="377"/>
      <c r="M110" s="377" t="str">
        <f t="shared" ref="M110:M116" ca="1" si="95">IF(L110=100%,"Completed",
IF(AND(L110&lt;100%,G110&lt;TODAY()),"Delayed",
IF(AND(OR(L110="",L110=0),F110&gt;TODAY()),"Not Started",
IF(AND(OR(L110="",L110=0),F110&lt;=TODAY()),"Delayed",
IF(AND(L110&gt;0,L110&lt;100%),"In Progress","")))))</f>
        <v>Not Started</v>
      </c>
      <c r="N110" s="517"/>
      <c r="O110" s="1284"/>
      <c r="P110" s="65"/>
      <c r="Q110" s="65"/>
      <c r="R110" s="65"/>
      <c r="S110" s="65"/>
      <c r="T110" s="65"/>
      <c r="U110" s="65"/>
      <c r="V110" s="622"/>
      <c r="W110" s="1288"/>
      <c r="X110" s="1144" t="s">
        <v>456</v>
      </c>
      <c r="Y110" s="469"/>
      <c r="Z110" s="21"/>
    </row>
    <row r="111" spans="1:30" ht="36" customHeight="1">
      <c r="A111" s="19"/>
      <c r="B111" s="1237"/>
      <c r="C111" s="1058" t="s">
        <v>34</v>
      </c>
      <c r="D111" s="280" t="s">
        <v>198</v>
      </c>
      <c r="E111" s="355">
        <f t="shared" si="94"/>
        <v>5</v>
      </c>
      <c r="F111" s="200">
        <f t="shared" ref="F111:F114" si="96">WORKDAY.INTL(G110,1,"0000100",$AF$5:$AF$11)</f>
        <v>46307</v>
      </c>
      <c r="G111" s="200">
        <f>WORKDAY.INTL(F111,4,"0000110",$AF$5:$AF$9)</f>
        <v>46313</v>
      </c>
      <c r="H111" s="84">
        <f t="shared" ref="H111" si="97">WORKDAY.INTL(I110,1,"0000100",$AF$5:$AF$11)</f>
        <v>46307</v>
      </c>
      <c r="I111" s="84">
        <f>WORKDAY.INTL(H111,4,"0000110",$AF$5:$AF$9)</f>
        <v>46313</v>
      </c>
      <c r="J111" s="84"/>
      <c r="K111" s="84"/>
      <c r="L111" s="367"/>
      <c r="M111" s="367" t="str">
        <f t="shared" ca="1" si="95"/>
        <v>Not Started</v>
      </c>
      <c r="N111" s="519"/>
      <c r="O111" s="1285"/>
      <c r="P111" s="82"/>
      <c r="Q111" s="82"/>
      <c r="R111" s="82"/>
      <c r="S111" s="82"/>
      <c r="T111" s="82"/>
      <c r="U111" s="82"/>
      <c r="V111" s="1046"/>
      <c r="W111" s="1289"/>
      <c r="X111" s="1145"/>
      <c r="Y111" s="470"/>
      <c r="Z111" s="21"/>
    </row>
    <row r="112" spans="1:30" ht="83.25" customHeight="1">
      <c r="B112" s="1237"/>
      <c r="C112" s="1058" t="s">
        <v>34</v>
      </c>
      <c r="D112" s="280" t="s">
        <v>199</v>
      </c>
      <c r="E112" s="355">
        <f t="shared" si="94"/>
        <v>5</v>
      </c>
      <c r="F112" s="200">
        <f>WORKDAY.INTL(G110,1,"0000100",$AF$5:$AF$11)</f>
        <v>46307</v>
      </c>
      <c r="G112" s="200">
        <f>WORKDAY.INTL(F112,4,"0000110",$AF$5:$AF$9)</f>
        <v>46313</v>
      </c>
      <c r="H112" s="84">
        <f>WORKDAY.INTL(I110,1,"0000100",$AF$5:$AF$11)</f>
        <v>46307</v>
      </c>
      <c r="I112" s="84">
        <f>WORKDAY.INTL(H112,4,"0000110",$AF$5:$AF$9)</f>
        <v>46313</v>
      </c>
      <c r="J112" s="84"/>
      <c r="K112" s="84"/>
      <c r="L112" s="367"/>
      <c r="M112" s="367" t="str">
        <f t="shared" ca="1" si="95"/>
        <v>Not Started</v>
      </c>
      <c r="N112" s="519"/>
      <c r="O112" s="1285"/>
      <c r="P112" s="82"/>
      <c r="Q112" s="82"/>
      <c r="R112" s="82"/>
      <c r="S112" s="82"/>
      <c r="T112" s="82"/>
      <c r="U112" s="82"/>
      <c r="V112" s="1046"/>
      <c r="W112" s="896" t="s">
        <v>200</v>
      </c>
      <c r="X112" s="1145"/>
      <c r="Y112" s="470"/>
      <c r="Z112" s="21"/>
    </row>
    <row r="113" spans="1:26" ht="36" customHeight="1">
      <c r="B113" s="1237"/>
      <c r="C113" s="1058" t="s">
        <v>34</v>
      </c>
      <c r="D113" s="280" t="s">
        <v>201</v>
      </c>
      <c r="E113" s="355">
        <f t="shared" si="94"/>
        <v>2</v>
      </c>
      <c r="F113" s="200">
        <f t="shared" si="96"/>
        <v>46314</v>
      </c>
      <c r="G113" s="200">
        <f>WORKDAY.INTL(F113,1,"0000110",$AF$5:$AF$9)</f>
        <v>46315</v>
      </c>
      <c r="H113" s="84">
        <f t="shared" ref="H113:H114" si="98">WORKDAY.INTL(I112,1,"0000100",$AF$5:$AF$11)</f>
        <v>46314</v>
      </c>
      <c r="I113" s="84">
        <f>WORKDAY.INTL(H113,1,"0000110",$AF$5:$AF$9)</f>
        <v>46315</v>
      </c>
      <c r="J113" s="84"/>
      <c r="K113" s="84"/>
      <c r="L113" s="367"/>
      <c r="M113" s="367" t="str">
        <f t="shared" ca="1" si="95"/>
        <v>Not Started</v>
      </c>
      <c r="N113" s="519"/>
      <c r="O113" s="1285"/>
      <c r="P113" s="82"/>
      <c r="Q113" s="82"/>
      <c r="R113" s="82"/>
      <c r="S113" s="82"/>
      <c r="T113" s="82"/>
      <c r="U113" s="82"/>
      <c r="V113" s="1046"/>
      <c r="W113" s="896"/>
      <c r="X113" s="1145"/>
      <c r="Y113" s="470"/>
      <c r="Z113" s="21"/>
    </row>
    <row r="114" spans="1:26" ht="36" customHeight="1">
      <c r="B114" s="1237"/>
      <c r="C114" s="1058" t="s">
        <v>34</v>
      </c>
      <c r="D114" s="280" t="s">
        <v>202</v>
      </c>
      <c r="E114" s="355">
        <f t="shared" si="94"/>
        <v>3</v>
      </c>
      <c r="F114" s="200">
        <f t="shared" si="96"/>
        <v>46316</v>
      </c>
      <c r="G114" s="200">
        <f>WORKDAY.INTL(F114,3,"0000100",$AF$5:$AF$9)</f>
        <v>46320</v>
      </c>
      <c r="H114" s="84">
        <f t="shared" si="98"/>
        <v>46316</v>
      </c>
      <c r="I114" s="84">
        <f>WORKDAY.INTL(H114,3,"0000100",$AF$5:$AF$9)</f>
        <v>46320</v>
      </c>
      <c r="J114" s="84"/>
      <c r="K114" s="84"/>
      <c r="L114" s="367"/>
      <c r="M114" s="367" t="str">
        <f t="shared" ca="1" si="95"/>
        <v>Not Started</v>
      </c>
      <c r="N114" s="519"/>
      <c r="O114" s="1285"/>
      <c r="P114" s="82"/>
      <c r="Q114" s="82"/>
      <c r="R114" s="82"/>
      <c r="S114" s="82"/>
      <c r="T114" s="82"/>
      <c r="U114" s="82"/>
      <c r="V114" s="1046"/>
      <c r="W114" s="896"/>
      <c r="X114" s="1145"/>
      <c r="Y114" s="470"/>
      <c r="Z114" s="21"/>
    </row>
    <row r="115" spans="1:26" ht="36" customHeight="1">
      <c r="B115" s="1237"/>
      <c r="C115" s="1058" t="s">
        <v>34</v>
      </c>
      <c r="D115" s="280" t="s">
        <v>203</v>
      </c>
      <c r="E115" s="355">
        <f t="shared" si="94"/>
        <v>1</v>
      </c>
      <c r="F115" s="200">
        <f>WORKDAY.INTL(G114,1,"0000110",$AF$5:$AF$10)</f>
        <v>46321</v>
      </c>
      <c r="G115" s="200">
        <f>WORKDAY.INTL(F115,0,"0000110",$AF$5:$AF$10)</f>
        <v>46321</v>
      </c>
      <c r="H115" s="84">
        <f>WORKDAY.INTL(I114,1,"0000110",$AF$5:$AF$10)</f>
        <v>46321</v>
      </c>
      <c r="I115" s="84">
        <f>WORKDAY.INTL(H115,0,"0000110",$AF$5:$AF$10)</f>
        <v>46321</v>
      </c>
      <c r="J115" s="84"/>
      <c r="K115" s="84"/>
      <c r="L115" s="367"/>
      <c r="M115" s="367" t="str">
        <f t="shared" ca="1" si="95"/>
        <v>Not Started</v>
      </c>
      <c r="N115" s="519"/>
      <c r="O115" s="1285"/>
      <c r="P115" s="82"/>
      <c r="Q115" s="82"/>
      <c r="R115" s="82"/>
      <c r="S115" s="82"/>
      <c r="T115" s="82"/>
      <c r="U115" s="82"/>
      <c r="V115" s="1046"/>
      <c r="W115" s="896"/>
      <c r="X115" s="1145"/>
      <c r="Y115" s="470"/>
      <c r="Z115" s="21"/>
    </row>
    <row r="116" spans="1:26" ht="36" customHeight="1">
      <c r="B116" s="1235"/>
      <c r="C116" s="1059" t="s">
        <v>34</v>
      </c>
      <c r="D116" s="281" t="s">
        <v>204</v>
      </c>
      <c r="E116" s="348">
        <f t="shared" si="94"/>
        <v>1</v>
      </c>
      <c r="F116" s="256">
        <f>WORKDAY.INTL(G115,1,"0000110",$AF$5:$AF$10)</f>
        <v>46322</v>
      </c>
      <c r="G116" s="256">
        <f>WORKDAY.INTL(F116,0,"0000110",$AF$5:$AF$10)</f>
        <v>46322</v>
      </c>
      <c r="H116" s="379">
        <f>WORKDAY.INTL(I115,1,"0000110",$AF$5:$AF$10)</f>
        <v>46322</v>
      </c>
      <c r="I116" s="379">
        <f>WORKDAY.INTL(H116,0,"0000110",$AF$5:$AF$10)</f>
        <v>46322</v>
      </c>
      <c r="J116" s="379"/>
      <c r="K116" s="379"/>
      <c r="L116" s="380"/>
      <c r="M116" s="380" t="str">
        <f t="shared" ca="1" si="95"/>
        <v>Not Started</v>
      </c>
      <c r="N116" s="520"/>
      <c r="O116" s="1286"/>
      <c r="P116" s="72"/>
      <c r="Q116" s="72"/>
      <c r="R116" s="72"/>
      <c r="S116" s="72"/>
      <c r="T116" s="72"/>
      <c r="U116" s="72"/>
      <c r="V116" s="623"/>
      <c r="W116" s="1060"/>
      <c r="X116" s="1146"/>
      <c r="Y116" s="471"/>
      <c r="Z116" s="21"/>
    </row>
    <row r="117" spans="1:26" ht="6" customHeight="1">
      <c r="X117" s="22"/>
      <c r="Y117" s="22"/>
      <c r="Z117" s="21"/>
    </row>
    <row r="118" spans="1:26" ht="36" customHeight="1">
      <c r="A118" s="19"/>
      <c r="B118" s="1232" t="s">
        <v>205</v>
      </c>
      <c r="C118" s="472" t="s">
        <v>205</v>
      </c>
      <c r="D118" s="473" t="s">
        <v>206</v>
      </c>
      <c r="E118" s="474">
        <f>NETWORKDAYS.INTL(F118,G118,"0000110",$AF$5:$AF$11)</f>
        <v>16</v>
      </c>
      <c r="F118" s="320">
        <f>WORKDAY.INTL(G118,-15,"0000110",$AF$5:$AF$10)</f>
        <v>46281</v>
      </c>
      <c r="G118" s="320">
        <f>WORKDAY.INTL(F110,-1,"0000110",$AF$5:$AF$10)</f>
        <v>46302</v>
      </c>
      <c r="H118" s="475">
        <f>WORKDAY.INTL(I118,-15,"0000110",$AF$5:$AF$10)</f>
        <v>46281</v>
      </c>
      <c r="I118" s="475">
        <f>WORKDAY.INTL(H110,-1,"0000110",$AF$5:$AF$10)</f>
        <v>46302</v>
      </c>
      <c r="J118" s="475"/>
      <c r="K118" s="475"/>
      <c r="L118" s="476"/>
      <c r="M118" s="476" t="str">
        <f t="shared" ref="M118:M119" ca="1" si="99">IF(L118=100%,"Completed",
IF(AND(L118&lt;100%,G118&lt;TODAY()),"Delayed",
IF(AND(OR(L118="",L118=0),F118&gt;TODAY()),"Not Started",
IF(AND(OR(L118="",L118=0),F118&lt;=TODAY()),"Delayed",
IF(AND(L118&gt;0,L118&lt;100%),"In Progress","")))))</f>
        <v>Not Started</v>
      </c>
      <c r="N118" s="752"/>
      <c r="O118" s="947"/>
      <c r="P118" s="477"/>
      <c r="Q118" s="477"/>
      <c r="R118" s="477"/>
      <c r="S118" s="477"/>
      <c r="T118" s="477"/>
      <c r="U118" s="477"/>
      <c r="V118" s="1061"/>
      <c r="W118" s="757" t="s">
        <v>207</v>
      </c>
      <c r="X118" s="101"/>
      <c r="Y118" s="478"/>
      <c r="Z118" s="21"/>
    </row>
    <row r="119" spans="1:26" ht="70.5">
      <c r="B119" s="1233"/>
      <c r="C119" s="479" t="s">
        <v>205</v>
      </c>
      <c r="D119" s="480" t="s">
        <v>208</v>
      </c>
      <c r="E119" s="481">
        <f>NETWORKDAYS.INTL(F119,G119,"0000110",$AF$5:$AF$11)</f>
        <v>20</v>
      </c>
      <c r="F119" s="263">
        <f>WORKDAY.INTL(G123,10,"0000110",$AF$5:$AF$10)</f>
        <v>46366</v>
      </c>
      <c r="G119" s="263">
        <f>WORKDAY.INTL(F119,19,"0000110",$AF$5:$AF$10)</f>
        <v>46393</v>
      </c>
      <c r="H119" s="482">
        <f>WORKDAY.INTL(I123,10,"0000110",$AF$5:$AF$10)</f>
        <v>46366</v>
      </c>
      <c r="I119" s="482">
        <f>WORKDAY.INTL(H119,19,"0000110",$AF$5:$AF$10)</f>
        <v>46393</v>
      </c>
      <c r="J119" s="482"/>
      <c r="K119" s="482"/>
      <c r="L119" s="483"/>
      <c r="M119" s="483" t="str">
        <f t="shared" ca="1" si="99"/>
        <v>Not Started</v>
      </c>
      <c r="N119" s="756"/>
      <c r="O119" s="948"/>
      <c r="P119" s="484"/>
      <c r="Q119" s="484"/>
      <c r="R119" s="484"/>
      <c r="S119" s="484"/>
      <c r="T119" s="484"/>
      <c r="U119" s="484"/>
      <c r="V119" s="1062"/>
      <c r="W119" s="761" t="s">
        <v>209</v>
      </c>
      <c r="X119" s="102"/>
      <c r="Y119" s="485"/>
      <c r="Z119" s="21"/>
    </row>
    <row r="120" spans="1:26" ht="6" customHeight="1">
      <c r="W120" s="157"/>
      <c r="X120" s="22"/>
      <c r="Y120" s="22"/>
      <c r="Z120" s="21"/>
    </row>
    <row r="121" spans="1:26" ht="198" customHeight="1">
      <c r="B121" s="1260" t="s">
        <v>210</v>
      </c>
      <c r="C121" s="550" t="s">
        <v>210</v>
      </c>
      <c r="D121" s="346" t="s">
        <v>211</v>
      </c>
      <c r="E121" s="551">
        <f>NETWORKDAYS.INTL(F121,G121,"0000100",$AE$5:$AE$12)</f>
        <v>21</v>
      </c>
      <c r="F121" s="81">
        <v>46297</v>
      </c>
      <c r="G121" s="81">
        <f>WORKDAY.INTL(F121,17,"0000110")</f>
        <v>46321</v>
      </c>
      <c r="H121" s="492">
        <v>46297</v>
      </c>
      <c r="I121" s="492">
        <f>WORKDAY.INTL(H121,17,"0000110")</f>
        <v>46321</v>
      </c>
      <c r="J121" s="492"/>
      <c r="K121" s="493"/>
      <c r="L121" s="493"/>
      <c r="M121" s="377" t="str">
        <f t="shared" ref="M121:M123" ca="1" si="100">IF(L121=100%,"Completed",
IF(AND(L121&lt;100%,G121&lt;TODAY()),"Delayed",
IF(AND(OR(L121="",L121=0),F121&gt;TODAY()),"Not Started",
IF(AND(OR(L121="",L121=0),F121&lt;=TODAY()),"Delayed",
IF(AND(L121&gt;0,L121&lt;100%),"In Progress","")))))</f>
        <v>Not Started</v>
      </c>
      <c r="N121" s="517"/>
      <c r="O121" s="494"/>
      <c r="P121" s="495"/>
      <c r="Q121" s="495"/>
      <c r="R121" s="495"/>
      <c r="S121" s="495"/>
      <c r="T121" s="495"/>
      <c r="U121" s="496"/>
      <c r="V121" s="1063"/>
      <c r="W121" s="1066" t="s">
        <v>212</v>
      </c>
      <c r="X121" s="67"/>
      <c r="Y121" s="498"/>
      <c r="Z121" s="21"/>
    </row>
    <row r="122" spans="1:26" ht="36" customHeight="1">
      <c r="B122" s="1261"/>
      <c r="C122" s="553" t="s">
        <v>210</v>
      </c>
      <c r="D122" s="354" t="s">
        <v>457</v>
      </c>
      <c r="E122" s="554">
        <f>NETWORKDAYS.INTL(F122,G122,"0000100",$AE$5:$AE$12)</f>
        <v>9</v>
      </c>
      <c r="F122" s="84">
        <v>46215</v>
      </c>
      <c r="G122" s="84">
        <f>WORKDAY.INTL(F122,7,"0000110")</f>
        <v>46224</v>
      </c>
      <c r="H122" s="404">
        <v>46215</v>
      </c>
      <c r="I122" s="404">
        <f>WORKDAY.INTL(H122,7,"0000110")</f>
        <v>46224</v>
      </c>
      <c r="J122" s="404"/>
      <c r="K122" s="405"/>
      <c r="L122" s="405">
        <v>1</v>
      </c>
      <c r="M122" s="367" t="str">
        <f t="shared" ca="1" si="100"/>
        <v>Completed</v>
      </c>
      <c r="N122" s="519"/>
      <c r="O122" s="459"/>
      <c r="P122" s="248"/>
      <c r="Q122" s="248"/>
      <c r="R122" s="248"/>
      <c r="S122" s="248"/>
      <c r="T122" s="248"/>
      <c r="U122" s="249"/>
      <c r="V122" s="1064"/>
      <c r="W122" s="665" t="s">
        <v>214</v>
      </c>
      <c r="X122" s="34"/>
      <c r="Y122" s="499"/>
      <c r="Z122" s="21"/>
    </row>
    <row r="123" spans="1:26" ht="48.75" customHeight="1">
      <c r="B123" s="1262"/>
      <c r="C123" s="557" t="s">
        <v>210</v>
      </c>
      <c r="D123" s="490" t="s">
        <v>215</v>
      </c>
      <c r="E123" s="558">
        <f>NETWORKDAYS.INTL(F123,G123,"0000100",$AE$5:$AE$12)</f>
        <v>37</v>
      </c>
      <c r="F123" s="379">
        <v>46310</v>
      </c>
      <c r="G123" s="379">
        <f>WORKDAY.INTL(F123,30,"0000110")</f>
        <v>46352</v>
      </c>
      <c r="H123" s="500">
        <v>46310</v>
      </c>
      <c r="I123" s="500">
        <f>WORKDAY.INTL(H123,30,"0000110")</f>
        <v>46352</v>
      </c>
      <c r="J123" s="500"/>
      <c r="K123" s="501"/>
      <c r="L123" s="501"/>
      <c r="M123" s="380" t="str">
        <f t="shared" ca="1" si="100"/>
        <v>Not Started</v>
      </c>
      <c r="N123" s="520"/>
      <c r="O123" s="502"/>
      <c r="P123" s="503"/>
      <c r="Q123" s="503"/>
      <c r="R123" s="503"/>
      <c r="S123" s="503"/>
      <c r="T123" s="503"/>
      <c r="U123" s="504"/>
      <c r="V123" s="1065"/>
      <c r="W123" s="562" t="s">
        <v>216</v>
      </c>
      <c r="X123" s="506"/>
      <c r="Y123" s="507"/>
      <c r="Z123" s="21"/>
    </row>
    <row r="124" spans="1:26" ht="36" customHeight="1">
      <c r="Z124" s="21"/>
    </row>
    <row r="125" spans="1:26" ht="36" customHeight="1">
      <c r="Z125" s="21"/>
    </row>
    <row r="126" spans="1:26" ht="36" customHeight="1">
      <c r="Z126" s="21"/>
    </row>
    <row r="127" spans="1:26" ht="36" customHeight="1">
      <c r="Z127" s="21"/>
    </row>
    <row r="128" spans="1:26" ht="36" customHeight="1">
      <c r="Z128" s="21"/>
    </row>
    <row r="129" spans="1:30" s="19" customFormat="1" ht="29.25" customHeight="1">
      <c r="A129" s="20"/>
      <c r="B129" s="20"/>
      <c r="C129" s="20"/>
      <c r="D129" s="326"/>
      <c r="E129" s="327"/>
      <c r="F129" s="398"/>
      <c r="G129" s="398"/>
      <c r="H129" s="398"/>
      <c r="I129" s="398"/>
      <c r="J129" s="398"/>
      <c r="K129" s="398"/>
      <c r="L129" s="402"/>
      <c r="M129" s="402"/>
      <c r="N129" s="402"/>
      <c r="O129" s="20"/>
      <c r="P129" s="20"/>
      <c r="Q129" s="20"/>
      <c r="R129" s="20"/>
      <c r="S129" s="20"/>
      <c r="T129" s="20"/>
      <c r="U129" s="20"/>
      <c r="V129" s="20"/>
      <c r="W129" s="23"/>
      <c r="X129" s="23"/>
      <c r="Y129" s="23"/>
      <c r="AC129" s="24"/>
      <c r="AD129" s="24"/>
    </row>
    <row r="130" spans="1:30" ht="22.5" customHeight="1">
      <c r="Z130" s="21"/>
      <c r="AB130" s="24"/>
    </row>
    <row r="131" spans="1:30" ht="29.1" customHeight="1">
      <c r="Z131" s="21"/>
      <c r="AB131" s="24"/>
    </row>
    <row r="132" spans="1:30" ht="63" customHeight="1">
      <c r="Z132" s="21"/>
      <c r="AB132" s="24"/>
    </row>
    <row r="133" spans="1:30" ht="74.25" customHeight="1">
      <c r="Z133" s="21"/>
      <c r="AB133" s="24"/>
    </row>
    <row r="134" spans="1:30" ht="29.1" customHeight="1">
      <c r="Z134" s="21"/>
      <c r="AB134" s="24"/>
    </row>
    <row r="135" spans="1:30" s="19" customFormat="1" ht="4.5" customHeight="1">
      <c r="A135" s="20"/>
      <c r="B135" s="20"/>
      <c r="C135" s="20"/>
      <c r="D135" s="326"/>
      <c r="E135" s="327"/>
      <c r="F135" s="398"/>
      <c r="G135" s="398"/>
      <c r="H135" s="398"/>
      <c r="I135" s="398"/>
      <c r="J135" s="398"/>
      <c r="K135" s="398"/>
      <c r="L135" s="402"/>
      <c r="M135" s="402"/>
      <c r="N135" s="402"/>
      <c r="O135" s="20"/>
      <c r="P135" s="20"/>
      <c r="Q135" s="20"/>
      <c r="R135" s="20"/>
      <c r="S135" s="20"/>
      <c r="T135" s="20"/>
      <c r="U135" s="20"/>
      <c r="V135" s="20"/>
      <c r="W135" s="23"/>
      <c r="X135" s="23"/>
      <c r="Y135" s="23"/>
      <c r="AC135" s="24"/>
      <c r="AD135" s="24"/>
    </row>
    <row r="136" spans="1:30" ht="30.75" customHeight="1">
      <c r="Z136" s="21"/>
      <c r="AB136" s="24"/>
      <c r="AC136" s="33"/>
      <c r="AD136" s="33"/>
    </row>
    <row r="137" spans="1:30" ht="30.75" customHeight="1">
      <c r="Z137" s="21"/>
      <c r="AB137" s="24"/>
    </row>
    <row r="138" spans="1:30" ht="30.75" customHeight="1">
      <c r="Z138" s="21"/>
      <c r="AB138" s="24"/>
      <c r="AC138" s="33"/>
      <c r="AD138" s="33"/>
    </row>
    <row r="139" spans="1:30" ht="30.75" customHeight="1">
      <c r="Z139" s="21"/>
      <c r="AB139" s="24"/>
    </row>
    <row r="140" spans="1:30" ht="30.75" customHeight="1">
      <c r="Z140" s="21"/>
      <c r="AB140" s="24"/>
    </row>
    <row r="141" spans="1:30" ht="30.75" customHeight="1">
      <c r="Z141" s="21"/>
      <c r="AB141" s="24"/>
    </row>
  </sheetData>
  <sheetProtection formatCells="0" formatColumns="0" formatRows="0" insertColumns="0" insertRows="0" insertHyperlinks="0" deleteColumns="0" deleteRows="0" sort="0" autoFilter="0" pivotTables="0"/>
  <mergeCells count="51">
    <mergeCell ref="O38:O41"/>
    <mergeCell ref="O43:O46"/>
    <mergeCell ref="O48:O51"/>
    <mergeCell ref="O53:O56"/>
    <mergeCell ref="O69:O70"/>
    <mergeCell ref="O5:O11"/>
    <mergeCell ref="O13:O16"/>
    <mergeCell ref="O18:O21"/>
    <mergeCell ref="O23:O26"/>
    <mergeCell ref="O33:O36"/>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W63:W64"/>
    <mergeCell ref="W110:W111"/>
    <mergeCell ref="B94:B95"/>
    <mergeCell ref="B97:B98"/>
    <mergeCell ref="B100:B101"/>
    <mergeCell ref="B103:B104"/>
    <mergeCell ref="B110:B116"/>
    <mergeCell ref="B79:B80"/>
    <mergeCell ref="B82:B83"/>
    <mergeCell ref="B85:B86"/>
    <mergeCell ref="B88:B89"/>
    <mergeCell ref="B91:B92"/>
    <mergeCell ref="X110:X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Z61:Z62 Z136:Z141 Z130:Z134" xr:uid="{00000000-0002-0000-0500-000000000000}">
      <formula1>$AA$2:$AA$5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296" t="s">
        <v>458</v>
      </c>
      <c r="D2" s="1297"/>
      <c r="E2" s="1297"/>
      <c r="F2" s="1297"/>
      <c r="G2" s="1297"/>
      <c r="H2" s="1297"/>
      <c r="I2" s="1297"/>
      <c r="J2" s="1297"/>
      <c r="K2" s="1297"/>
      <c r="L2" s="1297"/>
      <c r="M2" s="1297"/>
      <c r="N2" s="1297"/>
      <c r="O2" s="1297"/>
      <c r="P2" s="1298"/>
      <c r="R2" s="1305" t="s">
        <v>459</v>
      </c>
      <c r="S2" s="1306"/>
      <c r="T2" s="1306"/>
      <c r="U2" s="1306"/>
      <c r="V2" s="1306"/>
      <c r="W2" s="1306"/>
      <c r="X2" s="1306"/>
      <c r="Y2" s="1306"/>
      <c r="Z2" s="1307"/>
    </row>
    <row r="3" spans="1:26">
      <c r="C3" s="1299"/>
      <c r="D3" s="1300"/>
      <c r="E3" s="1300"/>
      <c r="F3" s="1300"/>
      <c r="G3" s="1300"/>
      <c r="H3" s="1300"/>
      <c r="I3" s="1300"/>
      <c r="J3" s="1300"/>
      <c r="K3" s="1300"/>
      <c r="L3" s="1300"/>
      <c r="M3" s="1300"/>
      <c r="N3" s="1300"/>
      <c r="O3" s="1300"/>
      <c r="P3" s="1301"/>
      <c r="R3" s="1308"/>
      <c r="S3" s="1309"/>
      <c r="T3" s="1309"/>
      <c r="U3" s="1309"/>
      <c r="V3" s="1309"/>
      <c r="W3" s="1309"/>
      <c r="X3" s="1309"/>
      <c r="Y3" s="1309"/>
      <c r="Z3" s="1310"/>
    </row>
    <row r="4" spans="1:26" ht="15" customHeight="1">
      <c r="A4"/>
      <c r="B4"/>
      <c r="C4" s="1299"/>
      <c r="D4" s="1300"/>
      <c r="E4" s="1300"/>
      <c r="F4" s="1300"/>
      <c r="G4" s="1300"/>
      <c r="H4" s="1300"/>
      <c r="I4" s="1300"/>
      <c r="J4" s="1300"/>
      <c r="K4" s="1300"/>
      <c r="L4" s="1300"/>
      <c r="M4" s="1300"/>
      <c r="N4" s="1300"/>
      <c r="O4" s="1300"/>
      <c r="P4" s="1301"/>
      <c r="R4" s="1308"/>
      <c r="S4" s="1309"/>
      <c r="T4" s="1309"/>
      <c r="U4" s="1309"/>
      <c r="V4" s="1309"/>
      <c r="W4" s="1309"/>
      <c r="X4" s="1309"/>
      <c r="Y4" s="1309"/>
      <c r="Z4" s="1310"/>
    </row>
    <row r="5" spans="1:26" ht="15" customHeight="1">
      <c r="A5"/>
      <c r="B5"/>
      <c r="C5" s="1299"/>
      <c r="D5" s="1300"/>
      <c r="E5" s="1300"/>
      <c r="F5" s="1300"/>
      <c r="G5" s="1300"/>
      <c r="H5" s="1300"/>
      <c r="I5" s="1300"/>
      <c r="J5" s="1300"/>
      <c r="K5" s="1300"/>
      <c r="L5" s="1300"/>
      <c r="M5" s="1300"/>
      <c r="N5" s="1300"/>
      <c r="O5" s="1300"/>
      <c r="P5" s="1301"/>
      <c r="R5" s="1308"/>
      <c r="S5" s="1309"/>
      <c r="T5" s="1309"/>
      <c r="U5" s="1309"/>
      <c r="V5" s="1309"/>
      <c r="W5" s="1309"/>
      <c r="X5" s="1309"/>
      <c r="Y5" s="1309"/>
      <c r="Z5" s="1310"/>
    </row>
    <row r="6" spans="1:26" ht="15" customHeight="1">
      <c r="A6"/>
      <c r="B6"/>
      <c r="C6" s="1302"/>
      <c r="D6" s="1303"/>
      <c r="E6" s="1303"/>
      <c r="F6" s="1303"/>
      <c r="G6" s="1303"/>
      <c r="H6" s="1303"/>
      <c r="I6" s="1303"/>
      <c r="J6" s="1303"/>
      <c r="K6" s="1303"/>
      <c r="L6" s="1303"/>
      <c r="M6" s="1303"/>
      <c r="N6" s="1303"/>
      <c r="O6" s="1303"/>
      <c r="P6" s="1304"/>
      <c r="R6" s="1311"/>
      <c r="S6" s="1312"/>
      <c r="T6" s="1312"/>
      <c r="U6" s="1312"/>
      <c r="V6" s="1312"/>
      <c r="W6" s="1312"/>
      <c r="X6" s="1312"/>
      <c r="Y6" s="1312"/>
      <c r="Z6" s="1313"/>
    </row>
    <row r="7" spans="1:26" ht="8.25" customHeight="1">
      <c r="A7"/>
      <c r="B7"/>
      <c r="C7"/>
      <c r="D7"/>
      <c r="H7"/>
      <c r="I7"/>
      <c r="M7"/>
      <c r="N7"/>
      <c r="R7"/>
      <c r="S7"/>
      <c r="W7"/>
      <c r="X7"/>
    </row>
    <row r="8" spans="1:26" ht="34.5" customHeight="1">
      <c r="A8" s="1327"/>
      <c r="B8" s="2"/>
      <c r="C8" s="1330" t="s">
        <v>460</v>
      </c>
      <c r="D8" s="1331"/>
      <c r="E8" s="1331"/>
      <c r="F8" s="1332"/>
      <c r="H8" s="1330" t="s">
        <v>460</v>
      </c>
      <c r="I8" s="1331"/>
      <c r="J8" s="1331"/>
      <c r="K8" s="1332"/>
      <c r="L8" s="3"/>
      <c r="M8" s="1330" t="s">
        <v>460</v>
      </c>
      <c r="N8" s="1331"/>
      <c r="O8" s="1331"/>
      <c r="P8" s="1332"/>
      <c r="Q8" s="3"/>
      <c r="R8" s="1333" t="s">
        <v>460</v>
      </c>
      <c r="S8" s="1334"/>
      <c r="T8" s="1334"/>
      <c r="U8" s="1335"/>
      <c r="V8" s="3"/>
      <c r="W8" s="1333" t="s">
        <v>460</v>
      </c>
      <c r="X8" s="1334"/>
      <c r="Y8" s="1334"/>
      <c r="Z8" s="1335"/>
    </row>
    <row r="9" spans="1:26" ht="34.5" customHeight="1">
      <c r="A9" s="1328"/>
      <c r="B9" s="2"/>
      <c r="C9" s="1325" t="s">
        <v>80</v>
      </c>
      <c r="D9" s="1324"/>
      <c r="E9" s="1324"/>
      <c r="F9" s="1318"/>
      <c r="H9" s="1325" t="s">
        <v>92</v>
      </c>
      <c r="I9" s="1324"/>
      <c r="J9" s="1324"/>
      <c r="K9" s="1318"/>
      <c r="L9" s="3"/>
      <c r="M9" s="1325" t="s">
        <v>94</v>
      </c>
      <c r="N9" s="1324"/>
      <c r="O9" s="1324"/>
      <c r="P9" s="1318"/>
      <c r="Q9" s="3"/>
      <c r="R9" s="1326" t="s">
        <v>81</v>
      </c>
      <c r="S9" s="1320"/>
      <c r="T9" s="1320"/>
      <c r="U9" s="1322"/>
      <c r="V9" s="3"/>
      <c r="W9" s="1326" t="s">
        <v>93</v>
      </c>
      <c r="X9" s="1320"/>
      <c r="Y9" s="1320"/>
      <c r="Z9" s="1322"/>
    </row>
    <row r="10" spans="1:26" ht="41.25" customHeight="1">
      <c r="A10" s="1328"/>
      <c r="B10" s="2"/>
      <c r="C10" s="1329" t="s">
        <v>461</v>
      </c>
      <c r="D10" s="1324"/>
      <c r="E10" s="1317" t="s">
        <v>462</v>
      </c>
      <c r="F10" s="1318"/>
      <c r="H10" s="1323" t="s">
        <v>461</v>
      </c>
      <c r="I10" s="1324"/>
      <c r="J10" s="1317" t="s">
        <v>462</v>
      </c>
      <c r="K10" s="1318"/>
      <c r="L10" s="3"/>
      <c r="M10" s="1323" t="s">
        <v>461</v>
      </c>
      <c r="N10" s="1324"/>
      <c r="O10" s="1317" t="s">
        <v>462</v>
      </c>
      <c r="P10" s="1318"/>
      <c r="Q10" s="3"/>
      <c r="R10" s="1319" t="s">
        <v>461</v>
      </c>
      <c r="S10" s="1320"/>
      <c r="T10" s="1321" t="s">
        <v>462</v>
      </c>
      <c r="U10" s="1322"/>
      <c r="V10" s="3"/>
      <c r="W10" s="1319" t="s">
        <v>461</v>
      </c>
      <c r="X10" s="1320"/>
      <c r="Y10" s="1321" t="s">
        <v>462</v>
      </c>
      <c r="Z10" s="1322"/>
    </row>
    <row r="11" spans="1:26" ht="41.25" customHeight="1">
      <c r="A11" s="1328"/>
      <c r="B11" s="2"/>
      <c r="C11" s="4" t="s">
        <v>463</v>
      </c>
      <c r="D11" s="5" t="s">
        <v>464</v>
      </c>
      <c r="E11" s="5" t="s">
        <v>463</v>
      </c>
      <c r="F11" s="6" t="s">
        <v>464</v>
      </c>
      <c r="H11" s="4" t="s">
        <v>463</v>
      </c>
      <c r="I11" s="5" t="s">
        <v>464</v>
      </c>
      <c r="J11" s="5" t="s">
        <v>463</v>
      </c>
      <c r="K11" s="6" t="s">
        <v>464</v>
      </c>
      <c r="L11" s="3"/>
      <c r="M11" s="4" t="s">
        <v>463</v>
      </c>
      <c r="N11" s="5" t="s">
        <v>464</v>
      </c>
      <c r="O11" s="5" t="s">
        <v>463</v>
      </c>
      <c r="P11" s="6" t="s">
        <v>464</v>
      </c>
      <c r="Q11" s="3"/>
      <c r="R11" s="4" t="s">
        <v>463</v>
      </c>
      <c r="S11" s="5" t="s">
        <v>464</v>
      </c>
      <c r="T11" s="5" t="s">
        <v>463</v>
      </c>
      <c r="U11" s="6" t="s">
        <v>464</v>
      </c>
      <c r="V11" s="3"/>
      <c r="W11" s="4" t="s">
        <v>463</v>
      </c>
      <c r="X11" s="5" t="s">
        <v>464</v>
      </c>
      <c r="Y11" s="5" t="s">
        <v>463</v>
      </c>
      <c r="Z11" s="6" t="s">
        <v>464</v>
      </c>
    </row>
    <row r="12" spans="1:26" ht="56.25" customHeight="1">
      <c r="A12" s="7" t="s">
        <v>68</v>
      </c>
      <c r="B12" s="2"/>
      <c r="C12" s="8" t="e">
        <f>#REF!</f>
        <v>#REF!</v>
      </c>
      <c r="D12" s="434" t="e">
        <f>#REF!</f>
        <v>#REF!</v>
      </c>
      <c r="E12" s="1314" t="e">
        <f>#REF!</f>
        <v>#REF!</v>
      </c>
      <c r="F12" s="1295" t="e">
        <f>#REF!</f>
        <v>#REF!</v>
      </c>
      <c r="H12" s="8" t="e">
        <f>#REF!</f>
        <v>#REF!</v>
      </c>
      <c r="I12" s="434" t="e">
        <f>#REF!</f>
        <v>#REF!</v>
      </c>
      <c r="J12" s="1314" t="e">
        <f>#REF!</f>
        <v>#REF!</v>
      </c>
      <c r="K12" s="1295" t="e">
        <f>#REF!</f>
        <v>#REF!</v>
      </c>
      <c r="L12" s="3"/>
      <c r="M12" s="8" t="e">
        <f>#REF!</f>
        <v>#REF!</v>
      </c>
      <c r="N12" s="434" t="e">
        <f>#REF!</f>
        <v>#REF!</v>
      </c>
      <c r="O12" s="1314" t="e">
        <f>#REF!</f>
        <v>#REF!</v>
      </c>
      <c r="P12" s="1295" t="e">
        <f>#REF!</f>
        <v>#REF!</v>
      </c>
      <c r="Q12" s="3"/>
      <c r="R12" s="8" t="e">
        <f>'ABHA Migration Plan'!#REF!</f>
        <v>#REF!</v>
      </c>
      <c r="S12" s="434" t="e">
        <f>'ABHA Migration Plan'!#REF!</f>
        <v>#REF!</v>
      </c>
      <c r="T12" s="1314">
        <f>'ABHA Migration Plan'!G51</f>
        <v>46295</v>
      </c>
      <c r="U12" s="1295">
        <f>'ABHA Migration Plan'!I51</f>
        <v>46303</v>
      </c>
      <c r="V12" s="3"/>
      <c r="W12" s="8" t="e">
        <f>#REF!</f>
        <v>#REF!</v>
      </c>
      <c r="X12" s="434" t="e">
        <f>#REF!</f>
        <v>#REF!</v>
      </c>
      <c r="Y12" s="1314" t="e">
        <f>#REF!</f>
        <v>#REF!</v>
      </c>
      <c r="Z12" s="1295">
        <f>'ABHA Migration Plan'!I51</f>
        <v>46303</v>
      </c>
    </row>
    <row r="13" spans="1:26" ht="56.25" customHeight="1">
      <c r="A13" s="7" t="s">
        <v>69</v>
      </c>
      <c r="B13" s="2"/>
      <c r="C13" s="8" t="e">
        <f>#REF!</f>
        <v>#REF!</v>
      </c>
      <c r="D13" s="434" t="e">
        <f>#REF!</f>
        <v>#REF!</v>
      </c>
      <c r="E13" s="1314"/>
      <c r="F13" s="1295"/>
      <c r="H13" s="8" t="e">
        <f>#REF!</f>
        <v>#REF!</v>
      </c>
      <c r="I13" s="434" t="e">
        <f>#REF!</f>
        <v>#REF!</v>
      </c>
      <c r="J13" s="1314" t="e">
        <f>'ABHA Migration Plan'!#REF!</f>
        <v>#REF!</v>
      </c>
      <c r="K13" s="1295" t="e">
        <f>'ABHA Migration Plan'!#REF!</f>
        <v>#REF!</v>
      </c>
      <c r="L13" s="3"/>
      <c r="M13" s="8" t="e">
        <f>#REF!</f>
        <v>#REF!</v>
      </c>
      <c r="N13" s="434" t="e">
        <f>#REF!</f>
        <v>#REF!</v>
      </c>
      <c r="O13" s="1314" t="e">
        <f>'ABHA Migration Plan'!#REF!</f>
        <v>#REF!</v>
      </c>
      <c r="P13" s="1295" t="e">
        <f>'ABHA Migration Plan'!#REF!</f>
        <v>#REF!</v>
      </c>
      <c r="Q13" s="3"/>
      <c r="R13" s="8" t="e">
        <f>'ABHA Migration Plan'!#REF!</f>
        <v>#REF!</v>
      </c>
      <c r="S13" s="434" t="e">
        <f>'ABHA Migration Plan'!#REF!</f>
        <v>#REF!</v>
      </c>
      <c r="T13" s="1314"/>
      <c r="U13" s="1295"/>
      <c r="V13" s="3"/>
      <c r="W13" s="8" t="e">
        <f>#REF!</f>
        <v>#REF!</v>
      </c>
      <c r="X13" s="434" t="e">
        <f>#REF!</f>
        <v>#REF!</v>
      </c>
      <c r="Y13" s="1314"/>
      <c r="Z13" s="1295"/>
    </row>
    <row r="14" spans="1:26" ht="56.25" customHeight="1">
      <c r="A14" s="7" t="s">
        <v>70</v>
      </c>
      <c r="B14" s="2"/>
      <c r="C14" s="8" t="e">
        <f>#REF!</f>
        <v>#REF!</v>
      </c>
      <c r="D14" s="434" t="e">
        <f>#REF!</f>
        <v>#REF!</v>
      </c>
      <c r="E14" s="1314"/>
      <c r="F14" s="1295"/>
      <c r="H14" s="8" t="e">
        <f>#REF!</f>
        <v>#REF!</v>
      </c>
      <c r="I14" s="434" t="e">
        <f>#REF!</f>
        <v>#REF!</v>
      </c>
      <c r="J14" s="1314" t="e">
        <f>#REF!</f>
        <v>#REF!</v>
      </c>
      <c r="K14" s="1295" t="e">
        <f>#REF!</f>
        <v>#REF!</v>
      </c>
      <c r="L14" s="3"/>
      <c r="M14" s="8" t="e">
        <f>#REF!</f>
        <v>#REF!</v>
      </c>
      <c r="N14" s="434" t="e">
        <f>#REF!</f>
        <v>#REF!</v>
      </c>
      <c r="O14" s="1314" t="e">
        <f>#REF!</f>
        <v>#REF!</v>
      </c>
      <c r="P14" s="1295" t="e">
        <f>#REF!</f>
        <v>#REF!</v>
      </c>
      <c r="Q14" s="3"/>
      <c r="R14" s="8" t="e">
        <f>'ABHA Migration Plan'!#REF!</f>
        <v>#REF!</v>
      </c>
      <c r="S14" s="434" t="e">
        <f>'ABHA Migration Plan'!#REF!</f>
        <v>#REF!</v>
      </c>
      <c r="T14" s="1314"/>
      <c r="U14" s="1295"/>
      <c r="V14" s="3"/>
      <c r="W14" s="8" t="e">
        <f>#REF!</f>
        <v>#REF!</v>
      </c>
      <c r="X14" s="434" t="e">
        <f>#REF!</f>
        <v>#REF!</v>
      </c>
      <c r="Y14" s="1314"/>
      <c r="Z14" s="1295"/>
    </row>
    <row r="15" spans="1:26" ht="56.25" customHeight="1">
      <c r="A15" s="7" t="s">
        <v>71</v>
      </c>
      <c r="B15" s="2"/>
      <c r="C15" s="8" t="e">
        <f>#REF!</f>
        <v>#REF!</v>
      </c>
      <c r="D15" s="434" t="e">
        <f>#REF!</f>
        <v>#REF!</v>
      </c>
      <c r="E15" s="1314"/>
      <c r="F15" s="1295"/>
      <c r="H15" s="8" t="e">
        <f>#REF!</f>
        <v>#REF!</v>
      </c>
      <c r="I15" s="434" t="e">
        <f>#REF!</f>
        <v>#REF!</v>
      </c>
      <c r="J15" s="1314" t="e">
        <f>#REF!</f>
        <v>#REF!</v>
      </c>
      <c r="K15" s="1295" t="e">
        <f>#REF!</f>
        <v>#REF!</v>
      </c>
      <c r="L15" s="3"/>
      <c r="M15" s="8" t="e">
        <f>#REF!</f>
        <v>#REF!</v>
      </c>
      <c r="N15" s="434" t="e">
        <f>#REF!</f>
        <v>#REF!</v>
      </c>
      <c r="O15" s="1314" t="e">
        <f>#REF!</f>
        <v>#REF!</v>
      </c>
      <c r="P15" s="1295" t="e">
        <f>#REF!</f>
        <v>#REF!</v>
      </c>
      <c r="Q15" s="3"/>
      <c r="R15" s="8" t="e">
        <f>'ABHA Migration Plan'!#REF!</f>
        <v>#REF!</v>
      </c>
      <c r="S15" s="434" t="e">
        <f>'ABHA Migration Plan'!#REF!</f>
        <v>#REF!</v>
      </c>
      <c r="T15" s="1314"/>
      <c r="U15" s="1295"/>
      <c r="V15" s="3"/>
      <c r="W15" s="8" t="e">
        <f>#REF!</f>
        <v>#REF!</v>
      </c>
      <c r="X15" s="434" t="e">
        <f>#REF!</f>
        <v>#REF!</v>
      </c>
      <c r="Y15" s="1314"/>
      <c r="Z15" s="1295"/>
    </row>
    <row r="16" spans="1:26" ht="56.25" customHeight="1">
      <c r="A16" s="7" t="s">
        <v>72</v>
      </c>
      <c r="B16" s="2"/>
      <c r="C16" s="8" t="e">
        <f>#REF!</f>
        <v>#REF!</v>
      </c>
      <c r="D16" s="434" t="e">
        <f>#REF!</f>
        <v>#REF!</v>
      </c>
      <c r="E16" s="1314"/>
      <c r="F16" s="1295"/>
      <c r="H16" s="8" t="e">
        <f>#REF!</f>
        <v>#REF!</v>
      </c>
      <c r="I16" s="434" t="e">
        <f>#REF!</f>
        <v>#REF!</v>
      </c>
      <c r="J16" s="1314" t="e">
        <f>#REF!</f>
        <v>#REF!</v>
      </c>
      <c r="K16" s="1295" t="e">
        <f>#REF!</f>
        <v>#REF!</v>
      </c>
      <c r="L16" s="3"/>
      <c r="M16" s="8" t="e">
        <f>#REF!</f>
        <v>#REF!</v>
      </c>
      <c r="N16" s="434" t="e">
        <f>#REF!</f>
        <v>#REF!</v>
      </c>
      <c r="O16" s="1314" t="e">
        <f>#REF!</f>
        <v>#REF!</v>
      </c>
      <c r="P16" s="1295" t="e">
        <f>#REF!</f>
        <v>#REF!</v>
      </c>
      <c r="Q16" s="3"/>
      <c r="R16" s="8" t="e">
        <f>'ABHA Migration Plan'!#REF!</f>
        <v>#REF!</v>
      </c>
      <c r="S16" s="434" t="e">
        <f>'ABHA Migration Plan'!#REF!</f>
        <v>#REF!</v>
      </c>
      <c r="T16" s="1314"/>
      <c r="U16" s="1295"/>
      <c r="V16" s="3"/>
      <c r="W16" s="8" t="e">
        <f>#REF!</f>
        <v>#REF!</v>
      </c>
      <c r="X16" s="434" t="e">
        <f>#REF!</f>
        <v>#REF!</v>
      </c>
      <c r="Y16" s="1314"/>
      <c r="Z16" s="1295"/>
    </row>
    <row r="17" spans="1:26" ht="56.25" customHeight="1">
      <c r="A17" s="7" t="s">
        <v>73</v>
      </c>
      <c r="B17" s="2"/>
      <c r="C17" s="8" t="e">
        <f>#REF!</f>
        <v>#REF!</v>
      </c>
      <c r="D17" s="434" t="e">
        <f>#REF!</f>
        <v>#REF!</v>
      </c>
      <c r="E17" s="1314"/>
      <c r="F17" s="1295"/>
      <c r="H17" s="8" t="e">
        <f>#REF!</f>
        <v>#REF!</v>
      </c>
      <c r="I17" s="434" t="e">
        <f>#REF!</f>
        <v>#REF!</v>
      </c>
      <c r="J17" s="1314"/>
      <c r="K17" s="1295"/>
      <c r="L17" s="3"/>
      <c r="M17" s="8" t="e">
        <f>#REF!</f>
        <v>#REF!</v>
      </c>
      <c r="N17" s="434" t="e">
        <f>#REF!</f>
        <v>#REF!</v>
      </c>
      <c r="O17" s="1314"/>
      <c r="P17" s="1295"/>
      <c r="Q17" s="3"/>
      <c r="R17" s="8" t="e">
        <f>'ABHA Migration Plan'!#REF!</f>
        <v>#REF!</v>
      </c>
      <c r="S17" s="434" t="e">
        <f>'ABHA Migration Plan'!#REF!</f>
        <v>#REF!</v>
      </c>
      <c r="T17" s="1314"/>
      <c r="U17" s="1295"/>
      <c r="V17" s="3"/>
      <c r="W17" s="8" t="e">
        <f>#REF!</f>
        <v>#REF!</v>
      </c>
      <c r="X17" s="434" t="e">
        <f>#REF!</f>
        <v>#REF!</v>
      </c>
      <c r="Y17" s="1314"/>
      <c r="Z17" s="1295"/>
    </row>
    <row r="18" spans="1:26" ht="56.25" customHeight="1">
      <c r="A18" s="7" t="s">
        <v>74</v>
      </c>
      <c r="B18" s="2"/>
      <c r="C18" s="8" t="e">
        <f>#REF!</f>
        <v>#REF!</v>
      </c>
      <c r="D18" s="434" t="e">
        <f>#REF!</f>
        <v>#REF!</v>
      </c>
      <c r="E18" s="1314"/>
      <c r="F18" s="1295"/>
      <c r="H18" s="8" t="e">
        <f>#REF!</f>
        <v>#REF!</v>
      </c>
      <c r="I18" s="434" t="e">
        <f>#REF!</f>
        <v>#REF!</v>
      </c>
      <c r="J18" s="1314"/>
      <c r="K18" s="1295"/>
      <c r="L18" s="3"/>
      <c r="M18" s="8" t="e">
        <f>#REF!</f>
        <v>#REF!</v>
      </c>
      <c r="N18" s="434" t="e">
        <f>#REF!</f>
        <v>#REF!</v>
      </c>
      <c r="O18" s="1314"/>
      <c r="P18" s="1295"/>
      <c r="Q18" s="3"/>
      <c r="R18" s="8" t="e">
        <f>'ABHA Migration Plan'!#REF!</f>
        <v>#REF!</v>
      </c>
      <c r="S18" s="434" t="e">
        <f>'ABHA Migration Plan'!#REF!</f>
        <v>#REF!</v>
      </c>
      <c r="T18" s="1314"/>
      <c r="U18" s="1295"/>
      <c r="V18" s="3"/>
      <c r="W18" s="8" t="e">
        <f>#REF!</f>
        <v>#REF!</v>
      </c>
      <c r="X18" s="434" t="e">
        <f>#REF!</f>
        <v>#REF!</v>
      </c>
      <c r="Y18" s="1314"/>
      <c r="Z18" s="1295"/>
    </row>
    <row r="19" spans="1:26" ht="56.25" customHeight="1">
      <c r="A19" s="7" t="s">
        <v>75</v>
      </c>
      <c r="B19" s="2"/>
      <c r="C19" s="8" t="e">
        <f>#REF!</f>
        <v>#REF!</v>
      </c>
      <c r="D19" s="434" t="e">
        <f>#REF!</f>
        <v>#REF!</v>
      </c>
      <c r="E19" s="1314"/>
      <c r="F19" s="1295"/>
      <c r="H19" s="8" t="e">
        <f>#REF!</f>
        <v>#REF!</v>
      </c>
      <c r="I19" s="434" t="e">
        <f>#REF!</f>
        <v>#REF!</v>
      </c>
      <c r="J19" s="1314"/>
      <c r="K19" s="1295"/>
      <c r="L19" s="3"/>
      <c r="M19" s="8" t="e">
        <f>#REF!</f>
        <v>#REF!</v>
      </c>
      <c r="N19" s="434" t="e">
        <f>#REF!</f>
        <v>#REF!</v>
      </c>
      <c r="O19" s="1314"/>
      <c r="P19" s="1295"/>
      <c r="Q19" s="3"/>
      <c r="R19" s="8" t="e">
        <f>'ABHA Migration Plan'!#REF!</f>
        <v>#REF!</v>
      </c>
      <c r="S19" s="434" t="e">
        <f>'ABHA Migration Plan'!#REF!</f>
        <v>#REF!</v>
      </c>
      <c r="T19" s="1314"/>
      <c r="U19" s="1295"/>
      <c r="V19" s="3"/>
      <c r="W19" s="8" t="e">
        <f>#REF!</f>
        <v>#REF!</v>
      </c>
      <c r="X19" s="434" t="e">
        <f>#REF!</f>
        <v>#REF!</v>
      </c>
      <c r="Y19" s="1314"/>
      <c r="Z19" s="1295"/>
    </row>
    <row r="20" spans="1:26" ht="56.25" customHeight="1">
      <c r="A20" s="7" t="s">
        <v>76</v>
      </c>
      <c r="B20" s="2"/>
      <c r="C20" s="8" t="e">
        <f>#REF!</f>
        <v>#REF!</v>
      </c>
      <c r="D20" s="434" t="e">
        <f>#REF!</f>
        <v>#REF!</v>
      </c>
      <c r="E20" s="1314"/>
      <c r="F20" s="1295"/>
      <c r="H20" s="8" t="e">
        <f>#REF!</f>
        <v>#REF!</v>
      </c>
      <c r="I20" s="434" t="e">
        <f>#REF!</f>
        <v>#REF!</v>
      </c>
      <c r="J20" s="1314"/>
      <c r="K20" s="1295"/>
      <c r="L20" s="3"/>
      <c r="M20" s="8" t="e">
        <f>#REF!</f>
        <v>#REF!</v>
      </c>
      <c r="N20" s="434" t="e">
        <f>#REF!</f>
        <v>#REF!</v>
      </c>
      <c r="O20" s="1314"/>
      <c r="P20" s="1295"/>
      <c r="Q20" s="3"/>
      <c r="R20" s="9"/>
      <c r="S20" s="10"/>
      <c r="T20" s="11"/>
      <c r="U20" s="12"/>
      <c r="V20" s="3"/>
      <c r="W20" s="9"/>
      <c r="X20" s="10"/>
      <c r="Y20" s="11"/>
      <c r="Z20" s="12"/>
    </row>
    <row r="21" spans="1:26" ht="56.25" customHeight="1">
      <c r="A21" s="13" t="s">
        <v>77</v>
      </c>
      <c r="B21" s="2"/>
      <c r="C21" s="14" t="e">
        <f>#REF!</f>
        <v>#REF!</v>
      </c>
      <c r="D21" s="435" t="e">
        <f>#REF!</f>
        <v>#REF!</v>
      </c>
      <c r="E21" s="1315"/>
      <c r="F21" s="1316"/>
      <c r="H21" s="14" t="e">
        <f>#REF!</f>
        <v>#REF!</v>
      </c>
      <c r="I21" s="435" t="e">
        <f>#REF!</f>
        <v>#REF!</v>
      </c>
      <c r="J21" s="1315"/>
      <c r="K21" s="1316"/>
      <c r="L21" s="3"/>
      <c r="M21" s="14" t="e">
        <f>#REF!</f>
        <v>#REF!</v>
      </c>
      <c r="N21" s="435" t="e">
        <f>#REF!</f>
        <v>#REF!</v>
      </c>
      <c r="O21" s="1315"/>
      <c r="P21" s="1316"/>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W9:Z9"/>
    <mergeCell ref="C8:F8"/>
    <mergeCell ref="H8:K8"/>
    <mergeCell ref="M8:P8"/>
    <mergeCell ref="R8:U8"/>
    <mergeCell ref="W8:Z8"/>
    <mergeCell ref="A8:A11"/>
    <mergeCell ref="E12:E21"/>
    <mergeCell ref="F12:F21"/>
    <mergeCell ref="J12:J21"/>
    <mergeCell ref="K12:K21"/>
    <mergeCell ref="C10:D10"/>
    <mergeCell ref="E10:F10"/>
    <mergeCell ref="H10:I10"/>
    <mergeCell ref="J10:K10"/>
    <mergeCell ref="C9:F9"/>
    <mergeCell ref="H9:K9"/>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2.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2025-01-07T11:35:00Z</dcterms:created>
  <dcterms:modified xsi:type="dcterms:W3CDTF">2026-07-22T05:33:55Z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