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7"/>
  <workbookPr updateLinks="always" codeName="ThisWorkbook"/>
  <mc:AlternateContent xmlns:mc="http://schemas.openxmlformats.org/markup-compatibility/2006">
    <mc:Choice Requires="x15">
      <x15ac:absPath xmlns:x15ac="http://schemas.microsoft.com/office/spreadsheetml/2010/11/ac" url="https://alfanargroup-my.sharepoint.com/personal/ahmed_abdelzaher_alfanar_com/Documents/SDCC Enhanced Plan - 13-Jul-26/"/>
    </mc:Choice>
  </mc:AlternateContent>
  <xr:revisionPtr revIDLastSave="2199" documentId="13_ncr:1_{B2FAA04D-CAC7-432F-91AD-6A7D6EF55115}" xr6:coauthVersionLast="47" xr6:coauthVersionMax="47" xr10:uidLastSave="{5E2343B7-91B5-4798-ABA9-A92B56AB5AE1}"/>
  <bookViews>
    <workbookView xWindow="-120" yWindow="-120" windowWidth="29040" windowHeight="15720" tabRatio="744" firstSheet="5" activeTab="6" xr2:uid="{00000000-000D-0000-FFFF-FFFF00000000}"/>
  </bookViews>
  <sheets>
    <sheet name="MADINAH Migration Plan" sheetId="30" state="hidden" r:id="rId1"/>
    <sheet name="Progress Summary" sheetId="51" state="hidden" r:id="rId2"/>
    <sheet name="Summary Dates" sheetId="52" state="hidden" r:id="rId3"/>
    <sheet name="ABHA Migration Plan" sheetId="31" r:id="rId4"/>
    <sheet name="Jizan Migration Plan" sheetId="47" r:id="rId5"/>
    <sheet name="MADINAH Migration Plan-" sheetId="46" r:id="rId6"/>
    <sheet name="Jeddah Migration Plan" sheetId="48" r:id="rId7"/>
    <sheet name="AES Resource Plan" sheetId="50" state="hidden" r:id="rId8"/>
    <sheet name="Makkah Migration Plan" sheetId="49" r:id="rId9"/>
    <sheet name="Summary Dates Option 01 &amp;02 (2)" sheetId="45" state="hidden" r:id="rId10"/>
  </sheets>
  <externalReferences>
    <externalReference r:id="rId11"/>
    <externalReference r:id="rId12"/>
    <externalReference r:id="rId13"/>
  </externalReferences>
  <definedNames>
    <definedName name="_xlcn.WorksheetConnection_MasterSheetC1016C8915" hidden="1">'[1]Master Sheet'!$C$1016:$C$8915</definedName>
    <definedName name="_xlcn.WorksheetConnection_PE286SDCCProgressTrackingSheetEVAnalysisMasterSheet.xlsxTable1" localSheetId="6" hidden="1">Table1</definedName>
    <definedName name="_xlcn.WorksheetConnection_PE286SDCCProgressTrackingSheetEVAnalysisMasterSheet.xlsxTable1" localSheetId="4" hidden="1">Table1</definedName>
    <definedName name="_xlcn.WorksheetConnection_PE286SDCCProgressTrackingSheetEVAnalysisMasterSheet.xlsxTable1" localSheetId="5" hidden="1">Table1</definedName>
    <definedName name="_xlcn.WorksheetConnection_PE286SDCCProgressTrackingSheetEVAnalysisMasterSheet.xlsxTable1" localSheetId="8" hidden="1">Table1</definedName>
    <definedName name="_xlcn.WorksheetConnection_PE286SDCCProgressTrackingSheetEVAnalysisMasterSheet.xlsxTable1" localSheetId="1" hidden="1">Table1</definedName>
    <definedName name="_xlcn.WorksheetConnection_PE286SDCCProgressTrackingSheetEVAnalysisMasterSheet.xlsxTable1" localSheetId="2" hidden="1">Table1</definedName>
    <definedName name="_xlcn.WorksheetConnection_PE286SDCCProgressTrackingSheetEVAnalysisMasterSheet.xlsxTable1" localSheetId="9" hidden="1">Table1</definedName>
    <definedName name="_xlcn.WorksheetConnection_PE286SDCCProgressTrackingSheetEVAnalysisMasterSheet.xlsxTable1" hidden="1">Table1</definedName>
    <definedName name="_xlnm.Print_Area" localSheetId="1">'Progress Summary'!$A$1:$AA$28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 i="31" l="1"/>
  <c r="I18" i="48"/>
  <c r="H14" i="48"/>
  <c r="I14" i="48"/>
  <c r="F62" i="48"/>
  <c r="J16" i="46"/>
  <c r="K16" i="46" s="1"/>
  <c r="J17" i="46" s="1"/>
  <c r="K17" i="46" s="1"/>
  <c r="J15" i="52"/>
  <c r="C32" i="52"/>
  <c r="D32" i="52"/>
  <c r="E32" i="52"/>
  <c r="F32" i="52"/>
  <c r="C33" i="52"/>
  <c r="D33" i="52"/>
  <c r="E33" i="52"/>
  <c r="F33" i="52"/>
  <c r="C34" i="52"/>
  <c r="D34" i="52"/>
  <c r="E34" i="52"/>
  <c r="F34" i="52"/>
  <c r="C35" i="52"/>
  <c r="D35" i="52"/>
  <c r="E35" i="52"/>
  <c r="F35" i="52"/>
  <c r="C27" i="52"/>
  <c r="D27" i="52"/>
  <c r="E27" i="52"/>
  <c r="F27" i="52"/>
  <c r="C28" i="52"/>
  <c r="D28" i="52"/>
  <c r="E28" i="52"/>
  <c r="F28" i="52"/>
  <c r="C29" i="52"/>
  <c r="D29" i="52"/>
  <c r="E29" i="52"/>
  <c r="F29" i="52"/>
  <c r="C30" i="52"/>
  <c r="D30" i="52"/>
  <c r="E30" i="52"/>
  <c r="F30" i="52"/>
  <c r="C20" i="52"/>
  <c r="D20" i="52"/>
  <c r="E20" i="52"/>
  <c r="F20" i="52"/>
  <c r="J20" i="52"/>
  <c r="K20" i="52"/>
  <c r="L20" i="52"/>
  <c r="M20" i="52"/>
  <c r="C21" i="52"/>
  <c r="D21" i="52"/>
  <c r="E21" i="52"/>
  <c r="F21" i="52"/>
  <c r="J21" i="52"/>
  <c r="K21" i="52"/>
  <c r="L21" i="52"/>
  <c r="M21" i="52"/>
  <c r="C22" i="52"/>
  <c r="D22" i="52"/>
  <c r="E22" i="52"/>
  <c r="F22" i="52"/>
  <c r="J22" i="52"/>
  <c r="K22" i="52"/>
  <c r="L22" i="52"/>
  <c r="M22" i="52"/>
  <c r="C23" i="52"/>
  <c r="D23" i="52"/>
  <c r="E23" i="52"/>
  <c r="F23" i="52"/>
  <c r="J23" i="52"/>
  <c r="K23" i="52"/>
  <c r="L23" i="52"/>
  <c r="M23" i="52"/>
  <c r="C15" i="52"/>
  <c r="D15" i="52"/>
  <c r="E15" i="52"/>
  <c r="F15" i="52"/>
  <c r="K15" i="52"/>
  <c r="L15" i="52"/>
  <c r="M15" i="52"/>
  <c r="C16" i="52"/>
  <c r="D16" i="52"/>
  <c r="E16" i="52"/>
  <c r="F16" i="52"/>
  <c r="J16" i="52"/>
  <c r="K16" i="52"/>
  <c r="L16" i="52"/>
  <c r="M16" i="52"/>
  <c r="C17" i="52"/>
  <c r="D17" i="52"/>
  <c r="E17" i="52"/>
  <c r="F17" i="52"/>
  <c r="J17" i="52"/>
  <c r="K17" i="52"/>
  <c r="L17" i="52"/>
  <c r="M17" i="52"/>
  <c r="C18" i="52"/>
  <c r="D18" i="52"/>
  <c r="E18" i="52"/>
  <c r="F18" i="52"/>
  <c r="J18" i="52"/>
  <c r="K18" i="52"/>
  <c r="L18" i="52"/>
  <c r="M18" i="52"/>
  <c r="C8" i="52"/>
  <c r="D8" i="52"/>
  <c r="E8" i="52"/>
  <c r="F8" i="52"/>
  <c r="J8" i="52"/>
  <c r="K8" i="52"/>
  <c r="L8" i="52"/>
  <c r="M8" i="52"/>
  <c r="C9" i="52"/>
  <c r="D9" i="52"/>
  <c r="E9" i="52"/>
  <c r="F9" i="52"/>
  <c r="J9" i="52"/>
  <c r="K9" i="52"/>
  <c r="L9" i="52"/>
  <c r="M9" i="52"/>
  <c r="C10" i="52"/>
  <c r="D10" i="52"/>
  <c r="E10" i="52"/>
  <c r="F10" i="52"/>
  <c r="J10" i="52"/>
  <c r="K10" i="52"/>
  <c r="L10" i="52"/>
  <c r="M10" i="52"/>
  <c r="C11" i="52"/>
  <c r="D11" i="52"/>
  <c r="E11" i="52"/>
  <c r="F11" i="52"/>
  <c r="J11" i="52"/>
  <c r="K11" i="52"/>
  <c r="L11" i="52"/>
  <c r="M11" i="52"/>
  <c r="C3" i="52"/>
  <c r="D3" i="52"/>
  <c r="E3" i="52"/>
  <c r="F3" i="52"/>
  <c r="J3" i="52"/>
  <c r="K3" i="52"/>
  <c r="L3" i="52"/>
  <c r="M3" i="52"/>
  <c r="C4" i="52"/>
  <c r="D4" i="52"/>
  <c r="E4" i="52"/>
  <c r="F4" i="52"/>
  <c r="J4" i="52"/>
  <c r="K4" i="52"/>
  <c r="L4" i="52"/>
  <c r="M4" i="52"/>
  <c r="C5" i="52"/>
  <c r="D5" i="52"/>
  <c r="E5" i="52"/>
  <c r="F5" i="52"/>
  <c r="J5" i="52"/>
  <c r="K5" i="52"/>
  <c r="L5" i="52"/>
  <c r="M5" i="52"/>
  <c r="C6" i="52"/>
  <c r="D6" i="52"/>
  <c r="E6" i="52"/>
  <c r="F6" i="52"/>
  <c r="J6" i="52"/>
  <c r="K6" i="52"/>
  <c r="L6" i="52"/>
  <c r="M6" i="52"/>
  <c r="Z27" i="51" a="1"/>
  <c r="Z27" i="51"/>
  <c r="Y27" i="51" a="1"/>
  <c r="Y27" i="51"/>
  <c r="X27" i="51" a="1"/>
  <c r="X27" i="51"/>
  <c r="W27" i="51" a="1"/>
  <c r="W27" i="51"/>
  <c r="V27" i="51" a="1"/>
  <c r="V27" i="51"/>
  <c r="T27" i="51" a="1"/>
  <c r="T27" i="51" s="1"/>
  <c r="H27" i="51" a="1"/>
  <c r="H27" i="51"/>
  <c r="G27" i="51" a="1"/>
  <c r="G27" i="51"/>
  <c r="F27" i="51" a="1"/>
  <c r="F27" i="51"/>
  <c r="E27" i="51" a="1"/>
  <c r="E27" i="51"/>
  <c r="D27" i="51" a="1"/>
  <c r="D27" i="51"/>
  <c r="B27" i="51" a="1"/>
  <c r="B27" i="51" s="1"/>
  <c r="Z26" i="51" a="1"/>
  <c r="Z26" i="51"/>
  <c r="Y26" i="51" a="1"/>
  <c r="Y26" i="51"/>
  <c r="X26" i="51" a="1"/>
  <c r="X26" i="51"/>
  <c r="W26" i="51" a="1"/>
  <c r="W26" i="51"/>
  <c r="V26" i="51" a="1"/>
  <c r="V26" i="51"/>
  <c r="T26" i="51" a="1"/>
  <c r="T26" i="51" s="1"/>
  <c r="H26" i="51" a="1"/>
  <c r="H26" i="51"/>
  <c r="G26" i="51" a="1"/>
  <c r="G26" i="51"/>
  <c r="F26" i="51" a="1"/>
  <c r="F26" i="51"/>
  <c r="E26" i="51" a="1"/>
  <c r="E26" i="51"/>
  <c r="D26" i="51" a="1"/>
  <c r="D26" i="51"/>
  <c r="B26" i="51" a="1"/>
  <c r="B26" i="51" s="1"/>
  <c r="Z25" i="51" a="1"/>
  <c r="Z25" i="51"/>
  <c r="Y25" i="51" a="1"/>
  <c r="Y25" i="51"/>
  <c r="X25" i="51" a="1"/>
  <c r="X25" i="51"/>
  <c r="W25" i="51" a="1"/>
  <c r="W25" i="51"/>
  <c r="V25" i="51" a="1"/>
  <c r="V25" i="51"/>
  <c r="T25" i="51" a="1"/>
  <c r="T25" i="51" s="1"/>
  <c r="H25" i="51" a="1"/>
  <c r="H25" i="51"/>
  <c r="G25" i="51" a="1"/>
  <c r="G25" i="51"/>
  <c r="F25" i="51" a="1"/>
  <c r="F25" i="51"/>
  <c r="E25" i="51" a="1"/>
  <c r="E25" i="51"/>
  <c r="D25" i="51" a="1"/>
  <c r="D25" i="51"/>
  <c r="B25" i="51" a="1"/>
  <c r="B25" i="51" s="1"/>
  <c r="Z24" i="51" a="1"/>
  <c r="Z24" i="51"/>
  <c r="Y24" i="51" a="1"/>
  <c r="Y24" i="51"/>
  <c r="X24" i="51" a="1"/>
  <c r="X24" i="51"/>
  <c r="W24" i="51" a="1"/>
  <c r="W24" i="51"/>
  <c r="V24" i="51" a="1"/>
  <c r="V24" i="51"/>
  <c r="T24" i="51" a="1"/>
  <c r="T24" i="51" s="1"/>
  <c r="H24" i="51" a="1"/>
  <c r="H24" i="51"/>
  <c r="G24" i="51" a="1"/>
  <c r="G24" i="51"/>
  <c r="F24" i="51" a="1"/>
  <c r="F24" i="51"/>
  <c r="E24" i="51" a="1"/>
  <c r="E24" i="51"/>
  <c r="D24" i="51" a="1"/>
  <c r="D24" i="51"/>
  <c r="B24" i="51" a="1"/>
  <c r="B24" i="51" s="1"/>
  <c r="Z23" i="51" a="1"/>
  <c r="Z23" i="51"/>
  <c r="Y23" i="51" a="1"/>
  <c r="Y23" i="51"/>
  <c r="X23" i="51" a="1"/>
  <c r="X23" i="51"/>
  <c r="W23" i="51" a="1"/>
  <c r="W23" i="51"/>
  <c r="V23" i="51" a="1"/>
  <c r="V23" i="51"/>
  <c r="T23" i="51" a="1"/>
  <c r="T23" i="51" s="1"/>
  <c r="H23" i="51" a="1"/>
  <c r="H23" i="51"/>
  <c r="G23" i="51" a="1"/>
  <c r="G23" i="51"/>
  <c r="F23" i="51" a="1"/>
  <c r="F23" i="51"/>
  <c r="E23" i="51" a="1"/>
  <c r="E23" i="51"/>
  <c r="D23" i="51" a="1"/>
  <c r="D23" i="51"/>
  <c r="B23" i="51" a="1"/>
  <c r="B23" i="51" s="1"/>
  <c r="Z22" i="51" a="1"/>
  <c r="Z22" i="51"/>
  <c r="Y22" i="51" a="1"/>
  <c r="Y22" i="51"/>
  <c r="X22" i="51" a="1"/>
  <c r="X22" i="51"/>
  <c r="W22" i="51" a="1"/>
  <c r="W22" i="51"/>
  <c r="V22" i="51" a="1"/>
  <c r="V22" i="51"/>
  <c r="T22" i="51" a="1"/>
  <c r="T22" i="51" s="1"/>
  <c r="H22" i="51" a="1"/>
  <c r="H22" i="51"/>
  <c r="G22" i="51" a="1"/>
  <c r="G22" i="51"/>
  <c r="F22" i="51" a="1"/>
  <c r="F22" i="51"/>
  <c r="E22" i="51" a="1"/>
  <c r="E22" i="51"/>
  <c r="D22" i="51" a="1"/>
  <c r="D22" i="51"/>
  <c r="B22" i="51" a="1"/>
  <c r="B22" i="51" s="1"/>
  <c r="Z21" i="51" a="1"/>
  <c r="Z21" i="51"/>
  <c r="Y21" i="51" a="1"/>
  <c r="Y21" i="51"/>
  <c r="X21" i="51" a="1"/>
  <c r="X21" i="51"/>
  <c r="W21" i="51" a="1"/>
  <c r="W21" i="51"/>
  <c r="V21" i="51" a="1"/>
  <c r="V21" i="51"/>
  <c r="T21" i="51" a="1"/>
  <c r="T21" i="51" s="1"/>
  <c r="H21" i="51" a="1"/>
  <c r="H21" i="51"/>
  <c r="G21" i="51" a="1"/>
  <c r="G21" i="51"/>
  <c r="F21" i="51" a="1"/>
  <c r="F21" i="51"/>
  <c r="E21" i="51" a="1"/>
  <c r="E21" i="51"/>
  <c r="D21" i="51" a="1"/>
  <c r="D21" i="51"/>
  <c r="B21" i="51" a="1"/>
  <c r="B21" i="51" s="1"/>
  <c r="Z20" i="51" a="1"/>
  <c r="Z20" i="51" s="1"/>
  <c r="Y20" i="51" a="1"/>
  <c r="Y20" i="51"/>
  <c r="X20" i="51" a="1"/>
  <c r="X20" i="51"/>
  <c r="W20" i="51" a="1"/>
  <c r="W20" i="51" s="1"/>
  <c r="V20" i="51" a="1"/>
  <c r="V20" i="51"/>
  <c r="T20" i="51" a="1"/>
  <c r="T20" i="51" s="1"/>
  <c r="H20" i="51" a="1"/>
  <c r="H20" i="51" s="1"/>
  <c r="G20" i="51" a="1"/>
  <c r="G20" i="51"/>
  <c r="F20" i="51" a="1"/>
  <c r="F20" i="51"/>
  <c r="E20" i="51" a="1"/>
  <c r="E20" i="51" s="1"/>
  <c r="C20" i="51" s="1"/>
  <c r="D20" i="51" a="1"/>
  <c r="D20" i="51"/>
  <c r="B20" i="51" a="1"/>
  <c r="B20" i="51" s="1"/>
  <c r="Z16" i="51" a="1"/>
  <c r="Z16" i="51" s="1"/>
  <c r="Y16" i="51" a="1"/>
  <c r="Y16" i="51"/>
  <c r="X16" i="51" a="1"/>
  <c r="X16" i="51"/>
  <c r="W16" i="51" a="1"/>
  <c r="W16" i="51" s="1"/>
  <c r="U16" i="51" s="1"/>
  <c r="V16" i="51" a="1"/>
  <c r="V16" i="51"/>
  <c r="T16" i="51" a="1"/>
  <c r="T16" i="51" s="1"/>
  <c r="Q16" i="51" a="1"/>
  <c r="Q16" i="51" s="1"/>
  <c r="P16" i="51" a="1"/>
  <c r="P16" i="51"/>
  <c r="O16" i="51" a="1"/>
  <c r="O16" i="51"/>
  <c r="N16" i="51" a="1"/>
  <c r="N16" i="51" s="1"/>
  <c r="M16" i="51" a="1"/>
  <c r="M16" i="51"/>
  <c r="K16" i="51" a="1"/>
  <c r="K16" i="51" s="1"/>
  <c r="H16" i="51" a="1"/>
  <c r="H16" i="51" s="1"/>
  <c r="G16" i="51" a="1"/>
  <c r="G16" i="51"/>
  <c r="F16" i="51" a="1"/>
  <c r="F16" i="51"/>
  <c r="E16" i="51" a="1"/>
  <c r="E16" i="51" s="1"/>
  <c r="C16" i="51" s="1"/>
  <c r="D16" i="51" a="1"/>
  <c r="D16" i="51"/>
  <c r="B16" i="51" a="1"/>
  <c r="B16" i="51" s="1"/>
  <c r="Z15" i="51" a="1"/>
  <c r="Z15" i="51" s="1"/>
  <c r="Y15" i="51" a="1"/>
  <c r="Y15" i="51"/>
  <c r="X15" i="51" a="1"/>
  <c r="X15" i="51"/>
  <c r="W15" i="51" a="1"/>
  <c r="W15" i="51" s="1"/>
  <c r="U15" i="51" s="1"/>
  <c r="V15" i="51" a="1"/>
  <c r="V15" i="51"/>
  <c r="T15" i="51" a="1"/>
  <c r="T15" i="51" s="1"/>
  <c r="Q15" i="51" a="1"/>
  <c r="Q15" i="51" s="1"/>
  <c r="P15" i="51" a="1"/>
  <c r="P15" i="51"/>
  <c r="O15" i="51" a="1"/>
  <c r="O15" i="51"/>
  <c r="N15" i="51" a="1"/>
  <c r="N15" i="51" s="1"/>
  <c r="M15" i="51" a="1"/>
  <c r="M15" i="51"/>
  <c r="K15" i="51" a="1"/>
  <c r="K15" i="51" s="1"/>
  <c r="H15" i="51" a="1"/>
  <c r="H15" i="51" s="1"/>
  <c r="G15" i="51" a="1"/>
  <c r="G15" i="51"/>
  <c r="F15" i="51" a="1"/>
  <c r="F15" i="51"/>
  <c r="E15" i="51" a="1"/>
  <c r="E15" i="51" s="1"/>
  <c r="C15" i="51" s="1"/>
  <c r="D15" i="51" a="1"/>
  <c r="D15" i="51"/>
  <c r="B15" i="51" a="1"/>
  <c r="B15" i="51" s="1"/>
  <c r="Z14" i="51" a="1"/>
  <c r="Z14" i="51" s="1"/>
  <c r="Y14" i="51" a="1"/>
  <c r="Y14" i="51"/>
  <c r="X14" i="51" a="1"/>
  <c r="X14" i="51"/>
  <c r="W14" i="51" a="1"/>
  <c r="W14" i="51" s="1"/>
  <c r="U14" i="51" s="1"/>
  <c r="V14" i="51" a="1"/>
  <c r="V14" i="51"/>
  <c r="T14" i="51" a="1"/>
  <c r="T14" i="51" s="1"/>
  <c r="Q14" i="51" a="1"/>
  <c r="Q14" i="51" s="1"/>
  <c r="P14" i="51" a="1"/>
  <c r="P14" i="51"/>
  <c r="O14" i="51" a="1"/>
  <c r="O14" i="51"/>
  <c r="N14" i="51" a="1"/>
  <c r="N14" i="51" s="1"/>
  <c r="M14" i="51" a="1"/>
  <c r="M14" i="51"/>
  <c r="K14" i="51" a="1"/>
  <c r="K14" i="51" s="1"/>
  <c r="H14" i="51" a="1"/>
  <c r="H14" i="51" s="1"/>
  <c r="G14" i="51" a="1"/>
  <c r="G14" i="51"/>
  <c r="F14" i="51" a="1"/>
  <c r="F14" i="51"/>
  <c r="E14" i="51" a="1"/>
  <c r="E14" i="51" s="1"/>
  <c r="D14" i="51" a="1"/>
  <c r="D14" i="51"/>
  <c r="B14" i="51" a="1"/>
  <c r="B14" i="51" s="1"/>
  <c r="Z13" i="51" a="1"/>
  <c r="Z13" i="51" s="1"/>
  <c r="Y13" i="51" a="1"/>
  <c r="Y13" i="51"/>
  <c r="X13" i="51" a="1"/>
  <c r="X13" i="51"/>
  <c r="W13" i="51" a="1"/>
  <c r="W13" i="51" s="1"/>
  <c r="U13" i="51" s="1"/>
  <c r="V13" i="51" a="1"/>
  <c r="V13" i="51"/>
  <c r="T13" i="51" a="1"/>
  <c r="T13" i="51" s="1"/>
  <c r="Q13" i="51" a="1"/>
  <c r="Q13" i="51" s="1"/>
  <c r="P13" i="51" a="1"/>
  <c r="P13" i="51"/>
  <c r="O13" i="51" a="1"/>
  <c r="O13" i="51"/>
  <c r="N13" i="51" a="1"/>
  <c r="N13" i="51" s="1"/>
  <c r="M13" i="51" a="1"/>
  <c r="M13" i="51"/>
  <c r="K13" i="51" a="1"/>
  <c r="K13" i="51" s="1"/>
  <c r="H13" i="51" a="1"/>
  <c r="H13" i="51" s="1"/>
  <c r="G13" i="51" a="1"/>
  <c r="G13" i="51"/>
  <c r="F13" i="51" a="1"/>
  <c r="F13" i="51"/>
  <c r="E13" i="51" a="1"/>
  <c r="E13" i="51" s="1"/>
  <c r="D13" i="51" a="1"/>
  <c r="D13" i="51"/>
  <c r="B13" i="51" a="1"/>
  <c r="B13" i="51" s="1"/>
  <c r="Z12" i="51" a="1"/>
  <c r="Z12" i="51" s="1"/>
  <c r="Y12" i="51" a="1"/>
  <c r="Y12" i="51"/>
  <c r="X12" i="51" a="1"/>
  <c r="X12" i="51"/>
  <c r="W12" i="51" a="1"/>
  <c r="W12" i="51" s="1"/>
  <c r="U12" i="51" s="1"/>
  <c r="V12" i="51" a="1"/>
  <c r="V12" i="51"/>
  <c r="T12" i="51" a="1"/>
  <c r="T12" i="51" s="1"/>
  <c r="Q12" i="51" a="1"/>
  <c r="Q12" i="51" s="1"/>
  <c r="P12" i="51" a="1"/>
  <c r="P12" i="51"/>
  <c r="O12" i="51" a="1"/>
  <c r="O12" i="51"/>
  <c r="N12" i="51" a="1"/>
  <c r="N12" i="51" s="1"/>
  <c r="M12" i="51" a="1"/>
  <c r="M12" i="51"/>
  <c r="K12" i="51" a="1"/>
  <c r="K12" i="51" s="1"/>
  <c r="H12" i="51" a="1"/>
  <c r="H12" i="51" s="1"/>
  <c r="G12" i="51" a="1"/>
  <c r="G12" i="51"/>
  <c r="F12" i="51" a="1"/>
  <c r="F12" i="51"/>
  <c r="E12" i="51" a="1"/>
  <c r="E12" i="51" s="1"/>
  <c r="D12" i="51" a="1"/>
  <c r="D12" i="51"/>
  <c r="B12" i="51" a="1"/>
  <c r="B12" i="51" s="1"/>
  <c r="Z11" i="51" a="1"/>
  <c r="Z11" i="51" s="1"/>
  <c r="Y11" i="51" a="1"/>
  <c r="Y11" i="51"/>
  <c r="X11" i="51" a="1"/>
  <c r="X11" i="51"/>
  <c r="W11" i="51" a="1"/>
  <c r="W11" i="51" s="1"/>
  <c r="U11" i="51" s="1"/>
  <c r="V11" i="51" a="1"/>
  <c r="V11" i="51"/>
  <c r="T11" i="51" a="1"/>
  <c r="T11" i="51" s="1"/>
  <c r="Q11" i="51" a="1"/>
  <c r="Q11" i="51" s="1"/>
  <c r="P11" i="51" a="1"/>
  <c r="P11" i="51"/>
  <c r="O11" i="51" a="1"/>
  <c r="O11" i="51"/>
  <c r="N11" i="51" a="1"/>
  <c r="N11" i="51" s="1"/>
  <c r="M11" i="51" a="1"/>
  <c r="M11" i="51"/>
  <c r="K11" i="51" a="1"/>
  <c r="K11" i="51" s="1"/>
  <c r="H11" i="51" a="1"/>
  <c r="H11" i="51" s="1"/>
  <c r="G11" i="51" a="1"/>
  <c r="G11" i="51"/>
  <c r="F11" i="51" a="1"/>
  <c r="F11" i="51"/>
  <c r="E11" i="51" a="1"/>
  <c r="E11" i="51" s="1"/>
  <c r="D11" i="51" a="1"/>
  <c r="D11" i="51"/>
  <c r="B11" i="51" a="1"/>
  <c r="B11" i="51" s="1"/>
  <c r="Z10" i="51" a="1"/>
  <c r="Z10" i="51" s="1"/>
  <c r="Y10" i="51" a="1"/>
  <c r="Y10" i="51"/>
  <c r="X10" i="51" a="1"/>
  <c r="X10" i="51"/>
  <c r="W10" i="51" a="1"/>
  <c r="W10" i="51" s="1"/>
  <c r="U10" i="51" s="1"/>
  <c r="V10" i="51" a="1"/>
  <c r="V10" i="51"/>
  <c r="T10" i="51" a="1"/>
  <c r="T10" i="51" s="1"/>
  <c r="Q10" i="51" a="1"/>
  <c r="Q10" i="51" s="1"/>
  <c r="P10" i="51" a="1"/>
  <c r="P10" i="51"/>
  <c r="O10" i="51" a="1"/>
  <c r="O10" i="51"/>
  <c r="N10" i="51" a="1"/>
  <c r="N10" i="51" s="1"/>
  <c r="M10" i="51" a="1"/>
  <c r="M10" i="51"/>
  <c r="K10" i="51" a="1"/>
  <c r="K10" i="51" s="1"/>
  <c r="H10" i="51" a="1"/>
  <c r="H10" i="51" s="1"/>
  <c r="G10" i="51" a="1"/>
  <c r="G10" i="51"/>
  <c r="F10" i="51" a="1"/>
  <c r="F10" i="51"/>
  <c r="E10" i="51" a="1"/>
  <c r="E10" i="51" s="1"/>
  <c r="D10" i="51" a="1"/>
  <c r="D10" i="51"/>
  <c r="B10" i="51" a="1"/>
  <c r="B10" i="51" s="1"/>
  <c r="Z9" i="51" a="1"/>
  <c r="Z9" i="51" s="1"/>
  <c r="Y9" i="51" a="1"/>
  <c r="Y9" i="51"/>
  <c r="X9" i="51" a="1"/>
  <c r="X9" i="51"/>
  <c r="W9" i="51" a="1"/>
  <c r="W9" i="51" s="1"/>
  <c r="U9" i="51" s="1"/>
  <c r="V9" i="51" a="1"/>
  <c r="V9" i="51"/>
  <c r="T9" i="51" a="1"/>
  <c r="T9" i="51" s="1"/>
  <c r="Q9" i="51" a="1"/>
  <c r="Q9" i="51" s="1"/>
  <c r="P9" i="51" a="1"/>
  <c r="P9" i="51"/>
  <c r="O9" i="51" a="1"/>
  <c r="O9" i="51"/>
  <c r="N9" i="51" a="1"/>
  <c r="N9" i="51" s="1"/>
  <c r="M9" i="51" a="1"/>
  <c r="M9" i="51"/>
  <c r="K9" i="51" a="1"/>
  <c r="K9" i="51" s="1"/>
  <c r="H9" i="51" a="1"/>
  <c r="H9" i="51" s="1"/>
  <c r="G9" i="51" a="1"/>
  <c r="G9" i="51"/>
  <c r="F9" i="51" a="1"/>
  <c r="F9" i="51"/>
  <c r="E9" i="51" a="1"/>
  <c r="E9" i="51" s="1"/>
  <c r="D9" i="51" a="1"/>
  <c r="D9" i="51"/>
  <c r="B9" i="51" a="1"/>
  <c r="B9" i="51" s="1"/>
  <c r="Z8" i="51" a="1"/>
  <c r="Z8" i="51" s="1"/>
  <c r="Y8" i="51" a="1"/>
  <c r="Y8" i="51"/>
  <c r="X8" i="51" a="1"/>
  <c r="X8" i="51"/>
  <c r="W8" i="51" a="1"/>
  <c r="W8" i="51" s="1"/>
  <c r="U8" i="51" s="1"/>
  <c r="V8" i="51" a="1"/>
  <c r="V8" i="51"/>
  <c r="T8" i="51" a="1"/>
  <c r="T8" i="51" s="1"/>
  <c r="Q8" i="51" a="1"/>
  <c r="Q8" i="51" s="1"/>
  <c r="P8" i="51" a="1"/>
  <c r="P8" i="51"/>
  <c r="O8" i="51" a="1"/>
  <c r="O8" i="51"/>
  <c r="N8" i="51" a="1"/>
  <c r="N8" i="51" s="1"/>
  <c r="M8" i="51" a="1"/>
  <c r="M8" i="51"/>
  <c r="K8" i="51" a="1"/>
  <c r="K8" i="51" s="1"/>
  <c r="H8" i="51" a="1"/>
  <c r="H8" i="51" s="1"/>
  <c r="G8" i="51" a="1"/>
  <c r="G8" i="51"/>
  <c r="F8" i="51" a="1"/>
  <c r="F8" i="51"/>
  <c r="E8" i="51" a="1"/>
  <c r="E8" i="51" s="1"/>
  <c r="D8" i="51" a="1"/>
  <c r="D8" i="51"/>
  <c r="B8" i="51" a="1"/>
  <c r="B8" i="51" s="1"/>
  <c r="Z7" i="51" a="1"/>
  <c r="Z7" i="51" s="1"/>
  <c r="Y7" i="51" a="1"/>
  <c r="Y7" i="51"/>
  <c r="X7" i="51" a="1"/>
  <c r="X7" i="51"/>
  <c r="W7" i="51" a="1"/>
  <c r="W7" i="51" s="1"/>
  <c r="U7" i="51" s="1"/>
  <c r="V7" i="51" a="1"/>
  <c r="V7" i="51"/>
  <c r="T7" i="51" a="1"/>
  <c r="T7" i="51" s="1"/>
  <c r="Q7" i="51" a="1"/>
  <c r="Q7" i="51" s="1"/>
  <c r="P7" i="51" a="1"/>
  <c r="P7" i="51"/>
  <c r="O7" i="51" a="1"/>
  <c r="O7" i="51"/>
  <c r="N7" i="51" a="1"/>
  <c r="N7" i="51" s="1"/>
  <c r="M7" i="51" a="1"/>
  <c r="M7" i="51"/>
  <c r="K7" i="51" a="1"/>
  <c r="K7" i="51" s="1"/>
  <c r="H7" i="51" a="1"/>
  <c r="H7" i="51" s="1"/>
  <c r="G7" i="51" a="1"/>
  <c r="G7" i="51"/>
  <c r="F7" i="51" a="1"/>
  <c r="F7" i="51"/>
  <c r="E7" i="51" a="1"/>
  <c r="E7" i="51" s="1"/>
  <c r="D7" i="51" a="1"/>
  <c r="D7" i="51"/>
  <c r="B7" i="51" a="1"/>
  <c r="B7" i="51" s="1"/>
  <c r="C21" i="51"/>
  <c r="U21" i="51"/>
  <c r="C22" i="51"/>
  <c r="U22" i="51"/>
  <c r="C23" i="51"/>
  <c r="U23" i="51"/>
  <c r="C24" i="51"/>
  <c r="U24" i="51"/>
  <c r="C25" i="51"/>
  <c r="U25" i="51"/>
  <c r="C26" i="51"/>
  <c r="U26" i="51"/>
  <c r="C27" i="51"/>
  <c r="U27" i="51"/>
  <c r="L9" i="50"/>
  <c r="M9" i="50"/>
  <c r="N9" i="50"/>
  <c r="O9" i="50"/>
  <c r="P9" i="50"/>
  <c r="Q9" i="50"/>
  <c r="R9" i="50"/>
  <c r="S9" i="50"/>
  <c r="T9" i="50"/>
  <c r="U9" i="50"/>
  <c r="V9" i="50"/>
  <c r="W9" i="50"/>
  <c r="X9" i="50"/>
  <c r="K9" i="50"/>
  <c r="L8" i="50"/>
  <c r="M8" i="50"/>
  <c r="N8" i="50"/>
  <c r="O8" i="50"/>
  <c r="P8" i="50"/>
  <c r="Q8" i="50"/>
  <c r="R8" i="50"/>
  <c r="S8" i="50"/>
  <c r="T8" i="50"/>
  <c r="U8" i="50"/>
  <c r="V8" i="50"/>
  <c r="W8" i="50"/>
  <c r="X8" i="50"/>
  <c r="K8" i="50"/>
  <c r="X2" i="50"/>
  <c r="X3" i="50"/>
  <c r="X4" i="50"/>
  <c r="X5" i="50"/>
  <c r="X6" i="50"/>
  <c r="L2" i="50"/>
  <c r="M2" i="50"/>
  <c r="N2" i="50"/>
  <c r="O2" i="50"/>
  <c r="P2" i="50"/>
  <c r="Q2" i="50"/>
  <c r="R2" i="50"/>
  <c r="S2" i="50"/>
  <c r="T2" i="50"/>
  <c r="U2" i="50"/>
  <c r="V2" i="50"/>
  <c r="W2" i="50"/>
  <c r="L3" i="50"/>
  <c r="M3" i="50"/>
  <c r="N3" i="50"/>
  <c r="O3" i="50"/>
  <c r="P3" i="50"/>
  <c r="Q3" i="50"/>
  <c r="R3" i="50"/>
  <c r="S3" i="50"/>
  <c r="T3" i="50"/>
  <c r="U3" i="50"/>
  <c r="V3" i="50"/>
  <c r="W3" i="50"/>
  <c r="L4" i="50"/>
  <c r="M4" i="50"/>
  <c r="N4" i="50"/>
  <c r="O4" i="50"/>
  <c r="P4" i="50"/>
  <c r="Q4" i="50"/>
  <c r="R4" i="50"/>
  <c r="S4" i="50"/>
  <c r="T4" i="50"/>
  <c r="U4" i="50"/>
  <c r="V4" i="50"/>
  <c r="W4" i="50"/>
  <c r="L5" i="50"/>
  <c r="M5" i="50"/>
  <c r="N5" i="50"/>
  <c r="O5" i="50"/>
  <c r="P5" i="50"/>
  <c r="Q5" i="50"/>
  <c r="R5" i="50"/>
  <c r="S5" i="50"/>
  <c r="T5" i="50"/>
  <c r="U5" i="50"/>
  <c r="V5" i="50"/>
  <c r="W5" i="50"/>
  <c r="L6" i="50"/>
  <c r="M6" i="50"/>
  <c r="N6" i="50"/>
  <c r="O6" i="50"/>
  <c r="P6" i="50"/>
  <c r="Q6" i="50"/>
  <c r="R6" i="50"/>
  <c r="S6" i="50"/>
  <c r="T6" i="50"/>
  <c r="U6" i="50"/>
  <c r="V6" i="50"/>
  <c r="W6" i="50"/>
  <c r="K3" i="50"/>
  <c r="K4" i="50"/>
  <c r="K5" i="50"/>
  <c r="K6" i="50"/>
  <c r="K2" i="50"/>
  <c r="M59" i="31"/>
  <c r="M17" i="31"/>
  <c r="M12" i="31"/>
  <c r="M13" i="31"/>
  <c r="M7" i="31"/>
  <c r="M8" i="31"/>
  <c r="M6" i="31"/>
  <c r="I56" i="31"/>
  <c r="H57" i="31" s="1"/>
  <c r="I57" i="31" s="1"/>
  <c r="H59" i="31"/>
  <c r="H60" i="31"/>
  <c r="I99" i="31"/>
  <c r="I100" i="31"/>
  <c r="I101" i="31"/>
  <c r="H97" i="31" s="1"/>
  <c r="I97" i="31" s="1"/>
  <c r="I53" i="31"/>
  <c r="I13" i="31"/>
  <c r="H17" i="31" s="1"/>
  <c r="I17" i="31" s="1"/>
  <c r="H18" i="31" s="1"/>
  <c r="I18" i="31" s="1"/>
  <c r="H22" i="31" s="1"/>
  <c r="I22" i="31" s="1"/>
  <c r="H23" i="31" s="1"/>
  <c r="I23" i="31" s="1"/>
  <c r="H27" i="31" s="1"/>
  <c r="I27" i="31" s="1"/>
  <c r="H28" i="31" s="1"/>
  <c r="I28" i="31" s="1"/>
  <c r="H32" i="31" s="1"/>
  <c r="I32" i="31" s="1"/>
  <c r="H33" i="31" s="1"/>
  <c r="I33" i="31" s="1"/>
  <c r="H37" i="31" s="1"/>
  <c r="I37" i="31" s="1"/>
  <c r="H38" i="31" s="1"/>
  <c r="I38" i="31" s="1"/>
  <c r="H42" i="31" s="1"/>
  <c r="I42" i="31" s="1"/>
  <c r="H43" i="31" s="1"/>
  <c r="I43" i="31" s="1"/>
  <c r="I7" i="31"/>
  <c r="H9" i="31"/>
  <c r="I9" i="31" s="1"/>
  <c r="M73" i="46"/>
  <c r="M21" i="46"/>
  <c r="M16" i="46"/>
  <c r="M17" i="46"/>
  <c r="M11" i="46"/>
  <c r="M12" i="46"/>
  <c r="M5" i="46"/>
  <c r="M6" i="46"/>
  <c r="M7" i="46"/>
  <c r="I67" i="46"/>
  <c r="I70" i="46"/>
  <c r="H71" i="46"/>
  <c r="I71" i="46" s="1"/>
  <c r="H73" i="46"/>
  <c r="H74" i="46"/>
  <c r="I74" i="46" s="1"/>
  <c r="I120" i="46"/>
  <c r="I121" i="46"/>
  <c r="H117" i="46" s="1"/>
  <c r="I117" i="46" s="1"/>
  <c r="H16" i="46"/>
  <c r="I16" i="46"/>
  <c r="H17" i="46" s="1"/>
  <c r="I17" i="46" s="1"/>
  <c r="H21" i="46" s="1"/>
  <c r="I21" i="46" s="1"/>
  <c r="H22" i="46" s="1"/>
  <c r="I22" i="46" s="1"/>
  <c r="H12" i="46"/>
  <c r="H6" i="46"/>
  <c r="H8" i="46"/>
  <c r="I8" i="46" s="1"/>
  <c r="I60" i="47"/>
  <c r="H61" i="47"/>
  <c r="I61" i="47" s="1"/>
  <c r="H63" i="47"/>
  <c r="H64" i="47"/>
  <c r="I64" i="47" s="1"/>
  <c r="I103" i="47"/>
  <c r="I104" i="47"/>
  <c r="I105" i="47"/>
  <c r="H101" i="47" s="1"/>
  <c r="I101" i="47" s="1"/>
  <c r="I57" i="47"/>
  <c r="I11" i="47"/>
  <c r="H16" i="47" s="1"/>
  <c r="I16" i="47" s="1"/>
  <c r="H17" i="47" s="1"/>
  <c r="I17" i="47" s="1"/>
  <c r="H12" i="47"/>
  <c r="I12" i="47" s="1"/>
  <c r="I6" i="47"/>
  <c r="H8" i="47"/>
  <c r="I8" i="47" s="1"/>
  <c r="M63" i="47"/>
  <c r="M21" i="47"/>
  <c r="M17" i="47"/>
  <c r="M16" i="47"/>
  <c r="M12" i="47"/>
  <c r="M11" i="47"/>
  <c r="M7" i="47"/>
  <c r="M6" i="47"/>
  <c r="M5" i="47"/>
  <c r="I123" i="48"/>
  <c r="H119" i="48" s="1"/>
  <c r="I119" i="48" s="1"/>
  <c r="I122" i="48"/>
  <c r="I121" i="48"/>
  <c r="H76" i="48"/>
  <c r="I76" i="48" s="1"/>
  <c r="H75" i="48"/>
  <c r="I72" i="48"/>
  <c r="H73" i="48" s="1"/>
  <c r="I73" i="48" s="1"/>
  <c r="I69" i="48"/>
  <c r="H6" i="48"/>
  <c r="I6" i="48" s="1"/>
  <c r="H7" i="48" s="1"/>
  <c r="I7" i="48" s="1"/>
  <c r="H5" i="48"/>
  <c r="I5" i="48" s="1"/>
  <c r="H8" i="48" s="1"/>
  <c r="I8" i="48" s="1"/>
  <c r="H13" i="48" s="1"/>
  <c r="I13" i="48" s="1"/>
  <c r="I123" i="49"/>
  <c r="H119" i="49" s="1"/>
  <c r="I119" i="49" s="1"/>
  <c r="I122" i="49"/>
  <c r="I121" i="49"/>
  <c r="H76" i="49"/>
  <c r="I76" i="49" s="1"/>
  <c r="H75" i="49"/>
  <c r="H60" i="49" s="1"/>
  <c r="I60" i="49" s="1"/>
  <c r="I72" i="49"/>
  <c r="H73" i="49" s="1"/>
  <c r="I73" i="49" s="1"/>
  <c r="I69" i="49"/>
  <c r="H6" i="49"/>
  <c r="I6" i="49" s="1"/>
  <c r="H5" i="49"/>
  <c r="I5" i="49" s="1"/>
  <c r="M75" i="48"/>
  <c r="M9" i="48"/>
  <c r="M6" i="48"/>
  <c r="M5" i="48"/>
  <c r="M75" i="49"/>
  <c r="M9" i="49"/>
  <c r="M6" i="49"/>
  <c r="H67" i="47" l="1"/>
  <c r="I67" i="47" s="1"/>
  <c r="H65" i="47"/>
  <c r="I65" i="47" s="1"/>
  <c r="H88" i="47" s="1"/>
  <c r="I88" i="47" s="1"/>
  <c r="H13" i="46"/>
  <c r="I13" i="46" s="1"/>
  <c r="H18" i="46" s="1"/>
  <c r="I18" i="46" s="1"/>
  <c r="H19" i="46" s="1"/>
  <c r="I19" i="46" s="1"/>
  <c r="H9" i="46"/>
  <c r="I9" i="46" s="1"/>
  <c r="H75" i="46"/>
  <c r="I75" i="46" s="1"/>
  <c r="H77" i="46"/>
  <c r="I77" i="46" s="1"/>
  <c r="H78" i="46" s="1"/>
  <c r="H59" i="49"/>
  <c r="I59" i="49" s="1"/>
  <c r="H58" i="49" s="1"/>
  <c r="I58" i="49" s="1"/>
  <c r="H80" i="46"/>
  <c r="I80" i="46" s="1"/>
  <c r="I78" i="46"/>
  <c r="H14" i="31"/>
  <c r="I14" i="31" s="1"/>
  <c r="H19" i="31" s="1"/>
  <c r="I19" i="31" s="1"/>
  <c r="H10" i="31"/>
  <c r="I10" i="31" s="1"/>
  <c r="H48" i="31"/>
  <c r="H63" i="31"/>
  <c r="I63" i="31" s="1"/>
  <c r="H61" i="31"/>
  <c r="I61" i="31" s="1"/>
  <c r="H84" i="31" s="1"/>
  <c r="I84" i="31" s="1"/>
  <c r="I68" i="47"/>
  <c r="H70" i="47"/>
  <c r="I70" i="47" s="1"/>
  <c r="H68" i="47"/>
  <c r="H13" i="47"/>
  <c r="I13" i="47" s="1"/>
  <c r="H14" i="47" s="1"/>
  <c r="I14" i="47" s="1"/>
  <c r="H9" i="47"/>
  <c r="I9" i="47" s="1"/>
  <c r="L7" i="51"/>
  <c r="L8" i="51"/>
  <c r="L9" i="51"/>
  <c r="L10" i="51"/>
  <c r="C7" i="51"/>
  <c r="C8" i="51"/>
  <c r="C9" i="51"/>
  <c r="C10" i="51"/>
  <c r="C11" i="51"/>
  <c r="L11" i="51"/>
  <c r="C12" i="51"/>
  <c r="L12" i="51"/>
  <c r="C13" i="51"/>
  <c r="L13" i="51"/>
  <c r="C14" i="51"/>
  <c r="L14" i="51"/>
  <c r="L15" i="51"/>
  <c r="L16" i="51"/>
  <c r="U20" i="51"/>
  <c r="H26" i="46"/>
  <c r="I26" i="46" s="1"/>
  <c r="H27" i="46" s="1"/>
  <c r="I27" i="46" s="1"/>
  <c r="H21" i="47"/>
  <c r="I21" i="47" s="1"/>
  <c r="H22" i="47" s="1"/>
  <c r="I22" i="47" s="1"/>
  <c r="H10" i="48"/>
  <c r="I10" i="48" s="1"/>
  <c r="H11" i="48" s="1"/>
  <c r="I11" i="48" s="1"/>
  <c r="H18" i="48"/>
  <c r="H19" i="48" s="1"/>
  <c r="I19" i="48" s="1"/>
  <c r="H77" i="48"/>
  <c r="I77" i="48" s="1"/>
  <c r="H106" i="48" s="1"/>
  <c r="I106" i="48" s="1"/>
  <c r="H79" i="48"/>
  <c r="I79" i="48" s="1"/>
  <c r="H59" i="48"/>
  <c r="H77" i="49"/>
  <c r="H79" i="49"/>
  <c r="I79" i="49" s="1"/>
  <c r="I80" i="49" s="1"/>
  <c r="I77" i="49"/>
  <c r="H106" i="49" s="1"/>
  <c r="I106" i="49" s="1"/>
  <c r="H8" i="49"/>
  <c r="I8" i="49" s="1"/>
  <c r="H13" i="49" s="1"/>
  <c r="H7" i="49"/>
  <c r="I7" i="49" s="1"/>
  <c r="H80" i="49"/>
  <c r="H15" i="31" l="1"/>
  <c r="I15" i="31" s="1"/>
  <c r="H47" i="47"/>
  <c r="H18" i="47"/>
  <c r="I18" i="47" s="1"/>
  <c r="H19" i="47" s="1"/>
  <c r="I19" i="47" s="1"/>
  <c r="H14" i="46"/>
  <c r="I14" i="46" s="1"/>
  <c r="H56" i="46"/>
  <c r="I56" i="46" s="1"/>
  <c r="H104" i="46"/>
  <c r="I104" i="46" s="1"/>
  <c r="H57" i="46"/>
  <c r="I13" i="49"/>
  <c r="H14" i="49" s="1"/>
  <c r="I14" i="49" s="1"/>
  <c r="H18" i="49" s="1"/>
  <c r="I18" i="49" s="1"/>
  <c r="H19" i="49" s="1"/>
  <c r="I19" i="49" s="1"/>
  <c r="H58" i="46"/>
  <c r="I58" i="46" s="1"/>
  <c r="I57" i="46"/>
  <c r="H81" i="46"/>
  <c r="I81" i="46"/>
  <c r="H83" i="46"/>
  <c r="I83" i="46" s="1"/>
  <c r="H49" i="31"/>
  <c r="I49" i="31" s="1"/>
  <c r="I48" i="31"/>
  <c r="H47" i="31" s="1"/>
  <c r="I47" i="31" s="1"/>
  <c r="H64" i="31"/>
  <c r="I64" i="31"/>
  <c r="H66" i="31"/>
  <c r="I66" i="31" s="1"/>
  <c r="H71" i="47"/>
  <c r="I71" i="47"/>
  <c r="H73" i="47"/>
  <c r="I73" i="47" s="1"/>
  <c r="H46" i="47"/>
  <c r="I46" i="47" s="1"/>
  <c r="I47" i="47"/>
  <c r="H48" i="47"/>
  <c r="I48" i="47" s="1"/>
  <c r="H23" i="46"/>
  <c r="I23" i="46" s="1"/>
  <c r="H24" i="46" s="1"/>
  <c r="I24" i="46" s="1"/>
  <c r="H24" i="31"/>
  <c r="I24" i="31" s="1"/>
  <c r="H20" i="31"/>
  <c r="I20" i="31" s="1"/>
  <c r="H31" i="46"/>
  <c r="I31" i="46" s="1"/>
  <c r="H32" i="46" s="1"/>
  <c r="I32" i="46" s="1"/>
  <c r="H26" i="47"/>
  <c r="I26" i="47" s="1"/>
  <c r="H27" i="47" s="1"/>
  <c r="I27" i="47" s="1"/>
  <c r="H23" i="47"/>
  <c r="I23" i="47" s="1"/>
  <c r="H24" i="47" s="1"/>
  <c r="I24" i="47" s="1"/>
  <c r="H15" i="48"/>
  <c r="I15" i="48" s="1"/>
  <c r="H16" i="48" s="1"/>
  <c r="I16" i="48" s="1"/>
  <c r="I80" i="48"/>
  <c r="H82" i="48"/>
  <c r="I82" i="48" s="1"/>
  <c r="H80" i="48"/>
  <c r="H23" i="48"/>
  <c r="I23" i="48" s="1"/>
  <c r="H24" i="48" s="1"/>
  <c r="I24" i="48" s="1"/>
  <c r="H60" i="48"/>
  <c r="I60" i="48" s="1"/>
  <c r="I59" i="48"/>
  <c r="H58" i="48" s="1"/>
  <c r="I58" i="48" s="1"/>
  <c r="H82" i="49"/>
  <c r="I82" i="49" s="1"/>
  <c r="I83" i="49" s="1"/>
  <c r="H10" i="49"/>
  <c r="I10" i="49" s="1"/>
  <c r="H11" i="49" s="1"/>
  <c r="I11" i="49" s="1"/>
  <c r="H85" i="49" l="1"/>
  <c r="I85" i="49" s="1"/>
  <c r="H88" i="49" s="1"/>
  <c r="I88" i="49" s="1"/>
  <c r="H28" i="46"/>
  <c r="I28" i="46" s="1"/>
  <c r="H29" i="46" s="1"/>
  <c r="I29" i="46" s="1"/>
  <c r="I84" i="46"/>
  <c r="H84" i="46"/>
  <c r="H86" i="46"/>
  <c r="I86" i="46" s="1"/>
  <c r="H67" i="31"/>
  <c r="I67" i="31"/>
  <c r="H69" i="31"/>
  <c r="I69" i="31" s="1"/>
  <c r="H76" i="47"/>
  <c r="I76" i="47" s="1"/>
  <c r="H74" i="47"/>
  <c r="I74" i="47"/>
  <c r="H29" i="31"/>
  <c r="I29" i="31" s="1"/>
  <c r="H25" i="31"/>
  <c r="I25" i="31" s="1"/>
  <c r="H36" i="46"/>
  <c r="I36" i="46" s="1"/>
  <c r="H37" i="46" s="1"/>
  <c r="I37" i="46" s="1"/>
  <c r="H31" i="47"/>
  <c r="I31" i="47" s="1"/>
  <c r="H32" i="47" s="1"/>
  <c r="I32" i="47" s="1"/>
  <c r="H28" i="47"/>
  <c r="I28" i="47" s="1"/>
  <c r="H29" i="47" s="1"/>
  <c r="I29" i="47" s="1"/>
  <c r="H20" i="48"/>
  <c r="I20" i="48" s="1"/>
  <c r="H21" i="48" s="1"/>
  <c r="I21" i="48" s="1"/>
  <c r="H85" i="48"/>
  <c r="I85" i="48" s="1"/>
  <c r="I83" i="48"/>
  <c r="H83" i="48"/>
  <c r="H28" i="48"/>
  <c r="I28" i="48" s="1"/>
  <c r="H29" i="48" s="1"/>
  <c r="I29" i="48" s="1"/>
  <c r="H83" i="49"/>
  <c r="H15" i="49"/>
  <c r="I15" i="49" s="1"/>
  <c r="H16" i="49" s="1"/>
  <c r="I16" i="49" s="1"/>
  <c r="H23" i="49"/>
  <c r="I23" i="49" s="1"/>
  <c r="H24" i="49" s="1"/>
  <c r="I24" i="49" s="1"/>
  <c r="I86" i="49" l="1"/>
  <c r="H86" i="49"/>
  <c r="H33" i="46"/>
  <c r="I33" i="46" s="1"/>
  <c r="H34" i="46" s="1"/>
  <c r="I34" i="46" s="1"/>
  <c r="H89" i="46"/>
  <c r="I89" i="46" s="1"/>
  <c r="I87" i="46"/>
  <c r="H87" i="46"/>
  <c r="H72" i="31"/>
  <c r="I72" i="31" s="1"/>
  <c r="I70" i="31"/>
  <c r="H70" i="31"/>
  <c r="H77" i="47"/>
  <c r="I77" i="47"/>
  <c r="H79" i="47"/>
  <c r="I79" i="47" s="1"/>
  <c r="H34" i="31"/>
  <c r="I34" i="31" s="1"/>
  <c r="H30" i="31"/>
  <c r="I30" i="31" s="1"/>
  <c r="H41" i="46"/>
  <c r="I41" i="46" s="1"/>
  <c r="H42" i="46" s="1"/>
  <c r="I42" i="46" s="1"/>
  <c r="H38" i="46"/>
  <c r="I38" i="46" s="1"/>
  <c r="H39" i="46" s="1"/>
  <c r="I39" i="46" s="1"/>
  <c r="H36" i="47"/>
  <c r="I36" i="47" s="1"/>
  <c r="H37" i="47" s="1"/>
  <c r="I37" i="47" s="1"/>
  <c r="H33" i="47"/>
  <c r="I33" i="47" s="1"/>
  <c r="H34" i="47" s="1"/>
  <c r="I34" i="47" s="1"/>
  <c r="H25" i="48"/>
  <c r="I25" i="48" s="1"/>
  <c r="H26" i="48" s="1"/>
  <c r="I26" i="48" s="1"/>
  <c r="H33" i="48"/>
  <c r="I33" i="48" s="1"/>
  <c r="H34" i="48" s="1"/>
  <c r="I34" i="48" s="1"/>
  <c r="H88" i="48"/>
  <c r="I88" i="48" s="1"/>
  <c r="I86" i="48"/>
  <c r="H86" i="48"/>
  <c r="H20" i="49"/>
  <c r="I20" i="49" s="1"/>
  <c r="H21" i="49" s="1"/>
  <c r="I21" i="49" s="1"/>
  <c r="H91" i="49"/>
  <c r="I91" i="49" s="1"/>
  <c r="I89" i="49"/>
  <c r="H89" i="49"/>
  <c r="H28" i="49"/>
  <c r="I28" i="49" s="1"/>
  <c r="H29" i="49" s="1"/>
  <c r="I29" i="49" s="1"/>
  <c r="H90" i="46" l="1"/>
  <c r="I90" i="46"/>
  <c r="H92" i="46"/>
  <c r="I92" i="46" s="1"/>
  <c r="H73" i="31"/>
  <c r="I73" i="31"/>
  <c r="H75" i="31"/>
  <c r="I75" i="31" s="1"/>
  <c r="H82" i="47"/>
  <c r="I82" i="47" s="1"/>
  <c r="H80" i="47"/>
  <c r="I80" i="47"/>
  <c r="H39" i="31"/>
  <c r="I39" i="31" s="1"/>
  <c r="H35" i="31"/>
  <c r="I35" i="31" s="1"/>
  <c r="H46" i="46"/>
  <c r="I46" i="46" s="1"/>
  <c r="H47" i="46" s="1"/>
  <c r="I47" i="46" s="1"/>
  <c r="H43" i="46"/>
  <c r="I43" i="46" s="1"/>
  <c r="H44" i="46" s="1"/>
  <c r="I44" i="46" s="1"/>
  <c r="H41" i="47"/>
  <c r="I41" i="47" s="1"/>
  <c r="H42" i="47" s="1"/>
  <c r="I42" i="47" s="1"/>
  <c r="H38" i="47"/>
  <c r="I38" i="47" s="1"/>
  <c r="H39" i="47" s="1"/>
  <c r="I39" i="47" s="1"/>
  <c r="H30" i="48"/>
  <c r="I30" i="48" s="1"/>
  <c r="H31" i="48" s="1"/>
  <c r="I31" i="48" s="1"/>
  <c r="H38" i="48"/>
  <c r="I38" i="48" s="1"/>
  <c r="H39" i="48" s="1"/>
  <c r="I39" i="48" s="1"/>
  <c r="H91" i="48"/>
  <c r="I91" i="48" s="1"/>
  <c r="I89" i="48"/>
  <c r="H89" i="48"/>
  <c r="H25" i="49"/>
  <c r="I25" i="49" s="1"/>
  <c r="H26" i="49" s="1"/>
  <c r="I26" i="49" s="1"/>
  <c r="H33" i="49"/>
  <c r="I33" i="49" s="1"/>
  <c r="H34" i="49" s="1"/>
  <c r="I34" i="49" s="1"/>
  <c r="H94" i="49"/>
  <c r="I94" i="49" s="1"/>
  <c r="I92" i="49"/>
  <c r="H92" i="49"/>
  <c r="H35" i="48" l="1"/>
  <c r="I35" i="48" s="1"/>
  <c r="H36" i="48" s="1"/>
  <c r="I36" i="48" s="1"/>
  <c r="H93" i="46"/>
  <c r="I93" i="46"/>
  <c r="H95" i="46"/>
  <c r="I95" i="46" s="1"/>
  <c r="H76" i="31"/>
  <c r="I76" i="31"/>
  <c r="H78" i="31"/>
  <c r="I78" i="31" s="1"/>
  <c r="I83" i="47"/>
  <c r="H83" i="47"/>
  <c r="H85" i="47"/>
  <c r="I85" i="47" s="1"/>
  <c r="H44" i="31"/>
  <c r="I44" i="31" s="1"/>
  <c r="H45" i="31" s="1"/>
  <c r="I45" i="31" s="1"/>
  <c r="H40" i="31"/>
  <c r="I40" i="31" s="1"/>
  <c r="H51" i="46"/>
  <c r="I51" i="46" s="1"/>
  <c r="H52" i="46" s="1"/>
  <c r="I52" i="46" s="1"/>
  <c r="H48" i="46"/>
  <c r="I48" i="46" s="1"/>
  <c r="H49" i="46" s="1"/>
  <c r="I49" i="46" s="1"/>
  <c r="H92" i="47"/>
  <c r="H43" i="47"/>
  <c r="I43" i="47" s="1"/>
  <c r="H44" i="47" s="1"/>
  <c r="I44" i="47" s="1"/>
  <c r="H94" i="48"/>
  <c r="I94" i="48" s="1"/>
  <c r="I92" i="48"/>
  <c r="H92" i="48"/>
  <c r="H43" i="48"/>
  <c r="I43" i="48" s="1"/>
  <c r="H44" i="48" s="1"/>
  <c r="I44" i="48" s="1"/>
  <c r="H30" i="49"/>
  <c r="I30" i="49" s="1"/>
  <c r="H31" i="49" s="1"/>
  <c r="I31" i="49" s="1"/>
  <c r="H97" i="49"/>
  <c r="I97" i="49" s="1"/>
  <c r="I95" i="49"/>
  <c r="H95" i="49"/>
  <c r="H38" i="49"/>
  <c r="I38" i="49" s="1"/>
  <c r="H39" i="49" s="1"/>
  <c r="I39" i="49" s="1"/>
  <c r="H40" i="48" l="1"/>
  <c r="I40" i="48" s="1"/>
  <c r="H41" i="48" s="1"/>
  <c r="I41" i="48" s="1"/>
  <c r="H98" i="46"/>
  <c r="I98" i="46" s="1"/>
  <c r="I96" i="46"/>
  <c r="H96" i="46"/>
  <c r="H79" i="31"/>
  <c r="I79" i="31"/>
  <c r="H81" i="31"/>
  <c r="I81" i="31" s="1"/>
  <c r="H86" i="47"/>
  <c r="I86" i="47"/>
  <c r="H50" i="47"/>
  <c r="I50" i="47" s="1"/>
  <c r="H58" i="47" s="1"/>
  <c r="I58" i="47" s="1"/>
  <c r="H35" i="49"/>
  <c r="I35" i="49" s="1"/>
  <c r="H36" i="49" s="1"/>
  <c r="I36" i="49" s="1"/>
  <c r="H108" i="46"/>
  <c r="H53" i="46"/>
  <c r="I53" i="46" s="1"/>
  <c r="H54" i="46" s="1"/>
  <c r="I54" i="46" s="1"/>
  <c r="I92" i="47"/>
  <c r="I100" i="47"/>
  <c r="H100" i="47" s="1"/>
  <c r="H48" i="48"/>
  <c r="I48" i="48" s="1"/>
  <c r="H49" i="48" s="1"/>
  <c r="I49" i="48" s="1"/>
  <c r="H97" i="48"/>
  <c r="I97" i="48" s="1"/>
  <c r="H95" i="48"/>
  <c r="I95" i="48"/>
  <c r="H43" i="49"/>
  <c r="I43" i="49" s="1"/>
  <c r="H44" i="49" s="1"/>
  <c r="I44" i="49" s="1"/>
  <c r="H100" i="49"/>
  <c r="I100" i="49" s="1"/>
  <c r="I98" i="49"/>
  <c r="H98" i="49"/>
  <c r="H45" i="48" l="1"/>
  <c r="I45" i="48" s="1"/>
  <c r="H46" i="48" s="1"/>
  <c r="I46" i="48" s="1"/>
  <c r="H40" i="49"/>
  <c r="I40" i="49" s="1"/>
  <c r="H41" i="49" s="1"/>
  <c r="I41" i="49" s="1"/>
  <c r="H99" i="46"/>
  <c r="I99" i="46"/>
  <c r="H101" i="46"/>
  <c r="I101" i="46" s="1"/>
  <c r="H82" i="31"/>
  <c r="I82" i="31"/>
  <c r="H88" i="31" s="1"/>
  <c r="I108" i="46"/>
  <c r="I116" i="46"/>
  <c r="H116" i="46" s="1"/>
  <c r="H93" i="47"/>
  <c r="I93" i="47" s="1"/>
  <c r="H94" i="47"/>
  <c r="I94" i="47" s="1"/>
  <c r="H95" i="47" s="1"/>
  <c r="I95" i="47" s="1"/>
  <c r="H96" i="47" s="1"/>
  <c r="I96" i="47" s="1"/>
  <c r="H97" i="47" s="1"/>
  <c r="I97" i="47" s="1"/>
  <c r="H98" i="47" s="1"/>
  <c r="I98" i="47" s="1"/>
  <c r="H90" i="47" s="1"/>
  <c r="I90" i="47" s="1"/>
  <c r="I98" i="48"/>
  <c r="H100" i="48"/>
  <c r="I100" i="48" s="1"/>
  <c r="H98" i="48"/>
  <c r="H50" i="48"/>
  <c r="I50" i="48" s="1"/>
  <c r="H51" i="48" s="1"/>
  <c r="I51" i="48" s="1"/>
  <c r="H53" i="48"/>
  <c r="I53" i="48" s="1"/>
  <c r="H54" i="48" s="1"/>
  <c r="I54" i="48" s="1"/>
  <c r="H48" i="49"/>
  <c r="I48" i="49" s="1"/>
  <c r="H49" i="49" s="1"/>
  <c r="I49" i="49" s="1"/>
  <c r="H103" i="49"/>
  <c r="I103" i="49" s="1"/>
  <c r="I101" i="49"/>
  <c r="H101" i="49"/>
  <c r="H45" i="49" l="1"/>
  <c r="I45" i="49" s="1"/>
  <c r="H46" i="49" s="1"/>
  <c r="I46" i="49" s="1"/>
  <c r="I102" i="46"/>
  <c r="H102" i="46"/>
  <c r="I88" i="31"/>
  <c r="I96" i="31"/>
  <c r="H96" i="31" s="1"/>
  <c r="H109" i="46"/>
  <c r="I109" i="46" s="1"/>
  <c r="H110" i="46"/>
  <c r="I110" i="46" s="1"/>
  <c r="H111" i="46" s="1"/>
  <c r="I111" i="46" s="1"/>
  <c r="H112" i="46" s="1"/>
  <c r="I112" i="46" s="1"/>
  <c r="H113" i="46" s="1"/>
  <c r="I113" i="46" s="1"/>
  <c r="H114" i="46" s="1"/>
  <c r="I114" i="46" s="1"/>
  <c r="I101" i="48"/>
  <c r="H101" i="48"/>
  <c r="H103" i="48"/>
  <c r="I103" i="48" s="1"/>
  <c r="H55" i="48"/>
  <c r="I55" i="48" s="1"/>
  <c r="H56" i="48" s="1"/>
  <c r="I56" i="48" s="1"/>
  <c r="I104" i="49"/>
  <c r="H104" i="49"/>
  <c r="H53" i="49"/>
  <c r="I53" i="49" s="1"/>
  <c r="H54" i="49" s="1"/>
  <c r="I54" i="49" s="1"/>
  <c r="H50" i="49"/>
  <c r="I50" i="49" s="1"/>
  <c r="H51" i="49" s="1"/>
  <c r="I51" i="49" s="1"/>
  <c r="H90" i="31" l="1"/>
  <c r="I90" i="31" s="1"/>
  <c r="H91" i="31" s="1"/>
  <c r="I91" i="31" s="1"/>
  <c r="H92" i="31" s="1"/>
  <c r="I92" i="31" s="1"/>
  <c r="H93" i="31" s="1"/>
  <c r="I93" i="31" s="1"/>
  <c r="H94" i="31" s="1"/>
  <c r="I94" i="31" s="1"/>
  <c r="H89" i="31"/>
  <c r="I89" i="31" s="1"/>
  <c r="H106" i="46"/>
  <c r="I106" i="46" s="1"/>
  <c r="H60" i="46"/>
  <c r="I60" i="46" s="1"/>
  <c r="I104" i="48"/>
  <c r="H110" i="48" s="1"/>
  <c r="H104" i="48"/>
  <c r="H62" i="48"/>
  <c r="I62" i="48" s="1"/>
  <c r="H70" i="48" s="1"/>
  <c r="I70" i="48" s="1"/>
  <c r="H55" i="49"/>
  <c r="I55" i="49" s="1"/>
  <c r="H56" i="49" s="1"/>
  <c r="I56" i="49" s="1"/>
  <c r="H62" i="49" s="1"/>
  <c r="I62" i="49" s="1"/>
  <c r="H110" i="49"/>
  <c r="H86" i="31" l="1"/>
  <c r="I86" i="31" s="1"/>
  <c r="H51" i="31"/>
  <c r="I51" i="31" s="1"/>
  <c r="H54" i="31" s="1"/>
  <c r="I54" i="31" s="1"/>
  <c r="H68" i="46"/>
  <c r="I68" i="46" s="1"/>
  <c r="I119" i="46"/>
  <c r="H119" i="46" s="1"/>
  <c r="I110" i="48"/>
  <c r="I118" i="48"/>
  <c r="H118" i="48" s="1"/>
  <c r="I118" i="49"/>
  <c r="H118" i="49" s="1"/>
  <c r="I110" i="49"/>
  <c r="H70" i="49"/>
  <c r="I70" i="49" s="1"/>
  <c r="H112" i="48" l="1"/>
  <c r="I112" i="48" s="1"/>
  <c r="H113" i="48" s="1"/>
  <c r="I113" i="48" s="1"/>
  <c r="H114" i="48" s="1"/>
  <c r="I114" i="48" s="1"/>
  <c r="H115" i="48" s="1"/>
  <c r="I115" i="48" s="1"/>
  <c r="H116" i="48" s="1"/>
  <c r="I116" i="48" s="1"/>
  <c r="H108" i="48" s="1"/>
  <c r="I108" i="48" s="1"/>
  <c r="H111" i="48"/>
  <c r="I111" i="48" s="1"/>
  <c r="H112" i="49"/>
  <c r="I112" i="49" s="1"/>
  <c r="H113" i="49" s="1"/>
  <c r="I113" i="49" s="1"/>
  <c r="H114" i="49" s="1"/>
  <c r="I114" i="49" s="1"/>
  <c r="H115" i="49" s="1"/>
  <c r="I115" i="49" s="1"/>
  <c r="H116" i="49" s="1"/>
  <c r="I116" i="49" s="1"/>
  <c r="H108" i="49" s="1"/>
  <c r="I108" i="49" s="1"/>
  <c r="H111" i="49"/>
  <c r="I111" i="49" s="1"/>
  <c r="G53" i="31" l="1"/>
  <c r="M53" i="31" s="1"/>
  <c r="G67" i="46"/>
  <c r="M67" i="46" s="1"/>
  <c r="G57" i="47"/>
  <c r="G69" i="49"/>
  <c r="G69" i="48"/>
  <c r="M69" i="48" s="1"/>
  <c r="G56" i="31"/>
  <c r="M56" i="31" s="1"/>
  <c r="G60" i="47"/>
  <c r="M60" i="47" s="1"/>
  <c r="G70" i="46"/>
  <c r="M70" i="46" s="1"/>
  <c r="G72" i="49"/>
  <c r="G72" i="48"/>
  <c r="M72" i="48" s="1"/>
  <c r="F76" i="49"/>
  <c r="F76" i="48"/>
  <c r="F59" i="48" s="1"/>
  <c r="F64" i="47"/>
  <c r="F60" i="31"/>
  <c r="F73" i="46"/>
  <c r="E73" i="46" s="1"/>
  <c r="G103" i="47"/>
  <c r="M103" i="47" s="1"/>
  <c r="N21" i="45"/>
  <c r="M21" i="45"/>
  <c r="I21" i="45"/>
  <c r="H21" i="45"/>
  <c r="D21" i="45"/>
  <c r="C21" i="45"/>
  <c r="N20" i="45"/>
  <c r="M20" i="45"/>
  <c r="I20" i="45"/>
  <c r="H20" i="45"/>
  <c r="D20" i="45"/>
  <c r="C20" i="45"/>
  <c r="X19" i="45"/>
  <c r="W19" i="45"/>
  <c r="S19" i="45"/>
  <c r="R19" i="45"/>
  <c r="N19" i="45"/>
  <c r="M19" i="45"/>
  <c r="I19" i="45"/>
  <c r="H19" i="45"/>
  <c r="D19" i="45"/>
  <c r="C19" i="45"/>
  <c r="X18" i="45"/>
  <c r="W18" i="45"/>
  <c r="S18" i="45"/>
  <c r="R18" i="45"/>
  <c r="N18" i="45"/>
  <c r="M18" i="45"/>
  <c r="I18" i="45"/>
  <c r="H18" i="45"/>
  <c r="D18" i="45"/>
  <c r="C18" i="45"/>
  <c r="X17" i="45"/>
  <c r="W17" i="45"/>
  <c r="S17" i="45"/>
  <c r="R17" i="45"/>
  <c r="N17" i="45"/>
  <c r="M17" i="45"/>
  <c r="I17" i="45"/>
  <c r="H17" i="45"/>
  <c r="D17" i="45"/>
  <c r="C17" i="45"/>
  <c r="X16" i="45"/>
  <c r="W16" i="45"/>
  <c r="S16" i="45"/>
  <c r="R16" i="45"/>
  <c r="P16" i="45"/>
  <c r="O16" i="45"/>
  <c r="N16" i="45"/>
  <c r="M16" i="45"/>
  <c r="K16" i="45"/>
  <c r="J16" i="45"/>
  <c r="I16" i="45"/>
  <c r="H16" i="45"/>
  <c r="D16" i="45"/>
  <c r="C16" i="45"/>
  <c r="X15" i="45"/>
  <c r="W15" i="45"/>
  <c r="S15" i="45"/>
  <c r="R15" i="45"/>
  <c r="P15" i="45"/>
  <c r="O15" i="45"/>
  <c r="N15" i="45"/>
  <c r="M15" i="45"/>
  <c r="K15" i="45"/>
  <c r="J15" i="45"/>
  <c r="I15" i="45"/>
  <c r="H15" i="45"/>
  <c r="D15" i="45"/>
  <c r="C15" i="45"/>
  <c r="X14" i="45"/>
  <c r="W14" i="45"/>
  <c r="S14" i="45"/>
  <c r="R14" i="45"/>
  <c r="P14" i="45"/>
  <c r="O14" i="45"/>
  <c r="N14" i="45"/>
  <c r="M14" i="45"/>
  <c r="K14" i="45"/>
  <c r="J14" i="45"/>
  <c r="I14" i="45"/>
  <c r="H14" i="45"/>
  <c r="D14" i="45"/>
  <c r="C14" i="45"/>
  <c r="X13" i="45"/>
  <c r="W13" i="45"/>
  <c r="S13" i="45"/>
  <c r="R13" i="45"/>
  <c r="N13" i="45"/>
  <c r="M13" i="45"/>
  <c r="I13" i="45"/>
  <c r="H13" i="45"/>
  <c r="D13" i="45"/>
  <c r="C13" i="45"/>
  <c r="Y12" i="45"/>
  <c r="X12" i="45"/>
  <c r="W12" i="45"/>
  <c r="S12" i="45"/>
  <c r="R12" i="45"/>
  <c r="P12" i="45"/>
  <c r="O12" i="45"/>
  <c r="N12" i="45"/>
  <c r="M12" i="45"/>
  <c r="K12" i="45"/>
  <c r="J12" i="45"/>
  <c r="I12" i="45"/>
  <c r="H12" i="45"/>
  <c r="F12" i="45"/>
  <c r="E12" i="45"/>
  <c r="D12" i="45"/>
  <c r="C12" i="45"/>
  <c r="G123" i="49"/>
  <c r="M123" i="49" s="1"/>
  <c r="G122" i="49"/>
  <c r="M122" i="49" s="1"/>
  <c r="G121" i="49"/>
  <c r="M121" i="49" s="1"/>
  <c r="F75" i="49"/>
  <c r="E75" i="49" s="1"/>
  <c r="F6" i="49"/>
  <c r="F5" i="49"/>
  <c r="G5" i="49" s="1"/>
  <c r="M5" i="49" s="1"/>
  <c r="M3" i="49"/>
  <c r="H3" i="49"/>
  <c r="I3" i="49" s="1"/>
  <c r="F3" i="49"/>
  <c r="G3" i="49" s="1"/>
  <c r="G123" i="48"/>
  <c r="E123" i="48" s="1"/>
  <c r="G122" i="48"/>
  <c r="M122" i="48" s="1"/>
  <c r="G121" i="48"/>
  <c r="M121" i="48" s="1"/>
  <c r="F75" i="48"/>
  <c r="E75" i="48" s="1"/>
  <c r="F6" i="48"/>
  <c r="G6" i="48" s="1"/>
  <c r="F7" i="48" s="1"/>
  <c r="F5" i="48"/>
  <c r="M3" i="48"/>
  <c r="G105" i="47"/>
  <c r="E105" i="47" s="1"/>
  <c r="G104" i="47"/>
  <c r="M104" i="47" s="1"/>
  <c r="F63" i="47"/>
  <c r="G11" i="47"/>
  <c r="E11" i="47" s="1"/>
  <c r="F8" i="47"/>
  <c r="G6" i="47"/>
  <c r="E6" i="47" s="1"/>
  <c r="E5" i="47"/>
  <c r="M3" i="47"/>
  <c r="G121" i="46"/>
  <c r="E121" i="46" s="1"/>
  <c r="G120" i="46"/>
  <c r="M120" i="46" s="1"/>
  <c r="F74" i="46"/>
  <c r="F16" i="46"/>
  <c r="F12" i="46"/>
  <c r="E12" i="46" s="1"/>
  <c r="E11" i="46"/>
  <c r="F8" i="46"/>
  <c r="F6" i="46"/>
  <c r="E6" i="46" s="1"/>
  <c r="E5" i="46"/>
  <c r="M3" i="46"/>
  <c r="G101" i="31"/>
  <c r="E101" i="31" s="1"/>
  <c r="G100" i="31"/>
  <c r="M100" i="31" s="1"/>
  <c r="G99" i="31"/>
  <c r="M99" i="31" s="1"/>
  <c r="E99" i="31"/>
  <c r="F59" i="31"/>
  <c r="G13" i="31"/>
  <c r="E13" i="31" s="1"/>
  <c r="E12" i="31"/>
  <c r="F9" i="31"/>
  <c r="G7" i="31"/>
  <c r="E7" i="31"/>
  <c r="E6" i="31"/>
  <c r="M3" i="31"/>
  <c r="E67" i="46" l="1"/>
  <c r="E70" i="46"/>
  <c r="E104" i="47"/>
  <c r="E56" i="31"/>
  <c r="E53" i="31"/>
  <c r="F57" i="31"/>
  <c r="G57" i="31" s="1"/>
  <c r="M57" i="31" s="1"/>
  <c r="M57" i="47"/>
  <c r="F61" i="47"/>
  <c r="G61" i="47" s="1"/>
  <c r="M61" i="47" s="1"/>
  <c r="M69" i="49"/>
  <c r="E120" i="46"/>
  <c r="E122" i="48"/>
  <c r="E100" i="31"/>
  <c r="E103" i="47"/>
  <c r="E57" i="47"/>
  <c r="E60" i="47"/>
  <c r="F97" i="31"/>
  <c r="M101" i="31"/>
  <c r="F117" i="46"/>
  <c r="M121" i="46"/>
  <c r="G8" i="46"/>
  <c r="F9" i="46" s="1"/>
  <c r="M105" i="47"/>
  <c r="F101" i="47"/>
  <c r="F73" i="48"/>
  <c r="G73" i="48" s="1"/>
  <c r="M73" i="48" s="1"/>
  <c r="E72" i="48"/>
  <c r="E6" i="48"/>
  <c r="E121" i="48"/>
  <c r="F119" i="48"/>
  <c r="M123" i="48"/>
  <c r="E69" i="48"/>
  <c r="E122" i="49"/>
  <c r="E121" i="49"/>
  <c r="E123" i="49"/>
  <c r="F119" i="49"/>
  <c r="F73" i="49"/>
  <c r="G73" i="49" s="1"/>
  <c r="M73" i="49" s="1"/>
  <c r="M72" i="49"/>
  <c r="F59" i="49"/>
  <c r="G59" i="49" s="1"/>
  <c r="M59" i="49" s="1"/>
  <c r="F60" i="49"/>
  <c r="G60" i="49" s="1"/>
  <c r="E69" i="49"/>
  <c r="E72" i="49"/>
  <c r="F71" i="46"/>
  <c r="G71" i="46" s="1"/>
  <c r="M71" i="46" s="1"/>
  <c r="E63" i="47"/>
  <c r="E59" i="31"/>
  <c r="G74" i="46"/>
  <c r="M74" i="46" s="1"/>
  <c r="G6" i="49"/>
  <c r="G76" i="49"/>
  <c r="M76" i="49" s="1"/>
  <c r="G5" i="48"/>
  <c r="G7" i="48"/>
  <c r="M7" i="48" s="1"/>
  <c r="F60" i="48"/>
  <c r="G59" i="48"/>
  <c r="M59" i="48" s="1"/>
  <c r="G76" i="48"/>
  <c r="M76" i="48" s="1"/>
  <c r="G8" i="47"/>
  <c r="M8" i="47" s="1"/>
  <c r="F16" i="47"/>
  <c r="F12" i="47"/>
  <c r="G64" i="47"/>
  <c r="M64" i="47" s="1"/>
  <c r="G9" i="31"/>
  <c r="M9" i="31" s="1"/>
  <c r="F17" i="31"/>
  <c r="G60" i="31"/>
  <c r="M60" i="31" s="1"/>
  <c r="G16" i="46"/>
  <c r="F17" i="46" s="1"/>
  <c r="E8" i="46" l="1"/>
  <c r="F75" i="46"/>
  <c r="F13" i="46"/>
  <c r="G13" i="46" s="1"/>
  <c r="M8" i="46"/>
  <c r="E7" i="48"/>
  <c r="E60" i="49"/>
  <c r="M60" i="49"/>
  <c r="E60" i="31"/>
  <c r="F48" i="31"/>
  <c r="F77" i="46"/>
  <c r="E74" i="46"/>
  <c r="F79" i="49"/>
  <c r="G77" i="49"/>
  <c r="F77" i="49"/>
  <c r="E76" i="49"/>
  <c r="E59" i="49"/>
  <c r="F58" i="49"/>
  <c r="F8" i="49"/>
  <c r="F7" i="49"/>
  <c r="E6" i="49"/>
  <c r="E5" i="49"/>
  <c r="F79" i="48"/>
  <c r="F77" i="48"/>
  <c r="E76" i="48"/>
  <c r="E59" i="48"/>
  <c r="F58" i="48"/>
  <c r="G60" i="48"/>
  <c r="M60" i="48" s="1"/>
  <c r="F8" i="48"/>
  <c r="G8" i="48" s="1"/>
  <c r="E5" i="48"/>
  <c r="F67" i="47"/>
  <c r="F65" i="47"/>
  <c r="E64" i="47"/>
  <c r="G12" i="47"/>
  <c r="E12" i="47" s="1"/>
  <c r="G16" i="47"/>
  <c r="E16" i="47" s="1"/>
  <c r="F9" i="47"/>
  <c r="E8" i="47"/>
  <c r="F63" i="31"/>
  <c r="F61" i="31"/>
  <c r="G17" i="31"/>
  <c r="E17" i="31" s="1"/>
  <c r="F14" i="31"/>
  <c r="F10" i="31"/>
  <c r="E9" i="31"/>
  <c r="G75" i="46"/>
  <c r="M75" i="46" s="1"/>
  <c r="G17" i="46"/>
  <c r="G9" i="46"/>
  <c r="E16" i="46"/>
  <c r="E13" i="46" l="1"/>
  <c r="E9" i="46"/>
  <c r="M9" i="46"/>
  <c r="F14" i="46"/>
  <c r="G14" i="46" s="1"/>
  <c r="M13" i="46"/>
  <c r="M8" i="48"/>
  <c r="F13" i="48"/>
  <c r="G13" i="48" s="1"/>
  <c r="M13" i="48" s="1"/>
  <c r="E60" i="48"/>
  <c r="M77" i="49"/>
  <c r="F106" i="49"/>
  <c r="G106" i="49" s="1"/>
  <c r="M106" i="49" s="1"/>
  <c r="E75" i="46"/>
  <c r="F104" i="46"/>
  <c r="F57" i="46"/>
  <c r="G57" i="46" s="1"/>
  <c r="M57" i="46" s="1"/>
  <c r="F56" i="46"/>
  <c r="G56" i="46" s="1"/>
  <c r="M56" i="46" s="1"/>
  <c r="G77" i="46"/>
  <c r="M77" i="46" s="1"/>
  <c r="G7" i="49"/>
  <c r="M7" i="49" s="1"/>
  <c r="G8" i="49"/>
  <c r="E8" i="49" s="1"/>
  <c r="G58" i="49"/>
  <c r="E77" i="49"/>
  <c r="G79" i="49"/>
  <c r="E8" i="48"/>
  <c r="G58" i="48"/>
  <c r="G77" i="48"/>
  <c r="E77" i="48" s="1"/>
  <c r="G79" i="48"/>
  <c r="G9" i="47"/>
  <c r="M9" i="47" s="1"/>
  <c r="F17" i="47"/>
  <c r="F13" i="47"/>
  <c r="G65" i="47"/>
  <c r="M65" i="47" s="1"/>
  <c r="G67" i="47"/>
  <c r="M67" i="47" s="1"/>
  <c r="G10" i="31"/>
  <c r="M10" i="31" s="1"/>
  <c r="G14" i="31"/>
  <c r="M14" i="31" s="1"/>
  <c r="F18" i="31"/>
  <c r="G61" i="31"/>
  <c r="G63" i="31"/>
  <c r="F21" i="46"/>
  <c r="F18" i="46"/>
  <c r="E17" i="46"/>
  <c r="G104" i="46"/>
  <c r="M104" i="46" s="1"/>
  <c r="E67" i="47" l="1"/>
  <c r="E9" i="47"/>
  <c r="E14" i="31"/>
  <c r="E10" i="31"/>
  <c r="E77" i="46"/>
  <c r="E104" i="46"/>
  <c r="E63" i="31"/>
  <c r="M63" i="31"/>
  <c r="E61" i="31"/>
  <c r="M61" i="31"/>
  <c r="F84" i="31"/>
  <c r="G84" i="31" s="1"/>
  <c r="E14" i="46"/>
  <c r="M14" i="46"/>
  <c r="F106" i="48"/>
  <c r="G106" i="48" s="1"/>
  <c r="M106" i="48" s="1"/>
  <c r="M77" i="48"/>
  <c r="E79" i="48"/>
  <c r="M79" i="48"/>
  <c r="E58" i="48"/>
  <c r="M58" i="48"/>
  <c r="E7" i="49"/>
  <c r="F13" i="49"/>
  <c r="G13" i="49" s="1"/>
  <c r="E13" i="49" s="1"/>
  <c r="M8" i="49"/>
  <c r="E79" i="49"/>
  <c r="M79" i="49"/>
  <c r="E58" i="49"/>
  <c r="M58" i="49"/>
  <c r="F88" i="47"/>
  <c r="G88" i="47" s="1"/>
  <c r="F47" i="47"/>
  <c r="E65" i="47"/>
  <c r="F80" i="46"/>
  <c r="G78" i="46"/>
  <c r="F78" i="46"/>
  <c r="F82" i="49"/>
  <c r="G82" i="49" s="1"/>
  <c r="M82" i="49" s="1"/>
  <c r="G80" i="49"/>
  <c r="F80" i="49"/>
  <c r="E106" i="49"/>
  <c r="F10" i="49"/>
  <c r="F82" i="48"/>
  <c r="G80" i="48"/>
  <c r="F80" i="48"/>
  <c r="F10" i="48"/>
  <c r="F70" i="47"/>
  <c r="G68" i="47"/>
  <c r="F68" i="47"/>
  <c r="G13" i="47"/>
  <c r="E13" i="47" s="1"/>
  <c r="G17" i="47"/>
  <c r="E17" i="47" s="1"/>
  <c r="F66" i="31"/>
  <c r="G64" i="31"/>
  <c r="F64" i="31"/>
  <c r="G18" i="31"/>
  <c r="E18" i="31" s="1"/>
  <c r="F15" i="31"/>
  <c r="G18" i="46"/>
  <c r="G21" i="46"/>
  <c r="F22" i="46" s="1"/>
  <c r="F19" i="31" l="1"/>
  <c r="G19" i="31" s="1"/>
  <c r="M19" i="31" s="1"/>
  <c r="E88" i="47"/>
  <c r="F22" i="31"/>
  <c r="G22" i="31" s="1"/>
  <c r="E22" i="31" s="1"/>
  <c r="M18" i="31"/>
  <c r="M64" i="31"/>
  <c r="E84" i="31"/>
  <c r="M84" i="31"/>
  <c r="F19" i="46"/>
  <c r="G19" i="46" s="1"/>
  <c r="M19" i="46" s="1"/>
  <c r="M18" i="46"/>
  <c r="M78" i="46"/>
  <c r="F14" i="47"/>
  <c r="M13" i="47"/>
  <c r="M68" i="47"/>
  <c r="M88" i="47"/>
  <c r="M80" i="48"/>
  <c r="E106" i="48"/>
  <c r="F14" i="49"/>
  <c r="G14" i="49" s="1"/>
  <c r="M14" i="49" s="1"/>
  <c r="M13" i="49"/>
  <c r="M80" i="49"/>
  <c r="F46" i="47"/>
  <c r="G47" i="47"/>
  <c r="E78" i="46"/>
  <c r="G80" i="46"/>
  <c r="M80" i="46" s="1"/>
  <c r="G10" i="49"/>
  <c r="E10" i="49" s="1"/>
  <c r="E80" i="49"/>
  <c r="E82" i="49"/>
  <c r="G10" i="48"/>
  <c r="F14" i="48"/>
  <c r="E13" i="48"/>
  <c r="E80" i="48"/>
  <c r="G82" i="48"/>
  <c r="M82" i="48" s="1"/>
  <c r="F21" i="47"/>
  <c r="F18" i="47"/>
  <c r="G14" i="47"/>
  <c r="M14" i="47" s="1"/>
  <c r="G101" i="47"/>
  <c r="M101" i="47" s="1"/>
  <c r="E68" i="47"/>
  <c r="G70" i="47"/>
  <c r="M70" i="47" s="1"/>
  <c r="G15" i="31"/>
  <c r="M15" i="31" s="1"/>
  <c r="E64" i="31"/>
  <c r="G66" i="31"/>
  <c r="M66" i="31" s="1"/>
  <c r="G22" i="46"/>
  <c r="M22" i="46" s="1"/>
  <c r="E21" i="46"/>
  <c r="E18" i="46"/>
  <c r="E70" i="47" l="1"/>
  <c r="E15" i="31"/>
  <c r="E19" i="46"/>
  <c r="E80" i="46"/>
  <c r="E19" i="31"/>
  <c r="E66" i="31"/>
  <c r="E101" i="47"/>
  <c r="E14" i="47"/>
  <c r="F23" i="31"/>
  <c r="M22" i="31"/>
  <c r="G46" i="47"/>
  <c r="M46" i="47" s="1"/>
  <c r="M47" i="47"/>
  <c r="F11" i="48"/>
  <c r="G11" i="48" s="1"/>
  <c r="M11" i="48" s="1"/>
  <c r="M10" i="48"/>
  <c r="E82" i="48"/>
  <c r="E10" i="48"/>
  <c r="F11" i="49"/>
  <c r="G11" i="49" s="1"/>
  <c r="M11" i="49" s="1"/>
  <c r="M10" i="49"/>
  <c r="E14" i="49"/>
  <c r="F81" i="46"/>
  <c r="F83" i="46"/>
  <c r="G81" i="46"/>
  <c r="M81" i="46" s="1"/>
  <c r="F85" i="49"/>
  <c r="G85" i="49" s="1"/>
  <c r="M85" i="49" s="1"/>
  <c r="G83" i="49"/>
  <c r="F83" i="49"/>
  <c r="F18" i="49"/>
  <c r="F15" i="49"/>
  <c r="F85" i="48"/>
  <c r="G85" i="48" s="1"/>
  <c r="M85" i="48" s="1"/>
  <c r="G83" i="48"/>
  <c r="F83" i="48"/>
  <c r="G14" i="48"/>
  <c r="M14" i="48" s="1"/>
  <c r="F73" i="47"/>
  <c r="G71" i="47"/>
  <c r="F71" i="47"/>
  <c r="G18" i="47"/>
  <c r="E18" i="47" s="1"/>
  <c r="G21" i="47"/>
  <c r="F22" i="47" s="1"/>
  <c r="F69" i="31"/>
  <c r="G67" i="31"/>
  <c r="F67" i="31"/>
  <c r="F20" i="31"/>
  <c r="F26" i="46"/>
  <c r="F23" i="46"/>
  <c r="E22" i="46"/>
  <c r="E21" i="47" l="1"/>
  <c r="M67" i="31"/>
  <c r="F19" i="47"/>
  <c r="M18" i="47"/>
  <c r="M71" i="47"/>
  <c r="M83" i="48"/>
  <c r="E11" i="48"/>
  <c r="E14" i="48"/>
  <c r="E11" i="49"/>
  <c r="M83" i="49"/>
  <c r="G83" i="46"/>
  <c r="M83" i="46" s="1"/>
  <c r="E81" i="46"/>
  <c r="G15" i="49"/>
  <c r="E15" i="49" s="1"/>
  <c r="G18" i="49"/>
  <c r="E18" i="49" s="1"/>
  <c r="E83" i="49"/>
  <c r="E85" i="49"/>
  <c r="F18" i="48"/>
  <c r="F15" i="48"/>
  <c r="E83" i="48"/>
  <c r="E85" i="48"/>
  <c r="G22" i="47"/>
  <c r="M22" i="47" s="1"/>
  <c r="E71" i="47"/>
  <c r="G73" i="47"/>
  <c r="G20" i="31"/>
  <c r="M20" i="31" s="1"/>
  <c r="P13" i="45"/>
  <c r="K13" i="45"/>
  <c r="G23" i="31"/>
  <c r="M23" i="31" s="1"/>
  <c r="E67" i="31"/>
  <c r="G69" i="31"/>
  <c r="M69" i="31" s="1"/>
  <c r="E69" i="31"/>
  <c r="G23" i="46"/>
  <c r="M23" i="46" s="1"/>
  <c r="G26" i="46"/>
  <c r="E22" i="47" l="1"/>
  <c r="E23" i="31"/>
  <c r="G19" i="47"/>
  <c r="M19" i="47" s="1"/>
  <c r="E20" i="31"/>
  <c r="F27" i="46"/>
  <c r="G27" i="46" s="1"/>
  <c r="M27" i="46" s="1"/>
  <c r="M26" i="46"/>
  <c r="F24" i="46"/>
  <c r="G24" i="46" s="1"/>
  <c r="E23" i="46"/>
  <c r="E73" i="47"/>
  <c r="M73" i="47"/>
  <c r="F19" i="49"/>
  <c r="M18" i="49"/>
  <c r="F16" i="49"/>
  <c r="M15" i="49"/>
  <c r="E83" i="46"/>
  <c r="F86" i="46"/>
  <c r="G84" i="46"/>
  <c r="F84" i="46"/>
  <c r="F88" i="49"/>
  <c r="G88" i="49" s="1"/>
  <c r="M88" i="49" s="1"/>
  <c r="G86" i="49"/>
  <c r="F86" i="49"/>
  <c r="G19" i="49"/>
  <c r="M19" i="49" s="1"/>
  <c r="G16" i="49"/>
  <c r="M16" i="49" s="1"/>
  <c r="F88" i="48"/>
  <c r="G86" i="48"/>
  <c r="F86" i="48"/>
  <c r="G15" i="48"/>
  <c r="G18" i="48"/>
  <c r="E18" i="48" s="1"/>
  <c r="F76" i="47"/>
  <c r="G74" i="47"/>
  <c r="F74" i="47"/>
  <c r="F26" i="47"/>
  <c r="F23" i="47"/>
  <c r="F72" i="31"/>
  <c r="G70" i="31"/>
  <c r="F70" i="31"/>
  <c r="F27" i="31"/>
  <c r="F24" i="31"/>
  <c r="Z12" i="45"/>
  <c r="U12" i="45"/>
  <c r="E26" i="46"/>
  <c r="E16" i="49" l="1"/>
  <c r="E19" i="47"/>
  <c r="M70" i="31"/>
  <c r="E24" i="46"/>
  <c r="M24" i="46"/>
  <c r="M84" i="46"/>
  <c r="M74" i="47"/>
  <c r="F16" i="48"/>
  <c r="G16" i="48" s="1"/>
  <c r="M16" i="48" s="1"/>
  <c r="M15" i="48"/>
  <c r="E15" i="48"/>
  <c r="M86" i="48"/>
  <c r="F19" i="48"/>
  <c r="G19" i="48" s="1"/>
  <c r="M19" i="48" s="1"/>
  <c r="M18" i="48"/>
  <c r="E19" i="49"/>
  <c r="M86" i="49"/>
  <c r="E84" i="46"/>
  <c r="G86" i="46"/>
  <c r="M86" i="46" s="1"/>
  <c r="F23" i="49"/>
  <c r="F20" i="49"/>
  <c r="E86" i="49"/>
  <c r="E88" i="49"/>
  <c r="E86" i="48"/>
  <c r="G88" i="48"/>
  <c r="M88" i="48" s="1"/>
  <c r="G23" i="47"/>
  <c r="E23" i="47"/>
  <c r="G26" i="47"/>
  <c r="E26" i="47" s="1"/>
  <c r="E74" i="47"/>
  <c r="G76" i="47"/>
  <c r="G24" i="31"/>
  <c r="M24" i="31" s="1"/>
  <c r="G27" i="31"/>
  <c r="M27" i="31" s="1"/>
  <c r="E27" i="31"/>
  <c r="E70" i="31"/>
  <c r="G72" i="31"/>
  <c r="F31" i="46"/>
  <c r="F28" i="46"/>
  <c r="E27" i="46"/>
  <c r="E24" i="31" l="1"/>
  <c r="E86" i="46"/>
  <c r="E72" i="31"/>
  <c r="M72" i="31"/>
  <c r="E76" i="47"/>
  <c r="M76" i="47"/>
  <c r="F27" i="47"/>
  <c r="M26" i="47"/>
  <c r="F24" i="47"/>
  <c r="G24" i="47" s="1"/>
  <c r="M23" i="47"/>
  <c r="E16" i="48"/>
  <c r="E88" i="48"/>
  <c r="E19" i="48"/>
  <c r="F89" i="46"/>
  <c r="G87" i="46"/>
  <c r="F87" i="46"/>
  <c r="F91" i="49"/>
  <c r="G91" i="49" s="1"/>
  <c r="M91" i="49" s="1"/>
  <c r="G89" i="49"/>
  <c r="F89" i="49"/>
  <c r="G20" i="49"/>
  <c r="E20" i="49" s="1"/>
  <c r="G23" i="49"/>
  <c r="E23" i="49" s="1"/>
  <c r="F91" i="48"/>
  <c r="G91" i="48" s="1"/>
  <c r="M91" i="48" s="1"/>
  <c r="G89" i="48"/>
  <c r="F89" i="48"/>
  <c r="F23" i="48"/>
  <c r="F20" i="48"/>
  <c r="F79" i="47"/>
  <c r="G77" i="47"/>
  <c r="F77" i="47"/>
  <c r="G27" i="47"/>
  <c r="M27" i="47" s="1"/>
  <c r="E27" i="47"/>
  <c r="F75" i="31"/>
  <c r="G73" i="31"/>
  <c r="F73" i="31"/>
  <c r="F28" i="31"/>
  <c r="F25" i="31"/>
  <c r="G28" i="46"/>
  <c r="M28" i="46" s="1"/>
  <c r="G31" i="46"/>
  <c r="E56" i="46"/>
  <c r="M24" i="47" l="1"/>
  <c r="E24" i="47"/>
  <c r="M73" i="31"/>
  <c r="F32" i="46"/>
  <c r="G32" i="46" s="1"/>
  <c r="M32" i="46" s="1"/>
  <c r="M31" i="46"/>
  <c r="M87" i="46"/>
  <c r="F29" i="46"/>
  <c r="E28" i="46"/>
  <c r="M77" i="47"/>
  <c r="M89" i="48"/>
  <c r="F24" i="49"/>
  <c r="M23" i="49"/>
  <c r="F21" i="49"/>
  <c r="M20" i="49"/>
  <c r="M89" i="49"/>
  <c r="E87" i="46"/>
  <c r="G89" i="46"/>
  <c r="M89" i="46" s="1"/>
  <c r="G24" i="49"/>
  <c r="M24" i="49" s="1"/>
  <c r="G21" i="49"/>
  <c r="M21" i="49" s="1"/>
  <c r="E89" i="49"/>
  <c r="E91" i="49"/>
  <c r="G20" i="48"/>
  <c r="E20" i="48" s="1"/>
  <c r="G23" i="48"/>
  <c r="E89" i="48"/>
  <c r="E91" i="48"/>
  <c r="F31" i="47"/>
  <c r="F28" i="47"/>
  <c r="E77" i="47"/>
  <c r="G79" i="47"/>
  <c r="M79" i="47" s="1"/>
  <c r="E79" i="47"/>
  <c r="G25" i="31"/>
  <c r="M25" i="31" s="1"/>
  <c r="G28" i="31"/>
  <c r="M28" i="31" s="1"/>
  <c r="E28" i="31"/>
  <c r="E73" i="31"/>
  <c r="G75" i="31"/>
  <c r="E31" i="46"/>
  <c r="G29" i="46"/>
  <c r="E89" i="46" l="1"/>
  <c r="E32" i="46"/>
  <c r="E25" i="31"/>
  <c r="E75" i="31"/>
  <c r="M75" i="31"/>
  <c r="E29" i="46"/>
  <c r="M29" i="46"/>
  <c r="F24" i="48"/>
  <c r="G24" i="48" s="1"/>
  <c r="M24" i="48" s="1"/>
  <c r="M23" i="48"/>
  <c r="E23" i="48"/>
  <c r="F21" i="48"/>
  <c r="G21" i="48" s="1"/>
  <c r="M21" i="48" s="1"/>
  <c r="M20" i="48"/>
  <c r="E24" i="49"/>
  <c r="E21" i="49"/>
  <c r="F92" i="46"/>
  <c r="G90" i="46"/>
  <c r="F90" i="46"/>
  <c r="F94" i="49"/>
  <c r="G94" i="49" s="1"/>
  <c r="M94" i="49" s="1"/>
  <c r="G92" i="49"/>
  <c r="F92" i="49"/>
  <c r="F28" i="49"/>
  <c r="F25" i="49"/>
  <c r="F94" i="48"/>
  <c r="G92" i="48"/>
  <c r="F92" i="48"/>
  <c r="F82" i="47"/>
  <c r="G80" i="47"/>
  <c r="F80" i="47"/>
  <c r="G28" i="47"/>
  <c r="E28" i="47"/>
  <c r="G31" i="47"/>
  <c r="E31" i="47" s="1"/>
  <c r="F78" i="31"/>
  <c r="G76" i="31"/>
  <c r="F76" i="31"/>
  <c r="F32" i="31"/>
  <c r="F29" i="31"/>
  <c r="F36" i="46"/>
  <c r="F33" i="46"/>
  <c r="M76" i="31" l="1"/>
  <c r="M90" i="46"/>
  <c r="F32" i="47"/>
  <c r="G32" i="47" s="1"/>
  <c r="M32" i="47" s="1"/>
  <c r="M31" i="47"/>
  <c r="F29" i="47"/>
  <c r="G29" i="47" s="1"/>
  <c r="M29" i="47" s="1"/>
  <c r="M28" i="47"/>
  <c r="M80" i="47"/>
  <c r="E24" i="48"/>
  <c r="M92" i="48"/>
  <c r="E21" i="48"/>
  <c r="M92" i="49"/>
  <c r="E90" i="46"/>
  <c r="G92" i="46"/>
  <c r="M92" i="46" s="1"/>
  <c r="G25" i="49"/>
  <c r="E25" i="49" s="1"/>
  <c r="G28" i="49"/>
  <c r="E28" i="49" s="1"/>
  <c r="E92" i="49"/>
  <c r="E94" i="49"/>
  <c r="F28" i="48"/>
  <c r="F25" i="48"/>
  <c r="E92" i="48"/>
  <c r="G94" i="48"/>
  <c r="M94" i="48" s="1"/>
  <c r="E80" i="47"/>
  <c r="G82" i="47"/>
  <c r="G29" i="31"/>
  <c r="M29" i="31" s="1"/>
  <c r="E29" i="31"/>
  <c r="G32" i="31"/>
  <c r="E32" i="31"/>
  <c r="E76" i="31"/>
  <c r="G78" i="31"/>
  <c r="M78" i="31" s="1"/>
  <c r="E78" i="31"/>
  <c r="G33" i="46"/>
  <c r="G36" i="46"/>
  <c r="M36" i="46" s="1"/>
  <c r="F58" i="46"/>
  <c r="E57" i="46"/>
  <c r="E92" i="46" l="1"/>
  <c r="E32" i="47"/>
  <c r="E29" i="47"/>
  <c r="F33" i="31"/>
  <c r="G33" i="31" s="1"/>
  <c r="M32" i="31"/>
  <c r="F34" i="46"/>
  <c r="M33" i="46"/>
  <c r="F37" i="46"/>
  <c r="E36" i="46"/>
  <c r="E82" i="47"/>
  <c r="M82" i="47"/>
  <c r="E94" i="48"/>
  <c r="F29" i="49"/>
  <c r="M28" i="49"/>
  <c r="F26" i="49"/>
  <c r="M25" i="49"/>
  <c r="F93" i="46"/>
  <c r="G93" i="46"/>
  <c r="F95" i="46"/>
  <c r="F97" i="49"/>
  <c r="G97" i="49" s="1"/>
  <c r="M97" i="49" s="1"/>
  <c r="G95" i="49"/>
  <c r="F95" i="49"/>
  <c r="F97" i="48"/>
  <c r="G97" i="48" s="1"/>
  <c r="M97" i="48" s="1"/>
  <c r="G95" i="48"/>
  <c r="F95" i="48"/>
  <c r="G25" i="48"/>
  <c r="E25" i="48" s="1"/>
  <c r="G28" i="48"/>
  <c r="F85" i="47"/>
  <c r="G83" i="47"/>
  <c r="F83" i="47"/>
  <c r="F36" i="47"/>
  <c r="F33" i="47"/>
  <c r="F81" i="31"/>
  <c r="G79" i="31"/>
  <c r="F79" i="31"/>
  <c r="F30" i="31"/>
  <c r="G58" i="46"/>
  <c r="M58" i="46" s="1"/>
  <c r="G34" i="46"/>
  <c r="G37" i="46"/>
  <c r="M37" i="46" s="1"/>
  <c r="E33" i="46"/>
  <c r="E33" i="31" l="1"/>
  <c r="F34" i="31"/>
  <c r="E58" i="46"/>
  <c r="M93" i="46"/>
  <c r="F37" i="31"/>
  <c r="M33" i="31"/>
  <c r="M79" i="31"/>
  <c r="E34" i="46"/>
  <c r="M34" i="46"/>
  <c r="M83" i="47"/>
  <c r="M95" i="48"/>
  <c r="F29" i="48"/>
  <c r="G29" i="48" s="1"/>
  <c r="M29" i="48" s="1"/>
  <c r="M28" i="48"/>
  <c r="E28" i="48"/>
  <c r="F26" i="48"/>
  <c r="G26" i="48" s="1"/>
  <c r="M26" i="48" s="1"/>
  <c r="M25" i="48"/>
  <c r="G26" i="49"/>
  <c r="M26" i="49" s="1"/>
  <c r="G29" i="49"/>
  <c r="M29" i="49" s="1"/>
  <c r="M95" i="49"/>
  <c r="G95" i="46"/>
  <c r="M95" i="46" s="1"/>
  <c r="E95" i="46"/>
  <c r="E93" i="46"/>
  <c r="E95" i="49"/>
  <c r="E97" i="49"/>
  <c r="E95" i="48"/>
  <c r="E97" i="48"/>
  <c r="G33" i="47"/>
  <c r="E33" i="47" s="1"/>
  <c r="G36" i="47"/>
  <c r="E36" i="47" s="1"/>
  <c r="E83" i="47"/>
  <c r="G85" i="47"/>
  <c r="M85" i="47" s="1"/>
  <c r="E85" i="47"/>
  <c r="G30" i="31"/>
  <c r="M30" i="31" s="1"/>
  <c r="E30" i="31"/>
  <c r="G34" i="31"/>
  <c r="M34" i="31" s="1"/>
  <c r="E34" i="31"/>
  <c r="G37" i="31"/>
  <c r="E37" i="31"/>
  <c r="E79" i="31"/>
  <c r="G81" i="31"/>
  <c r="M81" i="31" s="1"/>
  <c r="F41" i="46"/>
  <c r="F38" i="46"/>
  <c r="E37" i="46"/>
  <c r="E81" i="31" l="1"/>
  <c r="F38" i="31"/>
  <c r="M37" i="31"/>
  <c r="F37" i="47"/>
  <c r="G37" i="47" s="1"/>
  <c r="M37" i="47" s="1"/>
  <c r="M36" i="47"/>
  <c r="F34" i="47"/>
  <c r="M33" i="47"/>
  <c r="E26" i="48"/>
  <c r="E29" i="48"/>
  <c r="F30" i="49"/>
  <c r="G30" i="49" s="1"/>
  <c r="E30" i="49" s="1"/>
  <c r="F33" i="49"/>
  <c r="E29" i="49"/>
  <c r="E26" i="49"/>
  <c r="F96" i="46"/>
  <c r="F98" i="46"/>
  <c r="G96" i="46"/>
  <c r="F100" i="49"/>
  <c r="G100" i="49" s="1"/>
  <c r="M100" i="49" s="1"/>
  <c r="G98" i="49"/>
  <c r="F98" i="49"/>
  <c r="G33" i="49"/>
  <c r="E33" i="49" s="1"/>
  <c r="F100" i="48"/>
  <c r="G98" i="48"/>
  <c r="F98" i="48"/>
  <c r="F33" i="48"/>
  <c r="F30" i="48"/>
  <c r="G86" i="47"/>
  <c r="F86" i="47"/>
  <c r="G34" i="47"/>
  <c r="M34" i="47" s="1"/>
  <c r="G82" i="31"/>
  <c r="F82" i="31"/>
  <c r="G38" i="31"/>
  <c r="E38" i="31"/>
  <c r="F39" i="31"/>
  <c r="F35" i="31"/>
  <c r="G38" i="46"/>
  <c r="G41" i="46"/>
  <c r="E41" i="46" s="1"/>
  <c r="M96" i="46" l="1"/>
  <c r="E34" i="47"/>
  <c r="E37" i="47"/>
  <c r="F42" i="31"/>
  <c r="M38" i="31"/>
  <c r="M82" i="31"/>
  <c r="F42" i="46"/>
  <c r="M41" i="46"/>
  <c r="F39" i="46"/>
  <c r="M38" i="46"/>
  <c r="M86" i="47"/>
  <c r="M98" i="48"/>
  <c r="M98" i="49"/>
  <c r="F34" i="49"/>
  <c r="M33" i="49"/>
  <c r="F31" i="49"/>
  <c r="M30" i="49"/>
  <c r="G98" i="46"/>
  <c r="M98" i="46" s="1"/>
  <c r="E96" i="46"/>
  <c r="G34" i="49"/>
  <c r="M34" i="49" s="1"/>
  <c r="G31" i="49"/>
  <c r="M31" i="49" s="1"/>
  <c r="E98" i="49"/>
  <c r="E100" i="49"/>
  <c r="G30" i="48"/>
  <c r="E30" i="48" s="1"/>
  <c r="G33" i="48"/>
  <c r="E33" i="48" s="1"/>
  <c r="E98" i="48"/>
  <c r="G100" i="48"/>
  <c r="F41" i="47"/>
  <c r="F38" i="47"/>
  <c r="E86" i="47"/>
  <c r="G35" i="31"/>
  <c r="M35" i="31" s="1"/>
  <c r="G39" i="31"/>
  <c r="M39" i="31" s="1"/>
  <c r="G42" i="31"/>
  <c r="E42" i="31"/>
  <c r="E82" i="31"/>
  <c r="G39" i="46"/>
  <c r="M39" i="46" s="1"/>
  <c r="E38" i="46"/>
  <c r="G42" i="46"/>
  <c r="M42" i="46" s="1"/>
  <c r="E98" i="46" l="1"/>
  <c r="E39" i="46"/>
  <c r="E35" i="31"/>
  <c r="E39" i="31"/>
  <c r="F43" i="31"/>
  <c r="M42" i="31"/>
  <c r="E100" i="48"/>
  <c r="M100" i="48"/>
  <c r="F34" i="48"/>
  <c r="G34" i="48" s="1"/>
  <c r="M34" i="48" s="1"/>
  <c r="M33" i="48"/>
  <c r="F31" i="48"/>
  <c r="G31" i="48" s="1"/>
  <c r="M31" i="48" s="1"/>
  <c r="M30" i="48"/>
  <c r="E34" i="49"/>
  <c r="E31" i="49"/>
  <c r="F101" i="46"/>
  <c r="G99" i="46"/>
  <c r="F99" i="46"/>
  <c r="F103" i="49"/>
  <c r="G101" i="49"/>
  <c r="F101" i="49"/>
  <c r="F38" i="49"/>
  <c r="F35" i="49"/>
  <c r="F103" i="48"/>
  <c r="G103" i="48" s="1"/>
  <c r="G101" i="48"/>
  <c r="F101" i="48"/>
  <c r="G38" i="47"/>
  <c r="E38" i="47" s="1"/>
  <c r="G41" i="47"/>
  <c r="E41" i="47" s="1"/>
  <c r="G43" i="31"/>
  <c r="F44" i="31" s="1"/>
  <c r="E43" i="31"/>
  <c r="F40" i="31"/>
  <c r="F46" i="46"/>
  <c r="F43" i="46"/>
  <c r="E42" i="46"/>
  <c r="F88" i="31" l="1"/>
  <c r="M43" i="31"/>
  <c r="M99" i="46"/>
  <c r="F42" i="47"/>
  <c r="G42" i="47" s="1"/>
  <c r="E42" i="47" s="1"/>
  <c r="M41" i="47"/>
  <c r="F39" i="47"/>
  <c r="G39" i="47" s="1"/>
  <c r="M39" i="47" s="1"/>
  <c r="M38" i="47"/>
  <c r="E34" i="48"/>
  <c r="E31" i="48"/>
  <c r="M101" i="48"/>
  <c r="G104" i="48"/>
  <c r="M103" i="48"/>
  <c r="M101" i="49"/>
  <c r="E99" i="46"/>
  <c r="G101" i="46"/>
  <c r="M101" i="46" s="1"/>
  <c r="G35" i="49"/>
  <c r="E35" i="49" s="1"/>
  <c r="G38" i="49"/>
  <c r="E38" i="49" s="1"/>
  <c r="E101" i="49"/>
  <c r="G103" i="49"/>
  <c r="M103" i="49" s="1"/>
  <c r="F38" i="48"/>
  <c r="F35" i="48"/>
  <c r="E101" i="48"/>
  <c r="E103" i="48"/>
  <c r="G40" i="31"/>
  <c r="M40" i="31" s="1"/>
  <c r="E40" i="31"/>
  <c r="G44" i="31"/>
  <c r="E44" i="31" s="1"/>
  <c r="G43" i="46"/>
  <c r="E43" i="46" s="1"/>
  <c r="G46" i="46"/>
  <c r="E101" i="46" l="1"/>
  <c r="E39" i="47"/>
  <c r="F45" i="31"/>
  <c r="M44" i="31"/>
  <c r="F47" i="46"/>
  <c r="G47" i="46" s="1"/>
  <c r="M47" i="46" s="1"/>
  <c r="M46" i="46"/>
  <c r="F44" i="46"/>
  <c r="G44" i="46" s="1"/>
  <c r="M43" i="46"/>
  <c r="M42" i="47"/>
  <c r="F92" i="47"/>
  <c r="E103" i="49"/>
  <c r="F39" i="49"/>
  <c r="G39" i="49" s="1"/>
  <c r="M39" i="49" s="1"/>
  <c r="M38" i="49"/>
  <c r="F36" i="49"/>
  <c r="G36" i="49" s="1"/>
  <c r="M36" i="49" s="1"/>
  <c r="M35" i="49"/>
  <c r="G102" i="46"/>
  <c r="F102" i="46"/>
  <c r="G104" i="49"/>
  <c r="F104" i="49"/>
  <c r="F104" i="48"/>
  <c r="M104" i="48" s="1"/>
  <c r="G35" i="48"/>
  <c r="E35" i="48" s="1"/>
  <c r="G38" i="48"/>
  <c r="E38" i="48" s="1"/>
  <c r="F43" i="47"/>
  <c r="G96" i="31"/>
  <c r="G88" i="31"/>
  <c r="G45" i="31"/>
  <c r="E46" i="46"/>
  <c r="E45" i="31" l="1"/>
  <c r="M45" i="31"/>
  <c r="E88" i="31"/>
  <c r="M88" i="31"/>
  <c r="F96" i="31"/>
  <c r="M96" i="31" s="1"/>
  <c r="E44" i="46"/>
  <c r="M44" i="46"/>
  <c r="M102" i="46"/>
  <c r="F39" i="48"/>
  <c r="G39" i="48" s="1"/>
  <c r="M38" i="48"/>
  <c r="F36" i="48"/>
  <c r="M35" i="48"/>
  <c r="E36" i="49"/>
  <c r="E39" i="49"/>
  <c r="M104" i="49"/>
  <c r="E102" i="46"/>
  <c r="F43" i="49"/>
  <c r="F40" i="49"/>
  <c r="E104" i="49"/>
  <c r="G119" i="49"/>
  <c r="M119" i="49" s="1"/>
  <c r="G36" i="48"/>
  <c r="M36" i="48" s="1"/>
  <c r="E104" i="48"/>
  <c r="G100" i="47"/>
  <c r="G92" i="47"/>
  <c r="G43" i="47"/>
  <c r="E43" i="47"/>
  <c r="F90" i="31"/>
  <c r="G90" i="31" s="1"/>
  <c r="M90" i="31" s="1"/>
  <c r="F89" i="31"/>
  <c r="G89" i="31" s="1"/>
  <c r="M89" i="31" s="1"/>
  <c r="E96" i="31"/>
  <c r="F51" i="46"/>
  <c r="F48" i="46"/>
  <c r="E47" i="46"/>
  <c r="F44" i="47" l="1"/>
  <c r="G44" i="47" s="1"/>
  <c r="M43" i="47"/>
  <c r="E92" i="47"/>
  <c r="M92" i="47"/>
  <c r="F100" i="47"/>
  <c r="M100" i="47" s="1"/>
  <c r="M39" i="48"/>
  <c r="E39" i="48"/>
  <c r="E36" i="48"/>
  <c r="E119" i="49"/>
  <c r="E73" i="49"/>
  <c r="G40" i="49"/>
  <c r="E40" i="49" s="1"/>
  <c r="G43" i="49"/>
  <c r="E43" i="49" s="1"/>
  <c r="F43" i="48"/>
  <c r="F40" i="48"/>
  <c r="F94" i="47"/>
  <c r="G94" i="47" s="1"/>
  <c r="M94" i="47" s="1"/>
  <c r="F93" i="47"/>
  <c r="G93" i="47" s="1"/>
  <c r="M93" i="47" s="1"/>
  <c r="E100" i="47"/>
  <c r="E89" i="31"/>
  <c r="F91" i="31"/>
  <c r="E90" i="31"/>
  <c r="G48" i="46"/>
  <c r="G51" i="46"/>
  <c r="M44" i="47" l="1"/>
  <c r="F50" i="47"/>
  <c r="E44" i="47"/>
  <c r="F52" i="46"/>
  <c r="G52" i="46" s="1"/>
  <c r="M52" i="46" s="1"/>
  <c r="M51" i="46"/>
  <c r="F49" i="46"/>
  <c r="G49" i="46" s="1"/>
  <c r="M49" i="46" s="1"/>
  <c r="M48" i="46"/>
  <c r="F44" i="49"/>
  <c r="G44" i="49" s="1"/>
  <c r="M44" i="49" s="1"/>
  <c r="M43" i="49"/>
  <c r="F41" i="49"/>
  <c r="M40" i="49"/>
  <c r="G41" i="49"/>
  <c r="M41" i="49" s="1"/>
  <c r="G40" i="48"/>
  <c r="E40" i="48" s="1"/>
  <c r="G43" i="48"/>
  <c r="E43" i="48" s="1"/>
  <c r="E93" i="47"/>
  <c r="F95" i="47"/>
  <c r="E94" i="47"/>
  <c r="G91" i="31"/>
  <c r="E91" i="31" s="1"/>
  <c r="E51" i="46"/>
  <c r="E48" i="46"/>
  <c r="E52" i="46" l="1"/>
  <c r="E49" i="46"/>
  <c r="F92" i="31"/>
  <c r="G92" i="31" s="1"/>
  <c r="M92" i="31" s="1"/>
  <c r="M91" i="31"/>
  <c r="F44" i="48"/>
  <c r="G44" i="48" s="1"/>
  <c r="M44" i="48" s="1"/>
  <c r="M43" i="48"/>
  <c r="F41" i="48"/>
  <c r="G41" i="48" s="1"/>
  <c r="M41" i="48" s="1"/>
  <c r="M40" i="48"/>
  <c r="E44" i="49"/>
  <c r="E41" i="49"/>
  <c r="F48" i="49"/>
  <c r="F45" i="49"/>
  <c r="G95" i="47"/>
  <c r="F53" i="46"/>
  <c r="F108" i="46"/>
  <c r="F93" i="31" l="1"/>
  <c r="F96" i="47"/>
  <c r="G96" i="47" s="1"/>
  <c r="M96" i="47" s="1"/>
  <c r="M95" i="47"/>
  <c r="E41" i="48"/>
  <c r="E44" i="48"/>
  <c r="E95" i="47"/>
  <c r="E92" i="31"/>
  <c r="G45" i="49"/>
  <c r="E45" i="49" s="1"/>
  <c r="G48" i="49"/>
  <c r="E48" i="49" s="1"/>
  <c r="F48" i="48"/>
  <c r="F45" i="48"/>
  <c r="F97" i="47"/>
  <c r="E96" i="47"/>
  <c r="G93" i="31"/>
  <c r="G108" i="46"/>
  <c r="M108" i="46" s="1"/>
  <c r="G116" i="46"/>
  <c r="G53" i="46"/>
  <c r="E53" i="46" s="1"/>
  <c r="E108" i="46" l="1"/>
  <c r="F94" i="31"/>
  <c r="M93" i="31"/>
  <c r="F54" i="46"/>
  <c r="M53" i="46"/>
  <c r="F116" i="46"/>
  <c r="M116" i="46"/>
  <c r="F49" i="49"/>
  <c r="M48" i="49"/>
  <c r="F46" i="49"/>
  <c r="G46" i="49" s="1"/>
  <c r="M46" i="49" s="1"/>
  <c r="M45" i="49"/>
  <c r="E93" i="31"/>
  <c r="G49" i="49"/>
  <c r="M49" i="49" s="1"/>
  <c r="G45" i="48"/>
  <c r="E45" i="48" s="1"/>
  <c r="G48" i="48"/>
  <c r="E48" i="48" s="1"/>
  <c r="G97" i="47"/>
  <c r="E97" i="47" s="1"/>
  <c r="G94" i="31"/>
  <c r="E116" i="46"/>
  <c r="G54" i="46"/>
  <c r="F110" i="46"/>
  <c r="F109" i="46"/>
  <c r="F86" i="31" l="1"/>
  <c r="G86" i="31" s="1"/>
  <c r="M86" i="31" s="1"/>
  <c r="M94" i="31"/>
  <c r="F51" i="31"/>
  <c r="E54" i="46"/>
  <c r="M54" i="46"/>
  <c r="F98" i="47"/>
  <c r="G98" i="47" s="1"/>
  <c r="E98" i="47" s="1"/>
  <c r="M97" i="47"/>
  <c r="F49" i="48"/>
  <c r="G49" i="48" s="1"/>
  <c r="M49" i="48" s="1"/>
  <c r="M48" i="48"/>
  <c r="F46" i="48"/>
  <c r="G46" i="48" s="1"/>
  <c r="M46" i="48" s="1"/>
  <c r="M45" i="48"/>
  <c r="E46" i="49"/>
  <c r="E49" i="49"/>
  <c r="E94" i="31"/>
  <c r="F53" i="49"/>
  <c r="F50" i="49"/>
  <c r="E86" i="31"/>
  <c r="G109" i="46"/>
  <c r="G110" i="46"/>
  <c r="F111" i="46" l="1"/>
  <c r="G111" i="46" s="1"/>
  <c r="M110" i="46"/>
  <c r="E109" i="46"/>
  <c r="M109" i="46"/>
  <c r="F90" i="47"/>
  <c r="G90" i="47" s="1"/>
  <c r="M90" i="47" s="1"/>
  <c r="M98" i="47"/>
  <c r="E49" i="48"/>
  <c r="E46" i="48"/>
  <c r="G50" i="49"/>
  <c r="E50" i="49" s="1"/>
  <c r="G53" i="49"/>
  <c r="E53" i="49" s="1"/>
  <c r="F53" i="48"/>
  <c r="F50" i="48"/>
  <c r="G97" i="31"/>
  <c r="M97" i="31" s="1"/>
  <c r="E71" i="46"/>
  <c r="E110" i="46"/>
  <c r="E90" i="47" l="1"/>
  <c r="E97" i="31"/>
  <c r="F112" i="46"/>
  <c r="M111" i="46"/>
  <c r="F54" i="49"/>
  <c r="G54" i="49" s="1"/>
  <c r="E54" i="49" s="1"/>
  <c r="M53" i="49"/>
  <c r="F51" i="49"/>
  <c r="G51" i="49" s="1"/>
  <c r="M51" i="49" s="1"/>
  <c r="M50" i="49"/>
  <c r="G50" i="48"/>
  <c r="E50" i="48" s="1"/>
  <c r="G53" i="48"/>
  <c r="E53" i="48" s="1"/>
  <c r="G112" i="46"/>
  <c r="E111" i="46"/>
  <c r="F113" i="46" l="1"/>
  <c r="G113" i="46" s="1"/>
  <c r="M112" i="46"/>
  <c r="F54" i="48"/>
  <c r="M53" i="48"/>
  <c r="F51" i="48"/>
  <c r="M50" i="48"/>
  <c r="E51" i="49"/>
  <c r="F110" i="49"/>
  <c r="M54" i="49"/>
  <c r="F55" i="49"/>
  <c r="G54" i="48"/>
  <c r="G51" i="48"/>
  <c r="M51" i="48" s="1"/>
  <c r="E112" i="46"/>
  <c r="F114" i="46" l="1"/>
  <c r="G114" i="46" s="1"/>
  <c r="M113" i="46"/>
  <c r="E51" i="48"/>
  <c r="F110" i="48"/>
  <c r="G110" i="48" s="1"/>
  <c r="M110" i="48" s="1"/>
  <c r="M54" i="48"/>
  <c r="E54" i="48"/>
  <c r="G118" i="49"/>
  <c r="G110" i="49"/>
  <c r="M110" i="49" s="1"/>
  <c r="G55" i="49"/>
  <c r="E55" i="49" s="1"/>
  <c r="F55" i="48"/>
  <c r="E113" i="46"/>
  <c r="E114" i="46" l="1"/>
  <c r="F106" i="46"/>
  <c r="M114" i="46"/>
  <c r="E110" i="49"/>
  <c r="F56" i="49"/>
  <c r="G56" i="49" s="1"/>
  <c r="M55" i="49"/>
  <c r="F118" i="49"/>
  <c r="M118" i="49" s="1"/>
  <c r="F112" i="49"/>
  <c r="F111" i="49"/>
  <c r="G118" i="48"/>
  <c r="E110" i="48"/>
  <c r="G55" i="48"/>
  <c r="E55" i="48" s="1"/>
  <c r="F60" i="46"/>
  <c r="E118" i="49" l="1"/>
  <c r="M56" i="49"/>
  <c r="F62" i="49"/>
  <c r="F56" i="48"/>
  <c r="G56" i="48" s="1"/>
  <c r="M56" i="48" s="1"/>
  <c r="M55" i="48"/>
  <c r="F118" i="48"/>
  <c r="M118" i="48" s="1"/>
  <c r="E56" i="49"/>
  <c r="G111" i="49"/>
  <c r="M111" i="49" s="1"/>
  <c r="G112" i="49"/>
  <c r="E73" i="48"/>
  <c r="F112" i="48"/>
  <c r="G112" i="48" s="1"/>
  <c r="M112" i="48" s="1"/>
  <c r="F111" i="48"/>
  <c r="G111" i="48" s="1"/>
  <c r="M111" i="48" s="1"/>
  <c r="G60" i="46"/>
  <c r="M60" i="46" s="1"/>
  <c r="G106" i="46"/>
  <c r="E60" i="46" l="1"/>
  <c r="E118" i="48"/>
  <c r="F68" i="46"/>
  <c r="G68" i="46" s="1"/>
  <c r="M68" i="46" s="1"/>
  <c r="M106" i="46"/>
  <c r="E56" i="48"/>
  <c r="E111" i="49"/>
  <c r="F113" i="49"/>
  <c r="M112" i="49"/>
  <c r="E112" i="49"/>
  <c r="G119" i="46"/>
  <c r="E106" i="46"/>
  <c r="G113" i="49"/>
  <c r="E111" i="48"/>
  <c r="F113" i="48"/>
  <c r="E112" i="48"/>
  <c r="G117" i="46"/>
  <c r="M117" i="46" s="1"/>
  <c r="E68" i="46"/>
  <c r="E117" i="46" l="1"/>
  <c r="F119" i="46"/>
  <c r="M119" i="46" s="1"/>
  <c r="F114" i="49"/>
  <c r="M113" i="49"/>
  <c r="E113" i="49"/>
  <c r="E119" i="46"/>
  <c r="G114" i="49"/>
  <c r="E114" i="49" s="1"/>
  <c r="G113" i="48"/>
  <c r="F114" i="48" l="1"/>
  <c r="G114" i="48" s="1"/>
  <c r="M114" i="48" s="1"/>
  <c r="M113" i="48"/>
  <c r="F115" i="49"/>
  <c r="G115" i="49" s="1"/>
  <c r="M114" i="49"/>
  <c r="E113" i="48"/>
  <c r="G62" i="49"/>
  <c r="F115" i="48" l="1"/>
  <c r="G115" i="48" s="1"/>
  <c r="F70" i="49"/>
  <c r="M62" i="49"/>
  <c r="F116" i="49"/>
  <c r="G116" i="49" s="1"/>
  <c r="M115" i="49"/>
  <c r="E62" i="49"/>
  <c r="E115" i="49"/>
  <c r="E114" i="48"/>
  <c r="G70" i="49"/>
  <c r="M70" i="49" s="1"/>
  <c r="G62" i="48"/>
  <c r="F116" i="48" l="1"/>
  <c r="G116" i="48" s="1"/>
  <c r="M115" i="48"/>
  <c r="F70" i="48"/>
  <c r="G70" i="48" s="1"/>
  <c r="M62" i="48"/>
  <c r="E70" i="49"/>
  <c r="F108" i="49"/>
  <c r="G108" i="49" s="1"/>
  <c r="M108" i="49" s="1"/>
  <c r="M116" i="49"/>
  <c r="E116" i="49"/>
  <c r="E62" i="48"/>
  <c r="E115" i="48"/>
  <c r="E70" i="48" l="1"/>
  <c r="M70" i="48"/>
  <c r="F108" i="48"/>
  <c r="G108" i="48" s="1"/>
  <c r="M108" i="48" s="1"/>
  <c r="M116" i="48"/>
  <c r="E116" i="48"/>
  <c r="E108" i="49"/>
  <c r="E108" i="48" l="1"/>
  <c r="G119" i="48"/>
  <c r="M119" i="48" s="1"/>
  <c r="G48" i="31"/>
  <c r="F49" i="31"/>
  <c r="E48" i="31" l="1"/>
  <c r="M48" i="31"/>
  <c r="E119" i="48"/>
  <c r="F47" i="31"/>
  <c r="G49" i="31"/>
  <c r="G47" i="31"/>
  <c r="E47" i="31" l="1"/>
  <c r="M47" i="31"/>
  <c r="E49" i="31"/>
  <c r="M49" i="31"/>
  <c r="J13" i="45" l="1"/>
  <c r="O13" i="45"/>
  <c r="G51" i="31" l="1"/>
  <c r="E51" i="31" s="1"/>
  <c r="F54" i="31" l="1"/>
  <c r="G54" i="31" s="1"/>
  <c r="M54" i="31" s="1"/>
  <c r="M51" i="31"/>
  <c r="T12" i="45"/>
  <c r="F48" i="47" l="1"/>
  <c r="E47" i="47" l="1"/>
  <c r="G48" i="47"/>
  <c r="E48" i="47" l="1"/>
  <c r="M48" i="47"/>
  <c r="E61" i="47"/>
  <c r="E46" i="47"/>
  <c r="G50" i="47" l="1"/>
  <c r="E50" i="47" s="1"/>
  <c r="F58" i="47" l="1"/>
  <c r="M50" i="47"/>
  <c r="G58" i="47"/>
  <c r="E54" i="31"/>
  <c r="E57" i="31"/>
  <c r="E58" i="47" l="1"/>
  <c r="M58" i="4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<sst xmlns="http://schemas.openxmlformats.org/spreadsheetml/2006/main" count="2402" uniqueCount="470">
  <si>
    <t>MADINAH Migration Flow</t>
  </si>
  <si>
    <t>Activity</t>
  </si>
  <si>
    <t>Remark</t>
  </si>
  <si>
    <r>
      <rPr>
        <b/>
        <sz val="11"/>
        <color theme="1"/>
        <rFont val="Aptos Narrow"/>
        <scheme val="minor"/>
      </rPr>
      <t xml:space="preserve">Database Migration (1st Round)
</t>
    </r>
    <r>
      <rPr>
        <b/>
        <sz val="8"/>
        <color rgb="FF00B0F0"/>
        <rFont val="Aptos Narrow"/>
        <scheme val="minor"/>
      </rPr>
      <t>(20-May-26)</t>
    </r>
  </si>
  <si>
    <t>Madinah Database Migration (1st Round) completed</t>
  </si>
  <si>
    <t>SLD 1st patch (10 SS)</t>
  </si>
  <si>
    <r>
      <rPr>
        <sz val="9"/>
        <color theme="1"/>
        <rFont val="Aptos Narrow"/>
        <scheme val="minor"/>
      </rPr>
      <t>SLD 1st patch in Madinah:</t>
    </r>
    <r>
      <rPr>
        <b/>
        <sz val="9"/>
        <color rgb="FFFF0000"/>
        <rFont val="Aptos Narrow"/>
        <scheme val="minor"/>
      </rPr>
      <t xml:space="preserve"> (to be confirmed by CET)</t>
    </r>
  </si>
  <si>
    <t>Validation by SE</t>
  </si>
  <si>
    <t>3 days FF with SLD 1st patch</t>
  </si>
  <si>
    <t>E2E for 1st patch (10 SS - 20 points)</t>
  </si>
  <si>
    <t>Start 18-Jun
Finish: 21-Jun
Depend on Telecom Readiness</t>
  </si>
  <si>
    <t>SLD 2nd patch</t>
  </si>
  <si>
    <t>Start: 23-May
Finish: 30-May</t>
  </si>
  <si>
    <t>SLD 3rd patch</t>
  </si>
  <si>
    <t>Start: 01-Jun
Finish: 08-Jun</t>
  </si>
  <si>
    <t>SLD 4th patch</t>
  </si>
  <si>
    <t>SLD 5th patch</t>
  </si>
  <si>
    <t>SLD 6th patch</t>
  </si>
  <si>
    <t>Start: 09-Jun
Finish: 16-Jun</t>
  </si>
  <si>
    <t>SLD 7th patch</t>
  </si>
  <si>
    <t>SLD 8th patch</t>
  </si>
  <si>
    <t>SLD 9th patch</t>
  </si>
  <si>
    <t>Start: 17-Jun
Finish: 24-Jun</t>
  </si>
  <si>
    <t>SLD 10th patch</t>
  </si>
  <si>
    <t>Start: 24-Jul
Finish: 30-Jul</t>
  </si>
  <si>
    <t>Final Validation by SE</t>
  </si>
  <si>
    <t>Start: 01-Aug
Finish: 07-Aug
E2E test shall be Finish to Finish +3 days with SLD</t>
  </si>
  <si>
    <t>Completion of E2E test</t>
  </si>
  <si>
    <t>shall be by mid of Aug-2026 (for Madinah)</t>
  </si>
  <si>
    <r>
      <rPr>
        <b/>
        <sz val="11"/>
        <color theme="1"/>
        <rFont val="Aptos Narrow"/>
        <scheme val="minor"/>
      </rPr>
      <t xml:space="preserve">Alarm &amp; Reporting Migration
</t>
    </r>
    <r>
      <rPr>
        <b/>
        <sz val="8"/>
        <color rgb="FF00B0F0"/>
        <rFont val="Aptos Narrow"/>
        <scheme val="minor"/>
      </rPr>
      <t>(14-Jun-26)</t>
    </r>
  </si>
  <si>
    <t>Depend on :
*1st Round of Database Migration
*Workstation Availability</t>
  </si>
  <si>
    <r>
      <rPr>
        <b/>
        <sz val="11"/>
        <color theme="1"/>
        <rFont val="Aptos Narrow"/>
        <scheme val="minor"/>
      </rPr>
      <t xml:space="preserve">UI &amp; Display Configuration
</t>
    </r>
    <r>
      <rPr>
        <b/>
        <sz val="8"/>
        <color rgb="FF00B0F0"/>
        <rFont val="Aptos Narrow"/>
        <scheme val="minor"/>
      </rPr>
      <t>(14-Jun-26)</t>
    </r>
  </si>
  <si>
    <r>
      <rPr>
        <b/>
        <sz val="11"/>
        <color theme="1"/>
        <rFont val="Aptos Narrow"/>
        <scheme val="minor"/>
      </rPr>
      <t xml:space="preserve">Historian Migration
</t>
    </r>
    <r>
      <rPr>
        <b/>
        <sz val="8"/>
        <color rgb="FF00B0F0"/>
        <rFont val="Aptos Narrow"/>
        <scheme val="minor"/>
      </rPr>
      <t>(15-Aug-26)</t>
    </r>
  </si>
  <si>
    <r>
      <rPr>
        <sz val="9"/>
        <color theme="1"/>
        <rFont val="Aptos Narrow"/>
        <scheme val="minor"/>
      </rPr>
      <t xml:space="preserve">Depend on :
*1st Round of Database Migration
</t>
    </r>
    <r>
      <rPr>
        <b/>
        <sz val="9"/>
        <color theme="1"/>
        <rFont val="Aptos Narrow"/>
        <scheme val="minor"/>
      </rPr>
      <t>*Data Structure &amp; Analysis from SE</t>
    </r>
  </si>
  <si>
    <t>ADMS SAT</t>
  </si>
  <si>
    <r>
      <rPr>
        <sz val="9"/>
        <color theme="1"/>
        <rFont val="Aptos Narrow"/>
        <scheme val="minor"/>
      </rPr>
      <t xml:space="preserve">Depend on :
</t>
    </r>
    <r>
      <rPr>
        <b/>
        <sz val="9"/>
        <color theme="1"/>
        <rFont val="Aptos Narrow"/>
        <scheme val="minor"/>
      </rPr>
      <t>*Migration completion
*80% of E2E testing</t>
    </r>
  </si>
  <si>
    <t>Hardware cybersecurity test</t>
  </si>
  <si>
    <t>3 days</t>
  </si>
  <si>
    <t>Functional test</t>
  </si>
  <si>
    <t>5 days</t>
  </si>
  <si>
    <t>Performance test</t>
  </si>
  <si>
    <t>Integration test</t>
  </si>
  <si>
    <t>2 days</t>
  </si>
  <si>
    <t>Redundancy test</t>
  </si>
  <si>
    <t>Stability &amp; unstructure test</t>
  </si>
  <si>
    <t>1 day</t>
  </si>
  <si>
    <t>Regression test</t>
  </si>
  <si>
    <t>Training inside KSA</t>
  </si>
  <si>
    <t>Training in China</t>
  </si>
  <si>
    <r>
      <rPr>
        <b/>
        <sz val="11"/>
        <color theme="1"/>
        <rFont val="Aptos Narrow"/>
        <scheme val="minor"/>
      </rPr>
      <t xml:space="preserve">DERMS Software Installation
</t>
    </r>
    <r>
      <rPr>
        <b/>
        <sz val="8"/>
        <color rgb="FF00B0F0"/>
        <rFont val="Aptos Narrow"/>
        <scheme val="minor"/>
      </rPr>
      <t>shall start by 19-May-26 (Madinah)</t>
    </r>
  </si>
  <si>
    <t>OT switches shall be mobilized by 16-May</t>
  </si>
  <si>
    <t>DERMS SAT</t>
  </si>
  <si>
    <t>Not Strated</t>
  </si>
  <si>
    <t>SDCC - Overall Upstream Progress</t>
  </si>
  <si>
    <t>In Progress</t>
  </si>
  <si>
    <t>Completed</t>
  </si>
  <si>
    <t>MADINAH Upstream Progress</t>
  </si>
  <si>
    <t>JEDDAH Upstream Progress</t>
  </si>
  <si>
    <t>MAKKAH Upstream Progress</t>
  </si>
  <si>
    <t>Batch No.</t>
  </si>
  <si>
    <t>Planned %</t>
  </si>
  <si>
    <t>Completed %</t>
  </si>
  <si>
    <t>SLD Submission</t>
  </si>
  <si>
    <t>SLD Validation</t>
  </si>
  <si>
    <t>E2E for Grid SS</t>
  </si>
  <si>
    <t>E2E Rectification</t>
  </si>
  <si>
    <t>Cutover</t>
  </si>
  <si>
    <t>-</t>
  </si>
  <si>
    <t>Batch 01</t>
  </si>
  <si>
    <t>Batch 02</t>
  </si>
  <si>
    <t>Batch 03</t>
  </si>
  <si>
    <t>Batch 04</t>
  </si>
  <si>
    <t>Batch 05</t>
  </si>
  <si>
    <t>Batch 06</t>
  </si>
  <si>
    <t>Batch 07</t>
  </si>
  <si>
    <t>Batch 08</t>
  </si>
  <si>
    <t>Batch 09</t>
  </si>
  <si>
    <t>Batch 10</t>
  </si>
  <si>
    <t>ABHA Upstream Progress</t>
  </si>
  <si>
    <t>JIZAN Upstream Progress</t>
  </si>
  <si>
    <t>MADINAH</t>
  </si>
  <si>
    <t>ABHA</t>
  </si>
  <si>
    <t>% Progress</t>
  </si>
  <si>
    <t>Planned Finish</t>
  </si>
  <si>
    <t>Expected Finish</t>
  </si>
  <si>
    <t>Variance</t>
  </si>
  <si>
    <t>Upstream</t>
  </si>
  <si>
    <t>SLD &amp; DB Submission &amp; Validation</t>
  </si>
  <si>
    <t>E2E Test</t>
  </si>
  <si>
    <t>SAT</t>
  </si>
  <si>
    <t>Final Cuttover - Live on</t>
  </si>
  <si>
    <t>Downstream</t>
  </si>
  <si>
    <t>JEDDAH</t>
  </si>
  <si>
    <t>JIZAN</t>
  </si>
  <si>
    <t>MAKKAH</t>
  </si>
  <si>
    <t>Final Cuttover</t>
  </si>
  <si>
    <t>Workstream</t>
  </si>
  <si>
    <t>Working Days</t>
  </si>
  <si>
    <t>Planned Start</t>
  </si>
  <si>
    <t>Expected Start</t>
  </si>
  <si>
    <t>Actual Start / Expected Start</t>
  </si>
  <si>
    <t>Actual Finish / Expected Finish</t>
  </si>
  <si>
    <t>Status</t>
  </si>
  <si>
    <t>Root Cuase of Delay</t>
  </si>
  <si>
    <t>Planned Manpower</t>
  </si>
  <si>
    <t>Actual Manpower</t>
  </si>
  <si>
    <t>Resource Type</t>
  </si>
  <si>
    <t>RESOURCE ALLOCATION</t>
  </si>
  <si>
    <t>PRODUCTIVITY MATRIX</t>
  </si>
  <si>
    <t>Database Migration (1st Round)</t>
  </si>
  <si>
    <t>Abha Database Migration (1st Round) completed</t>
  </si>
  <si>
    <t>1st Batch (6 SS)</t>
  </si>
  <si>
    <t>SLD and DB - Upstream</t>
  </si>
  <si>
    <t>6 Days Calendar</t>
  </si>
  <si>
    <t>Validation by SE - Upstream</t>
  </si>
  <si>
    <t>Telecom Rediness - Upstream</t>
  </si>
  <si>
    <t>Started</t>
  </si>
  <si>
    <t>started</t>
  </si>
  <si>
    <t>Abha delayed due to "Bisha LDC pretest" not started and the E1 TSRs still not recieved.</t>
  </si>
  <si>
    <t xml:space="preserve">*(DVM-E1-TSR ) should be received no later than 16-Jul-26
*Bisha LDC DC Issue should be solved 
</t>
  </si>
  <si>
    <t>E2E - Upstream</t>
  </si>
  <si>
    <t xml:space="preserve">Depend on Telecom Readiness </t>
  </si>
  <si>
    <t>Leader - 1 (Liang shifei)</t>
    <phoneticPr fontId="29" type="noConversion"/>
  </si>
  <si>
    <t>3SS/DAY</t>
  </si>
  <si>
    <t>5 Days Calendar</t>
  </si>
  <si>
    <t>E2E Comments Rectification - Upstream</t>
  </si>
  <si>
    <t>Handle grid models, graphics, data accuracy issues, not including field equipment and communication etc</t>
  </si>
  <si>
    <t>2nd Batch (10 SS)</t>
  </si>
  <si>
    <t>Batch 02 Validated from Control Systema Division Team ans waiting final signedSLD &amp; DB Approval Form</t>
  </si>
  <si>
    <t xml:space="preserve">Depend on Telecom Readiness 
</t>
  </si>
  <si>
    <t>3rd Batch (14 SS)</t>
  </si>
  <si>
    <t>waiting for signs</t>
  </si>
  <si>
    <t>4th Batch (16 SS)</t>
  </si>
  <si>
    <t>3</t>
  </si>
  <si>
    <t>Total Expereienced Draftsmans  - 2 (Chen lei, Wang boyang)
TOTAL SUPPORT DRAFTMAN -1 (Meshari)</t>
    <phoneticPr fontId="29" type="noConversion"/>
  </si>
  <si>
    <t>3/DAY APPROX</t>
  </si>
  <si>
    <t>5th Batch (16 SS)</t>
  </si>
  <si>
    <t>3/DAY(SS)</t>
  </si>
  <si>
    <t>1</t>
  </si>
  <si>
    <t>6th Batch (14 SS)</t>
  </si>
  <si>
    <t xml:space="preserve">Leader - 1 (Liang shifei) </t>
    <phoneticPr fontId="29" type="noConversion"/>
  </si>
  <si>
    <t>7th Batch (15 SS)</t>
  </si>
  <si>
    <t>8th Batch (15 SS)</t>
  </si>
  <si>
    <t>Migration</t>
  </si>
  <si>
    <t xml:space="preserve">Alarm &amp; Reporting Migration
</t>
  </si>
  <si>
    <t xml:space="preserve">Depend on :
*1st Round of Database Migration
</t>
  </si>
  <si>
    <t>Leader - 1(Waqar)</t>
    <phoneticPr fontId="29" type="noConversion"/>
  </si>
  <si>
    <t xml:space="preserve">UI &amp; Display Configuration
</t>
  </si>
  <si>
    <t xml:space="preserve">Historian Migration
</t>
  </si>
  <si>
    <r>
      <rPr>
        <sz val="12"/>
        <color theme="1"/>
        <rFont val="Calibri"/>
        <family val="2"/>
      </rPr>
      <t xml:space="preserve">Depend on :
*1st Round of Database Migration
</t>
    </r>
    <r>
      <rPr>
        <b/>
        <sz val="12"/>
        <color theme="1"/>
        <rFont val="Calibri"/>
        <family val="2"/>
      </rPr>
      <t>*Data Structure &amp; Analysis from SE</t>
    </r>
  </si>
  <si>
    <t>Cut Over - Upstream (Live-On)</t>
  </si>
  <si>
    <t>Live On - Upstream</t>
  </si>
  <si>
    <r>
      <t>Cut Over</t>
    </r>
    <r>
      <rPr>
        <b/>
        <sz val="12"/>
        <color rgb="FF000000"/>
        <rFont val="宋体"/>
        <family val="3"/>
        <charset val="134"/>
      </rPr>
      <t>（</t>
    </r>
    <r>
      <rPr>
        <b/>
        <sz val="12"/>
        <color rgb="FF000000"/>
        <rFont val="Calibri"/>
        <family val="2"/>
      </rPr>
      <t>Batch 1:8</t>
    </r>
    <r>
      <rPr>
        <b/>
        <sz val="12"/>
        <color rgb="FF000000"/>
        <rFont val="宋体"/>
        <family val="3"/>
        <charset val="134"/>
      </rPr>
      <t>）</t>
    </r>
  </si>
  <si>
    <t xml:space="preserve">
*Completed SAT
</t>
  </si>
  <si>
    <t>Leader - 1 (Liang shifei)</t>
  </si>
  <si>
    <t>Training</t>
  </si>
  <si>
    <t>on Job training to be conducted on each SDCC</t>
  </si>
  <si>
    <t>Leader - 1(Waqar)</t>
  </si>
  <si>
    <t>Training in Factory</t>
  </si>
  <si>
    <t>After the cutover of all five-sites</t>
  </si>
  <si>
    <t>DERMS</t>
  </si>
  <si>
    <t>DERMS Software Installation</t>
  </si>
  <si>
    <t>Firewall Configuration and required access rules shall be fully implemented and Verified.
Network Access between relevant systems and sites shall be available and confirmed.
Connection between DC &amp; DR shall be completed to support DC/DR communication and failover test.
All required ports, routing rules and security policies shall be provided before testing.
Server Certificates shall be issued by SE.</t>
  </si>
  <si>
    <t>Finalization of Interfaces with SE IT/OT Systems.
Availability of DER Data.</t>
  </si>
  <si>
    <t>DS(Batch 1)
6-GSS</t>
  </si>
  <si>
    <t>SLD and DB Validation Demo</t>
  </si>
  <si>
    <t>SLD and DB(Feeders of GSS Batch1) 
Feeders 70
(Graphic,Database,Link)</t>
  </si>
  <si>
    <t>control center share new updates for all feeders</t>
  </si>
  <si>
    <t>Draft Man will mobilize on 7-Jul-26</t>
  </si>
  <si>
    <t>2</t>
  </si>
  <si>
    <t>Total Expereienced Draftsmans  - 1(Duan zheng)
TOTAL SUPPORT DRAFTMAN -1(ALOGAIMI)</t>
    <phoneticPr fontId="29" type="noConversion"/>
  </si>
  <si>
    <t>12/DAY</t>
  </si>
  <si>
    <t>SLD and DB Validation</t>
  </si>
  <si>
    <t>DS(Batch 2)
10 -GSS</t>
  </si>
  <si>
    <t>SLD and DB(Feeders of GSS Batch2)
Feeders  110
(Graphic,Database,Link)</t>
  </si>
  <si>
    <t>delay in 1st batch submission</t>
  </si>
  <si>
    <t>28/DAY</t>
  </si>
  <si>
    <t>DS(Batch 3)
14-GSS</t>
  </si>
  <si>
    <t>SLD and DB(Feeders of GSS Batch3) 
Feeders  140
(Graphic,Database,Link)</t>
  </si>
  <si>
    <t>DS(Batch 4)
16-GSS</t>
  </si>
  <si>
    <t>SLD and DB(Feeders of GSS Batch4) 
Feeders  160
(Graphic,Database,Link)</t>
  </si>
  <si>
    <t>32/DAY</t>
  </si>
  <si>
    <t>DS(Batch 5)
16-GSS</t>
  </si>
  <si>
    <t>SLD and DB(Feeders of GSS Batch5) 
Feeders  170
(Graphic,Database,Link)</t>
  </si>
  <si>
    <t>34/DAY</t>
  </si>
  <si>
    <t>DS(Batch 6)
14-GSS</t>
  </si>
  <si>
    <t>SLD and DB(Feeders of GSS Batch6) 
Feeders  150
(Graphic,Database,Link)</t>
  </si>
  <si>
    <t>38/DAY</t>
  </si>
  <si>
    <t>DS(Batch 7)
15-GSS</t>
  </si>
  <si>
    <t>SLD and DB(Feeders of GSS Batch7) 
Feeders  160
(Graphic,Database,Link)</t>
  </si>
  <si>
    <t>40/DAY</t>
  </si>
  <si>
    <t>DS(Batch 8)
15-GSS</t>
  </si>
  <si>
    <t>SLD and DB(Feeders of GSS Batch8) 
Feeders  150
(Graphic,Database,Link)</t>
  </si>
  <si>
    <t>DS(E2E)</t>
  </si>
  <si>
    <t xml:space="preserve">E2E for SFD  (Total 7949 8% For Testing  636) </t>
  </si>
  <si>
    <t>Depend on STC TELECOME CIRCUITS READINESS(INSTALLATION, HARDWARE, SOFTWARE, CONFIGURATION, TRAFFIC, REROUTING,....ETC)
Depend on Availability of SE Field Engineer
Start the E2E test after the approval for the first downstream batch
E2E RMU Rate = 29/ Day</t>
  </si>
  <si>
    <t>Leader - 1 (Chen zheng)
Support - 2 (He fei)</t>
    <phoneticPr fontId="29" type="noConversion"/>
  </si>
  <si>
    <t>29/DAY</t>
  </si>
  <si>
    <t>CUTOVER</t>
  </si>
  <si>
    <t>Live On - Downstream</t>
  </si>
  <si>
    <t>Cuttover</t>
  </si>
  <si>
    <t>After STC Success E2E</t>
  </si>
  <si>
    <t>Leader - 1 (Chen zheng)
Support - 2 (He fei)</t>
  </si>
  <si>
    <t>ADMS SAT</t>
    <phoneticPr fontId="29" type="noConversion"/>
  </si>
  <si>
    <t xml:space="preserve">Hardware cybersecurity test </t>
  </si>
  <si>
    <t>Team - 3 (Wang boyang, Duan zheng, He fei)
Support -1 (Meshari)</t>
  </si>
  <si>
    <t>Functional test - ADMS</t>
  </si>
  <si>
    <t xml:space="preserve">Integration test </t>
  </si>
  <si>
    <r>
      <rPr>
        <sz val="12"/>
        <color rgb="FF000000"/>
        <rFont val="Aptos"/>
      </rPr>
      <t xml:space="preserve">ADMS Integration Testing is dependent on the successful completion of all Phase 1 interface tests for the Centralized ESB. In accordance with the Local ESB schedule, the related integration preparation and coordination activities shall commence at least </t>
    </r>
    <r>
      <rPr>
        <sz val="12"/>
        <color rgb="FFFF0000"/>
        <rFont val="Aptos"/>
      </rPr>
      <t xml:space="preserve">45 days </t>
    </r>
    <r>
      <rPr>
        <sz val="12"/>
        <color rgb="FF000000"/>
        <rFont val="Aptos"/>
      </rPr>
      <t>in advance.</t>
    </r>
  </si>
  <si>
    <t xml:space="preserve">Redundancy test </t>
  </si>
  <si>
    <t>Stability</t>
  </si>
  <si>
    <t xml:space="preserve">Regression test &amp;unstructure test </t>
  </si>
  <si>
    <t xml:space="preserve">Performance test </t>
  </si>
  <si>
    <t>Cyber Audit</t>
  </si>
  <si>
    <t>Cyber Audit Phase1</t>
  </si>
  <si>
    <t xml:space="preserve">Cutover
1.Depend on the Approval for DTS-628
2.Depend on the telecom readiness
</t>
  </si>
  <si>
    <t>Cyber Audit Phase2</t>
  </si>
  <si>
    <t xml:space="preserve">1.Centralized Cybersecurity Audit
2.Depend on the SDCCs telecom readiness
</t>
  </si>
  <si>
    <t>Integration</t>
  </si>
  <si>
    <t>DNMC Integration</t>
  </si>
  <si>
    <r>
      <t>1.Depend on  DNMC System Completed before 10 Aug, 2026
2.DNMC datapoint Scope to be confirmed by max 10, Aug 2026
3.DNMC &lt;-----&gt; DCC telecom completed by max 31 Aug, 2026
4.ICCP Configuration finished by 10 Aug, 2026
5.Testing</t>
    </r>
    <r>
      <rPr>
        <sz val="12"/>
        <color rgb="FF000000"/>
        <rFont val="Microsoft YaHei"/>
        <family val="2"/>
        <charset val="134"/>
      </rPr>
      <t>（</t>
    </r>
    <r>
      <rPr>
        <sz val="12"/>
        <color rgb="FF000000"/>
        <rFont val="Calibri"/>
        <family val="2"/>
      </rPr>
      <t>SDCC  &amp;  DNMC ICCP Channel Testing,</t>
    </r>
    <r>
      <rPr>
        <sz val="12"/>
        <color rgb="FF000000"/>
        <rFont val="Microsoft YaHei"/>
        <family val="2"/>
        <charset val="134"/>
      </rPr>
      <t>）</t>
    </r>
    <r>
      <rPr>
        <sz val="12"/>
        <color rgb="FF000000"/>
        <rFont val="Calibri"/>
        <family val="2"/>
      </rPr>
      <t>finished by 20 Aug, 2026</t>
    </r>
    <phoneticPr fontId="29" type="noConversion"/>
  </si>
  <si>
    <t>Local ESB software Installation</t>
  </si>
  <si>
    <t>SOFTWARE INSTALLATION</t>
  </si>
  <si>
    <t>DC-DR SYNC</t>
  </si>
  <si>
    <t>Depend on availibility of LAN/WAN, to be10 - 12 weeks from design approval
* TEMPRORY CONNECTION BETWEEN OT FW. TO MPLS CAN BE DONE TO ACHIVE THE SYCRONIZATION BETWEEN DC &amp; DR</t>
  </si>
  <si>
    <t>A</t>
  </si>
  <si>
    <t>7 Days Claendar</t>
  </si>
  <si>
    <t>Database Migration (1st Round)
(20-May-26)</t>
  </si>
  <si>
    <t>Jizan Database Migration (1st Round) completed</t>
  </si>
  <si>
    <t>1st Batch (7 SS)</t>
  </si>
  <si>
    <t>*(DVM-E1-TSR ) should be received no later than 16-Jul-26</t>
  </si>
  <si>
    <t>Grid Substation
Depend on Telecom Readiness (29-Jul-26)
Cutover Depend on Succesful Completion of E2E</t>
  </si>
  <si>
    <t>Leader - 1 (Wang xiaozui)</t>
    <phoneticPr fontId="29" type="noConversion"/>
  </si>
  <si>
    <t xml:space="preserve"> - Upstream</t>
  </si>
  <si>
    <t>2nd Batch (6 SS)</t>
  </si>
  <si>
    <t>4th Batch (11 SS)</t>
  </si>
  <si>
    <t>WAITING FOR SIGN</t>
  </si>
  <si>
    <t>5th Batch (11 SS)</t>
  </si>
  <si>
    <t>UNDER REVIEW WITH SITE SE TEAM BEFORE OFFICIL SUBMISSION</t>
  </si>
  <si>
    <t>Total Expereienced Draftsmans  - 1 (Han zijian)
TOTAL SUPPORT DRAFTMAN -1 (Daka)</t>
    <phoneticPr fontId="29" type="noConversion"/>
  </si>
  <si>
    <t>2/DAY(SS)</t>
  </si>
  <si>
    <t>6th Batch (11 SS)</t>
  </si>
  <si>
    <t>4SS/DAY</t>
  </si>
  <si>
    <t>7th Batch (12 SS)</t>
  </si>
  <si>
    <t>8th Batch (13 SS)</t>
  </si>
  <si>
    <t>Leader - 1(Sun mingming)</t>
    <phoneticPr fontId="29" type="noConversion"/>
  </si>
  <si>
    <r>
      <rPr>
        <sz val="12"/>
        <color rgb="FF000000"/>
        <rFont val="Aptos Narrow"/>
        <scheme val="minor"/>
      </rPr>
      <t xml:space="preserve">Depend on :
</t>
    </r>
    <r>
      <rPr>
        <b/>
        <sz val="12"/>
        <color rgb="FF000000"/>
        <rFont val="Aptos Narrow"/>
        <scheme val="minor"/>
      </rPr>
      <t>*Data Structure &amp; Analysis from SE</t>
    </r>
  </si>
  <si>
    <t>Cut Over（Batch1-8）</t>
  </si>
  <si>
    <t>Leader - 1 (Wang xiaozui)</t>
  </si>
  <si>
    <t>DS(Batch 1)
7-GSS</t>
  </si>
  <si>
    <t>SLD and DB(Feeders of GSS Batch1) 
Feeders 100
(Graphic,Database,Link)</t>
  </si>
  <si>
    <t>Total Expereienced Draftsmans  - 1(Zhao xiaoyu)
TOTAL SUPPORT DRAFTMAN -1(ALOGAIMI)</t>
    <phoneticPr fontId="29" type="noConversion"/>
  </si>
  <si>
    <t>17/DAY</t>
  </si>
  <si>
    <t>DS(Batch 2)
6 -GSS</t>
  </si>
  <si>
    <t>SLD and DB(Feeders of GSS Batch2)
Feeders 150
(Graphic,Database,Link)</t>
  </si>
  <si>
    <t>30/DAY</t>
  </si>
  <si>
    <t>SLD and DB(Feeders of GSS Batch3) 
Feeders  160
(Graphic,Database,Link)</t>
  </si>
  <si>
    <t>DS(Batch 4)
11-GSS</t>
  </si>
  <si>
    <t>SLD and DB(Feeders of GSS Batch4) 
Feeders 160
(Graphic,Database,Link)</t>
  </si>
  <si>
    <t>DS(Batch 5)
11-GSS</t>
  </si>
  <si>
    <t>SLD and DB(Feeders of GSS Batch5) 
Feeders 160
(Graphic,Database,Link)</t>
  </si>
  <si>
    <t>DS(Batch 6)
11-GSS</t>
  </si>
  <si>
    <t>SLD and DB(Feeders of GSS Batch6) 
Feeders 160
(Graphic,Database,Link)</t>
  </si>
  <si>
    <t>DS(Batch 7)
12-GSS</t>
  </si>
  <si>
    <t>SLD and DB(Feeders of GSS Batch7) 
Feeders 160
(Graphic,Database,Link)</t>
  </si>
  <si>
    <t>DS(Batch 8)
13-GSS</t>
  </si>
  <si>
    <t>SLD and DB(Feeders of GSS Batch8) 
Feeders 160
(Graphic,Database,Link)</t>
  </si>
  <si>
    <t xml:space="preserve">E2E for SFD (Total 6361 8% For Testing 508  ) </t>
  </si>
  <si>
    <t>Depend on STC TELECOME CIRCUITS READINESS(INSTALLATION, HARDWARE, SOFTWARE, CONFIGURATION, TRAFFIC, REROUTING,....ETC)
Depend on Availability of SE Field Engineer
Start the E2E test after the approval for the first downstream batch.
E2E RMU Rate = 17 / Day</t>
  </si>
  <si>
    <t>Leader - 1 (Guo fei)</t>
    <phoneticPr fontId="29" type="noConversion"/>
  </si>
  <si>
    <t>Leader - 1 (Guo fei)</t>
  </si>
  <si>
    <t>4</t>
  </si>
  <si>
    <t>Team - 3 (Zhao xiaoyu, Han zijian, Li Xuemei)
Support -1 (Daka)</t>
  </si>
  <si>
    <r>
      <rPr>
        <sz val="12"/>
        <color rgb="FF000000"/>
        <rFont val="Calibri"/>
        <family val="2"/>
      </rPr>
      <t>1.Depend on  DNMC System Completed before 10 Aug, 2026
2.DNMC datapoint Scope to be confirmed by max 10, Aug 2026
3.DNMC &lt;-----&gt; DCC telecom completed by max 31 Aug, 2026
4.ICCP Configuration finished by 10 Aug, 2026
5.Testing</t>
    </r>
    <r>
      <rPr>
        <sz val="12"/>
        <color rgb="FF000000"/>
        <rFont val="Microsoft YaHei"/>
        <family val="2"/>
      </rPr>
      <t>（</t>
    </r>
    <r>
      <rPr>
        <sz val="12"/>
        <color rgb="FF000000"/>
        <rFont val="Calibri"/>
        <family val="2"/>
      </rPr>
      <t>SDCC  &amp;  DNMC ICCP Channel Testing,</t>
    </r>
    <r>
      <rPr>
        <sz val="12"/>
        <color rgb="FF000000"/>
        <rFont val="Microsoft YaHei"/>
        <family val="2"/>
      </rPr>
      <t>）</t>
    </r>
    <r>
      <rPr>
        <sz val="12"/>
        <color rgb="FF000000"/>
        <rFont val="Calibri"/>
        <family val="2"/>
      </rPr>
      <t>finished by 20 Aug, 2026</t>
    </r>
  </si>
  <si>
    <t>Downstream Database Migration (1st Round)</t>
  </si>
  <si>
    <t>SLD and DB Submission - Upstream</t>
  </si>
  <si>
    <t>delayed due to "Madina LDC pretest" not started &amp; New MPLS still not integrated with NOC, SAT with TNTD not started*</t>
  </si>
  <si>
    <t>Leader - 1 (Wu Yang)</t>
  </si>
  <si>
    <t>2nd Batch (9 SS)</t>
  </si>
  <si>
    <t>3rd Batch (10 SS)</t>
  </si>
  <si>
    <t>Total Expereienced Draftsmans  - 1 (Li chengzhen)
TOTAL SUPPORT DRAFTMAN -2 (Suilman, Mohamed Gamal)</t>
    <phoneticPr fontId="29" type="noConversion"/>
  </si>
  <si>
    <t>2/DAY APPROX</t>
  </si>
  <si>
    <t xml:space="preserve">Leader - 1 (Wu Yang)
Support - 1 </t>
  </si>
  <si>
    <t>5th Batch (10 SS)</t>
  </si>
  <si>
    <t>3 tabuk substation need a recheck</t>
  </si>
  <si>
    <t>6th Batch (10 SS)</t>
  </si>
  <si>
    <t>7th Batch (10 SS)</t>
  </si>
  <si>
    <t>8th Batch (10 SS)</t>
  </si>
  <si>
    <t>9th Batch (11 SS)</t>
  </si>
  <si>
    <t>4/DAY(SS)</t>
  </si>
  <si>
    <t>10th Batch (11 SS)</t>
  </si>
  <si>
    <t>Meet all prerequisites for STA and cutover activities.</t>
  </si>
  <si>
    <t>Leader - 1(Yang tao)</t>
    <phoneticPr fontId="29" type="noConversion"/>
  </si>
  <si>
    <t>Leader - 1(Yang tao)</t>
  </si>
  <si>
    <r>
      <rPr>
        <sz val="12"/>
        <color theme="1"/>
        <rFont val="Calibri"/>
        <family val="2"/>
      </rPr>
      <t xml:space="preserve">Depend on :
</t>
    </r>
    <r>
      <rPr>
        <b/>
        <sz val="12"/>
        <color theme="1"/>
        <rFont val="Calibri"/>
        <family val="2"/>
      </rPr>
      <t>*Data Structure &amp; Analysis from SE
Not Critical Path which will be completed during PAC</t>
    </r>
  </si>
  <si>
    <r>
      <t>Cut Over</t>
    </r>
    <r>
      <rPr>
        <b/>
        <sz val="12"/>
        <color rgb="FF000000"/>
        <rFont val="等线"/>
        <family val="4"/>
        <charset val="134"/>
      </rPr>
      <t>（</t>
    </r>
    <r>
      <rPr>
        <b/>
        <sz val="12"/>
        <color rgb="FF000000"/>
        <rFont val="Calibri"/>
        <family val="2"/>
      </rPr>
      <t>Batch 1:10</t>
    </r>
    <r>
      <rPr>
        <b/>
        <sz val="12"/>
        <color rgb="FF000000"/>
        <rFont val="等线"/>
        <family val="4"/>
        <charset val="134"/>
      </rPr>
      <t>）</t>
    </r>
  </si>
  <si>
    <t xml:space="preserve">
*Completed SAT</t>
  </si>
  <si>
    <r>
      <rPr>
        <sz val="12"/>
        <color theme="1"/>
        <rFont val="Calibri"/>
        <family val="2"/>
      </rPr>
      <t>Noted:
1.If  IT system integration is incomplete</t>
    </r>
    <r>
      <rPr>
        <sz val="12"/>
        <color theme="1"/>
        <rFont val="等线"/>
        <family val="4"/>
        <charset val="134"/>
      </rPr>
      <t>（</t>
    </r>
    <r>
      <rPr>
        <sz val="12"/>
        <color theme="1"/>
        <rFont val="Calibri"/>
        <family val="2"/>
      </rPr>
      <t>IT System&lt;-&gt; Central ESB &lt;-&gt; Local ESB</t>
    </r>
    <r>
      <rPr>
        <sz val="12"/>
        <color theme="1"/>
        <rFont val="等线"/>
        <family val="4"/>
        <charset val="134"/>
      </rPr>
      <t>）</t>
    </r>
    <r>
      <rPr>
        <sz val="12"/>
        <color theme="1"/>
        <rFont val="Calibri"/>
        <family val="2"/>
      </rPr>
      <t>will affect certain functionalities that require external data support.
2.We will provide an impact analysis of specific functional effects based on the data integration status before test.</t>
    </r>
  </si>
  <si>
    <t>DERMS</t>
    <phoneticPr fontId="29" type="noConversion"/>
  </si>
  <si>
    <t>SLD and DB(Feeders of GSS Batch1) 
Feeders 120
(Graphic,Database,Link)</t>
  </si>
  <si>
    <t>150/170</t>
  </si>
  <si>
    <t>Total Expereienced Draftsmans  - 1(Hu Yushuo)
TOTAL SUPPORT DRAFTMAN -0</t>
  </si>
  <si>
    <t>20/DAY</t>
  </si>
  <si>
    <t>DS(Batch 2)
9-GSS</t>
  </si>
  <si>
    <t>SLD and DB(Feeders of GSS Batch2)
Feeders  210
(Graphic,Database,Link)</t>
  </si>
  <si>
    <t>Total Expereienced Draftsmans  - 1(Hu Yushuo)
TOTAL SUPPORT DRAFTMAN -1(ALOGAIMI)</t>
    <phoneticPr fontId="29" type="noConversion"/>
  </si>
  <si>
    <t>42/DAY</t>
  </si>
  <si>
    <t>DS(Batch 3)
10-GSS</t>
  </si>
  <si>
    <t>SLD and DB(Feeders of GSS Batch3) 
Feeders  220
(Graphic,Database,Link)</t>
  </si>
  <si>
    <t>44/DAY</t>
  </si>
  <si>
    <t>SLD and DB(Feeders of GSS Batch4) 
Feeders  220
(Graphic,Database,Link)</t>
  </si>
  <si>
    <t>Total Expereienced Draftsmans  - 2(Hu Yushuo, Ye Wenhao)
TOTAL SUPPORT DRAFTMAN -1(ALOGAIMI)</t>
    <phoneticPr fontId="29" type="noConversion"/>
  </si>
  <si>
    <t>74/DAY</t>
  </si>
  <si>
    <t>DS(Batch 5)
10-GSS</t>
  </si>
  <si>
    <t>SLD and DB(Feeders of GSS Batch5) 
Feeders  210
(Graphic,Database,Link)</t>
  </si>
  <si>
    <t>70/day</t>
  </si>
  <si>
    <t>DS(Batch 6)
10-GSS</t>
  </si>
  <si>
    <t>SLD and DB(Feeders of GSS Batch6) 
Feeders  210
(Graphic,Database,Link)</t>
  </si>
  <si>
    <t>DS(Batch 7)
10-GSS</t>
  </si>
  <si>
    <t>SLD and DB(Feeders of GSS Batch7) 
Feeders  220
(Graphic,Database,Link)</t>
  </si>
  <si>
    <t>74/day</t>
  </si>
  <si>
    <t>DS(Batch 8)
10-GSS</t>
  </si>
  <si>
    <t>SLD and DB(Feeders of GSS Batch8) 
Feeders  200
(Graphic,Database,Link)</t>
  </si>
  <si>
    <t>67/day</t>
  </si>
  <si>
    <t>DS(Batch 9)
11-GSS</t>
  </si>
  <si>
    <t>SLD and DB(Feeders of GSS Batch9) 
Feeders  210
(Graphic,Database,Link)</t>
  </si>
  <si>
    <t>DS(Batch 10)
11-GSS</t>
  </si>
  <si>
    <t>SLD and DB(Feeders of GSS Batch10) 
Feeders  200
(Graphic,Database,Link)</t>
  </si>
  <si>
    <t xml:space="preserve">E2E for SFD  (Total 9730 8% For Testing  780) </t>
  </si>
  <si>
    <t>Depend on STC TELECOME CIRCUITS READINESS(INSTALLATION, HARDWARE, SOFTWARE, CONFIGURATION, TRAFFIC, REROUTING,....ETC)
Depend on Availability of SE Field Engineer
Start the E2E test after the approval for the first downstream batch
E2E RMU Rate = 25 / Day</t>
  </si>
  <si>
    <t>Leader - 1 (Bai liang)
Support - 1 (Ali)</t>
    <phoneticPr fontId="29" type="noConversion"/>
  </si>
  <si>
    <t>25/day approx</t>
  </si>
  <si>
    <t>Leader - 1 (Bai liang)
Support - 1 (Ali)</t>
  </si>
  <si>
    <t>Team - 3 (Li chengzhen, Hu Yushuo, Ye Wenhao)
Support -2 (Suilman, Gamal)</t>
    <phoneticPr fontId="29" type="noConversion"/>
  </si>
  <si>
    <t>Database Migration for Upstream (1st Round)</t>
  </si>
  <si>
    <t>Makkah Database Migration (1st Round) in progress</t>
  </si>
  <si>
    <t>Software Installation</t>
  </si>
  <si>
    <t>Configuration of Network &amp; Cyber Security</t>
  </si>
  <si>
    <t>*Jeddah DR readiness
*Depends on madinah SDCC TELEOM REDINESS 26-July considering all the prerequisite of achieving this date</t>
  </si>
  <si>
    <t>Depend on Telecom Readiness 
Cutover Depend on Succesful Completion of E2E</t>
  </si>
  <si>
    <t>Leader - 1 (Liu tianwen)</t>
    <phoneticPr fontId="29" type="noConversion"/>
  </si>
  <si>
    <t>2nd Batch (15 SS)</t>
  </si>
  <si>
    <t>Total Expereienced Draftsmans  - 1 (Cheng yuheng)
TOTAL SUPPORT DRAFTMAN -1 (Abdulrahman Gaees)</t>
    <phoneticPr fontId="29" type="noConversion"/>
  </si>
  <si>
    <t>5SS/DAY</t>
  </si>
  <si>
    <t>delay caused by submission &amp; validation(Batch 1)</t>
  </si>
  <si>
    <t>3rd Batch (19 SS)</t>
  </si>
  <si>
    <t>Total Expereienced Draftsmans  - 1 (Cheng yuheng)
TOTAL SUPPORT DRAFTMAN -3(Kamran,Hamza Amjad, Azizuddin)</t>
    <phoneticPr fontId="29" type="noConversion"/>
  </si>
  <si>
    <t>4th Batch (20 SS)</t>
  </si>
  <si>
    <t>5th Batch (19 SS)</t>
  </si>
  <si>
    <t>6th Batch (22 SS)</t>
  </si>
  <si>
    <t>3/DAY(SS) APPROX</t>
  </si>
  <si>
    <t>7th Batch (17 SS)</t>
  </si>
  <si>
    <t>4SS/DAY APPROX</t>
  </si>
  <si>
    <t>8th Batch (20 SS)</t>
  </si>
  <si>
    <t>9th Batch (19 SS)</t>
  </si>
  <si>
    <t>10th Batch (22 SS)</t>
  </si>
  <si>
    <t>33SS/DAY</t>
  </si>
  <si>
    <t>Leader - 1(Luo geshibu)
Support - 1(Jia wei)</t>
    <phoneticPr fontId="29" type="noConversion"/>
  </si>
  <si>
    <r>
      <rPr>
        <sz val="12"/>
        <color theme="1"/>
        <rFont val="Aptos"/>
      </rPr>
      <t xml:space="preserve">Depend on :
*1st Round of Database Migration
</t>
    </r>
    <r>
      <rPr>
        <b/>
        <sz val="12"/>
        <color theme="1"/>
        <rFont val="Aptos"/>
      </rPr>
      <t>*Data Structure &amp; Analysis from SE</t>
    </r>
  </si>
  <si>
    <t>Cut Over（Batch1-10）</t>
  </si>
  <si>
    <t>Leader - 1 (Liu tianwen)</t>
  </si>
  <si>
    <t>Upstream SAT</t>
  </si>
  <si>
    <t>SLD and DB(Feeders of GSS Batch1) 
Feeders 150
(Graphic,Database,Link)</t>
  </si>
  <si>
    <t>Total Expereienced Draftsmans  - 1(Li xiangyun)
TOTAL SUPPORT DRAFTMAN -2(ALOGAIMI, Abdulrahman Alamri)</t>
    <phoneticPr fontId="29" type="noConversion"/>
  </si>
  <si>
    <t>15/DAY</t>
  </si>
  <si>
    <t>DS(Batch 2)
15 -GSS</t>
  </si>
  <si>
    <t>SLD and DB(Feeders of GSS Batch2)
Feeders  300
(Graphic,Database,Link)</t>
  </si>
  <si>
    <t>43/DAY</t>
  </si>
  <si>
    <t>DS(Batch 3)
19-GSS</t>
  </si>
  <si>
    <t>SLD and DB(Feeders of GSS Batch3) 
Feeders  380
(Graphic,Database,Link)</t>
  </si>
  <si>
    <t>5</t>
  </si>
  <si>
    <t>Total Expereienced Draftsmans  - 2(Li xiangyun, Jia wei )
TOTAL SUPPORT DRAFTMAN -3(ALOGAIMI, Abdulrahman Alamri, Musa Jan)</t>
    <phoneticPr fontId="29" type="noConversion"/>
  </si>
  <si>
    <t>76/DAY</t>
  </si>
  <si>
    <t>DS(Batch 4)
20-GSS</t>
  </si>
  <si>
    <t>SLD and DB(Feeders of GSS Batch4) 
Feeders  400
(Graphic,Database,Link)</t>
  </si>
  <si>
    <t>58/day</t>
  </si>
  <si>
    <t>DS(Batch 5)
19-GSS</t>
  </si>
  <si>
    <t>SLD and DB(Feeders of GSS Batch5) 
Feeders  380
(Graphic,Database,Link)</t>
  </si>
  <si>
    <t>76/day</t>
  </si>
  <si>
    <t>DS(Batch 6)
22-GSS</t>
  </si>
  <si>
    <t>SLD and DB(Feeders of GSS Batch6) 
Feeders  450
(Graphic,Database,Link)</t>
  </si>
  <si>
    <t>64/day</t>
  </si>
  <si>
    <t>DS(Batch 7)
17-GSS</t>
  </si>
  <si>
    <t>SLD and DB(Feeders of GSS Batch7) 
Feeders  350
(Graphic,Database,Link)</t>
  </si>
  <si>
    <t>DS(Batch 8)
20-GSS</t>
  </si>
  <si>
    <t>SLD and DB(Feeders of GSS Batch8) 
Feeders  400
(Graphic,Database,Link)</t>
  </si>
  <si>
    <t>DS(Batch 9)
19-GSS</t>
  </si>
  <si>
    <t>SLD and DB(Feeders of GSS Batch9) 
Feeders  380
(Graphic,Database,Link)</t>
  </si>
  <si>
    <t>DS(Batch 10)
22-GSS</t>
  </si>
  <si>
    <t>SLD and DB(Feeders of GSS Batch10) 
Feeders  450
(Graphic,Database,Link)</t>
  </si>
  <si>
    <t>75/day</t>
  </si>
  <si>
    <t xml:space="preserve">E2E for SFD  (Total 11985 8% For Testing  960) </t>
  </si>
  <si>
    <t>Depend on STC TELECOME CIRCUITS READINESS(INSTALLATION, HARDWARE, SOFTWARE, CONFIGURATION, TRAFFIC, REROUTING,....ETC)
Depend on Availability of SE Field Engineer
Start the E2E test after the approval for the first downstream batch.
E2E RMU Rate = 21 / Day</t>
  </si>
  <si>
    <t>Leader - 1 (Qiao zhongjie)
Support - 1 (Xiong donghai)</t>
    <phoneticPr fontId="29" type="noConversion"/>
  </si>
  <si>
    <t>21/DAY</t>
  </si>
  <si>
    <t>Leader - 1 (Qiao zhongjie)
Support - 1 (Xiong donghai)</t>
  </si>
  <si>
    <t>Team - 4 (Jia wei, Cheng yuheng, Li xiangyun, Lijia)
Support -4 (Abdulrahman Alamri,Kamran,Hamza Amjad, Azizuddin)</t>
    <phoneticPr fontId="29" type="noConversion"/>
  </si>
  <si>
    <t>City</t>
  </si>
  <si>
    <t>Duration
(Days)</t>
  </si>
  <si>
    <t>AES Engineers</t>
  </si>
  <si>
    <t>Main / Primary Coverage</t>
  </si>
  <si>
    <t>DR Coverage</t>
  </si>
  <si>
    <t>Remote-Site Coverage</t>
  </si>
  <si>
    <t xml:space="preserve"> Notes</t>
  </si>
  <si>
    <t>Main Control Center – Jeddah</t>
  </si>
  <si>
    <t>Disaster Recovery – Madinah</t>
  </si>
  <si>
    <t>—</t>
  </si>
  <si>
    <t>Main Control Center – Makkah</t>
  </si>
  <si>
    <t>DR – Jeddah (Existing)</t>
  </si>
  <si>
    <t>Taif</t>
  </si>
  <si>
    <t>Main (Existing) – Madinah</t>
  </si>
  <si>
    <t>DR (Existing) – Jeddah</t>
  </si>
  <si>
    <t>Madinah LDC / Tabuk</t>
  </si>
  <si>
    <t>Main Control Center – Abha</t>
  </si>
  <si>
    <t>Disaster Recovery – Jizan</t>
  </si>
  <si>
    <t>Abha SRCC / Bisha</t>
  </si>
  <si>
    <t>Main (Existing) – Jizan</t>
  </si>
  <si>
    <t>DR (Existing) – Abha</t>
  </si>
  <si>
    <t>Jizan LDC / Najran</t>
  </si>
  <si>
    <t>will be submitted by 15 july 2026</t>
  </si>
  <si>
    <t>Total Expereienced Draftsmans  - 1 (Sun zhongjie)</t>
    <phoneticPr fontId="29" type="noConversion"/>
  </si>
  <si>
    <t>*Extension of Working Hours to be extending till  9:00 PM on daily basis including weekend Friday and Saturday</t>
  </si>
  <si>
    <t>will be send for review by 15 july</t>
  </si>
  <si>
    <t>delayed due to TSRs related to DVM IP addresses, along with the E1 TSRs still not recieved.</t>
  </si>
  <si>
    <t>Leader - 1 (Ma long)</t>
    <phoneticPr fontId="29" type="noConversion"/>
  </si>
  <si>
    <t>delayed in predecessor</t>
  </si>
  <si>
    <t>Total Expereienced Draftsmans  - 1 (Sun zhongjie)
TOTAL SUPPORT DRAFTMAN -1 (Abdulrahman Gaees)</t>
    <phoneticPr fontId="29" type="noConversion"/>
  </si>
  <si>
    <t>3rd Batch (15 SS)</t>
  </si>
  <si>
    <t>4th Batch (15 SS)</t>
  </si>
  <si>
    <t>5th Batch (15 SS)</t>
  </si>
  <si>
    <t>6th Batch (15 SS)</t>
  </si>
  <si>
    <t>9th Batch (15 SS)</t>
  </si>
  <si>
    <t>10th Batch (15 SS)</t>
  </si>
  <si>
    <t>Depend on :
*1st Round of Database Migration</t>
  </si>
  <si>
    <t>Leader - 1 (Wu xiaorui)</t>
    <phoneticPr fontId="29" type="noConversion"/>
  </si>
  <si>
    <t>Leader - 1 (Ma long)</t>
  </si>
  <si>
    <t>Total Expereienced Draftsmans  - 1(Ma yucai)
TOTAL SUPPORT DRAFTMAN -2(ALOGAIMI,Anas Bagadamah)</t>
    <phoneticPr fontId="29" type="noConversion"/>
  </si>
  <si>
    <t>11/DAY</t>
  </si>
  <si>
    <t>SLD and DB(Feeders of GSS Batch2)
Feeders  180
(Graphic,Database,Link)</t>
  </si>
  <si>
    <t>36/DAY</t>
  </si>
  <si>
    <t>DS(Batch 3)
15-GSS</t>
  </si>
  <si>
    <t>SLD and DB(Feeders of GSS Batch3) 
Feeders  300
(Graphic,Database,Link)</t>
  </si>
  <si>
    <t>Total Expereienced Draftsmans  - 2(Ma yucai, Hu zhiyang)
TOTAL SUPPORT DRAFTMAN -2(ALOGAIMI,Anas Bagadamah)</t>
    <phoneticPr fontId="29" type="noConversion"/>
  </si>
  <si>
    <t>50/DAY</t>
  </si>
  <si>
    <t>DS(Batch 4)
15-GSS</t>
  </si>
  <si>
    <t>SLD and DB(Feeders of GSS Batch4) 
Feeders  300
(Graphic,Database,Link)</t>
  </si>
  <si>
    <t>DS(Batch 5)
15-GSS</t>
  </si>
  <si>
    <t>SLD and DB(Feeders of GSS Batch5) 
Feeders  300
(Graphic,Database,Link)</t>
  </si>
  <si>
    <t>DS(Batch 6)
15-GSS</t>
  </si>
  <si>
    <t>SLD and DB(Feeders of GSS Batch6) 
Feeders  300
(Graphic,Database,Link)</t>
  </si>
  <si>
    <t>SLD and DB(Feeders of GSS Batch7) 
Feeders  300
(Graphic,Database,Link)</t>
  </si>
  <si>
    <t>SLD and DB(Feeders of GSS Batch8) 
Feeders  300
(Graphic,Database,Link)</t>
  </si>
  <si>
    <t>DS(Batch 9)
15-GSS</t>
  </si>
  <si>
    <t>SLD and DB(Feeders of GSS Batch9) 
Feeders  300
(Graphic,Database,Link)</t>
  </si>
  <si>
    <t>60/DAY</t>
  </si>
  <si>
    <t>DS(Batch 10)
15-GSS</t>
  </si>
  <si>
    <t>SLD and DB(Feeders of GSS Batch10) 
Feeders  300
(Graphic,Database,Link)</t>
  </si>
  <si>
    <t xml:space="preserve">E2E for SFD  (Total 10423 8% For Testing  834) </t>
  </si>
  <si>
    <t>Depend on STC TELECOME CIRCUITS READINESS(INSTALLATION, HARDWARE, SOFTWARE, CONFIGURATION, TRAFFIC, REROUTING,....ETC)
Depend on Availability of SE Field Engineer
Start the E2E test after the approval for the first downstream batch.
E2E RMU Rate = 19 / Day</t>
  </si>
  <si>
    <t>Leader - 1 (Wang yangyang)
Support - 1 (Hu zhiyang)</t>
    <phoneticPr fontId="29" type="noConversion"/>
  </si>
  <si>
    <t>19/DAY</t>
  </si>
  <si>
    <t>Team - 3 (Ma yucai, Sun zhongjie, Huzhiyang)
Support -2 (Anas Bagadamah, Abdulrahman Gaees)</t>
    <phoneticPr fontId="29" type="noConversion"/>
  </si>
  <si>
    <t>Local ESB SOFTWARE Installation</t>
  </si>
  <si>
    <t>Western Rejion - Upstream</t>
  </si>
  <si>
    <t>Southern Rejion -Upstream</t>
  </si>
  <si>
    <t>Upstream Milstones</t>
  </si>
  <si>
    <t>E2E &amp; Cutover (Grid SS) 
(Option 01)</t>
  </si>
  <si>
    <t>Cutover Option 02 
(Live on)</t>
  </si>
  <si>
    <t>Planned Dates</t>
  </si>
  <si>
    <t>Expected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</si>
</sst>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d\-mmm\-yy;@"/>
    <numFmt numFmtId="165" formatCode="[$-409]d\-mmm\-yy;@"/>
    <numFmt numFmtId="166" formatCode="dd\-mmm\-yy"/>
    <numFmt numFmtId="167" formatCode="dd\-mmm"/>
  </numFmts>
  <fonts count="60">
    <font>
      <sz val="11"/>
      <color theme="1"/>
      <name val="Aptos Narrow"/>
      <charset val="134"/>
      <scheme val="minor"/>
    </font>
    <font>
      <b/>
      <sz val="20"/>
      <color theme="1"/>
      <name val="Aptos Narrow"/>
      <scheme val="minor"/>
    </font>
    <font>
      <b/>
      <sz val="16"/>
      <name val="Aptos Narrow"/>
      <scheme val="minor"/>
    </font>
    <font>
      <b/>
      <sz val="14"/>
      <name val="Aptos Narrow"/>
      <scheme val="minor"/>
    </font>
    <font>
      <sz val="14"/>
      <color theme="1"/>
      <name val="Aptos Narrow"/>
      <scheme val="minor"/>
    </font>
    <font>
      <b/>
      <sz val="20"/>
      <name val="Aptos Narrow"/>
      <scheme val="minor"/>
    </font>
    <font>
      <b/>
      <sz val="14"/>
      <color theme="1"/>
      <name val="Aptos Narrow"/>
      <scheme val="minor"/>
    </font>
    <font>
      <sz val="12"/>
      <color theme="1"/>
      <name val="Aptos"/>
    </font>
    <font>
      <b/>
      <sz val="12"/>
      <color theme="1"/>
      <name val="Aptos"/>
    </font>
    <font>
      <b/>
      <sz val="12"/>
      <color rgb="FFFF0000"/>
      <name val="Aptos"/>
    </font>
    <font>
      <b/>
      <sz val="12"/>
      <color rgb="FF000000"/>
      <name val="Aptos"/>
    </font>
    <font>
      <b/>
      <sz val="12"/>
      <color theme="1"/>
      <name val="Calibri"/>
      <family val="2"/>
    </font>
    <font>
      <b/>
      <sz val="16"/>
      <color theme="1"/>
      <name val="Aptos Narrow"/>
      <scheme val="minor"/>
    </font>
    <font>
      <b/>
      <sz val="11"/>
      <color theme="1"/>
      <name val="Aptos Narrow"/>
      <scheme val="minor"/>
    </font>
    <font>
      <sz val="9"/>
      <color theme="1"/>
      <name val="Aptos Narrow"/>
      <scheme val="minor"/>
    </font>
    <font>
      <b/>
      <sz val="11"/>
      <color rgb="FFFF0000"/>
      <name val="Aptos Narrow"/>
      <scheme val="minor"/>
    </font>
    <font>
      <b/>
      <sz val="12"/>
      <color rgb="FF000000"/>
      <name val="Calibri"/>
      <family val="2"/>
    </font>
    <font>
      <sz val="12"/>
      <color rgb="FF000000"/>
      <name val="Aptos"/>
    </font>
    <font>
      <sz val="12"/>
      <color theme="1"/>
      <name val="Calibri"/>
      <family val="2"/>
    </font>
    <font>
      <b/>
      <sz val="12"/>
      <color rgb="FFFF0000"/>
      <name val="Calibri"/>
      <family val="2"/>
    </font>
    <font>
      <b/>
      <sz val="9"/>
      <color rgb="FF00B0F0"/>
      <name val="Aptos Narrow"/>
      <scheme val="minor"/>
    </font>
    <font>
      <sz val="12"/>
      <color theme="1"/>
      <name val="等线"/>
      <family val="4"/>
      <charset val="134"/>
    </font>
    <font>
      <b/>
      <sz val="9"/>
      <color theme="1"/>
      <name val="Aptos Narrow"/>
      <scheme val="minor"/>
    </font>
    <font>
      <sz val="12"/>
      <color rgb="FFFF0000"/>
      <name val="Aptos"/>
    </font>
    <font>
      <b/>
      <sz val="8"/>
      <color rgb="FF00B0F0"/>
      <name val="Aptos Narrow"/>
      <scheme val="minor"/>
    </font>
    <font>
      <b/>
      <sz val="9"/>
      <color rgb="FFFF0000"/>
      <name val="Aptos Narrow"/>
      <scheme val="minor"/>
    </font>
    <font>
      <sz val="12"/>
      <color rgb="FF000000"/>
      <name val="Aptos Narrow"/>
      <scheme val="minor"/>
    </font>
    <font>
      <b/>
      <sz val="12"/>
      <color rgb="FF000000"/>
      <name val="Aptos Narrow"/>
      <scheme val="minor"/>
    </font>
    <font>
      <sz val="11"/>
      <color theme="1"/>
      <name val="Aptos Narrow"/>
      <scheme val="minor"/>
    </font>
    <font>
      <sz val="9"/>
      <name val="Aptos Narrow"/>
      <family val="4"/>
      <charset val="134"/>
      <scheme val="minor"/>
    </font>
    <font>
      <sz val="12"/>
      <color rgb="FF000000"/>
      <name val="Calibri"/>
      <family val="2"/>
    </font>
    <font>
      <sz val="12"/>
      <color rgb="FF000000"/>
      <name val="Microsoft YaHei"/>
      <family val="2"/>
      <charset val="134"/>
    </font>
    <font>
      <b/>
      <sz val="12"/>
      <color rgb="FF000000"/>
      <name val="宋体"/>
      <family val="3"/>
      <charset val="134"/>
    </font>
    <font>
      <b/>
      <sz val="12"/>
      <color rgb="FF000000"/>
      <name val="等线"/>
      <family val="4"/>
      <charset val="134"/>
    </font>
    <font>
      <b/>
      <sz val="11"/>
      <color rgb="FF000000"/>
      <name val="Aptos Narrow"/>
      <scheme val="minor"/>
    </font>
    <font>
      <sz val="12"/>
      <color rgb="FF000000"/>
      <name val="Microsoft YaHei"/>
      <family val="2"/>
    </font>
    <font>
      <b/>
      <sz val="12"/>
      <color theme="1"/>
      <name val="Aptos"/>
      <family val="2"/>
    </font>
    <font>
      <b/>
      <sz val="11"/>
      <color rgb="FF000000"/>
      <name val="Aptos Narrow"/>
      <family val="2"/>
      <scheme val="minor"/>
    </font>
    <font>
      <b/>
      <sz val="16"/>
      <color theme="1"/>
      <name val="Aptos Narrow"/>
      <charset val="134"/>
      <scheme val="minor"/>
    </font>
    <font>
      <b/>
      <sz val="12"/>
      <color rgb="FFFF0000"/>
      <name val="Aptos"/>
      <family val="2"/>
    </font>
    <font>
      <sz val="11"/>
      <color theme="1"/>
      <name val="Aptos Narrow"/>
      <family val="2"/>
      <scheme val="minor"/>
    </font>
    <font>
      <sz val="11"/>
      <color theme="1"/>
      <name val="Aptos Narrow"/>
      <family val="2"/>
    </font>
    <font>
      <b/>
      <sz val="11"/>
      <color rgb="FFFFFFFF"/>
      <name val="Aptos Narrow"/>
      <family val="2"/>
    </font>
    <font>
      <b/>
      <sz val="11"/>
      <color rgb="FF1F4E78"/>
      <name val="Aptos Narrow"/>
      <family val="2"/>
    </font>
    <font>
      <b/>
      <sz val="16"/>
      <color rgb="FF9C6500"/>
      <name val="Aptos Narrow"/>
      <family val="2"/>
    </font>
    <font>
      <sz val="12"/>
      <color theme="1"/>
      <name val="Aptos Narrow"/>
      <charset val="134"/>
      <scheme val="minor"/>
    </font>
    <font>
      <b/>
      <sz val="11"/>
      <color rgb="FF002060"/>
      <name val="Aptos Narrow"/>
      <charset val="134"/>
      <scheme val="minor"/>
    </font>
    <font>
      <b/>
      <sz val="10"/>
      <color theme="1"/>
      <name val="Aptos Narrow"/>
      <family val="2"/>
      <charset val="134"/>
      <scheme val="minor"/>
    </font>
    <font>
      <b/>
      <sz val="26"/>
      <color theme="8" tint="-0.249977111117893"/>
      <name val="Aptos Narrow"/>
      <family val="2"/>
      <charset val="134"/>
      <scheme val="minor"/>
    </font>
    <font>
      <b/>
      <sz val="22"/>
      <color theme="1"/>
      <name val="Aptos Narrow"/>
      <family val="2"/>
      <charset val="134"/>
      <scheme val="minor"/>
    </font>
    <font>
      <b/>
      <sz val="20"/>
      <color theme="8" tint="-0.249977111117893"/>
      <name val="Aptos Narrow"/>
      <family val="2"/>
      <charset val="134"/>
      <scheme val="minor"/>
    </font>
    <font>
      <b/>
      <sz val="12"/>
      <color theme="1"/>
      <name val="Aptos Narrow"/>
      <family val="2"/>
      <charset val="134"/>
      <scheme val="minor"/>
    </font>
    <font>
      <b/>
      <sz val="12"/>
      <color theme="0"/>
      <name val="Aptos Narrow"/>
      <family val="2"/>
      <charset val="134"/>
      <scheme val="minor"/>
    </font>
    <font>
      <sz val="9"/>
      <color theme="1"/>
      <name val="Aptos Narrow"/>
      <family val="2"/>
      <charset val="134"/>
      <scheme val="minor"/>
    </font>
    <font>
      <b/>
      <sz val="10"/>
      <color theme="0"/>
      <name val="Aptos Narrow"/>
      <family val="2"/>
      <charset val="134"/>
      <scheme val="minor"/>
    </font>
    <font>
      <b/>
      <sz val="12"/>
      <color theme="8" tint="-0.249977111117893"/>
      <name val="Aptos Narrow"/>
      <family val="2"/>
      <charset val="134"/>
      <scheme val="minor"/>
    </font>
    <font>
      <sz val="12"/>
      <color theme="1"/>
      <name val="Aptos Narrow"/>
      <family val="2"/>
      <charset val="134"/>
      <scheme val="minor"/>
    </font>
    <font>
      <b/>
      <sz val="14"/>
      <color theme="1"/>
      <name val="Aptos Narrow"/>
      <family val="2"/>
      <charset val="134"/>
      <scheme val="minor"/>
    </font>
    <font>
      <sz val="12"/>
      <color theme="1"/>
      <name val="Aptos"/>
      <family val="2"/>
    </font>
    <font>
      <b/>
      <sz val="12"/>
      <color rgb="FF000000"/>
      <name val="Aptos"/>
      <charset val="134"/>
    </font>
  </fonts>
  <fills count="29">
    <fill>
      <patternFill patternType="none"/>
    </fill>
    <fill>
      <patternFill patternType="gray125"/>
    </fill>
    <fill>
      <patternFill patternType="solid">
        <fgColor theme="5" tint="0.79985961485641044"/>
        <bgColor indexed="64"/>
      </patternFill>
    </fill>
    <fill>
      <patternFill patternType="solid">
        <fgColor theme="3" tint="0.89986877040925317"/>
        <bgColor indexed="64"/>
      </patternFill>
    </fill>
    <fill>
      <patternFill patternType="solid">
        <fgColor theme="7" tint="0.79982909634693444"/>
        <bgColor indexed="64"/>
      </patternFill>
    </fill>
    <fill>
      <patternFill patternType="solid">
        <fgColor theme="0"/>
        <bgColor indexed="64"/>
      </patternFill>
    </fill>
    <fill>
      <patternFill patternType="solid">
        <fgColor theme="9" tint="0.79982909634693444"/>
        <bgColor indexed="64"/>
      </patternFill>
    </fill>
    <fill>
      <patternFill patternType="solid">
        <fgColor theme="4" tint="0.79982909634693444"/>
        <bgColor indexed="64"/>
      </patternFill>
    </fill>
    <fill>
      <patternFill patternType="solid">
        <fgColor rgb="FFFFFF00"/>
        <bgColor indexed="64"/>
      </patternFill>
    </fill>
    <fill>
      <patternFill patternType="solid">
        <fgColor theme="2"/>
        <bgColor indexed="64"/>
      </patternFill>
    </fill>
    <fill>
      <patternFill patternType="solid">
        <fgColor theme="3" tint="0.89983825189977718"/>
        <bgColor indexed="64"/>
      </patternFill>
    </fill>
    <fill>
      <patternFill patternType="solid">
        <fgColor theme="6" tint="0.79998168889431442"/>
        <bgColor indexed="64"/>
      </patternFill>
    </fill>
    <fill>
      <patternFill patternType="solid">
        <fgColor theme="3" tint="0.89980773339030118"/>
        <bgColor indexed="64"/>
      </patternFill>
    </fill>
    <fill>
      <patternFill patternType="solid">
        <fgColor theme="4" tint="0.79989013336588644"/>
        <bgColor indexed="64"/>
      </patternFill>
    </fill>
    <fill>
      <patternFill patternType="solid">
        <fgColor theme="4" tint="0.79998168889431442"/>
        <bgColor indexed="64"/>
      </patternFill>
    </fill>
    <fill>
      <patternFill patternType="solid">
        <fgColor theme="4" tint="0.79992065187536243"/>
        <bgColor indexed="64"/>
      </patternFill>
    </fill>
    <fill>
      <patternFill patternType="solid">
        <fgColor theme="9" tint="0.79979857783745845"/>
        <bgColor indexed="64"/>
      </patternFill>
    </fill>
    <fill>
      <patternFill patternType="solid">
        <fgColor theme="4" tint="0.7997985778374584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4472C4"/>
      </patternFill>
    </fill>
    <fill>
      <patternFill patternType="solid">
        <fgColor rgb="FFFFF2CC"/>
      </patternFill>
    </fill>
    <fill>
      <patternFill patternType="solid">
        <fgColor rgb="FFFFC000"/>
        <bgColor indexed="64"/>
      </patternFill>
    </fill>
    <fill>
      <patternFill patternType="solid">
        <fgColor rgb="FF00B050"/>
        <bgColor indexed="64"/>
      </patternFill>
    </fill>
    <fill>
      <patternFill patternType="solid">
        <fgColor theme="4" tint="0.79995117038483843"/>
        <bgColor indexed="64"/>
      </patternFill>
    </fill>
    <fill>
      <patternFill patternType="solid">
        <fgColor theme="2" tint="-9.9978637043366805E-2"/>
        <bgColor indexed="64"/>
      </patternFill>
    </fill>
    <fill>
      <patternFill patternType="solid">
        <fgColor rgb="FFE8E8E8"/>
        <bgColor rgb="FF000000"/>
      </patternFill>
    </fill>
    <fill>
      <patternFill patternType="solid">
        <fgColor rgb="FFDAE9F8"/>
        <bgColor rgb="FF000000"/>
      </patternFill>
    </fill>
  </fills>
  <borders count="11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dashed">
        <color auto="1"/>
      </bottom>
      <diagonal/>
    </border>
    <border>
      <left style="medium">
        <color auto="1"/>
      </left>
      <right style="medium">
        <color auto="1"/>
      </right>
      <top/>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top style="dashed">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right style="dashed">
        <color auto="1"/>
      </right>
      <top style="dashed">
        <color auto="1"/>
      </top>
      <bottom style="dashed">
        <color auto="1"/>
      </bottom>
      <diagonal/>
    </border>
    <border diagonalUp="1" diagonalDown="1">
      <left style="medium">
        <color auto="1"/>
      </left>
      <right style="dashed">
        <color auto="1"/>
      </right>
      <top style="dashed">
        <color auto="1"/>
      </top>
      <bottom style="dashed">
        <color auto="1"/>
      </bottom>
      <diagonal style="dashed">
        <color auto="1"/>
      </diagonal>
    </border>
    <border diagonalUp="1" diagonalDown="1">
      <left style="dashed">
        <color auto="1"/>
      </left>
      <right style="dashed">
        <color auto="1"/>
      </right>
      <top style="dashed">
        <color auto="1"/>
      </top>
      <bottom style="dashed">
        <color auto="1"/>
      </bottom>
      <diagonal style="dashed">
        <color auto="1"/>
      </diagonal>
    </border>
    <border diagonalUp="1" diagonalDown="1">
      <left style="dashed">
        <color auto="1"/>
      </left>
      <right style="medium">
        <color auto="1"/>
      </right>
      <top style="dashed">
        <color auto="1"/>
      </top>
      <bottom style="dashed">
        <color auto="1"/>
      </bottom>
      <diagonal style="dashed">
        <color auto="1"/>
      </diagonal>
    </border>
    <border>
      <left style="medium">
        <color auto="1"/>
      </left>
      <right/>
      <top style="dash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diagonalUp="1" diagonalDown="1">
      <left style="medium">
        <color auto="1"/>
      </left>
      <right style="dashed">
        <color auto="1"/>
      </right>
      <top style="dashed">
        <color auto="1"/>
      </top>
      <bottom style="medium">
        <color auto="1"/>
      </bottom>
      <diagonal style="dashed">
        <color auto="1"/>
      </diagonal>
    </border>
    <border diagonalUp="1" diagonalDown="1">
      <left style="dashed">
        <color auto="1"/>
      </left>
      <right style="dashed">
        <color auto="1"/>
      </right>
      <top style="dashed">
        <color auto="1"/>
      </top>
      <bottom style="medium">
        <color auto="1"/>
      </bottom>
      <diagonal style="dashed">
        <color auto="1"/>
      </diagonal>
    </border>
    <border diagonalUp="1" diagonalDown="1">
      <left style="dashed">
        <color auto="1"/>
      </left>
      <right style="medium">
        <color auto="1"/>
      </right>
      <top style="dashed">
        <color auto="1"/>
      </top>
      <bottom style="medium">
        <color auto="1"/>
      </bottom>
      <diagonal style="dashed">
        <color auto="1"/>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style="thin">
        <color auto="1"/>
      </left>
      <right style="thin">
        <color auto="1"/>
      </right>
      <top style="medium">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top style="thin">
        <color rgb="FF00B0F0"/>
      </top>
      <bottom style="thin">
        <color rgb="FF00B0F0"/>
      </bottom>
      <diagonal/>
    </border>
    <border>
      <left/>
      <right style="thin">
        <color rgb="FF00B0F0"/>
      </right>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right style="thin">
        <color rgb="FF00B0F0"/>
      </right>
      <top style="thin">
        <color rgb="FF00B0F0"/>
      </top>
      <bottom style="thin">
        <color rgb="FF00B0F0"/>
      </bottom>
      <diagonal/>
    </border>
    <border>
      <left/>
      <right style="thin">
        <color rgb="FF000000"/>
      </right>
      <top style="medium">
        <color rgb="FF000000"/>
      </top>
      <bottom style="medium">
        <color rgb="FF000000"/>
      </bottom>
      <diagonal/>
    </border>
    <border>
      <left style="thin">
        <color auto="1"/>
      </left>
      <right style="medium">
        <color auto="1"/>
      </right>
      <top style="medium">
        <color auto="1"/>
      </top>
      <bottom/>
      <diagonal/>
    </border>
  </borders>
  <cellStyleXfs count="6">
    <xf numFmtId="0" fontId="0" fillId="0" borderId="0"/>
    <xf numFmtId="9" fontId="28" fillId="0" borderId="0" applyFont="0" applyFill="0" applyBorder="0" applyAlignment="0" applyProtection="0"/>
    <xf numFmtId="0" fontId="41" fillId="0" borderId="0"/>
    <xf numFmtId="9" fontId="41" fillId="0" borderId="0" applyFont="0" applyFill="0" applyBorder="0" applyAlignment="0" applyProtection="0"/>
    <xf numFmtId="0" fontId="40" fillId="0" borderId="0"/>
    <xf numFmtId="9" fontId="40" fillId="0" borderId="0" applyFont="0" applyFill="0" applyBorder="0" applyAlignment="0" applyProtection="0"/>
  </cellStyleXfs>
  <cellXfs count="1456">
    <xf numFmtId="0" fontId="0" fillId="0" borderId="0" xfId="0"/>
    <xf numFmtId="0" fontId="0" fillId="0" borderId="0" xfId="0" applyAlignment="1">
      <alignment horizontal="center" vertical="center"/>
    </xf>
    <xf numFmtId="0" fontId="2" fillId="0" borderId="10" xfId="0" applyFont="1" applyBorder="1" applyAlignment="1">
      <alignment horizontal="center" vertical="center"/>
    </xf>
    <xf numFmtId="0" fontId="4" fillId="0" borderId="0" xfId="0" applyFont="1"/>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5" fillId="4" borderId="14" xfId="0" applyFont="1" applyFill="1" applyBorder="1" applyAlignment="1">
      <alignment horizontal="center" vertical="center"/>
    </xf>
    <xf numFmtId="15" fontId="6" fillId="0" borderId="15" xfId="0" applyNumberFormat="1" applyFont="1" applyBorder="1" applyAlignment="1">
      <alignment horizontal="center" vertical="center"/>
    </xf>
    <xf numFmtId="15" fontId="6" fillId="0" borderId="19" xfId="0" applyNumberFormat="1" applyFont="1" applyBorder="1" applyAlignment="1">
      <alignment horizontal="center" vertical="center"/>
    </xf>
    <xf numFmtId="15" fontId="6" fillId="0" borderId="20" xfId="0" applyNumberFormat="1" applyFont="1" applyBorder="1" applyAlignment="1">
      <alignment horizontal="center" vertical="center"/>
    </xf>
    <xf numFmtId="15" fontId="6" fillId="0" borderId="20" xfId="0" applyNumberFormat="1" applyFont="1" applyBorder="1" applyAlignment="1">
      <alignment vertical="center"/>
    </xf>
    <xf numFmtId="15" fontId="6" fillId="4" borderId="21" xfId="0" applyNumberFormat="1" applyFont="1" applyFill="1" applyBorder="1" applyAlignment="1">
      <alignment vertical="center"/>
    </xf>
    <xf numFmtId="0" fontId="5" fillId="4" borderId="22" xfId="0" applyFont="1" applyFill="1" applyBorder="1" applyAlignment="1">
      <alignment horizontal="center" vertical="center"/>
    </xf>
    <xf numFmtId="15" fontId="6" fillId="0" borderId="23" xfId="0" applyNumberFormat="1" applyFont="1" applyBorder="1" applyAlignment="1">
      <alignment horizontal="center" vertical="center"/>
    </xf>
    <xf numFmtId="15" fontId="6" fillId="0" borderId="26" xfId="0" applyNumberFormat="1" applyFont="1" applyBorder="1" applyAlignment="1">
      <alignment horizontal="center" vertical="center"/>
    </xf>
    <xf numFmtId="15" fontId="6" fillId="0" borderId="27" xfId="0" applyNumberFormat="1" applyFont="1" applyBorder="1" applyAlignment="1">
      <alignment horizontal="center" vertical="center"/>
    </xf>
    <xf numFmtId="15" fontId="6" fillId="0" borderId="27" xfId="0" applyNumberFormat="1" applyFont="1" applyBorder="1" applyAlignment="1">
      <alignment vertical="center"/>
    </xf>
    <xf numFmtId="15" fontId="6" fillId="4" borderId="28" xfId="0" applyNumberFormat="1" applyFont="1" applyFill="1" applyBorder="1" applyAlignment="1">
      <alignment vertical="center"/>
    </xf>
    <xf numFmtId="0" fontId="7" fillId="5" borderId="0" xfId="0" applyFont="1" applyFill="1"/>
    <xf numFmtId="0" fontId="7" fillId="0" borderId="0" xfId="0" applyFont="1"/>
    <xf numFmtId="0" fontId="7" fillId="0" borderId="0" xfId="0" applyFont="1" applyAlignment="1">
      <alignment horizontal="center" vertical="center"/>
    </xf>
    <xf numFmtId="0" fontId="7" fillId="0" borderId="0" xfId="0" applyFont="1" applyAlignment="1">
      <alignment horizontal="center"/>
    </xf>
    <xf numFmtId="49" fontId="7" fillId="0" borderId="0" xfId="0" applyNumberFormat="1" applyFont="1" applyAlignment="1">
      <alignment horizontal="left" wrapText="1"/>
    </xf>
    <xf numFmtId="164" fontId="7" fillId="0" borderId="0" xfId="0" applyNumberFormat="1" applyFont="1"/>
    <xf numFmtId="0" fontId="7" fillId="0" borderId="29" xfId="0" applyFont="1" applyBorder="1" applyAlignment="1">
      <alignment horizontal="center"/>
    </xf>
    <xf numFmtId="0" fontId="8" fillId="6" borderId="30" xfId="0" applyFont="1" applyFill="1" applyBorder="1" applyAlignment="1">
      <alignment horizontal="center" vertical="center" textRotation="90"/>
    </xf>
    <xf numFmtId="17" fontId="8" fillId="7" borderId="34" xfId="0" applyNumberFormat="1" applyFont="1" applyFill="1" applyBorder="1" applyAlignment="1">
      <alignment horizontal="center" vertical="center"/>
    </xf>
    <xf numFmtId="17" fontId="8" fillId="7" borderId="32" xfId="0" applyNumberFormat="1" applyFont="1" applyFill="1" applyBorder="1" applyAlignment="1">
      <alignment horizontal="center" vertical="center"/>
    </xf>
    <xf numFmtId="0" fontId="8" fillId="6" borderId="35" xfId="0" applyFont="1" applyFill="1" applyBorder="1" applyAlignment="1">
      <alignment horizontal="center" vertical="center" textRotation="90"/>
    </xf>
    <xf numFmtId="0" fontId="8" fillId="0" borderId="34" xfId="0" applyFont="1" applyBorder="1" applyAlignment="1">
      <alignment vertical="center"/>
    </xf>
    <xf numFmtId="0" fontId="8" fillId="0" borderId="32" xfId="0" applyFont="1" applyBorder="1" applyAlignment="1">
      <alignment vertical="center"/>
    </xf>
    <xf numFmtId="0" fontId="8" fillId="5" borderId="36" xfId="0" applyFont="1" applyFill="1" applyBorder="1" applyAlignment="1">
      <alignment vertical="center" textRotation="90"/>
    </xf>
    <xf numFmtId="164" fontId="7" fillId="5" borderId="0" xfId="0" applyNumberFormat="1" applyFont="1" applyFill="1"/>
    <xf numFmtId="15" fontId="8" fillId="9" borderId="32" xfId="0" applyNumberFormat="1" applyFont="1" applyFill="1" applyBorder="1" applyAlignment="1">
      <alignment horizontal="center" vertical="center" wrapText="1"/>
    </xf>
    <xf numFmtId="0" fontId="8" fillId="9" borderId="38" xfId="0" applyFont="1" applyFill="1" applyBorder="1" applyAlignment="1">
      <alignment vertical="center" wrapText="1"/>
    </xf>
    <xf numFmtId="0" fontId="8" fillId="9" borderId="34" xfId="0" applyFont="1" applyFill="1" applyBorder="1" applyAlignment="1">
      <alignment vertical="center" wrapText="1"/>
    </xf>
    <xf numFmtId="15" fontId="7" fillId="0" borderId="0" xfId="0" applyNumberFormat="1" applyFont="1"/>
    <xf numFmtId="0" fontId="8" fillId="9" borderId="38" xfId="0" applyFont="1" applyFill="1" applyBorder="1" applyAlignment="1">
      <alignment horizontal="left" vertical="center" wrapText="1"/>
    </xf>
    <xf numFmtId="0" fontId="8" fillId="9" borderId="34" xfId="0" applyFont="1" applyFill="1" applyBorder="1" applyAlignment="1">
      <alignment horizontal="left" vertical="center" wrapText="1"/>
    </xf>
    <xf numFmtId="0" fontId="8" fillId="10" borderId="40" xfId="0" applyFont="1" applyFill="1" applyBorder="1" applyAlignment="1">
      <alignment horizontal="center" vertical="center" wrapText="1"/>
    </xf>
    <xf numFmtId="15" fontId="8" fillId="10" borderId="32" xfId="0" applyNumberFormat="1" applyFont="1" applyFill="1" applyBorder="1" applyAlignment="1">
      <alignment horizontal="center" vertical="center" wrapText="1"/>
    </xf>
    <xf numFmtId="0" fontId="7" fillId="10" borderId="33" xfId="0" applyFont="1" applyFill="1" applyBorder="1"/>
    <xf numFmtId="0" fontId="8" fillId="10" borderId="42" xfId="0" applyFont="1" applyFill="1" applyBorder="1" applyAlignment="1">
      <alignment vertical="center" wrapText="1"/>
    </xf>
    <xf numFmtId="0" fontId="8" fillId="10" borderId="31" xfId="0" applyFont="1" applyFill="1" applyBorder="1" applyAlignment="1">
      <alignment horizontal="center" vertical="center" wrapText="1"/>
    </xf>
    <xf numFmtId="0" fontId="8" fillId="10" borderId="38" xfId="0" applyFont="1" applyFill="1" applyBorder="1" applyAlignment="1">
      <alignment vertical="center" wrapText="1"/>
    </xf>
    <xf numFmtId="0" fontId="8" fillId="10" borderId="38" xfId="0" applyFont="1" applyFill="1" applyBorder="1" applyAlignment="1">
      <alignment horizontal="left" vertical="center" wrapText="1"/>
    </xf>
    <xf numFmtId="0" fontId="8" fillId="10" borderId="34" xfId="0" applyFont="1" applyFill="1" applyBorder="1" applyAlignment="1">
      <alignment horizontal="left" vertical="center" wrapText="1"/>
    </xf>
    <xf numFmtId="15" fontId="8" fillId="10" borderId="41" xfId="0" applyNumberFormat="1" applyFont="1" applyFill="1" applyBorder="1" applyAlignment="1">
      <alignment horizontal="center" vertical="center" wrapText="1"/>
    </xf>
    <xf numFmtId="165" fontId="7" fillId="5" borderId="0" xfId="0" applyNumberFormat="1" applyFont="1" applyFill="1"/>
    <xf numFmtId="0" fontId="8" fillId="9" borderId="32" xfId="0" applyFont="1" applyFill="1" applyBorder="1" applyAlignment="1">
      <alignment vertical="center" wrapText="1"/>
    </xf>
    <xf numFmtId="0" fontId="8" fillId="5" borderId="2" xfId="0" applyFont="1" applyFill="1" applyBorder="1" applyAlignment="1">
      <alignment vertical="center" textRotation="90"/>
    </xf>
    <xf numFmtId="0" fontId="8" fillId="5" borderId="2" xfId="0" applyFont="1" applyFill="1" applyBorder="1" applyAlignment="1">
      <alignment horizontal="center" vertical="center" textRotation="90"/>
    </xf>
    <xf numFmtId="0" fontId="8" fillId="5" borderId="3" xfId="0" applyFont="1" applyFill="1" applyBorder="1" applyAlignment="1">
      <alignment vertical="center" textRotation="90"/>
    </xf>
    <xf numFmtId="15" fontId="8" fillId="10" borderId="52" xfId="0" applyNumberFormat="1" applyFont="1" applyFill="1" applyBorder="1" applyAlignment="1">
      <alignment horizontal="center" vertical="center" wrapText="1"/>
    </xf>
    <xf numFmtId="0" fontId="8" fillId="10" borderId="53" xfId="0" applyFont="1" applyFill="1" applyBorder="1" applyAlignment="1">
      <alignment horizontal="left" vertical="center" wrapText="1"/>
    </xf>
    <xf numFmtId="0" fontId="8" fillId="10" borderId="54" xfId="0" applyFont="1" applyFill="1" applyBorder="1" applyAlignment="1">
      <alignment horizontal="left" vertical="center" wrapText="1"/>
    </xf>
    <xf numFmtId="0" fontId="8" fillId="10" borderId="0" xfId="0" applyFont="1" applyFill="1" applyAlignment="1">
      <alignment horizontal="center" vertical="center" textRotation="90"/>
    </xf>
    <xf numFmtId="0" fontId="8" fillId="10" borderId="7" xfId="0" applyFont="1" applyFill="1" applyBorder="1" applyAlignment="1">
      <alignment horizontal="center" vertical="center" textRotation="90"/>
    </xf>
    <xf numFmtId="0" fontId="8" fillId="10" borderId="58" xfId="0" applyFont="1" applyFill="1" applyBorder="1" applyAlignment="1">
      <alignment horizontal="center" vertical="center" wrapText="1"/>
    </xf>
    <xf numFmtId="15" fontId="8" fillId="10" borderId="59" xfId="0" applyNumberFormat="1" applyFont="1" applyFill="1" applyBorder="1" applyAlignment="1">
      <alignment horizontal="center" vertical="center" wrapText="1"/>
    </xf>
    <xf numFmtId="0" fontId="7" fillId="10" borderId="44" xfId="0" applyFont="1" applyFill="1" applyBorder="1"/>
    <xf numFmtId="0" fontId="8" fillId="10" borderId="60" xfId="0" applyFont="1" applyFill="1" applyBorder="1" applyAlignment="1">
      <alignment horizontal="left" vertical="center" wrapText="1"/>
    </xf>
    <xf numFmtId="0" fontId="8" fillId="10" borderId="61" xfId="0" applyFont="1" applyFill="1" applyBorder="1" applyAlignment="1">
      <alignment horizontal="left" vertical="center" wrapText="1"/>
    </xf>
    <xf numFmtId="49" fontId="7" fillId="10" borderId="62" xfId="0" applyNumberFormat="1" applyFont="1" applyFill="1" applyBorder="1" applyAlignment="1">
      <alignment horizontal="center" vertical="center" wrapText="1"/>
    </xf>
    <xf numFmtId="0" fontId="8" fillId="9" borderId="52" xfId="0" applyFont="1" applyFill="1" applyBorder="1" applyAlignment="1">
      <alignment horizontal="left" vertical="center" wrapText="1"/>
    </xf>
    <xf numFmtId="0" fontId="8" fillId="9" borderId="52" xfId="0" applyFont="1" applyFill="1" applyBorder="1" applyAlignment="1">
      <alignment horizontal="center" vertical="center" wrapText="1"/>
    </xf>
    <xf numFmtId="15" fontId="8" fillId="9" borderId="52" xfId="0" applyNumberFormat="1" applyFont="1" applyFill="1" applyBorder="1" applyAlignment="1">
      <alignment horizontal="center" vertical="center" wrapText="1"/>
    </xf>
    <xf numFmtId="0" fontId="7" fillId="9" borderId="52" xfId="0" applyFont="1" applyFill="1" applyBorder="1"/>
    <xf numFmtId="0" fontId="8" fillId="9" borderId="59" xfId="0" applyFont="1" applyFill="1" applyBorder="1" applyAlignment="1">
      <alignment horizontal="center" vertical="center" wrapText="1"/>
    </xf>
    <xf numFmtId="15" fontId="8" fillId="9" borderId="59" xfId="0" applyNumberFormat="1" applyFont="1" applyFill="1" applyBorder="1" applyAlignment="1">
      <alignment horizontal="center" vertical="center" wrapText="1"/>
    </xf>
    <xf numFmtId="0" fontId="7" fillId="9" borderId="59" xfId="0" applyFont="1" applyFill="1" applyBorder="1"/>
    <xf numFmtId="0" fontId="8" fillId="9" borderId="59" xfId="0" applyFont="1" applyFill="1" applyBorder="1" applyAlignment="1">
      <alignment horizontal="left" vertical="center" wrapText="1"/>
    </xf>
    <xf numFmtId="0" fontId="8" fillId="3" borderId="52" xfId="0" applyFont="1" applyFill="1" applyBorder="1" applyAlignment="1">
      <alignment vertical="center" wrapText="1"/>
    </xf>
    <xf numFmtId="0" fontId="8" fillId="3" borderId="52" xfId="0" applyFont="1" applyFill="1" applyBorder="1" applyAlignment="1">
      <alignment horizontal="center" vertical="center" wrapText="1"/>
    </xf>
    <xf numFmtId="15" fontId="9" fillId="3" borderId="52" xfId="0" applyNumberFormat="1" applyFont="1" applyFill="1" applyBorder="1" applyAlignment="1">
      <alignment horizontal="center" vertical="center" wrapText="1"/>
    </xf>
    <xf numFmtId="15" fontId="8" fillId="3" borderId="52" xfId="0" applyNumberFormat="1" applyFont="1" applyFill="1" applyBorder="1" applyAlignment="1">
      <alignment horizontal="center" vertical="center" wrapText="1"/>
    </xf>
    <xf numFmtId="0" fontId="7" fillId="3" borderId="52" xfId="0" applyFont="1" applyFill="1" applyBorder="1"/>
    <xf numFmtId="0" fontId="8" fillId="3" borderId="51" xfId="0" applyFont="1" applyFill="1" applyBorder="1" applyAlignment="1">
      <alignment vertical="center" wrapText="1"/>
    </xf>
    <xf numFmtId="0" fontId="8" fillId="3" borderId="29" xfId="0" applyFont="1" applyFill="1" applyBorder="1" applyAlignment="1">
      <alignment vertical="center" wrapText="1"/>
    </xf>
    <xf numFmtId="0" fontId="8" fillId="0" borderId="38" xfId="0" applyFont="1" applyBorder="1" applyAlignment="1">
      <alignment vertical="center" textRotation="90"/>
    </xf>
    <xf numFmtId="15" fontId="10" fillId="9" borderId="52" xfId="0" applyNumberFormat="1" applyFont="1" applyFill="1" applyBorder="1" applyAlignment="1">
      <alignment horizontal="center" vertical="center" wrapText="1"/>
    </xf>
    <xf numFmtId="0" fontId="8" fillId="9" borderId="32" xfId="0" applyFont="1" applyFill="1" applyBorder="1" applyAlignment="1">
      <alignment horizontal="left" vertical="center" wrapText="1"/>
    </xf>
    <xf numFmtId="0" fontId="8" fillId="9" borderId="32" xfId="0" applyFont="1" applyFill="1" applyBorder="1" applyAlignment="1">
      <alignment horizontal="center" vertical="center" wrapText="1"/>
    </xf>
    <xf numFmtId="15" fontId="10" fillId="9" borderId="32" xfId="0" applyNumberFormat="1" applyFont="1" applyFill="1" applyBorder="1" applyAlignment="1">
      <alignment horizontal="center" vertical="center" wrapText="1"/>
    </xf>
    <xf numFmtId="0" fontId="7" fillId="9" borderId="32" xfId="0" applyFont="1" applyFill="1" applyBorder="1"/>
    <xf numFmtId="0" fontId="8" fillId="9" borderId="67" xfId="0" applyFont="1" applyFill="1" applyBorder="1" applyAlignment="1">
      <alignment horizontal="left" vertical="center" wrapText="1"/>
    </xf>
    <xf numFmtId="0" fontId="8" fillId="13" borderId="32" xfId="0" applyFont="1" applyFill="1" applyBorder="1" applyAlignment="1">
      <alignment horizontal="left" vertical="center" wrapText="1"/>
    </xf>
    <xf numFmtId="15" fontId="10" fillId="13" borderId="32" xfId="0" applyNumberFormat="1" applyFont="1" applyFill="1" applyBorder="1" applyAlignment="1">
      <alignment horizontal="center" vertical="center" wrapText="1"/>
    </xf>
    <xf numFmtId="0" fontId="8" fillId="13" borderId="67" xfId="0" applyFont="1" applyFill="1" applyBorder="1" applyAlignment="1">
      <alignment horizontal="left" vertical="center" wrapText="1"/>
    </xf>
    <xf numFmtId="0" fontId="8" fillId="0" borderId="0" xfId="0" applyFont="1" applyAlignment="1">
      <alignment vertical="center" textRotation="90"/>
    </xf>
    <xf numFmtId="0" fontId="11" fillId="10" borderId="52" xfId="0" applyFont="1" applyFill="1" applyBorder="1" applyAlignment="1">
      <alignment horizontal="left" vertical="center" wrapText="1"/>
    </xf>
    <xf numFmtId="15" fontId="11" fillId="10" borderId="52" xfId="0" applyNumberFormat="1" applyFont="1" applyFill="1" applyBorder="1" applyAlignment="1">
      <alignment horizontal="center" vertical="center" wrapText="1"/>
    </xf>
    <xf numFmtId="15" fontId="8" fillId="12" borderId="52" xfId="0" applyNumberFormat="1" applyFont="1" applyFill="1" applyBorder="1" applyAlignment="1">
      <alignment horizontal="center" vertical="center" wrapText="1"/>
    </xf>
    <xf numFmtId="0" fontId="11" fillId="3" borderId="32" xfId="0" applyFont="1" applyFill="1" applyBorder="1" applyAlignment="1">
      <alignment horizontal="left" vertical="center" wrapText="1"/>
    </xf>
    <xf numFmtId="15" fontId="8" fillId="12" borderId="32" xfId="0" applyNumberFormat="1" applyFont="1" applyFill="1" applyBorder="1" applyAlignment="1">
      <alignment horizontal="center" vertical="center" wrapText="1"/>
    </xf>
    <xf numFmtId="0" fontId="11" fillId="3" borderId="41" xfId="0" applyFont="1" applyFill="1" applyBorder="1" applyAlignment="1">
      <alignment horizontal="left" vertical="center" wrapText="1"/>
    </xf>
    <xf numFmtId="15" fontId="11" fillId="10" borderId="32" xfId="0" applyNumberFormat="1" applyFont="1" applyFill="1" applyBorder="1" applyAlignment="1">
      <alignment horizontal="center" vertical="center" wrapText="1"/>
    </xf>
    <xf numFmtId="0" fontId="11" fillId="3" borderId="59" xfId="0" applyFont="1" applyFill="1" applyBorder="1" applyAlignment="1">
      <alignment horizontal="left" vertical="center" wrapText="1"/>
    </xf>
    <xf numFmtId="15" fontId="11" fillId="10" borderId="59" xfId="0" applyNumberFormat="1" applyFont="1" applyFill="1" applyBorder="1" applyAlignment="1">
      <alignment horizontal="center" vertical="center" wrapText="1"/>
    </xf>
    <xf numFmtId="15" fontId="8" fillId="12" borderId="59" xfId="0" applyNumberFormat="1" applyFont="1" applyFill="1" applyBorder="1" applyAlignment="1">
      <alignment horizontal="center" vertical="center" wrapText="1"/>
    </xf>
    <xf numFmtId="15" fontId="11" fillId="14" borderId="52" xfId="0" applyNumberFormat="1" applyFont="1" applyFill="1" applyBorder="1" applyAlignment="1">
      <alignment horizontal="center" vertical="center" wrapText="1"/>
    </xf>
    <xf numFmtId="15" fontId="11" fillId="14" borderId="59" xfId="0" applyNumberFormat="1" applyFont="1" applyFill="1" applyBorder="1" applyAlignment="1">
      <alignment horizontal="center" vertical="center" wrapText="1"/>
    </xf>
    <xf numFmtId="0" fontId="7" fillId="8" borderId="0" xfId="0" applyFont="1" applyFill="1"/>
    <xf numFmtId="0" fontId="7" fillId="15" borderId="0" xfId="0" applyFont="1" applyFill="1"/>
    <xf numFmtId="0" fontId="7" fillId="0" borderId="29" xfId="0" applyFont="1" applyBorder="1"/>
    <xf numFmtId="0" fontId="7" fillId="0" borderId="33" xfId="0" applyFont="1" applyBorder="1"/>
    <xf numFmtId="0" fontId="8" fillId="16" borderId="35" xfId="0" applyFont="1" applyFill="1" applyBorder="1" applyAlignment="1">
      <alignment horizontal="center" vertical="center" textRotation="90"/>
    </xf>
    <xf numFmtId="15" fontId="8" fillId="12" borderId="41" xfId="0" applyNumberFormat="1" applyFont="1" applyFill="1" applyBorder="1" applyAlignment="1">
      <alignment horizontal="center" vertical="center" wrapText="1"/>
    </xf>
    <xf numFmtId="0" fontId="7" fillId="12" borderId="33" xfId="0" applyFont="1" applyFill="1" applyBorder="1"/>
    <xf numFmtId="0" fontId="8" fillId="12" borderId="38" xfId="0" applyFont="1" applyFill="1" applyBorder="1" applyAlignment="1">
      <alignment horizontal="left" vertical="center" wrapText="1"/>
    </xf>
    <xf numFmtId="0" fontId="8" fillId="12" borderId="34" xfId="0" applyFont="1" applyFill="1" applyBorder="1" applyAlignment="1">
      <alignment horizontal="left" vertical="center" wrapText="1"/>
    </xf>
    <xf numFmtId="0" fontId="8" fillId="9" borderId="52" xfId="0" applyFont="1" applyFill="1" applyBorder="1" applyAlignment="1">
      <alignment vertical="center" wrapText="1"/>
    </xf>
    <xf numFmtId="0" fontId="8" fillId="9" borderId="59" xfId="0" applyFont="1" applyFill="1" applyBorder="1" applyAlignment="1">
      <alignment vertical="center" wrapText="1"/>
    </xf>
    <xf numFmtId="0" fontId="8" fillId="5" borderId="0" xfId="0" applyFont="1" applyFill="1" applyAlignment="1">
      <alignment vertical="center" textRotation="90"/>
    </xf>
    <xf numFmtId="164" fontId="7" fillId="8" borderId="0" xfId="0" applyNumberFormat="1" applyFont="1" applyFill="1"/>
    <xf numFmtId="0" fontId="8" fillId="12" borderId="0" xfId="0" applyFont="1" applyFill="1" applyAlignment="1">
      <alignment horizontal="center" vertical="center" textRotation="90"/>
    </xf>
    <xf numFmtId="0" fontId="8" fillId="12" borderId="7" xfId="0" applyFont="1" applyFill="1" applyBorder="1" applyAlignment="1">
      <alignment horizontal="center" vertical="center" textRotation="90"/>
    </xf>
    <xf numFmtId="0" fontId="7" fillId="12" borderId="44" xfId="0" applyFont="1" applyFill="1" applyBorder="1"/>
    <xf numFmtId="0" fontId="8" fillId="12" borderId="60" xfId="0" applyFont="1" applyFill="1" applyBorder="1" applyAlignment="1">
      <alignment horizontal="left" vertical="center" wrapText="1"/>
    </xf>
    <xf numFmtId="0" fontId="8" fillId="12" borderId="61" xfId="0" applyFont="1" applyFill="1" applyBorder="1" applyAlignment="1">
      <alignment horizontal="left" vertical="center" wrapText="1"/>
    </xf>
    <xf numFmtId="49" fontId="7" fillId="12" borderId="62" xfId="0" applyNumberFormat="1" applyFont="1" applyFill="1" applyBorder="1" applyAlignment="1">
      <alignment horizontal="center" vertical="center" wrapText="1"/>
    </xf>
    <xf numFmtId="0" fontId="8" fillId="10" borderId="52" xfId="0" applyFont="1" applyFill="1" applyBorder="1" applyAlignment="1">
      <alignment vertical="center" wrapText="1"/>
    </xf>
    <xf numFmtId="15" fontId="9" fillId="10" borderId="52" xfId="0" applyNumberFormat="1" applyFont="1" applyFill="1" applyBorder="1" applyAlignment="1">
      <alignment horizontal="center" vertical="center" wrapText="1"/>
    </xf>
    <xf numFmtId="0" fontId="7" fillId="10" borderId="52" xfId="0" applyFont="1" applyFill="1" applyBorder="1"/>
    <xf numFmtId="0" fontId="8" fillId="10" borderId="59" xfId="0" applyFont="1" applyFill="1" applyBorder="1" applyAlignment="1">
      <alignment vertical="center" wrapText="1"/>
    </xf>
    <xf numFmtId="0" fontId="7" fillId="10" borderId="59" xfId="0" applyFont="1" applyFill="1" applyBorder="1"/>
    <xf numFmtId="0" fontId="7" fillId="15" borderId="0" xfId="0" applyFont="1" applyFill="1" applyAlignment="1">
      <alignment horizontal="center" vertical="center"/>
    </xf>
    <xf numFmtId="164" fontId="7" fillId="15" borderId="0" xfId="0" applyNumberFormat="1" applyFont="1" applyFill="1"/>
    <xf numFmtId="0" fontId="8" fillId="5" borderId="7" xfId="0" applyFont="1" applyFill="1" applyBorder="1" applyAlignment="1">
      <alignment vertical="center" textRotation="90"/>
    </xf>
    <xf numFmtId="0" fontId="8" fillId="10" borderId="52" xfId="0" applyFont="1" applyFill="1" applyBorder="1" applyAlignment="1">
      <alignment horizontal="left" vertical="center" wrapText="1"/>
    </xf>
    <xf numFmtId="0" fontId="7" fillId="10" borderId="32" xfId="0" applyFont="1" applyFill="1" applyBorder="1"/>
    <xf numFmtId="0" fontId="8" fillId="10" borderId="32" xfId="0" applyFont="1" applyFill="1" applyBorder="1" applyAlignment="1">
      <alignment horizontal="left" vertical="center" wrapText="1"/>
    </xf>
    <xf numFmtId="0" fontId="8" fillId="10" borderId="59" xfId="0" applyFont="1" applyFill="1" applyBorder="1" applyAlignment="1">
      <alignment horizontal="left" vertical="center" wrapText="1"/>
    </xf>
    <xf numFmtId="164" fontId="7" fillId="0" borderId="0" xfId="0" applyNumberFormat="1" applyFont="1" applyAlignment="1">
      <alignment horizontal="center"/>
    </xf>
    <xf numFmtId="164" fontId="8" fillId="10" borderId="41" xfId="0" applyNumberFormat="1" applyFont="1" applyFill="1" applyBorder="1" applyAlignment="1">
      <alignment horizontal="center" vertical="center" wrapText="1"/>
    </xf>
    <xf numFmtId="164" fontId="8" fillId="10" borderId="32" xfId="0" applyNumberFormat="1" applyFont="1" applyFill="1" applyBorder="1" applyAlignment="1">
      <alignment horizontal="center" vertical="center" wrapText="1"/>
    </xf>
    <xf numFmtId="164" fontId="8" fillId="5" borderId="2" xfId="0" applyNumberFormat="1" applyFont="1" applyFill="1" applyBorder="1" applyAlignment="1">
      <alignment vertical="center" textRotation="90"/>
    </xf>
    <xf numFmtId="49" fontId="7" fillId="10" borderId="56" xfId="0" applyNumberFormat="1" applyFont="1" applyFill="1" applyBorder="1" applyAlignment="1">
      <alignment horizontal="left" vertical="center" wrapText="1"/>
    </xf>
    <xf numFmtId="164" fontId="8" fillId="10" borderId="59" xfId="0" applyNumberFormat="1" applyFont="1" applyFill="1" applyBorder="1" applyAlignment="1">
      <alignment horizontal="center" vertical="center" wrapText="1"/>
    </xf>
    <xf numFmtId="0" fontId="8" fillId="3" borderId="52" xfId="0" applyFont="1" applyFill="1" applyBorder="1" applyAlignment="1">
      <alignment horizontal="center" vertical="center" textRotation="90"/>
    </xf>
    <xf numFmtId="0" fontId="8" fillId="3" borderId="59" xfId="0" applyFont="1" applyFill="1" applyBorder="1" applyAlignment="1">
      <alignment horizontal="center" vertical="center" textRotation="90"/>
    </xf>
    <xf numFmtId="0" fontId="8" fillId="3" borderId="59" xfId="0" applyFont="1" applyFill="1" applyBorder="1" applyAlignment="1">
      <alignment vertical="center" wrapText="1"/>
    </xf>
    <xf numFmtId="0" fontId="8" fillId="3" borderId="59" xfId="0" applyFont="1" applyFill="1" applyBorder="1" applyAlignment="1">
      <alignment horizontal="center" vertical="center" wrapText="1"/>
    </xf>
    <xf numFmtId="15" fontId="8" fillId="3" borderId="59" xfId="0" applyNumberFormat="1" applyFont="1" applyFill="1" applyBorder="1" applyAlignment="1">
      <alignment horizontal="center" vertical="center" wrapText="1"/>
    </xf>
    <xf numFmtId="0" fontId="7" fillId="3" borderId="59" xfId="0" applyFont="1" applyFill="1" applyBorder="1"/>
    <xf numFmtId="164" fontId="10" fillId="9" borderId="52" xfId="0" applyNumberFormat="1" applyFont="1" applyFill="1" applyBorder="1" applyAlignment="1">
      <alignment horizontal="center" vertical="center" wrapText="1"/>
    </xf>
    <xf numFmtId="164" fontId="10" fillId="9" borderId="32" xfId="0" applyNumberFormat="1" applyFont="1" applyFill="1" applyBorder="1" applyAlignment="1">
      <alignment horizontal="center" vertical="center" wrapText="1"/>
    </xf>
    <xf numFmtId="0" fontId="8" fillId="3" borderId="52" xfId="0" applyFont="1" applyFill="1" applyBorder="1" applyAlignment="1">
      <alignment horizontal="left" vertical="center" wrapText="1"/>
    </xf>
    <xf numFmtId="15" fontId="8" fillId="3" borderId="32" xfId="0" applyNumberFormat="1" applyFont="1" applyFill="1" applyBorder="1" applyAlignment="1">
      <alignment horizontal="center" vertical="center" wrapText="1"/>
    </xf>
    <xf numFmtId="0" fontId="7" fillId="3" borderId="32" xfId="0" applyFont="1" applyFill="1" applyBorder="1"/>
    <xf numFmtId="0" fontId="8" fillId="3" borderId="32" xfId="0" applyFont="1" applyFill="1" applyBorder="1" applyAlignment="1">
      <alignment horizontal="left" vertical="center" wrapText="1"/>
    </xf>
    <xf numFmtId="0" fontId="8" fillId="3" borderId="59" xfId="0" applyFont="1" applyFill="1" applyBorder="1" applyAlignment="1">
      <alignment horizontal="left" vertical="center" wrapText="1"/>
    </xf>
    <xf numFmtId="0" fontId="18" fillId="5" borderId="0" xfId="0" applyFont="1" applyFill="1"/>
    <xf numFmtId="0" fontId="18" fillId="0" borderId="0" xfId="0" applyFont="1"/>
    <xf numFmtId="0" fontId="18" fillId="0" borderId="0" xfId="0" applyFont="1" applyAlignment="1">
      <alignment horizontal="center" vertical="center"/>
    </xf>
    <xf numFmtId="0" fontId="18" fillId="0" borderId="0" xfId="0" applyFont="1" applyAlignment="1">
      <alignment horizontal="center"/>
    </xf>
    <xf numFmtId="49" fontId="18" fillId="0" borderId="0" xfId="0" applyNumberFormat="1" applyFont="1" applyAlignment="1">
      <alignment horizontal="left" wrapText="1"/>
    </xf>
    <xf numFmtId="164" fontId="18" fillId="0" borderId="0" xfId="0" applyNumberFormat="1" applyFont="1"/>
    <xf numFmtId="0" fontId="11" fillId="6" borderId="30" xfId="0" applyFont="1" applyFill="1" applyBorder="1" applyAlignment="1">
      <alignment horizontal="center" vertical="center" textRotation="90"/>
    </xf>
    <xf numFmtId="17" fontId="11" fillId="7" borderId="34" xfId="0" applyNumberFormat="1" applyFont="1" applyFill="1" applyBorder="1" applyAlignment="1">
      <alignment horizontal="center" vertical="center"/>
    </xf>
    <xf numFmtId="17" fontId="11" fillId="7" borderId="32" xfId="0" applyNumberFormat="1" applyFont="1" applyFill="1" applyBorder="1" applyAlignment="1">
      <alignment horizontal="center" vertical="center"/>
    </xf>
    <xf numFmtId="49" fontId="11" fillId="6" borderId="32" xfId="0" applyNumberFormat="1" applyFont="1" applyFill="1" applyBorder="1" applyAlignment="1">
      <alignment horizontal="center" vertical="center" wrapText="1"/>
    </xf>
    <xf numFmtId="0" fontId="11" fillId="6" borderId="35" xfId="0" applyFont="1" applyFill="1" applyBorder="1" applyAlignment="1">
      <alignment horizontal="center" vertical="center" textRotation="90"/>
    </xf>
    <xf numFmtId="0" fontId="11" fillId="0" borderId="34" xfId="0" applyFont="1" applyBorder="1" applyAlignment="1">
      <alignment vertical="center"/>
    </xf>
    <xf numFmtId="0" fontId="11" fillId="0" borderId="32" xfId="0" applyFont="1" applyBorder="1" applyAlignment="1">
      <alignment vertical="center"/>
    </xf>
    <xf numFmtId="49" fontId="18" fillId="0" borderId="32" xfId="0" applyNumberFormat="1" applyFont="1" applyBorder="1" applyAlignment="1">
      <alignment horizontal="left" vertical="center" wrapText="1"/>
    </xf>
    <xf numFmtId="0" fontId="11" fillId="5" borderId="36" xfId="0" applyFont="1" applyFill="1" applyBorder="1" applyAlignment="1">
      <alignment vertical="center" textRotation="90"/>
    </xf>
    <xf numFmtId="164" fontId="18" fillId="5" borderId="0" xfId="0" applyNumberFormat="1" applyFont="1" applyFill="1"/>
    <xf numFmtId="15" fontId="11" fillId="9" borderId="52" xfId="0" applyNumberFormat="1" applyFont="1" applyFill="1" applyBorder="1" applyAlignment="1">
      <alignment horizontal="center" vertical="center" wrapText="1"/>
    </xf>
    <xf numFmtId="15" fontId="11" fillId="9" borderId="32" xfId="0" applyNumberFormat="1" applyFont="1" applyFill="1" applyBorder="1" applyAlignment="1">
      <alignment horizontal="center" vertical="center" wrapText="1"/>
    </xf>
    <xf numFmtId="0" fontId="11" fillId="9" borderId="38" xfId="0" applyFont="1" applyFill="1" applyBorder="1" applyAlignment="1">
      <alignment vertical="center" wrapText="1"/>
    </xf>
    <xf numFmtId="0" fontId="11" fillId="9" borderId="34" xfId="0" applyFont="1" applyFill="1" applyBorder="1" applyAlignment="1">
      <alignment vertical="center" wrapText="1"/>
    </xf>
    <xf numFmtId="15" fontId="18" fillId="0" borderId="0" xfId="0" applyNumberFormat="1" applyFont="1"/>
    <xf numFmtId="0" fontId="11" fillId="9" borderId="38" xfId="0" applyFont="1" applyFill="1" applyBorder="1" applyAlignment="1">
      <alignment horizontal="left" vertical="center" wrapText="1"/>
    </xf>
    <xf numFmtId="0" fontId="11" fillId="10" borderId="42" xfId="0" applyFont="1" applyFill="1" applyBorder="1" applyAlignment="1">
      <alignment vertical="center" wrapText="1"/>
    </xf>
    <xf numFmtId="0" fontId="11" fillId="10" borderId="38" xfId="0" applyFont="1" applyFill="1" applyBorder="1" applyAlignment="1">
      <alignment vertical="center" wrapText="1"/>
    </xf>
    <xf numFmtId="0" fontId="11" fillId="10" borderId="38" xfId="0" applyFont="1" applyFill="1" applyBorder="1" applyAlignment="1">
      <alignment horizontal="left" vertical="center" wrapText="1"/>
    </xf>
    <xf numFmtId="0" fontId="11" fillId="10" borderId="34" xfId="0" applyFont="1" applyFill="1" applyBorder="1" applyAlignment="1">
      <alignment horizontal="left" vertical="center" wrapText="1"/>
    </xf>
    <xf numFmtId="165" fontId="18" fillId="5" borderId="0" xfId="0" applyNumberFormat="1" applyFont="1" applyFill="1"/>
    <xf numFmtId="0" fontId="11" fillId="9" borderId="32" xfId="0" applyFont="1" applyFill="1" applyBorder="1" applyAlignment="1">
      <alignment vertical="center" wrapText="1"/>
    </xf>
    <xf numFmtId="0" fontId="11" fillId="5" borderId="2" xfId="0" applyFont="1" applyFill="1" applyBorder="1" applyAlignment="1">
      <alignment vertical="center" textRotation="90"/>
    </xf>
    <xf numFmtId="0" fontId="11" fillId="10" borderId="2" xfId="0" applyFont="1" applyFill="1" applyBorder="1" applyAlignment="1">
      <alignment horizontal="center" vertical="center" textRotation="90"/>
    </xf>
    <xf numFmtId="0" fontId="11" fillId="10" borderId="53" xfId="0" applyFont="1" applyFill="1" applyBorder="1" applyAlignment="1">
      <alignment horizontal="left" vertical="center" wrapText="1"/>
    </xf>
    <xf numFmtId="0" fontId="11" fillId="10" borderId="54" xfId="0" applyFont="1" applyFill="1" applyBorder="1" applyAlignment="1">
      <alignment horizontal="left" vertical="center" wrapText="1"/>
    </xf>
    <xf numFmtId="0" fontId="11" fillId="10" borderId="0" xfId="0" applyFont="1" applyFill="1" applyAlignment="1">
      <alignment horizontal="center" vertical="center" textRotation="90"/>
    </xf>
    <xf numFmtId="0" fontId="11" fillId="10" borderId="60" xfId="0" applyFont="1" applyFill="1" applyBorder="1" applyAlignment="1">
      <alignment horizontal="left" vertical="center" wrapText="1"/>
    </xf>
    <xf numFmtId="0" fontId="11" fillId="10" borderId="61" xfId="0" applyFont="1" applyFill="1" applyBorder="1" applyAlignment="1">
      <alignment horizontal="left" vertical="center" wrapText="1"/>
    </xf>
    <xf numFmtId="0" fontId="11" fillId="9" borderId="52" xfId="0" applyFont="1" applyFill="1" applyBorder="1" applyAlignment="1">
      <alignment horizontal="left" vertical="center" wrapText="1"/>
    </xf>
    <xf numFmtId="15" fontId="11" fillId="9" borderId="59" xfId="0" applyNumberFormat="1" applyFont="1" applyFill="1" applyBorder="1" applyAlignment="1">
      <alignment horizontal="center" vertical="center" wrapText="1"/>
    </xf>
    <xf numFmtId="0" fontId="11" fillId="9" borderId="59" xfId="0" applyFont="1" applyFill="1" applyBorder="1" applyAlignment="1">
      <alignment horizontal="left" vertical="center" wrapText="1"/>
    </xf>
    <xf numFmtId="0" fontId="11" fillId="3" borderId="52" xfId="0" applyFont="1" applyFill="1" applyBorder="1" applyAlignment="1">
      <alignment vertical="center" wrapText="1"/>
    </xf>
    <xf numFmtId="15" fontId="19" fillId="3" borderId="52" xfId="0" applyNumberFormat="1" applyFont="1" applyFill="1" applyBorder="1" applyAlignment="1">
      <alignment horizontal="center" vertical="center" wrapText="1"/>
    </xf>
    <xf numFmtId="0" fontId="11" fillId="3" borderId="59" xfId="0" applyFont="1" applyFill="1" applyBorder="1" applyAlignment="1">
      <alignment vertical="center" wrapText="1"/>
    </xf>
    <xf numFmtId="15" fontId="19" fillId="3" borderId="59" xfId="0" applyNumberFormat="1" applyFont="1" applyFill="1" applyBorder="1" applyAlignment="1">
      <alignment horizontal="center" vertical="center" wrapText="1"/>
    </xf>
    <xf numFmtId="0" fontId="11" fillId="3" borderId="0" xfId="0" applyFont="1" applyFill="1" applyAlignment="1">
      <alignment horizontal="center" vertical="center" textRotation="90"/>
    </xf>
    <xf numFmtId="0" fontId="11" fillId="3" borderId="0" xfId="0" applyFont="1" applyFill="1" applyAlignment="1">
      <alignment vertical="center" wrapText="1"/>
    </xf>
    <xf numFmtId="15" fontId="11" fillId="3" borderId="0" xfId="0" applyNumberFormat="1" applyFont="1" applyFill="1" applyAlignment="1">
      <alignment horizontal="center" vertical="center" wrapText="1"/>
    </xf>
    <xf numFmtId="15" fontId="16" fillId="9" borderId="52" xfId="0" applyNumberFormat="1" applyFont="1" applyFill="1" applyBorder="1" applyAlignment="1">
      <alignment horizontal="center" vertical="center" wrapText="1"/>
    </xf>
    <xf numFmtId="0" fontId="11" fillId="9" borderId="32" xfId="0" applyFont="1" applyFill="1" applyBorder="1" applyAlignment="1">
      <alignment horizontal="left" vertical="center" wrapText="1"/>
    </xf>
    <xf numFmtId="15" fontId="16" fillId="9" borderId="32" xfId="0" applyNumberFormat="1" applyFont="1" applyFill="1" applyBorder="1" applyAlignment="1">
      <alignment horizontal="center" vertical="center" wrapText="1"/>
    </xf>
    <xf numFmtId="0" fontId="11" fillId="13" borderId="32" xfId="0" applyFont="1" applyFill="1" applyBorder="1" applyAlignment="1">
      <alignment horizontal="left" vertical="center" wrapText="1"/>
    </xf>
    <xf numFmtId="0" fontId="11" fillId="8" borderId="59" xfId="0" applyFont="1" applyFill="1" applyBorder="1" applyAlignment="1">
      <alignment horizontal="left" vertical="center" wrapText="1"/>
    </xf>
    <xf numFmtId="0" fontId="11" fillId="9" borderId="59" xfId="0" applyFont="1" applyFill="1" applyBorder="1" applyAlignment="1">
      <alignment vertical="center" textRotation="90"/>
    </xf>
    <xf numFmtId="0" fontId="11" fillId="5" borderId="7" xfId="0" applyFont="1" applyFill="1" applyBorder="1" applyAlignment="1">
      <alignment vertical="center" textRotation="90"/>
    </xf>
    <xf numFmtId="0" fontId="11" fillId="5" borderId="0" xfId="0" applyFont="1" applyFill="1" applyAlignment="1">
      <alignment vertical="center" textRotation="90"/>
    </xf>
    <xf numFmtId="0" fontId="11" fillId="14" borderId="52" xfId="0" applyFont="1" applyFill="1" applyBorder="1" applyAlignment="1">
      <alignment horizontal="left" vertical="center" wrapText="1"/>
    </xf>
    <xf numFmtId="0" fontId="11" fillId="14" borderId="59" xfId="0" applyFont="1" applyFill="1" applyBorder="1" applyAlignment="1">
      <alignment horizontal="left" vertical="center" wrapText="1"/>
    </xf>
    <xf numFmtId="15" fontId="11" fillId="19" borderId="32" xfId="0" applyNumberFormat="1" applyFont="1" applyFill="1" applyBorder="1" applyAlignment="1">
      <alignment horizontal="center" vertical="center" wrapText="1"/>
    </xf>
    <xf numFmtId="0" fontId="11" fillId="19" borderId="38" xfId="0" applyFont="1" applyFill="1" applyBorder="1" applyAlignment="1">
      <alignment vertical="center" wrapText="1"/>
    </xf>
    <xf numFmtId="0" fontId="11" fillId="19" borderId="34" xfId="0" applyFont="1" applyFill="1" applyBorder="1" applyAlignment="1">
      <alignment vertical="center" wrapText="1"/>
    </xf>
    <xf numFmtId="0" fontId="11" fillId="9" borderId="52" xfId="0" applyFont="1" applyFill="1" applyBorder="1" applyAlignment="1">
      <alignment vertical="center" wrapText="1"/>
    </xf>
    <xf numFmtId="0" fontId="11" fillId="3" borderId="52" xfId="0" applyFont="1" applyFill="1" applyBorder="1" applyAlignment="1">
      <alignment horizontal="center" vertical="center" textRotation="90"/>
    </xf>
    <xf numFmtId="0" fontId="11" fillId="3" borderId="52" xfId="0" applyFont="1" applyFill="1" applyBorder="1" applyAlignment="1">
      <alignment horizontal="left" vertical="center" wrapText="1"/>
    </xf>
    <xf numFmtId="0" fontId="11" fillId="3" borderId="29" xfId="0" applyFont="1" applyFill="1" applyBorder="1" applyAlignment="1">
      <alignment horizontal="left" vertical="center" wrapText="1"/>
    </xf>
    <xf numFmtId="0" fontId="11" fillId="3" borderId="59" xfId="0" applyFont="1" applyFill="1" applyBorder="1" applyAlignment="1">
      <alignment horizontal="center" vertical="center" textRotation="90"/>
    </xf>
    <xf numFmtId="0" fontId="11" fillId="14" borderId="47" xfId="0" applyFont="1" applyFill="1" applyBorder="1" applyAlignment="1">
      <alignment horizontal="left" vertical="center" wrapText="1"/>
    </xf>
    <xf numFmtId="49" fontId="0" fillId="0" borderId="0" xfId="0" applyNumberFormat="1" applyAlignment="1">
      <alignment horizontal="left" wrapText="1"/>
    </xf>
    <xf numFmtId="0" fontId="13" fillId="7" borderId="32" xfId="0" applyFont="1" applyFill="1" applyBorder="1" applyAlignment="1">
      <alignment horizontal="center" vertical="center"/>
    </xf>
    <xf numFmtId="17" fontId="13" fillId="7" borderId="32" xfId="0" applyNumberFormat="1" applyFont="1" applyFill="1" applyBorder="1" applyAlignment="1">
      <alignment horizontal="center" vertical="center"/>
    </xf>
    <xf numFmtId="49" fontId="13" fillId="6" borderId="32" xfId="0" applyNumberFormat="1" applyFont="1" applyFill="1" applyBorder="1" applyAlignment="1">
      <alignment horizontal="center" vertical="center" wrapText="1"/>
    </xf>
    <xf numFmtId="49" fontId="14" fillId="0" borderId="32" xfId="0" applyNumberFormat="1" applyFont="1" applyBorder="1" applyAlignment="1">
      <alignment horizontal="left" vertical="center" wrapText="1"/>
    </xf>
    <xf numFmtId="49" fontId="20" fillId="0" borderId="32" xfId="0" applyNumberFormat="1" applyFont="1" applyBorder="1" applyAlignment="1">
      <alignment horizontal="left" vertical="center" wrapText="1"/>
    </xf>
    <xf numFmtId="0" fontId="15" fillId="0" borderId="31" xfId="0" applyFont="1" applyBorder="1" applyAlignment="1">
      <alignment horizontal="left" vertical="center" wrapText="1"/>
    </xf>
    <xf numFmtId="49" fontId="0" fillId="0" borderId="0" xfId="0" applyNumberFormat="1" applyAlignment="1">
      <alignment horizontal="left" vertical="center" wrapText="1"/>
    </xf>
    <xf numFmtId="49" fontId="11" fillId="6" borderId="31" xfId="0" applyNumberFormat="1" applyFont="1" applyFill="1" applyBorder="1" applyAlignment="1">
      <alignment horizontal="center" vertical="center" wrapText="1"/>
    </xf>
    <xf numFmtId="49" fontId="18" fillId="0" borderId="31" xfId="0" applyNumberFormat="1" applyFont="1" applyBorder="1" applyAlignment="1">
      <alignment horizontal="left" vertical="center" wrapText="1"/>
    </xf>
    <xf numFmtId="49" fontId="18" fillId="10" borderId="35" xfId="0" applyNumberFormat="1" applyFont="1" applyFill="1" applyBorder="1" applyAlignment="1">
      <alignment horizontal="left" vertical="center" wrapText="1"/>
    </xf>
    <xf numFmtId="49" fontId="18" fillId="3" borderId="2" xfId="0" applyNumberFormat="1" applyFont="1" applyFill="1" applyBorder="1" applyAlignment="1">
      <alignment horizontal="center" vertical="center" wrapText="1"/>
    </xf>
    <xf numFmtId="49" fontId="18" fillId="0" borderId="32" xfId="0" applyNumberFormat="1" applyFont="1" applyBorder="1" applyAlignment="1">
      <alignment horizontal="left" wrapText="1"/>
    </xf>
    <xf numFmtId="49" fontId="7" fillId="10" borderId="56" xfId="0" applyNumberFormat="1" applyFont="1" applyFill="1" applyBorder="1" applyAlignment="1">
      <alignment horizontal="center" vertical="center" wrapText="1"/>
    </xf>
    <xf numFmtId="0" fontId="11" fillId="19" borderId="32" xfId="0" applyFont="1" applyFill="1" applyBorder="1" applyAlignment="1">
      <alignment vertical="center" wrapText="1"/>
    </xf>
    <xf numFmtId="0" fontId="11" fillId="14" borderId="51" xfId="0" applyFont="1" applyFill="1" applyBorder="1" applyAlignment="1">
      <alignment horizontal="left" vertical="center" wrapText="1"/>
    </xf>
    <xf numFmtId="0" fontId="11" fillId="14" borderId="58" xfId="0" applyFont="1" applyFill="1" applyBorder="1" applyAlignment="1">
      <alignment horizontal="left" vertical="center" wrapText="1"/>
    </xf>
    <xf numFmtId="49" fontId="18" fillId="0" borderId="0" xfId="0" applyNumberFormat="1" applyFont="1" applyAlignment="1">
      <alignment horizontal="left" vertical="center" wrapText="1"/>
    </xf>
    <xf numFmtId="49" fontId="18" fillId="19" borderId="31" xfId="0" applyNumberFormat="1" applyFont="1" applyFill="1" applyBorder="1" applyAlignment="1">
      <alignment horizontal="left" vertical="center" wrapText="1"/>
    </xf>
    <xf numFmtId="0" fontId="11" fillId="8" borderId="36" xfId="0" applyFont="1" applyFill="1" applyBorder="1" applyAlignment="1">
      <alignment horizontal="left" vertical="center" wrapText="1"/>
    </xf>
    <xf numFmtId="0" fontId="8" fillId="8" borderId="36" xfId="0" applyFont="1" applyFill="1" applyBorder="1" applyAlignment="1">
      <alignment horizontal="left" vertical="center" wrapText="1"/>
    </xf>
    <xf numFmtId="15" fontId="13" fillId="19" borderId="32" xfId="0" applyNumberFormat="1" applyFont="1" applyFill="1" applyBorder="1" applyAlignment="1">
      <alignment horizontal="center" vertical="center" wrapText="1"/>
    </xf>
    <xf numFmtId="49" fontId="7" fillId="0" borderId="77" xfId="0" applyNumberFormat="1" applyFont="1" applyBorder="1" applyAlignment="1">
      <alignment horizontal="left" vertical="center" wrapText="1"/>
    </xf>
    <xf numFmtId="49" fontId="8" fillId="6" borderId="31" xfId="0" applyNumberFormat="1" applyFont="1" applyFill="1" applyBorder="1" applyAlignment="1">
      <alignment horizontal="center" vertical="center" wrapText="1"/>
    </xf>
    <xf numFmtId="49" fontId="7" fillId="0" borderId="31" xfId="0" applyNumberFormat="1" applyFont="1" applyBorder="1" applyAlignment="1">
      <alignment horizontal="left" vertical="center" wrapText="1"/>
    </xf>
    <xf numFmtId="49" fontId="7" fillId="10" borderId="76" xfId="0" applyNumberFormat="1" applyFont="1" applyFill="1" applyBorder="1" applyAlignment="1">
      <alignment horizontal="center" vertical="center" wrapText="1"/>
    </xf>
    <xf numFmtId="49" fontId="7" fillId="9" borderId="38" xfId="0" applyNumberFormat="1" applyFont="1" applyFill="1" applyBorder="1" applyAlignment="1">
      <alignment horizontal="left" vertical="center" wrapText="1"/>
    </xf>
    <xf numFmtId="49" fontId="7" fillId="13" borderId="38" xfId="0" applyNumberFormat="1" applyFont="1" applyFill="1" applyBorder="1" applyAlignment="1">
      <alignment horizontal="left" vertical="center" wrapText="1"/>
    </xf>
    <xf numFmtId="15" fontId="9" fillId="18" borderId="59" xfId="0" applyNumberFormat="1" applyFont="1" applyFill="1" applyBorder="1" applyAlignment="1">
      <alignment horizontal="center" vertical="center" wrapText="1"/>
    </xf>
    <xf numFmtId="49" fontId="18" fillId="0" borderId="41" xfId="0" applyNumberFormat="1" applyFont="1" applyBorder="1" applyAlignment="1">
      <alignment horizontal="left" wrapText="1"/>
    </xf>
    <xf numFmtId="0" fontId="13" fillId="9" borderId="38" xfId="0" applyFont="1" applyFill="1" applyBorder="1" applyAlignment="1">
      <alignment vertical="center" wrapText="1"/>
    </xf>
    <xf numFmtId="0" fontId="13" fillId="9" borderId="34" xfId="0" applyFont="1" applyFill="1" applyBorder="1" applyAlignment="1">
      <alignment vertical="center" wrapText="1"/>
    </xf>
    <xf numFmtId="15" fontId="16" fillId="19" borderId="32" xfId="0" applyNumberFormat="1" applyFont="1" applyFill="1" applyBorder="1" applyAlignment="1">
      <alignment horizontal="center" vertical="center" wrapText="1"/>
    </xf>
    <xf numFmtId="15" fontId="10" fillId="18" borderId="32" xfId="0" applyNumberFormat="1" applyFont="1" applyFill="1" applyBorder="1" applyAlignment="1">
      <alignment horizontal="center" vertical="center" wrapText="1"/>
    </xf>
    <xf numFmtId="0" fontId="30" fillId="0" borderId="29" xfId="0" applyFont="1" applyBorder="1" applyAlignment="1">
      <alignment horizontal="center"/>
    </xf>
    <xf numFmtId="0" fontId="16" fillId="7" borderId="32" xfId="0" applyFont="1" applyFill="1" applyBorder="1" applyAlignment="1">
      <alignment horizontal="center" vertical="center"/>
    </xf>
    <xf numFmtId="0" fontId="16" fillId="0" borderId="32" xfId="0" applyFont="1" applyBorder="1" applyAlignment="1">
      <alignment horizontal="center" vertical="center" wrapText="1"/>
    </xf>
    <xf numFmtId="0" fontId="16" fillId="5" borderId="36" xfId="0" applyFont="1" applyFill="1" applyBorder="1" applyAlignment="1">
      <alignment vertical="center" textRotation="90"/>
    </xf>
    <xf numFmtId="15" fontId="16" fillId="9" borderId="59" xfId="0" applyNumberFormat="1" applyFont="1" applyFill="1" applyBorder="1" applyAlignment="1">
      <alignment horizontal="center" vertical="center" wrapText="1"/>
    </xf>
    <xf numFmtId="15" fontId="16" fillId="10" borderId="32" xfId="0" applyNumberFormat="1" applyFont="1" applyFill="1" applyBorder="1" applyAlignment="1">
      <alignment horizontal="center" vertical="center" wrapText="1"/>
    </xf>
    <xf numFmtId="0" fontId="16" fillId="5" borderId="2" xfId="0" applyFont="1" applyFill="1" applyBorder="1" applyAlignment="1">
      <alignment vertical="center" textRotation="90"/>
    </xf>
    <xf numFmtId="15" fontId="16" fillId="10" borderId="52" xfId="0" applyNumberFormat="1" applyFont="1" applyFill="1" applyBorder="1" applyAlignment="1">
      <alignment horizontal="center" vertical="center" wrapText="1"/>
    </xf>
    <xf numFmtId="15" fontId="16" fillId="10" borderId="59" xfId="0" applyNumberFormat="1" applyFont="1" applyFill="1" applyBorder="1" applyAlignment="1">
      <alignment horizontal="center" vertical="center" wrapText="1"/>
    </xf>
    <xf numFmtId="0" fontId="30" fillId="0" borderId="0" xfId="0" applyFont="1" applyAlignment="1">
      <alignment horizontal="center"/>
    </xf>
    <xf numFmtId="15" fontId="16" fillId="3" borderId="32" xfId="0" applyNumberFormat="1" applyFont="1" applyFill="1" applyBorder="1" applyAlignment="1">
      <alignment horizontal="center" vertical="center" wrapText="1"/>
    </xf>
    <xf numFmtId="15" fontId="16" fillId="14" borderId="59" xfId="0" applyNumberFormat="1" applyFont="1" applyFill="1" applyBorder="1" applyAlignment="1">
      <alignment horizontal="center" vertical="center" wrapText="1"/>
    </xf>
    <xf numFmtId="0" fontId="30" fillId="0" borderId="0" xfId="0" applyFont="1"/>
    <xf numFmtId="0" fontId="30" fillId="0" borderId="0" xfId="0" applyFont="1" applyAlignment="1">
      <alignment horizontal="center" vertical="center"/>
    </xf>
    <xf numFmtId="9" fontId="30" fillId="0" borderId="29" xfId="1" applyFont="1" applyBorder="1" applyAlignment="1">
      <alignment horizontal="center"/>
    </xf>
    <xf numFmtId="0" fontId="16" fillId="7" borderId="31" xfId="0" applyFont="1" applyFill="1" applyBorder="1" applyAlignment="1">
      <alignment horizontal="center" vertical="center"/>
    </xf>
    <xf numFmtId="0" fontId="16" fillId="8" borderId="32" xfId="0" applyFont="1" applyFill="1" applyBorder="1" applyAlignment="1">
      <alignment horizontal="center" vertical="center"/>
    </xf>
    <xf numFmtId="9" fontId="16" fillId="8" borderId="32" xfId="1" applyFont="1" applyFill="1" applyBorder="1" applyAlignment="1">
      <alignment horizontal="center" vertical="center"/>
    </xf>
    <xf numFmtId="0" fontId="16" fillId="0" borderId="31" xfId="0" applyFont="1" applyBorder="1" applyAlignment="1">
      <alignment vertical="center" wrapText="1"/>
    </xf>
    <xf numFmtId="0" fontId="16" fillId="0" borderId="31" xfId="0" applyFont="1" applyBorder="1" applyAlignment="1">
      <alignment horizontal="center" vertical="center" wrapText="1"/>
    </xf>
    <xf numFmtId="9" fontId="16" fillId="0" borderId="32" xfId="1" applyFont="1" applyBorder="1" applyAlignment="1">
      <alignment horizontal="center" vertical="center" wrapText="1"/>
    </xf>
    <xf numFmtId="0" fontId="16" fillId="5" borderId="36" xfId="0" applyFont="1" applyFill="1" applyBorder="1" applyAlignment="1">
      <alignment horizontal="center" vertical="center" textRotation="90"/>
    </xf>
    <xf numFmtId="0" fontId="16" fillId="9" borderId="52" xfId="0" applyFont="1" applyFill="1" applyBorder="1" applyAlignment="1">
      <alignment vertical="center" wrapText="1"/>
    </xf>
    <xf numFmtId="0" fontId="16" fillId="9" borderId="52" xfId="0" applyFont="1" applyFill="1" applyBorder="1" applyAlignment="1">
      <alignment horizontal="center" vertical="center" wrapText="1"/>
    </xf>
    <xf numFmtId="9" fontId="16" fillId="9" borderId="52" xfId="1" applyFont="1" applyFill="1" applyBorder="1" applyAlignment="1">
      <alignment horizontal="center" vertical="center" wrapText="1"/>
    </xf>
    <xf numFmtId="0" fontId="16" fillId="9" borderId="32" xfId="0" applyFont="1" applyFill="1" applyBorder="1" applyAlignment="1">
      <alignment vertical="center" wrapText="1"/>
    </xf>
    <xf numFmtId="0" fontId="16" fillId="9" borderId="32" xfId="0" applyFont="1" applyFill="1" applyBorder="1" applyAlignment="1">
      <alignment horizontal="center" vertical="center" wrapText="1"/>
    </xf>
    <xf numFmtId="9" fontId="16" fillId="9" borderId="32" xfId="1" applyFont="1" applyFill="1" applyBorder="1" applyAlignment="1">
      <alignment horizontal="center" vertical="center" wrapText="1"/>
    </xf>
    <xf numFmtId="0" fontId="16" fillId="9" borderId="32" xfId="0" applyFont="1" applyFill="1" applyBorder="1" applyAlignment="1">
      <alignment horizontal="left" vertical="center" wrapText="1"/>
    </xf>
    <xf numFmtId="0" fontId="16" fillId="9" borderId="59" xfId="0" applyFont="1" applyFill="1" applyBorder="1" applyAlignment="1">
      <alignment horizontal="left" vertical="center" wrapText="1"/>
    </xf>
    <xf numFmtId="0" fontId="16" fillId="9" borderId="59" xfId="0" applyFont="1" applyFill="1" applyBorder="1" applyAlignment="1">
      <alignment horizontal="center" vertical="center" wrapText="1"/>
    </xf>
    <xf numFmtId="9" fontId="16" fillId="9" borderId="59" xfId="1" applyFont="1" applyFill="1" applyBorder="1" applyAlignment="1">
      <alignment horizontal="center" vertical="center" wrapText="1"/>
    </xf>
    <xf numFmtId="0" fontId="16" fillId="10" borderId="31" xfId="0" applyFont="1" applyFill="1" applyBorder="1" applyAlignment="1">
      <alignment horizontal="center" vertical="center" wrapText="1"/>
    </xf>
    <xf numFmtId="0" fontId="16" fillId="10" borderId="31" xfId="0" applyFont="1" applyFill="1" applyBorder="1" applyAlignment="1">
      <alignment horizontal="left" vertical="center" wrapText="1"/>
    </xf>
    <xf numFmtId="9" fontId="16" fillId="10" borderId="32" xfId="1" applyFont="1" applyFill="1" applyBorder="1" applyAlignment="1">
      <alignment horizontal="center" vertical="center" wrapText="1"/>
    </xf>
    <xf numFmtId="0" fontId="16" fillId="9" borderId="31" xfId="0" applyFont="1" applyFill="1" applyBorder="1" applyAlignment="1">
      <alignment horizontal="center" vertical="center" wrapText="1"/>
    </xf>
    <xf numFmtId="0" fontId="16" fillId="5" borderId="2" xfId="0" applyFont="1" applyFill="1" applyBorder="1" applyAlignment="1">
      <alignment horizontal="center" vertical="center" textRotation="90"/>
    </xf>
    <xf numFmtId="9" fontId="16" fillId="5" borderId="2" xfId="1" applyFont="1" applyFill="1" applyBorder="1" applyAlignment="1">
      <alignment vertical="center" textRotation="90"/>
    </xf>
    <xf numFmtId="0" fontId="16" fillId="10" borderId="51" xfId="0" applyFont="1" applyFill="1" applyBorder="1" applyAlignment="1">
      <alignment horizontal="left" vertical="center" wrapText="1"/>
    </xf>
    <xf numFmtId="0" fontId="16" fillId="10" borderId="51" xfId="0" applyFont="1" applyFill="1" applyBorder="1" applyAlignment="1">
      <alignment horizontal="center" vertical="center" wrapText="1"/>
    </xf>
    <xf numFmtId="9" fontId="16" fillId="10" borderId="52" xfId="1" applyFont="1" applyFill="1" applyBorder="1" applyAlignment="1">
      <alignment horizontal="center" vertical="center" wrapText="1"/>
    </xf>
    <xf numFmtId="9" fontId="16" fillId="10" borderId="59" xfId="1" applyFont="1" applyFill="1" applyBorder="1" applyAlignment="1">
      <alignment horizontal="center" vertical="center" wrapText="1"/>
    </xf>
    <xf numFmtId="0" fontId="16" fillId="9" borderId="52" xfId="0" applyFont="1" applyFill="1" applyBorder="1" applyAlignment="1">
      <alignment horizontal="left" vertical="center" wrapText="1"/>
    </xf>
    <xf numFmtId="9" fontId="30" fillId="0" borderId="0" xfId="1" applyFont="1" applyAlignment="1">
      <alignment horizontal="center"/>
    </xf>
    <xf numFmtId="0" fontId="16" fillId="10" borderId="52" xfId="0" applyFont="1" applyFill="1" applyBorder="1" applyAlignment="1">
      <alignment horizontal="left" vertical="center" wrapText="1"/>
    </xf>
    <xf numFmtId="0" fontId="16" fillId="3" borderId="52" xfId="0" applyFont="1" applyFill="1" applyBorder="1" applyAlignment="1">
      <alignment horizontal="center" vertical="center" wrapText="1"/>
    </xf>
    <xf numFmtId="15" fontId="16" fillId="3" borderId="52" xfId="0" applyNumberFormat="1" applyFont="1" applyFill="1" applyBorder="1" applyAlignment="1">
      <alignment horizontal="center" vertical="center" wrapText="1"/>
    </xf>
    <xf numFmtId="9" fontId="16" fillId="3" borderId="52" xfId="1" applyFont="1" applyFill="1" applyBorder="1" applyAlignment="1">
      <alignment horizontal="center" vertical="center" wrapText="1"/>
    </xf>
    <xf numFmtId="0" fontId="16" fillId="3" borderId="32" xfId="0" applyFont="1" applyFill="1" applyBorder="1" applyAlignment="1">
      <alignment horizontal="left" vertical="center" wrapText="1"/>
    </xf>
    <xf numFmtId="0" fontId="16" fillId="3" borderId="59" xfId="0" applyFont="1" applyFill="1" applyBorder="1" applyAlignment="1">
      <alignment horizontal="left" vertical="center" wrapText="1"/>
    </xf>
    <xf numFmtId="15" fontId="16" fillId="3" borderId="59" xfId="0" applyNumberFormat="1" applyFont="1" applyFill="1" applyBorder="1" applyAlignment="1">
      <alignment horizontal="center" vertical="center" wrapText="1"/>
    </xf>
    <xf numFmtId="9" fontId="16" fillId="3" borderId="59" xfId="1" applyFont="1" applyFill="1" applyBorder="1" applyAlignment="1">
      <alignment horizontal="center" vertical="center" wrapText="1"/>
    </xf>
    <xf numFmtId="0" fontId="16" fillId="19" borderId="32" xfId="0" applyFont="1" applyFill="1" applyBorder="1" applyAlignment="1">
      <alignment horizontal="left" vertical="center" wrapText="1"/>
    </xf>
    <xf numFmtId="9" fontId="16" fillId="19" borderId="32" xfId="1" applyFont="1" applyFill="1" applyBorder="1" applyAlignment="1">
      <alignment horizontal="center" vertical="center" wrapText="1"/>
    </xf>
    <xf numFmtId="9" fontId="30" fillId="0" borderId="0" xfId="1" applyFont="1" applyBorder="1" applyAlignment="1">
      <alignment horizontal="center"/>
    </xf>
    <xf numFmtId="0" fontId="16" fillId="3" borderId="52" xfId="0" applyFont="1" applyFill="1" applyBorder="1" applyAlignment="1">
      <alignment vertical="center" wrapText="1"/>
    </xf>
    <xf numFmtId="0" fontId="16" fillId="3" borderId="59" xfId="0" applyFont="1" applyFill="1" applyBorder="1" applyAlignment="1">
      <alignment vertical="center" wrapText="1"/>
    </xf>
    <xf numFmtId="0" fontId="16" fillId="3" borderId="59" xfId="0" applyFont="1" applyFill="1" applyBorder="1" applyAlignment="1">
      <alignment horizontal="center" vertical="center" wrapText="1"/>
    </xf>
    <xf numFmtId="0" fontId="16" fillId="3" borderId="0" xfId="0" applyFont="1" applyFill="1" applyAlignment="1">
      <alignment vertical="center" wrapText="1"/>
    </xf>
    <xf numFmtId="0" fontId="16" fillId="3" borderId="0" xfId="0" applyFont="1" applyFill="1" applyAlignment="1">
      <alignment horizontal="center" vertical="center" wrapText="1"/>
    </xf>
    <xf numFmtId="15" fontId="16" fillId="3" borderId="0" xfId="0" applyNumberFormat="1" applyFont="1" applyFill="1" applyAlignment="1">
      <alignment horizontal="center" vertical="center" wrapText="1"/>
    </xf>
    <xf numFmtId="9" fontId="16" fillId="3" borderId="0" xfId="1" applyFont="1" applyFill="1" applyBorder="1" applyAlignment="1">
      <alignment horizontal="center" vertical="center" wrapText="1"/>
    </xf>
    <xf numFmtId="0" fontId="16" fillId="5" borderId="0" xfId="0" applyFont="1" applyFill="1" applyAlignment="1">
      <alignment vertical="center" textRotation="90"/>
    </xf>
    <xf numFmtId="0" fontId="16" fillId="5" borderId="0" xfId="0" applyFont="1" applyFill="1" applyAlignment="1">
      <alignment horizontal="center" vertical="center" textRotation="90"/>
    </xf>
    <xf numFmtId="9" fontId="16" fillId="5" borderId="0" xfId="1" applyFont="1" applyFill="1" applyBorder="1" applyAlignment="1">
      <alignment vertical="center" textRotation="90"/>
    </xf>
    <xf numFmtId="0" fontId="16" fillId="10" borderId="52" xfId="0" applyFont="1" applyFill="1" applyBorder="1" applyAlignment="1">
      <alignment horizontal="center" vertical="center" wrapText="1"/>
    </xf>
    <xf numFmtId="0" fontId="16" fillId="14" borderId="52" xfId="0" applyFont="1" applyFill="1" applyBorder="1" applyAlignment="1">
      <alignment horizontal="left" vertical="center" wrapText="1"/>
    </xf>
    <xf numFmtId="0" fontId="16" fillId="14" borderId="52" xfId="0" applyFont="1" applyFill="1" applyBorder="1" applyAlignment="1">
      <alignment horizontal="center" vertical="center" wrapText="1"/>
    </xf>
    <xf numFmtId="15" fontId="16" fillId="14" borderId="52" xfId="0" applyNumberFormat="1" applyFont="1" applyFill="1" applyBorder="1" applyAlignment="1">
      <alignment horizontal="center" vertical="center" wrapText="1"/>
    </xf>
    <xf numFmtId="9" fontId="16" fillId="14" borderId="52" xfId="1" applyFont="1" applyFill="1" applyBorder="1" applyAlignment="1">
      <alignment horizontal="center" vertical="center" wrapText="1"/>
    </xf>
    <xf numFmtId="0" fontId="16" fillId="14" borderId="59" xfId="0" applyFont="1" applyFill="1" applyBorder="1" applyAlignment="1">
      <alignment horizontal="left" vertical="center" wrapText="1"/>
    </xf>
    <xf numFmtId="0" fontId="16" fillId="14" borderId="59" xfId="0" applyFont="1" applyFill="1" applyBorder="1" applyAlignment="1">
      <alignment horizontal="center" vertical="center" wrapText="1"/>
    </xf>
    <xf numFmtId="9" fontId="16" fillId="14" borderId="59" xfId="1" applyFont="1" applyFill="1" applyBorder="1" applyAlignment="1">
      <alignment horizontal="center" vertical="center" wrapText="1"/>
    </xf>
    <xf numFmtId="0" fontId="16" fillId="19" borderId="32" xfId="0" applyFont="1" applyFill="1" applyBorder="1" applyAlignment="1">
      <alignment horizontal="center" vertical="center" wrapText="1"/>
    </xf>
    <xf numFmtId="0" fontId="17" fillId="0" borderId="0" xfId="0" applyFont="1"/>
    <xf numFmtId="0" fontId="17" fillId="0" borderId="0" xfId="0" applyFont="1" applyAlignment="1">
      <alignment horizontal="center" vertical="center"/>
    </xf>
    <xf numFmtId="164" fontId="17" fillId="0" borderId="29" xfId="0" applyNumberFormat="1" applyFont="1" applyBorder="1" applyAlignment="1">
      <alignment horizontal="center"/>
    </xf>
    <xf numFmtId="0" fontId="10" fillId="7" borderId="31" xfId="0" applyFont="1" applyFill="1" applyBorder="1" applyAlignment="1">
      <alignment horizontal="center" vertical="center"/>
    </xf>
    <xf numFmtId="0" fontId="10" fillId="0" borderId="31" xfId="0" applyFont="1" applyBorder="1" applyAlignment="1">
      <alignment vertical="center" wrapText="1"/>
    </xf>
    <xf numFmtId="0" fontId="10" fillId="0" borderId="31" xfId="0" applyFont="1" applyBorder="1" applyAlignment="1">
      <alignment horizontal="center" vertical="center" wrapText="1"/>
    </xf>
    <xf numFmtId="0" fontId="10" fillId="5" borderId="36" xfId="0" applyFont="1" applyFill="1" applyBorder="1" applyAlignment="1">
      <alignment vertical="center" textRotation="90"/>
    </xf>
    <xf numFmtId="0" fontId="10" fillId="5" borderId="36" xfId="0" applyFont="1" applyFill="1" applyBorder="1" applyAlignment="1">
      <alignment horizontal="center" vertical="center" textRotation="90"/>
    </xf>
    <xf numFmtId="0" fontId="10" fillId="10" borderId="40" xfId="0" applyFont="1" applyFill="1" applyBorder="1" applyAlignment="1">
      <alignment horizontal="center" vertical="center" wrapText="1"/>
    </xf>
    <xf numFmtId="164" fontId="10" fillId="10" borderId="41" xfId="0" applyNumberFormat="1"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10" fillId="10" borderId="31" xfId="0" applyFont="1" applyFill="1" applyBorder="1" applyAlignment="1">
      <alignment horizontal="left" vertical="center" wrapText="1"/>
    </xf>
    <xf numFmtId="164" fontId="10" fillId="10" borderId="32" xfId="0" applyNumberFormat="1" applyFont="1" applyFill="1" applyBorder="1" applyAlignment="1">
      <alignment horizontal="center" vertical="center" wrapText="1"/>
    </xf>
    <xf numFmtId="0" fontId="10" fillId="5" borderId="2" xfId="0" applyFont="1" applyFill="1" applyBorder="1" applyAlignment="1">
      <alignment vertical="center" textRotation="90"/>
    </xf>
    <xf numFmtId="0" fontId="10" fillId="5" borderId="2" xfId="0" applyFont="1" applyFill="1" applyBorder="1" applyAlignment="1">
      <alignment horizontal="center" vertical="center" textRotation="90"/>
    </xf>
    <xf numFmtId="164" fontId="10" fillId="5" borderId="2" xfId="0" applyNumberFormat="1" applyFont="1" applyFill="1" applyBorder="1" applyAlignment="1">
      <alignment vertical="center" textRotation="90"/>
    </xf>
    <xf numFmtId="164" fontId="10" fillId="10" borderId="52" xfId="0" applyNumberFormat="1" applyFont="1" applyFill="1" applyBorder="1" applyAlignment="1">
      <alignment horizontal="center" vertical="center" wrapText="1"/>
    </xf>
    <xf numFmtId="0" fontId="10" fillId="10" borderId="58" xfId="0" applyFont="1" applyFill="1" applyBorder="1" applyAlignment="1">
      <alignment horizontal="left" vertical="center" wrapText="1"/>
    </xf>
    <xf numFmtId="0" fontId="10" fillId="10" borderId="58" xfId="0" applyFont="1" applyFill="1" applyBorder="1" applyAlignment="1">
      <alignment horizontal="center" vertical="center" wrapText="1"/>
    </xf>
    <xf numFmtId="164" fontId="10" fillId="10" borderId="59" xfId="0" applyNumberFormat="1" applyFont="1" applyFill="1" applyBorder="1" applyAlignment="1">
      <alignment horizontal="center" vertical="center" wrapText="1"/>
    </xf>
    <xf numFmtId="0" fontId="10" fillId="9" borderId="52" xfId="0" applyFont="1" applyFill="1" applyBorder="1" applyAlignment="1">
      <alignment horizontal="left" vertical="center" wrapText="1"/>
    </xf>
    <xf numFmtId="0" fontId="10" fillId="9" borderId="52" xfId="0" applyFont="1" applyFill="1" applyBorder="1" applyAlignment="1">
      <alignment horizontal="center" vertical="center" wrapText="1"/>
    </xf>
    <xf numFmtId="0" fontId="10" fillId="9" borderId="59" xfId="0" applyFont="1" applyFill="1" applyBorder="1" applyAlignment="1">
      <alignment horizontal="center" vertical="center" wrapText="1"/>
    </xf>
    <xf numFmtId="164" fontId="10" fillId="9" borderId="59" xfId="0" applyNumberFormat="1" applyFont="1" applyFill="1" applyBorder="1" applyAlignment="1">
      <alignment horizontal="center" vertical="center" wrapText="1"/>
    </xf>
    <xf numFmtId="0" fontId="10" fillId="3" borderId="52" xfId="0" applyFont="1" applyFill="1" applyBorder="1" applyAlignment="1">
      <alignment vertical="center" wrapText="1"/>
    </xf>
    <xf numFmtId="0" fontId="10" fillId="3" borderId="52" xfId="0" applyFont="1" applyFill="1" applyBorder="1" applyAlignment="1">
      <alignment horizontal="center" vertical="center" wrapText="1"/>
    </xf>
    <xf numFmtId="0" fontId="10" fillId="3" borderId="59" xfId="0" applyFont="1" applyFill="1" applyBorder="1" applyAlignment="1">
      <alignment vertical="center" wrapText="1"/>
    </xf>
    <xf numFmtId="0" fontId="10" fillId="3" borderId="59" xfId="0" applyFont="1" applyFill="1" applyBorder="1" applyAlignment="1">
      <alignment horizontal="center" vertical="center" wrapText="1"/>
    </xf>
    <xf numFmtId="0" fontId="10" fillId="9" borderId="32" xfId="0" applyFont="1" applyFill="1" applyBorder="1" applyAlignment="1">
      <alignment horizontal="left" vertical="center" wrapText="1"/>
    </xf>
    <xf numFmtId="0" fontId="10" fillId="9" borderId="32" xfId="0" applyFont="1" applyFill="1" applyBorder="1" applyAlignment="1">
      <alignment horizontal="center" vertical="center" wrapText="1"/>
    </xf>
    <xf numFmtId="0" fontId="10" fillId="13" borderId="32" xfId="0" applyFont="1" applyFill="1" applyBorder="1" applyAlignment="1">
      <alignment horizontal="left" vertical="center" wrapText="1"/>
    </xf>
    <xf numFmtId="0" fontId="10" fillId="13" borderId="32" xfId="0" applyFont="1" applyFill="1" applyBorder="1" applyAlignment="1">
      <alignment horizontal="center" vertical="center" wrapText="1"/>
    </xf>
    <xf numFmtId="0" fontId="10" fillId="3" borderId="32" xfId="0" applyFont="1" applyFill="1" applyBorder="1" applyAlignment="1">
      <alignment horizontal="center" vertical="center" wrapText="1"/>
    </xf>
    <xf numFmtId="164" fontId="17" fillId="0" borderId="0" xfId="0" applyNumberFormat="1" applyFont="1" applyAlignment="1">
      <alignment horizontal="center"/>
    </xf>
    <xf numFmtId="0" fontId="10" fillId="19" borderId="32" xfId="0" applyFont="1" applyFill="1" applyBorder="1" applyAlignment="1">
      <alignment horizontal="left" vertical="center" wrapText="1"/>
    </xf>
    <xf numFmtId="164" fontId="10" fillId="19" borderId="32" xfId="0" applyNumberFormat="1" applyFont="1" applyFill="1" applyBorder="1" applyAlignment="1">
      <alignment horizontal="center" vertical="center" wrapText="1"/>
    </xf>
    <xf numFmtId="0" fontId="17" fillId="0" borderId="29" xfId="0" applyFont="1" applyBorder="1" applyAlignment="1">
      <alignment horizontal="center"/>
    </xf>
    <xf numFmtId="9" fontId="17" fillId="0" borderId="29" xfId="1" applyFont="1" applyBorder="1" applyAlignment="1">
      <alignment horizontal="center"/>
    </xf>
    <xf numFmtId="9" fontId="10" fillId="8" borderId="32" xfId="1" applyFont="1" applyFill="1" applyBorder="1" applyAlignment="1">
      <alignment horizontal="center" vertical="center"/>
    </xf>
    <xf numFmtId="9" fontId="10" fillId="0" borderId="32" xfId="1" applyFont="1" applyBorder="1" applyAlignment="1">
      <alignment horizontal="center" vertical="center" wrapText="1"/>
    </xf>
    <xf numFmtId="9" fontId="10" fillId="5" borderId="36" xfId="1" applyFont="1" applyFill="1" applyBorder="1" applyAlignment="1">
      <alignment vertical="center" textRotation="90"/>
    </xf>
    <xf numFmtId="9" fontId="10" fillId="9" borderId="32" xfId="1" applyFont="1" applyFill="1" applyBorder="1" applyAlignment="1">
      <alignment horizontal="center" vertical="center" wrapText="1"/>
    </xf>
    <xf numFmtId="0" fontId="10" fillId="12" borderId="40" xfId="0" applyFont="1" applyFill="1" applyBorder="1" applyAlignment="1">
      <alignment horizontal="center" vertical="center" wrapText="1"/>
    </xf>
    <xf numFmtId="15" fontId="10" fillId="12" borderId="41" xfId="0" applyNumberFormat="1" applyFont="1" applyFill="1" applyBorder="1" applyAlignment="1">
      <alignment horizontal="center" vertical="center" wrapText="1"/>
    </xf>
    <xf numFmtId="15" fontId="10" fillId="12" borderId="32" xfId="0" applyNumberFormat="1" applyFont="1" applyFill="1" applyBorder="1" applyAlignment="1">
      <alignment horizontal="center" vertical="center" wrapText="1"/>
    </xf>
    <xf numFmtId="9" fontId="10" fillId="12" borderId="41" xfId="1" applyFont="1" applyFill="1" applyBorder="1" applyAlignment="1">
      <alignment horizontal="center" vertical="center" wrapText="1"/>
    </xf>
    <xf numFmtId="0" fontId="10" fillId="12" borderId="31" xfId="0" applyFont="1" applyFill="1" applyBorder="1" applyAlignment="1">
      <alignment horizontal="center" vertical="center" wrapText="1"/>
    </xf>
    <xf numFmtId="0" fontId="10" fillId="12" borderId="31" xfId="0" applyFont="1" applyFill="1" applyBorder="1" applyAlignment="1">
      <alignment horizontal="left" vertical="center" wrapText="1"/>
    </xf>
    <xf numFmtId="9" fontId="10" fillId="12" borderId="32" xfId="1" applyFont="1" applyFill="1" applyBorder="1" applyAlignment="1">
      <alignment horizontal="center" vertical="center" wrapText="1"/>
    </xf>
    <xf numFmtId="9" fontId="10" fillId="5" borderId="2" xfId="1" applyFont="1" applyFill="1" applyBorder="1" applyAlignment="1">
      <alignment vertical="center" textRotation="90"/>
    </xf>
    <xf numFmtId="0" fontId="10" fillId="9" borderId="52" xfId="0" applyFont="1" applyFill="1" applyBorder="1" applyAlignment="1">
      <alignment vertical="center" wrapText="1"/>
    </xf>
    <xf numFmtId="9" fontId="10" fillId="9" borderId="52" xfId="1" applyFont="1" applyFill="1" applyBorder="1" applyAlignment="1">
      <alignment horizontal="center" vertical="center" wrapText="1"/>
    </xf>
    <xf numFmtId="0" fontId="10" fillId="9" borderId="59" xfId="0" applyFont="1" applyFill="1" applyBorder="1" applyAlignment="1">
      <alignment vertical="center" wrapText="1"/>
    </xf>
    <xf numFmtId="15" fontId="10" fillId="9" borderId="59" xfId="0" applyNumberFormat="1" applyFont="1" applyFill="1" applyBorder="1" applyAlignment="1">
      <alignment horizontal="center" vertical="center" wrapText="1"/>
    </xf>
    <xf numFmtId="9" fontId="10" fillId="9" borderId="59" xfId="1" applyFont="1" applyFill="1" applyBorder="1" applyAlignment="1">
      <alignment horizontal="center" vertical="center" wrapText="1"/>
    </xf>
    <xf numFmtId="0" fontId="10" fillId="5" borderId="0" xfId="0" applyFont="1" applyFill="1" applyAlignment="1">
      <alignment vertical="center" textRotation="90"/>
    </xf>
    <xf numFmtId="0" fontId="10" fillId="5" borderId="0" xfId="0" applyFont="1" applyFill="1" applyAlignment="1">
      <alignment horizontal="center" vertical="center" textRotation="90"/>
    </xf>
    <xf numFmtId="9" fontId="10" fillId="5" borderId="0" xfId="1" applyFont="1" applyFill="1" applyBorder="1" applyAlignment="1">
      <alignment vertical="center" textRotation="90"/>
    </xf>
    <xf numFmtId="15" fontId="10" fillId="12" borderId="52" xfId="0" applyNumberFormat="1" applyFont="1" applyFill="1" applyBorder="1" applyAlignment="1">
      <alignment horizontal="center" vertical="center" wrapText="1"/>
    </xf>
    <xf numFmtId="9" fontId="10" fillId="12" borderId="52" xfId="1" applyFont="1" applyFill="1" applyBorder="1" applyAlignment="1">
      <alignment horizontal="center" vertical="center" wrapText="1"/>
    </xf>
    <xf numFmtId="0" fontId="10" fillId="12" borderId="58" xfId="0" applyFont="1" applyFill="1" applyBorder="1" applyAlignment="1">
      <alignment horizontal="left" vertical="center" wrapText="1"/>
    </xf>
    <xf numFmtId="0" fontId="10" fillId="12" borderId="58" xfId="0" applyFont="1" applyFill="1" applyBorder="1" applyAlignment="1">
      <alignment horizontal="center" vertical="center" wrapText="1"/>
    </xf>
    <xf numFmtId="15" fontId="10" fillId="12" borderId="59" xfId="0" applyNumberFormat="1" applyFont="1" applyFill="1" applyBorder="1" applyAlignment="1">
      <alignment horizontal="center" vertical="center" wrapText="1"/>
    </xf>
    <xf numFmtId="9" fontId="10" fillId="12" borderId="59" xfId="1" applyFont="1" applyFill="1" applyBorder="1" applyAlignment="1">
      <alignment horizontal="center" vertical="center" wrapText="1"/>
    </xf>
    <xf numFmtId="0" fontId="10" fillId="10" borderId="52" xfId="0" applyFont="1" applyFill="1" applyBorder="1" applyAlignment="1">
      <alignment vertical="center" wrapText="1"/>
    </xf>
    <xf numFmtId="0" fontId="10" fillId="10" borderId="52" xfId="0" applyFont="1" applyFill="1" applyBorder="1" applyAlignment="1">
      <alignment horizontal="center" vertical="center" wrapText="1"/>
    </xf>
    <xf numFmtId="15" fontId="10" fillId="10" borderId="52" xfId="0" applyNumberFormat="1" applyFont="1" applyFill="1" applyBorder="1" applyAlignment="1">
      <alignment horizontal="center" vertical="center" wrapText="1"/>
    </xf>
    <xf numFmtId="9" fontId="10" fillId="10" borderId="52" xfId="1" applyFont="1" applyFill="1" applyBorder="1" applyAlignment="1">
      <alignment horizontal="center" vertical="center" wrapText="1"/>
    </xf>
    <xf numFmtId="0" fontId="10" fillId="10" borderId="59" xfId="0" applyFont="1" applyFill="1" applyBorder="1" applyAlignment="1">
      <alignment vertical="center" wrapText="1"/>
    </xf>
    <xf numFmtId="0" fontId="10" fillId="10" borderId="59" xfId="0" applyFont="1" applyFill="1" applyBorder="1" applyAlignment="1">
      <alignment horizontal="center" vertical="center" wrapText="1"/>
    </xf>
    <xf numFmtId="15" fontId="10" fillId="10" borderId="59" xfId="0" applyNumberFormat="1" applyFont="1" applyFill="1" applyBorder="1" applyAlignment="1">
      <alignment horizontal="center" vertical="center" wrapText="1"/>
    </xf>
    <xf numFmtId="9" fontId="10" fillId="10" borderId="59" xfId="1" applyFont="1" applyFill="1" applyBorder="1" applyAlignment="1">
      <alignment horizontal="center" vertical="center" wrapText="1"/>
    </xf>
    <xf numFmtId="0" fontId="17" fillId="0" borderId="0" xfId="0" applyFont="1" applyAlignment="1">
      <alignment horizontal="center"/>
    </xf>
    <xf numFmtId="0" fontId="10" fillId="10" borderId="32" xfId="0" applyFont="1" applyFill="1" applyBorder="1" applyAlignment="1">
      <alignment horizontal="center" vertical="center" wrapText="1"/>
    </xf>
    <xf numFmtId="15" fontId="10" fillId="10" borderId="32" xfId="0" applyNumberFormat="1" applyFont="1" applyFill="1" applyBorder="1" applyAlignment="1">
      <alignment horizontal="center" vertical="center" wrapText="1"/>
    </xf>
    <xf numFmtId="9" fontId="10" fillId="10" borderId="32" xfId="1" applyFont="1" applyFill="1" applyBorder="1" applyAlignment="1">
      <alignment horizontal="center" vertical="center" wrapText="1"/>
    </xf>
    <xf numFmtId="9" fontId="17" fillId="0" borderId="0" xfId="1" applyFont="1" applyAlignment="1">
      <alignment horizontal="center"/>
    </xf>
    <xf numFmtId="15" fontId="10" fillId="18" borderId="59" xfId="0" applyNumberFormat="1" applyFont="1" applyFill="1" applyBorder="1" applyAlignment="1">
      <alignment horizontal="center" vertical="center" wrapText="1"/>
    </xf>
    <xf numFmtId="15" fontId="34" fillId="9" borderId="32" xfId="0" applyNumberFormat="1" applyFont="1" applyFill="1" applyBorder="1" applyAlignment="1">
      <alignment horizontal="center" vertical="center" wrapText="1"/>
    </xf>
    <xf numFmtId="9" fontId="34" fillId="9" borderId="32" xfId="1" applyFont="1" applyFill="1" applyBorder="1" applyAlignment="1">
      <alignment horizontal="center" vertical="center" wrapText="1"/>
    </xf>
    <xf numFmtId="9" fontId="10" fillId="10" borderId="41" xfId="1" applyFont="1" applyFill="1" applyBorder="1" applyAlignment="1">
      <alignment horizontal="center" vertical="center" wrapText="1"/>
    </xf>
    <xf numFmtId="9" fontId="10" fillId="3" borderId="52" xfId="1" applyFont="1" applyFill="1" applyBorder="1" applyAlignment="1">
      <alignment horizontal="center" vertical="center" wrapText="1"/>
    </xf>
    <xf numFmtId="9" fontId="10" fillId="3" borderId="59" xfId="1" applyFont="1" applyFill="1" applyBorder="1" applyAlignment="1">
      <alignment horizontal="center" vertical="center" wrapText="1"/>
    </xf>
    <xf numFmtId="9" fontId="10" fillId="13" borderId="32" xfId="1" applyFont="1" applyFill="1" applyBorder="1" applyAlignment="1">
      <alignment horizontal="center" vertical="center" wrapText="1"/>
    </xf>
    <xf numFmtId="9" fontId="10" fillId="3" borderId="32" xfId="1" applyFont="1" applyFill="1" applyBorder="1" applyAlignment="1">
      <alignment horizontal="center" vertical="center" wrapText="1"/>
    </xf>
    <xf numFmtId="9" fontId="34" fillId="19" borderId="32" xfId="1" applyFont="1" applyFill="1" applyBorder="1" applyAlignment="1">
      <alignment horizontal="center" vertical="center" wrapText="1"/>
    </xf>
    <xf numFmtId="9" fontId="10" fillId="19" borderId="32" xfId="1" applyFont="1" applyFill="1" applyBorder="1" applyAlignment="1">
      <alignment horizontal="center" vertical="center" wrapText="1"/>
    </xf>
    <xf numFmtId="15" fontId="10" fillId="5" borderId="32" xfId="0" applyNumberFormat="1" applyFont="1" applyFill="1" applyBorder="1" applyAlignment="1">
      <alignment horizontal="center" vertical="center" wrapText="1"/>
    </xf>
    <xf numFmtId="9" fontId="10" fillId="5" borderId="32" xfId="1" applyFont="1" applyFill="1" applyBorder="1" applyAlignment="1">
      <alignment horizontal="center" vertical="center" wrapText="1"/>
    </xf>
    <xf numFmtId="15" fontId="10" fillId="10" borderId="41" xfId="0" applyNumberFormat="1" applyFont="1" applyFill="1" applyBorder="1" applyAlignment="1">
      <alignment horizontal="center" vertical="center" wrapText="1"/>
    </xf>
    <xf numFmtId="15" fontId="10" fillId="3" borderId="52" xfId="0" applyNumberFormat="1" applyFont="1" applyFill="1" applyBorder="1" applyAlignment="1">
      <alignment horizontal="center" vertical="center" wrapText="1"/>
    </xf>
    <xf numFmtId="0" fontId="10" fillId="0" borderId="0" xfId="0" applyFont="1" applyAlignment="1">
      <alignment vertical="center" textRotation="90"/>
    </xf>
    <xf numFmtId="15" fontId="16" fillId="20" borderId="52" xfId="0" applyNumberFormat="1" applyFont="1" applyFill="1" applyBorder="1" applyAlignment="1">
      <alignment horizontal="center" vertical="center" wrapText="1"/>
    </xf>
    <xf numFmtId="15" fontId="16" fillId="20" borderId="59" xfId="0" applyNumberFormat="1" applyFont="1" applyFill="1" applyBorder="1" applyAlignment="1">
      <alignment horizontal="center" vertical="center" wrapText="1"/>
    </xf>
    <xf numFmtId="49" fontId="18" fillId="10" borderId="75" xfId="0" applyNumberFormat="1" applyFont="1" applyFill="1" applyBorder="1" applyAlignment="1">
      <alignment horizontal="center" vertical="center" wrapText="1"/>
    </xf>
    <xf numFmtId="49" fontId="18" fillId="10" borderId="35" xfId="0" applyNumberFormat="1" applyFont="1" applyFill="1" applyBorder="1" applyAlignment="1">
      <alignment horizontal="center" vertical="center" wrapText="1"/>
    </xf>
    <xf numFmtId="0" fontId="11" fillId="9" borderId="52" xfId="0" applyFont="1" applyFill="1" applyBorder="1" applyAlignment="1">
      <alignment horizontal="center" vertical="center" textRotation="90"/>
    </xf>
    <xf numFmtId="0" fontId="11" fillId="9" borderId="32" xfId="0" applyFont="1" applyFill="1" applyBorder="1" applyAlignment="1">
      <alignment horizontal="center" vertical="center" textRotation="90"/>
    </xf>
    <xf numFmtId="0" fontId="11" fillId="9" borderId="59" xfId="0" applyFont="1" applyFill="1" applyBorder="1" applyAlignment="1">
      <alignment horizontal="center" vertical="center" textRotation="90"/>
    </xf>
    <xf numFmtId="0" fontId="13" fillId="0" borderId="31" xfId="0" applyFont="1" applyBorder="1" applyAlignment="1">
      <alignment horizontal="left" vertical="center" wrapText="1"/>
    </xf>
    <xf numFmtId="0" fontId="13" fillId="0" borderId="38" xfId="0" applyFont="1" applyBorder="1" applyAlignment="1">
      <alignment horizontal="left" vertical="center" wrapText="1"/>
    </xf>
    <xf numFmtId="0" fontId="13" fillId="0" borderId="34" xfId="0" applyFont="1" applyBorder="1" applyAlignment="1">
      <alignment horizontal="left" vertical="center" wrapText="1"/>
    </xf>
    <xf numFmtId="0" fontId="8" fillId="9" borderId="52" xfId="0" applyFont="1" applyFill="1" applyBorder="1" applyAlignment="1">
      <alignment horizontal="center" vertical="center" textRotation="90"/>
    </xf>
    <xf numFmtId="0" fontId="8" fillId="9" borderId="32" xfId="0" applyFont="1" applyFill="1" applyBorder="1" applyAlignment="1">
      <alignment horizontal="center" vertical="center" textRotation="90"/>
    </xf>
    <xf numFmtId="0" fontId="8" fillId="9" borderId="59" xfId="0" applyFont="1" applyFill="1" applyBorder="1" applyAlignment="1">
      <alignment horizontal="center" vertical="center" textRotation="90"/>
    </xf>
    <xf numFmtId="0" fontId="8" fillId="9" borderId="71" xfId="0" applyFont="1" applyFill="1" applyBorder="1" applyAlignment="1">
      <alignment horizontal="center" vertical="center" textRotation="90"/>
    </xf>
    <xf numFmtId="49" fontId="7" fillId="12" borderId="56" xfId="0" applyNumberFormat="1" applyFont="1" applyFill="1" applyBorder="1" applyAlignment="1">
      <alignment horizontal="center" vertical="center" wrapText="1"/>
    </xf>
    <xf numFmtId="49" fontId="7" fillId="10" borderId="35" xfId="0" applyNumberFormat="1" applyFont="1" applyFill="1" applyBorder="1" applyAlignment="1">
      <alignment horizontal="center" vertical="center" wrapText="1"/>
    </xf>
    <xf numFmtId="15" fontId="6" fillId="0" borderId="16" xfId="0" applyNumberFormat="1" applyFont="1" applyBorder="1" applyAlignment="1">
      <alignment horizontal="center" vertical="center"/>
    </xf>
    <xf numFmtId="15" fontId="6" fillId="0" borderId="24" xfId="0" applyNumberFormat="1" applyFont="1" applyBorder="1" applyAlignment="1">
      <alignment horizontal="center" vertical="center"/>
    </xf>
    <xf numFmtId="49" fontId="7" fillId="3" borderId="63" xfId="0" applyNumberFormat="1" applyFont="1" applyFill="1" applyBorder="1" applyAlignment="1">
      <alignment horizontal="left" vertical="center" wrapText="1"/>
    </xf>
    <xf numFmtId="49" fontId="7" fillId="3" borderId="64" xfId="0" applyNumberFormat="1" applyFont="1" applyFill="1" applyBorder="1" applyAlignment="1">
      <alignment horizontal="left" vertical="center" wrapText="1"/>
    </xf>
    <xf numFmtId="0" fontId="8" fillId="9" borderId="52" xfId="0" applyFont="1" applyFill="1" applyBorder="1" applyAlignment="1">
      <alignment vertical="center" textRotation="90"/>
    </xf>
    <xf numFmtId="0" fontId="8" fillId="9" borderId="59" xfId="0" applyFont="1" applyFill="1" applyBorder="1" applyAlignment="1">
      <alignment vertical="center" textRotation="90"/>
    </xf>
    <xf numFmtId="0" fontId="7" fillId="0" borderId="47" xfId="0" applyFont="1" applyBorder="1"/>
    <xf numFmtId="9" fontId="10" fillId="9" borderId="31" xfId="1" applyFont="1" applyFill="1" applyBorder="1" applyAlignment="1">
      <alignment horizontal="center" vertical="center" wrapText="1"/>
    </xf>
    <xf numFmtId="0" fontId="8" fillId="20" borderId="45" xfId="0" applyFont="1" applyFill="1" applyBorder="1" applyAlignment="1">
      <alignment horizontal="center" vertical="center" textRotation="90" wrapText="1"/>
    </xf>
    <xf numFmtId="15" fontId="10" fillId="20" borderId="47" xfId="0" applyNumberFormat="1" applyFont="1" applyFill="1" applyBorder="1" applyAlignment="1">
      <alignment horizontal="center" vertical="center" wrapText="1"/>
    </xf>
    <xf numFmtId="9" fontId="10" fillId="20" borderId="47" xfId="1" applyFont="1" applyFill="1" applyBorder="1" applyAlignment="1">
      <alignment horizontal="center" vertical="center" wrapText="1"/>
    </xf>
    <xf numFmtId="15" fontId="8" fillId="20" borderId="47" xfId="0" applyNumberFormat="1" applyFont="1" applyFill="1" applyBorder="1" applyAlignment="1">
      <alignment horizontal="center" vertical="center" wrapText="1"/>
    </xf>
    <xf numFmtId="0" fontId="8" fillId="9" borderId="54" xfId="0" applyFont="1" applyFill="1" applyBorder="1" applyAlignment="1">
      <alignment horizontal="left" vertical="center" wrapText="1"/>
    </xf>
    <xf numFmtId="0" fontId="8" fillId="9" borderId="61" xfId="0" applyFont="1" applyFill="1" applyBorder="1" applyAlignment="1">
      <alignment horizontal="left" vertical="center" wrapText="1"/>
    </xf>
    <xf numFmtId="0" fontId="8" fillId="3" borderId="54" xfId="0" applyFont="1" applyFill="1" applyBorder="1" applyAlignment="1">
      <alignment vertical="center" wrapText="1"/>
    </xf>
    <xf numFmtId="0" fontId="8" fillId="3" borderId="81" xfId="0" applyFont="1" applyFill="1" applyBorder="1" applyAlignment="1">
      <alignment vertical="center" wrapText="1"/>
    </xf>
    <xf numFmtId="9" fontId="10" fillId="13" borderId="31" xfId="1" applyFont="1" applyFill="1" applyBorder="1" applyAlignment="1">
      <alignment horizontal="center" vertical="center" wrapText="1"/>
    </xf>
    <xf numFmtId="0" fontId="8" fillId="13" borderId="34" xfId="0" applyFont="1" applyFill="1" applyBorder="1" applyAlignment="1">
      <alignment horizontal="left" vertical="center" wrapText="1"/>
    </xf>
    <xf numFmtId="0" fontId="8" fillId="0" borderId="36" xfId="0" applyFont="1" applyBorder="1" applyAlignment="1">
      <alignment vertical="center" textRotation="90"/>
    </xf>
    <xf numFmtId="0" fontId="7" fillId="0" borderId="10" xfId="0" applyFont="1" applyBorder="1"/>
    <xf numFmtId="0" fontId="8" fillId="0" borderId="2" xfId="0" applyFont="1" applyBorder="1" applyAlignment="1">
      <alignment vertical="center" textRotation="90"/>
    </xf>
    <xf numFmtId="0" fontId="7" fillId="0" borderId="78" xfId="0" applyFont="1" applyBorder="1"/>
    <xf numFmtId="0" fontId="7" fillId="0" borderId="39" xfId="0" applyFont="1" applyBorder="1"/>
    <xf numFmtId="0" fontId="7" fillId="0" borderId="44" xfId="0" applyFont="1" applyBorder="1"/>
    <xf numFmtId="0" fontId="8" fillId="0" borderId="42" xfId="0" applyFont="1" applyBorder="1" applyAlignment="1">
      <alignment vertical="center" textRotation="90"/>
    </xf>
    <xf numFmtId="0" fontId="13" fillId="0" borderId="38" xfId="0" applyFont="1" applyBorder="1" applyAlignment="1">
      <alignment vertical="center" wrapText="1"/>
    </xf>
    <xf numFmtId="49" fontId="18" fillId="9" borderId="45" xfId="0" applyNumberFormat="1" applyFont="1" applyFill="1" applyBorder="1" applyAlignment="1">
      <alignment horizontal="left" vertical="center" wrapText="1"/>
    </xf>
    <xf numFmtId="0" fontId="8" fillId="20" borderId="59" xfId="0" applyFont="1" applyFill="1" applyBorder="1" applyAlignment="1">
      <alignment vertical="center" textRotation="90"/>
    </xf>
    <xf numFmtId="0" fontId="10" fillId="20" borderId="59" xfId="0" applyFont="1" applyFill="1" applyBorder="1" applyAlignment="1">
      <alignment horizontal="left" vertical="center" wrapText="1"/>
    </xf>
    <xf numFmtId="0" fontId="10" fillId="20" borderId="59" xfId="0" applyFont="1" applyFill="1" applyBorder="1" applyAlignment="1">
      <alignment horizontal="center" vertical="center" wrapText="1"/>
    </xf>
    <xf numFmtId="15" fontId="10" fillId="20" borderId="59" xfId="0" applyNumberFormat="1" applyFont="1" applyFill="1" applyBorder="1" applyAlignment="1">
      <alignment horizontal="center" vertical="center" wrapText="1"/>
    </xf>
    <xf numFmtId="9" fontId="10" fillId="20" borderId="59" xfId="1" applyFont="1" applyFill="1" applyBorder="1" applyAlignment="1">
      <alignment horizontal="center" vertical="center" wrapText="1"/>
    </xf>
    <xf numFmtId="0" fontId="8" fillId="20" borderId="61" xfId="0" applyFont="1" applyFill="1" applyBorder="1" applyAlignment="1">
      <alignment horizontal="left" vertical="center" wrapText="1"/>
    </xf>
    <xf numFmtId="0" fontId="8" fillId="20" borderId="59" xfId="0" applyFont="1" applyFill="1" applyBorder="1" applyAlignment="1">
      <alignment horizontal="left" vertical="center" wrapText="1"/>
    </xf>
    <xf numFmtId="0" fontId="8" fillId="20" borderId="58" xfId="0" applyFont="1" applyFill="1" applyBorder="1" applyAlignment="1">
      <alignment horizontal="left" vertical="center" wrapText="1"/>
    </xf>
    <xf numFmtId="15" fontId="11" fillId="9" borderId="63" xfId="0" applyNumberFormat="1" applyFont="1" applyFill="1" applyBorder="1" applyAlignment="1">
      <alignment horizontal="center" vertical="center" wrapText="1"/>
    </xf>
    <xf numFmtId="15" fontId="11" fillId="9" borderId="67" xfId="0" applyNumberFormat="1" applyFont="1" applyFill="1" applyBorder="1" applyAlignment="1">
      <alignment horizontal="center" vertical="center" wrapText="1"/>
    </xf>
    <xf numFmtId="15" fontId="11" fillId="9" borderId="64" xfId="0" applyNumberFormat="1" applyFont="1" applyFill="1" applyBorder="1" applyAlignment="1">
      <alignment horizontal="center" vertical="center" wrapText="1"/>
    </xf>
    <xf numFmtId="0" fontId="36" fillId="14" borderId="52" xfId="0" applyFont="1" applyFill="1" applyBorder="1" applyAlignment="1">
      <alignment horizontal="center" vertical="center" textRotation="90"/>
    </xf>
    <xf numFmtId="0" fontId="10" fillId="14" borderId="52" xfId="0" applyFont="1" applyFill="1" applyBorder="1" applyAlignment="1">
      <alignment horizontal="left" vertical="center" wrapText="1"/>
    </xf>
    <xf numFmtId="0" fontId="10" fillId="14" borderId="52" xfId="0" applyFont="1" applyFill="1" applyBorder="1" applyAlignment="1">
      <alignment horizontal="center" vertical="center" wrapText="1"/>
    </xf>
    <xf numFmtId="15" fontId="10" fillId="14" borderId="52" xfId="0" applyNumberFormat="1" applyFont="1" applyFill="1" applyBorder="1" applyAlignment="1">
      <alignment horizontal="center" vertical="center" wrapText="1"/>
    </xf>
    <xf numFmtId="9" fontId="10" fillId="14" borderId="52" xfId="1" applyFont="1" applyFill="1" applyBorder="1" applyAlignment="1">
      <alignment horizontal="center" vertical="center" wrapText="1"/>
    </xf>
    <xf numFmtId="0" fontId="8" fillId="14" borderId="52" xfId="0" applyFont="1" applyFill="1" applyBorder="1" applyAlignment="1">
      <alignment horizontal="left" vertical="center" wrapText="1"/>
    </xf>
    <xf numFmtId="15" fontId="11" fillId="14" borderId="63" xfId="0" applyNumberFormat="1" applyFont="1" applyFill="1" applyBorder="1" applyAlignment="1">
      <alignment horizontal="center" vertical="center" wrapText="1"/>
    </xf>
    <xf numFmtId="0" fontId="36" fillId="14" borderId="59" xfId="0" applyFont="1" applyFill="1" applyBorder="1" applyAlignment="1">
      <alignment horizontal="center" vertical="center" textRotation="90"/>
    </xf>
    <xf numFmtId="0" fontId="10" fillId="14" borderId="59" xfId="0" applyFont="1" applyFill="1" applyBorder="1" applyAlignment="1">
      <alignment horizontal="left" vertical="center" wrapText="1"/>
    </xf>
    <xf numFmtId="0" fontId="10" fillId="14" borderId="59" xfId="0" applyFont="1" applyFill="1" applyBorder="1" applyAlignment="1">
      <alignment horizontal="center" vertical="center" wrapText="1"/>
    </xf>
    <xf numFmtId="15" fontId="10" fillId="14" borderId="59" xfId="0" applyNumberFormat="1" applyFont="1" applyFill="1" applyBorder="1" applyAlignment="1">
      <alignment horizontal="center" vertical="center" wrapText="1"/>
    </xf>
    <xf numFmtId="9" fontId="10" fillId="14" borderId="59" xfId="1" applyFont="1" applyFill="1" applyBorder="1" applyAlignment="1">
      <alignment horizontal="center" vertical="center" wrapText="1"/>
    </xf>
    <xf numFmtId="0" fontId="8" fillId="14" borderId="59" xfId="0" applyFont="1" applyFill="1" applyBorder="1" applyAlignment="1">
      <alignment horizontal="left" vertical="center" wrapText="1"/>
    </xf>
    <xf numFmtId="15" fontId="11" fillId="14" borderId="64" xfId="0" applyNumberFormat="1" applyFont="1" applyFill="1" applyBorder="1" applyAlignment="1">
      <alignment horizontal="center" vertical="center" wrapText="1"/>
    </xf>
    <xf numFmtId="49" fontId="7" fillId="13" borderId="74" xfId="0" applyNumberFormat="1" applyFont="1" applyFill="1" applyBorder="1" applyAlignment="1">
      <alignment horizontal="left" vertical="center" wrapText="1"/>
    </xf>
    <xf numFmtId="15" fontId="10" fillId="9" borderId="63" xfId="0" applyNumberFormat="1" applyFont="1" applyFill="1" applyBorder="1" applyAlignment="1">
      <alignment horizontal="center" vertical="center" wrapText="1"/>
    </xf>
    <xf numFmtId="0" fontId="8" fillId="9" borderId="32" xfId="0" applyFont="1" applyFill="1" applyBorder="1" applyAlignment="1">
      <alignment vertical="center" textRotation="90"/>
    </xf>
    <xf numFmtId="15" fontId="10" fillId="9" borderId="67" xfId="0" applyNumberFormat="1" applyFont="1" applyFill="1" applyBorder="1" applyAlignment="1">
      <alignment horizontal="center" vertical="center" wrapText="1"/>
    </xf>
    <xf numFmtId="0" fontId="10" fillId="9" borderId="59" xfId="0" applyFont="1" applyFill="1" applyBorder="1" applyAlignment="1">
      <alignment horizontal="left" vertical="center" wrapText="1"/>
    </xf>
    <xf numFmtId="15" fontId="10" fillId="9" borderId="64" xfId="0" applyNumberFormat="1" applyFont="1" applyFill="1" applyBorder="1" applyAlignment="1">
      <alignment horizontal="center" vertical="center" wrapText="1"/>
    </xf>
    <xf numFmtId="15" fontId="34" fillId="9" borderId="52" xfId="0" applyNumberFormat="1" applyFont="1" applyFill="1" applyBorder="1" applyAlignment="1">
      <alignment horizontal="center" vertical="center" wrapText="1"/>
    </xf>
    <xf numFmtId="9" fontId="34" fillId="9" borderId="52" xfId="1" applyFont="1" applyFill="1" applyBorder="1" applyAlignment="1">
      <alignment horizontal="center" vertical="center" wrapText="1"/>
    </xf>
    <xf numFmtId="0" fontId="13" fillId="0" borderId="53" xfId="0" applyFont="1" applyBorder="1" applyAlignment="1">
      <alignment vertical="center" wrapText="1"/>
    </xf>
    <xf numFmtId="0" fontId="13" fillId="9" borderId="53" xfId="0" applyFont="1" applyFill="1" applyBorder="1" applyAlignment="1">
      <alignment vertical="center" wrapText="1"/>
    </xf>
    <xf numFmtId="0" fontId="13" fillId="9" borderId="54" xfId="0" applyFont="1" applyFill="1" applyBorder="1" applyAlignment="1">
      <alignment vertical="center" wrapText="1"/>
    </xf>
    <xf numFmtId="49" fontId="14" fillId="9" borderId="52" xfId="0" applyNumberFormat="1" applyFont="1" applyFill="1" applyBorder="1" applyAlignment="1">
      <alignment horizontal="left" vertical="center" wrapText="1"/>
    </xf>
    <xf numFmtId="15" fontId="8" fillId="9" borderId="63" xfId="0" applyNumberFormat="1" applyFont="1" applyFill="1" applyBorder="1" applyAlignment="1">
      <alignment horizontal="center" vertical="center" wrapText="1"/>
    </xf>
    <xf numFmtId="15" fontId="8" fillId="9" borderId="67" xfId="0" applyNumberFormat="1" applyFont="1" applyFill="1" applyBorder="1" applyAlignment="1">
      <alignment horizontal="center" vertical="center" wrapText="1"/>
    </xf>
    <xf numFmtId="15" fontId="34" fillId="9" borderId="59" xfId="0" applyNumberFormat="1" applyFont="1" applyFill="1" applyBorder="1" applyAlignment="1">
      <alignment horizontal="center" vertical="center" wrapText="1"/>
    </xf>
    <xf numFmtId="9" fontId="34" fillId="9" borderId="59" xfId="1" applyFont="1" applyFill="1" applyBorder="1" applyAlignment="1">
      <alignment horizontal="center" vertical="center" wrapText="1"/>
    </xf>
    <xf numFmtId="0" fontId="13" fillId="0" borderId="60" xfId="0" applyFont="1" applyBorder="1" applyAlignment="1">
      <alignment vertical="center" wrapText="1"/>
    </xf>
    <xf numFmtId="0" fontId="13" fillId="9" borderId="60" xfId="0" applyFont="1" applyFill="1" applyBorder="1" applyAlignment="1">
      <alignment vertical="center" wrapText="1"/>
    </xf>
    <xf numFmtId="0" fontId="13" fillId="9" borderId="61" xfId="0" applyFont="1" applyFill="1" applyBorder="1" applyAlignment="1">
      <alignment vertical="center" wrapText="1"/>
    </xf>
    <xf numFmtId="49" fontId="14" fillId="9" borderId="59" xfId="0" applyNumberFormat="1" applyFont="1" applyFill="1" applyBorder="1" applyAlignment="1">
      <alignment horizontal="left" vertical="center" wrapText="1"/>
    </xf>
    <xf numFmtId="15" fontId="9" fillId="9" borderId="59" xfId="0" applyNumberFormat="1" applyFont="1" applyFill="1" applyBorder="1" applyAlignment="1">
      <alignment horizontal="center" vertical="center" wrapText="1"/>
    </xf>
    <xf numFmtId="15" fontId="9" fillId="9" borderId="64" xfId="0" applyNumberFormat="1" applyFont="1" applyFill="1" applyBorder="1" applyAlignment="1">
      <alignment horizontal="center" vertical="center" wrapText="1"/>
    </xf>
    <xf numFmtId="9" fontId="17" fillId="0" borderId="0" xfId="1" applyFont="1" applyFill="1" applyBorder="1" applyAlignment="1">
      <alignment horizontal="center"/>
    </xf>
    <xf numFmtId="9" fontId="10" fillId="0" borderId="32" xfId="1" applyFont="1" applyFill="1" applyBorder="1" applyAlignment="1">
      <alignment horizontal="center" vertical="center" wrapText="1"/>
    </xf>
    <xf numFmtId="9" fontId="10" fillId="0" borderId="36" xfId="1" applyFont="1" applyFill="1" applyBorder="1" applyAlignment="1">
      <alignment vertical="center" textRotation="90"/>
    </xf>
    <xf numFmtId="9" fontId="10" fillId="0" borderId="2" xfId="1" applyFont="1" applyFill="1" applyBorder="1" applyAlignment="1">
      <alignment vertical="center" textRotation="90"/>
    </xf>
    <xf numFmtId="9" fontId="10" fillId="0" borderId="0" xfId="1" applyFont="1" applyFill="1" applyBorder="1" applyAlignment="1">
      <alignment vertical="center" textRotation="90"/>
    </xf>
    <xf numFmtId="9" fontId="10" fillId="0" borderId="75" xfId="1" applyFont="1" applyFill="1" applyBorder="1" applyAlignment="1">
      <alignment horizontal="center" vertical="center" wrapText="1"/>
    </xf>
    <xf numFmtId="9" fontId="10" fillId="0" borderId="35" xfId="1" applyFont="1" applyFill="1" applyBorder="1" applyAlignment="1">
      <alignment horizontal="center" vertical="center" wrapText="1"/>
    </xf>
    <xf numFmtId="9" fontId="10" fillId="0" borderId="76" xfId="1" applyFont="1" applyFill="1" applyBorder="1" applyAlignment="1">
      <alignment horizontal="center" vertical="center" wrapText="1"/>
    </xf>
    <xf numFmtId="9" fontId="17" fillId="0" borderId="0" xfId="1" applyFont="1" applyFill="1" applyAlignment="1">
      <alignment horizontal="center"/>
    </xf>
    <xf numFmtId="9" fontId="10" fillId="9" borderId="63" xfId="1" applyFont="1" applyFill="1" applyBorder="1" applyAlignment="1">
      <alignment horizontal="center" vertical="center" wrapText="1"/>
    </xf>
    <xf numFmtId="0" fontId="10" fillId="9" borderId="32" xfId="0" applyFont="1" applyFill="1" applyBorder="1" applyAlignment="1">
      <alignment vertical="center" wrapText="1"/>
    </xf>
    <xf numFmtId="9" fontId="10" fillId="9" borderId="67" xfId="1" applyFont="1" applyFill="1" applyBorder="1" applyAlignment="1">
      <alignment horizontal="center" vertical="center" wrapText="1"/>
    </xf>
    <xf numFmtId="9" fontId="10" fillId="9" borderId="64" xfId="1" applyFont="1" applyFill="1" applyBorder="1" applyAlignment="1">
      <alignment horizontal="center" vertical="center" wrapText="1"/>
    </xf>
    <xf numFmtId="0" fontId="11" fillId="5" borderId="29" xfId="0" applyFont="1" applyFill="1" applyBorder="1" applyAlignment="1">
      <alignment vertical="center" textRotation="90"/>
    </xf>
    <xf numFmtId="49" fontId="7" fillId="9" borderId="74" xfId="0" applyNumberFormat="1" applyFont="1" applyFill="1" applyBorder="1" applyAlignment="1">
      <alignment horizontal="left" vertical="center" wrapText="1"/>
    </xf>
    <xf numFmtId="49" fontId="7" fillId="9" borderId="71" xfId="0" applyNumberFormat="1" applyFont="1" applyFill="1" applyBorder="1" applyAlignment="1">
      <alignment horizontal="left" vertical="center" wrapText="1"/>
    </xf>
    <xf numFmtId="49" fontId="7" fillId="9" borderId="71" xfId="0" applyNumberFormat="1" applyFont="1" applyFill="1" applyBorder="1" applyAlignment="1">
      <alignment horizontal="left" vertical="top" wrapText="1"/>
    </xf>
    <xf numFmtId="49" fontId="7" fillId="9" borderId="72" xfId="0" applyNumberFormat="1" applyFont="1" applyFill="1" applyBorder="1" applyAlignment="1">
      <alignment horizontal="left" vertical="center" wrapText="1"/>
    </xf>
    <xf numFmtId="15" fontId="8" fillId="9" borderId="64" xfId="0" applyNumberFormat="1" applyFont="1" applyFill="1" applyBorder="1" applyAlignment="1">
      <alignment horizontal="center" vertical="center" wrapText="1"/>
    </xf>
    <xf numFmtId="49" fontId="7" fillId="0" borderId="41" xfId="0" applyNumberFormat="1" applyFont="1" applyBorder="1" applyAlignment="1">
      <alignment horizontal="left" vertical="center" wrapText="1"/>
    </xf>
    <xf numFmtId="49" fontId="18" fillId="0" borderId="41" xfId="0" applyNumberFormat="1" applyFont="1" applyBorder="1" applyAlignment="1">
      <alignment horizontal="left" vertical="center" wrapText="1"/>
    </xf>
    <xf numFmtId="49" fontId="8" fillId="16" borderId="45" xfId="0" applyNumberFormat="1" applyFont="1" applyFill="1" applyBorder="1" applyAlignment="1">
      <alignment horizontal="center" vertical="center" wrapText="1"/>
    </xf>
    <xf numFmtId="49" fontId="11" fillId="6" borderId="47" xfId="0" applyNumberFormat="1" applyFont="1" applyFill="1" applyBorder="1" applyAlignment="1">
      <alignment horizontal="center" vertical="center" wrapText="1"/>
    </xf>
    <xf numFmtId="49" fontId="11" fillId="6" borderId="49" xfId="0" applyNumberFormat="1" applyFont="1" applyFill="1" applyBorder="1" applyAlignment="1">
      <alignment horizontal="center" vertical="center" wrapText="1"/>
    </xf>
    <xf numFmtId="9" fontId="10" fillId="0" borderId="38" xfId="1" applyFont="1" applyFill="1" applyBorder="1" applyAlignment="1">
      <alignment horizontal="center" vertical="center"/>
    </xf>
    <xf numFmtId="0" fontId="10" fillId="0" borderId="40" xfId="0" applyFont="1" applyBorder="1" applyAlignment="1">
      <alignment vertical="center" wrapText="1"/>
    </xf>
    <xf numFmtId="0" fontId="10" fillId="0" borderId="40" xfId="0" applyFont="1" applyBorder="1" applyAlignment="1">
      <alignment horizontal="center" vertical="center" wrapText="1"/>
    </xf>
    <xf numFmtId="15" fontId="10" fillId="0" borderId="41" xfId="0" applyNumberFormat="1" applyFont="1" applyBorder="1" applyAlignment="1">
      <alignment horizontal="center" vertical="center" wrapText="1"/>
    </xf>
    <xf numFmtId="9" fontId="10" fillId="0" borderId="41" xfId="1" applyFont="1" applyBorder="1" applyAlignment="1">
      <alignment horizontal="center" vertical="center" wrapText="1"/>
    </xf>
    <xf numFmtId="0" fontId="8" fillId="0" borderId="43" xfId="0" applyFont="1" applyBorder="1" applyAlignment="1">
      <alignment vertical="center"/>
    </xf>
    <xf numFmtId="0" fontId="8" fillId="0" borderId="41" xfId="0" applyFont="1" applyBorder="1" applyAlignment="1">
      <alignment vertical="center"/>
    </xf>
    <xf numFmtId="0" fontId="8" fillId="16" borderId="45" xfId="0" applyFont="1" applyFill="1" applyBorder="1" applyAlignment="1">
      <alignment horizontal="center" vertical="center" textRotation="90"/>
    </xf>
    <xf numFmtId="0" fontId="8" fillId="16" borderId="47" xfId="0" applyFont="1" applyFill="1" applyBorder="1" applyAlignment="1">
      <alignment horizontal="center" vertical="center" textRotation="90"/>
    </xf>
    <xf numFmtId="0" fontId="10" fillId="17" borderId="47" xfId="0" applyFont="1" applyFill="1" applyBorder="1" applyAlignment="1">
      <alignment horizontal="center" vertical="center"/>
    </xf>
    <xf numFmtId="9" fontId="10" fillId="8" borderId="47" xfId="1" applyFont="1" applyFill="1" applyBorder="1" applyAlignment="1">
      <alignment horizontal="center" vertical="center"/>
    </xf>
    <xf numFmtId="17" fontId="8" fillId="17" borderId="47" xfId="0" applyNumberFormat="1" applyFont="1" applyFill="1" applyBorder="1" applyAlignment="1">
      <alignment horizontal="center" vertical="center"/>
    </xf>
    <xf numFmtId="9" fontId="10" fillId="8" borderId="49" xfId="1" applyFont="1" applyFill="1" applyBorder="1" applyAlignment="1">
      <alignment horizontal="center" vertical="center"/>
    </xf>
    <xf numFmtId="0" fontId="8" fillId="20" borderId="47" xfId="0" applyFont="1" applyFill="1" applyBorder="1" applyAlignment="1">
      <alignment horizontal="center" vertical="center" textRotation="90" wrapText="1"/>
    </xf>
    <xf numFmtId="0" fontId="10" fillId="20" borderId="47" xfId="0" applyFont="1" applyFill="1" applyBorder="1" applyAlignment="1">
      <alignment horizontal="left" vertical="center" wrapText="1"/>
    </xf>
    <xf numFmtId="0" fontId="10" fillId="20" borderId="47" xfId="0" applyFont="1" applyFill="1" applyBorder="1" applyAlignment="1">
      <alignment horizontal="center" vertical="center" wrapText="1"/>
    </xf>
    <xf numFmtId="0" fontId="7" fillId="20" borderId="47" xfId="0" applyFont="1" applyFill="1" applyBorder="1"/>
    <xf numFmtId="0" fontId="8" fillId="20" borderId="47" xfId="0" applyFont="1" applyFill="1" applyBorder="1" applyAlignment="1">
      <alignment horizontal="left" vertical="center" wrapText="1"/>
    </xf>
    <xf numFmtId="0" fontId="12" fillId="9" borderId="52" xfId="0" applyFont="1" applyFill="1" applyBorder="1" applyAlignment="1">
      <alignment vertical="center" textRotation="90"/>
    </xf>
    <xf numFmtId="0" fontId="34" fillId="9" borderId="52" xfId="0" applyFont="1" applyFill="1" applyBorder="1" applyAlignment="1">
      <alignment horizontal="center" vertical="center" wrapText="1"/>
    </xf>
    <xf numFmtId="0" fontId="13" fillId="9" borderId="52" xfId="0" applyFont="1" applyFill="1" applyBorder="1" applyAlignment="1">
      <alignment vertical="center" wrapText="1"/>
    </xf>
    <xf numFmtId="0" fontId="12" fillId="9" borderId="32" xfId="0" applyFont="1" applyFill="1" applyBorder="1" applyAlignment="1">
      <alignment vertical="center" textRotation="90"/>
    </xf>
    <xf numFmtId="0" fontId="34" fillId="9" borderId="32" xfId="0" applyFont="1" applyFill="1" applyBorder="1" applyAlignment="1">
      <alignment horizontal="center" vertical="center" wrapText="1"/>
    </xf>
    <xf numFmtId="0" fontId="13" fillId="9" borderId="32" xfId="0" applyFont="1" applyFill="1" applyBorder="1" applyAlignment="1">
      <alignment vertical="center" wrapText="1"/>
    </xf>
    <xf numFmtId="49" fontId="14" fillId="9" borderId="32" xfId="0" applyNumberFormat="1" applyFont="1" applyFill="1" applyBorder="1" applyAlignment="1">
      <alignment vertical="center" wrapText="1"/>
    </xf>
    <xf numFmtId="0" fontId="12" fillId="9" borderId="59" xfId="0" applyFont="1" applyFill="1" applyBorder="1" applyAlignment="1">
      <alignment vertical="center" textRotation="90"/>
    </xf>
    <xf numFmtId="0" fontId="34" fillId="9" borderId="59" xfId="0" applyFont="1" applyFill="1" applyBorder="1" applyAlignment="1">
      <alignment horizontal="center" vertical="center" wrapText="1"/>
    </xf>
    <xf numFmtId="0" fontId="13" fillId="9" borderId="59" xfId="0" applyFont="1" applyFill="1" applyBorder="1" applyAlignment="1">
      <alignment vertical="center" wrapText="1"/>
    </xf>
    <xf numFmtId="0" fontId="8" fillId="9" borderId="74" xfId="0" applyFont="1" applyFill="1" applyBorder="1" applyAlignment="1">
      <alignment horizontal="left" vertical="center" wrapText="1"/>
    </xf>
    <xf numFmtId="0" fontId="8" fillId="9" borderId="71" xfId="0" applyFont="1" applyFill="1" applyBorder="1" applyAlignment="1">
      <alignment horizontal="left" vertical="center" wrapText="1"/>
    </xf>
    <xf numFmtId="49" fontId="18" fillId="19" borderId="72" xfId="0" applyNumberFormat="1" applyFont="1" applyFill="1" applyBorder="1" applyAlignment="1">
      <alignment horizontal="left" vertical="center" wrapText="1"/>
    </xf>
    <xf numFmtId="15" fontId="37" fillId="9" borderId="32" xfId="0" applyNumberFormat="1" applyFont="1" applyFill="1" applyBorder="1" applyAlignment="1">
      <alignment horizontal="center" vertical="center" wrapText="1"/>
    </xf>
    <xf numFmtId="0" fontId="8" fillId="10" borderId="52" xfId="0" applyFont="1" applyFill="1" applyBorder="1" applyAlignment="1">
      <alignment horizontal="center" vertical="center" textRotation="90"/>
    </xf>
    <xf numFmtId="9" fontId="10" fillId="10" borderId="63" xfId="1" applyFont="1" applyFill="1" applyBorder="1" applyAlignment="1">
      <alignment horizontal="center" vertical="center" wrapText="1"/>
    </xf>
    <xf numFmtId="0" fontId="8" fillId="10" borderId="32" xfId="0" applyFont="1" applyFill="1" applyBorder="1" applyAlignment="1">
      <alignment horizontal="center" vertical="center" textRotation="90"/>
    </xf>
    <xf numFmtId="9" fontId="10" fillId="10" borderId="67" xfId="1" applyFont="1" applyFill="1" applyBorder="1" applyAlignment="1">
      <alignment horizontal="center" vertical="center" wrapText="1"/>
    </xf>
    <xf numFmtId="0" fontId="8" fillId="10" borderId="59" xfId="0" applyFont="1" applyFill="1" applyBorder="1" applyAlignment="1">
      <alignment horizontal="center" vertical="center" textRotation="90"/>
    </xf>
    <xf numFmtId="9" fontId="10" fillId="10" borderId="64" xfId="1" applyFont="1" applyFill="1" applyBorder="1" applyAlignment="1">
      <alignment horizontal="center" vertical="center" wrapText="1"/>
    </xf>
    <xf numFmtId="0" fontId="7" fillId="20" borderId="59" xfId="0" applyFont="1" applyFill="1" applyBorder="1"/>
    <xf numFmtId="0" fontId="8" fillId="20" borderId="52" xfId="0" applyFont="1" applyFill="1" applyBorder="1" applyAlignment="1">
      <alignment vertical="center" textRotation="90"/>
    </xf>
    <xf numFmtId="0" fontId="8" fillId="18" borderId="52" xfId="0" applyFont="1" applyFill="1" applyBorder="1" applyAlignment="1">
      <alignment horizontal="center" vertical="center" textRotation="90"/>
    </xf>
    <xf numFmtId="0" fontId="10" fillId="18" borderId="52" xfId="0" applyFont="1" applyFill="1" applyBorder="1" applyAlignment="1">
      <alignment horizontal="left" vertical="center" wrapText="1"/>
    </xf>
    <xf numFmtId="0" fontId="10" fillId="18" borderId="52" xfId="0" applyFont="1" applyFill="1" applyBorder="1" applyAlignment="1">
      <alignment horizontal="center" vertical="center" wrapText="1"/>
    </xf>
    <xf numFmtId="15" fontId="10" fillId="18" borderId="52" xfId="0" applyNumberFormat="1" applyFont="1" applyFill="1" applyBorder="1" applyAlignment="1">
      <alignment horizontal="center" vertical="center" wrapText="1"/>
    </xf>
    <xf numFmtId="9" fontId="10" fillId="18" borderId="52" xfId="1" applyFont="1" applyFill="1" applyBorder="1" applyAlignment="1">
      <alignment horizontal="center" vertical="center" wrapText="1"/>
    </xf>
    <xf numFmtId="0" fontId="7" fillId="18" borderId="52" xfId="0" applyFont="1" applyFill="1" applyBorder="1"/>
    <xf numFmtId="0" fontId="8" fillId="18" borderId="52" xfId="0" applyFont="1" applyFill="1" applyBorder="1" applyAlignment="1">
      <alignment horizontal="left" vertical="center" wrapText="1"/>
    </xf>
    <xf numFmtId="9" fontId="10" fillId="18" borderId="63" xfId="1" applyFont="1" applyFill="1" applyBorder="1" applyAlignment="1">
      <alignment horizontal="center" vertical="center" wrapText="1"/>
    </xf>
    <xf numFmtId="0" fontId="8" fillId="18" borderId="59" xfId="0" applyFont="1" applyFill="1" applyBorder="1" applyAlignment="1">
      <alignment horizontal="center" vertical="center" textRotation="90"/>
    </xf>
    <xf numFmtId="0" fontId="10" fillId="18" borderId="59" xfId="0" applyFont="1" applyFill="1" applyBorder="1" applyAlignment="1">
      <alignment horizontal="left" vertical="center" wrapText="1"/>
    </xf>
    <xf numFmtId="0" fontId="10" fillId="18" borderId="59" xfId="0" applyFont="1" applyFill="1" applyBorder="1" applyAlignment="1">
      <alignment horizontal="center" vertical="center" wrapText="1"/>
    </xf>
    <xf numFmtId="9" fontId="10" fillId="18" borderId="59" xfId="1" applyFont="1" applyFill="1" applyBorder="1" applyAlignment="1">
      <alignment horizontal="center" vertical="center" wrapText="1"/>
    </xf>
    <xf numFmtId="0" fontId="7" fillId="18" borderId="59" xfId="0" applyFont="1" applyFill="1" applyBorder="1"/>
    <xf numFmtId="0" fontId="8" fillId="18" borderId="59" xfId="0" applyFont="1" applyFill="1" applyBorder="1" applyAlignment="1">
      <alignment horizontal="left" vertical="center" wrapText="1"/>
    </xf>
    <xf numFmtId="9" fontId="10" fillId="18" borderId="64" xfId="1" applyFont="1" applyFill="1" applyBorder="1" applyAlignment="1">
      <alignment horizontal="center" vertical="center" wrapText="1"/>
    </xf>
    <xf numFmtId="15" fontId="8" fillId="18" borderId="74" xfId="0" applyNumberFormat="1" applyFont="1" applyFill="1" applyBorder="1" applyAlignment="1">
      <alignment horizontal="center" vertical="center" wrapText="1"/>
    </xf>
    <xf numFmtId="15" fontId="8" fillId="18" borderId="52" xfId="0" applyNumberFormat="1" applyFont="1" applyFill="1" applyBorder="1" applyAlignment="1">
      <alignment horizontal="center" vertical="center" wrapText="1"/>
    </xf>
    <xf numFmtId="15" fontId="8" fillId="18" borderId="63" xfId="0" applyNumberFormat="1" applyFont="1" applyFill="1" applyBorder="1" applyAlignment="1">
      <alignment horizontal="center" vertical="center" wrapText="1"/>
    </xf>
    <xf numFmtId="15" fontId="9" fillId="18" borderId="64" xfId="0" applyNumberFormat="1" applyFont="1" applyFill="1" applyBorder="1" applyAlignment="1">
      <alignment horizontal="center" vertical="center" wrapText="1"/>
    </xf>
    <xf numFmtId="15" fontId="11" fillId="10" borderId="29" xfId="0" applyNumberFormat="1" applyFont="1" applyFill="1" applyBorder="1" applyAlignment="1">
      <alignment horizontal="center" vertical="center" wrapText="1"/>
    </xf>
    <xf numFmtId="9" fontId="10" fillId="0" borderId="0" xfId="1" applyFont="1" applyFill="1" applyBorder="1" applyAlignment="1">
      <alignment horizontal="center" vertical="center" wrapText="1"/>
    </xf>
    <xf numFmtId="9" fontId="10" fillId="0" borderId="7" xfId="1" applyFont="1" applyFill="1" applyBorder="1" applyAlignment="1">
      <alignment horizontal="center" vertical="center" wrapText="1"/>
    </xf>
    <xf numFmtId="0" fontId="10" fillId="19" borderId="52" xfId="0" applyFont="1" applyFill="1" applyBorder="1" applyAlignment="1">
      <alignment horizontal="left" vertical="center" wrapText="1"/>
    </xf>
    <xf numFmtId="0" fontId="34" fillId="19" borderId="52" xfId="0" applyFont="1" applyFill="1" applyBorder="1" applyAlignment="1">
      <alignment horizontal="center" vertical="center" wrapText="1"/>
    </xf>
    <xf numFmtId="164" fontId="10" fillId="19" borderId="52" xfId="0" applyNumberFormat="1" applyFont="1" applyFill="1" applyBorder="1" applyAlignment="1">
      <alignment horizontal="center" vertical="center" wrapText="1"/>
    </xf>
    <xf numFmtId="15" fontId="13" fillId="19" borderId="52" xfId="0" applyNumberFormat="1" applyFont="1" applyFill="1" applyBorder="1" applyAlignment="1">
      <alignment horizontal="center" vertical="center" wrapText="1"/>
    </xf>
    <xf numFmtId="9" fontId="13" fillId="19" borderId="52" xfId="1" applyFont="1" applyFill="1" applyBorder="1" applyAlignment="1">
      <alignment horizontal="center" vertical="center" wrapText="1"/>
    </xf>
    <xf numFmtId="9" fontId="34" fillId="19" borderId="52" xfId="1" applyFont="1" applyFill="1" applyBorder="1" applyAlignment="1">
      <alignment horizontal="center" vertical="center" wrapText="1"/>
    </xf>
    <xf numFmtId="9" fontId="10" fillId="19" borderId="52" xfId="1" applyFont="1" applyFill="1" applyBorder="1" applyAlignment="1">
      <alignment horizontal="center" vertical="center" wrapText="1"/>
    </xf>
    <xf numFmtId="0" fontId="13" fillId="19" borderId="52" xfId="0" applyFont="1" applyFill="1" applyBorder="1" applyAlignment="1">
      <alignment vertical="center" wrapText="1"/>
    </xf>
    <xf numFmtId="49" fontId="14" fillId="19" borderId="52" xfId="0" applyNumberFormat="1" applyFont="1" applyFill="1" applyBorder="1" applyAlignment="1">
      <alignment horizontal="left" vertical="center" wrapText="1"/>
    </xf>
    <xf numFmtId="0" fontId="13" fillId="19" borderId="52" xfId="0" applyFont="1" applyFill="1" applyBorder="1" applyAlignment="1">
      <alignment horizontal="center" vertical="center" wrapText="1"/>
    </xf>
    <xf numFmtId="164" fontId="8" fillId="19" borderId="63" xfId="0" applyNumberFormat="1" applyFont="1" applyFill="1" applyBorder="1" applyAlignment="1">
      <alignment horizontal="center" vertical="center" wrapText="1"/>
    </xf>
    <xf numFmtId="0" fontId="34" fillId="19" borderId="32" xfId="0" applyFont="1" applyFill="1" applyBorder="1" applyAlignment="1">
      <alignment horizontal="center" vertical="center" wrapText="1"/>
    </xf>
    <xf numFmtId="0" fontId="13" fillId="19" borderId="32" xfId="0" applyFont="1" applyFill="1" applyBorder="1" applyAlignment="1">
      <alignment vertical="center" wrapText="1"/>
    </xf>
    <xf numFmtId="49" fontId="14" fillId="19" borderId="32" xfId="0" applyNumberFormat="1" applyFont="1" applyFill="1" applyBorder="1" applyAlignment="1">
      <alignment vertical="center" wrapText="1"/>
    </xf>
    <xf numFmtId="0" fontId="13" fillId="19" borderId="32" xfId="0" applyFont="1" applyFill="1" applyBorder="1" applyAlignment="1">
      <alignment horizontal="center" vertical="center" wrapText="1"/>
    </xf>
    <xf numFmtId="164" fontId="8" fillId="19" borderId="67" xfId="0" applyNumberFormat="1" applyFont="1" applyFill="1" applyBorder="1" applyAlignment="1">
      <alignment horizontal="center" vertical="center" wrapText="1"/>
    </xf>
    <xf numFmtId="0" fontId="10" fillId="19" borderId="59" xfId="0" applyFont="1" applyFill="1" applyBorder="1" applyAlignment="1">
      <alignment horizontal="left" vertical="center" wrapText="1"/>
    </xf>
    <xf numFmtId="0" fontId="34" fillId="19" borderId="59" xfId="0" applyFont="1" applyFill="1" applyBorder="1" applyAlignment="1">
      <alignment horizontal="center" vertical="center" wrapText="1"/>
    </xf>
    <xf numFmtId="164" fontId="10" fillId="19" borderId="59" xfId="0" applyNumberFormat="1" applyFont="1" applyFill="1" applyBorder="1" applyAlignment="1">
      <alignment horizontal="center" vertical="center" wrapText="1"/>
    </xf>
    <xf numFmtId="15" fontId="15" fillId="19" borderId="59" xfId="0" applyNumberFormat="1" applyFont="1" applyFill="1" applyBorder="1" applyAlignment="1">
      <alignment horizontal="center" vertical="center" wrapText="1"/>
    </xf>
    <xf numFmtId="9" fontId="15" fillId="19" borderId="59" xfId="1" applyFont="1" applyFill="1" applyBorder="1" applyAlignment="1">
      <alignment horizontal="center" vertical="center" wrapText="1"/>
    </xf>
    <xf numFmtId="9" fontId="34" fillId="19" borderId="59" xfId="1" applyFont="1" applyFill="1" applyBorder="1" applyAlignment="1">
      <alignment horizontal="center" vertical="center" wrapText="1"/>
    </xf>
    <xf numFmtId="9" fontId="10" fillId="19" borderId="59" xfId="1" applyFont="1" applyFill="1" applyBorder="1" applyAlignment="1">
      <alignment horizontal="center" vertical="center" wrapText="1"/>
    </xf>
    <xf numFmtId="0" fontId="13" fillId="19" borderId="59" xfId="0" applyFont="1" applyFill="1" applyBorder="1" applyAlignment="1">
      <alignment vertical="center" wrapText="1"/>
    </xf>
    <xf numFmtId="49" fontId="14" fillId="19" borderId="59" xfId="0" applyNumberFormat="1" applyFont="1" applyFill="1" applyBorder="1" applyAlignment="1">
      <alignment horizontal="left" vertical="center" wrapText="1"/>
    </xf>
    <xf numFmtId="0" fontId="15" fillId="19" borderId="59" xfId="0" applyFont="1" applyFill="1" applyBorder="1" applyAlignment="1">
      <alignment horizontal="center" vertical="center" wrapText="1"/>
    </xf>
    <xf numFmtId="164" fontId="9" fillId="19" borderId="64" xfId="0" applyNumberFormat="1" applyFont="1" applyFill="1" applyBorder="1" applyAlignment="1">
      <alignment horizontal="center" vertical="center" wrapText="1"/>
    </xf>
    <xf numFmtId="0" fontId="8" fillId="9" borderId="31" xfId="0" applyFont="1" applyFill="1" applyBorder="1" applyAlignment="1">
      <alignment vertical="center" wrapText="1"/>
    </xf>
    <xf numFmtId="0" fontId="8" fillId="9" borderId="51" xfId="0" applyFont="1" applyFill="1" applyBorder="1" applyAlignment="1">
      <alignment horizontal="left" vertical="center" wrapText="1"/>
    </xf>
    <xf numFmtId="0" fontId="8" fillId="9" borderId="58" xfId="0" applyFont="1" applyFill="1" applyBorder="1" applyAlignment="1">
      <alignment horizontal="left" vertical="center" wrapText="1"/>
    </xf>
    <xf numFmtId="0" fontId="8" fillId="3" borderId="58" xfId="0" applyFont="1" applyFill="1" applyBorder="1" applyAlignment="1">
      <alignment vertical="center" wrapText="1"/>
    </xf>
    <xf numFmtId="9" fontId="10" fillId="0" borderId="53" xfId="1" applyFont="1" applyFill="1" applyBorder="1" applyAlignment="1">
      <alignment horizontal="center" vertical="center" wrapText="1"/>
    </xf>
    <xf numFmtId="9" fontId="10" fillId="0" borderId="38" xfId="1" applyFont="1" applyFill="1" applyBorder="1" applyAlignment="1">
      <alignment horizontal="center" vertical="center" wrapText="1"/>
    </xf>
    <xf numFmtId="9" fontId="10" fillId="0" borderId="60" xfId="1" applyFont="1" applyFill="1" applyBorder="1" applyAlignment="1">
      <alignment horizontal="center" vertical="center" wrapText="1"/>
    </xf>
    <xf numFmtId="9" fontId="10" fillId="0" borderId="2" xfId="1" applyFont="1" applyBorder="1" applyAlignment="1">
      <alignment vertical="center" textRotation="90"/>
    </xf>
    <xf numFmtId="9" fontId="10" fillId="0" borderId="82" xfId="1" applyFont="1" applyFill="1" applyBorder="1" applyAlignment="1">
      <alignment horizontal="center" vertical="center" wrapText="1"/>
    </xf>
    <xf numFmtId="0" fontId="12" fillId="19" borderId="52" xfId="0" applyFont="1" applyFill="1" applyBorder="1" applyAlignment="1">
      <alignment vertical="center" textRotation="90"/>
    </xf>
    <xf numFmtId="0" fontId="10" fillId="5" borderId="7" xfId="0" applyFont="1" applyFill="1" applyBorder="1" applyAlignment="1">
      <alignment vertical="center" textRotation="90"/>
    </xf>
    <xf numFmtId="0" fontId="10" fillId="5" borderId="7" xfId="0" applyFont="1" applyFill="1" applyBorder="1" applyAlignment="1">
      <alignment horizontal="center" vertical="center" textRotation="90"/>
    </xf>
    <xf numFmtId="9" fontId="10" fillId="5" borderId="7" xfId="1" applyFont="1" applyFill="1" applyBorder="1" applyAlignment="1">
      <alignment vertical="center" textRotation="90"/>
    </xf>
    <xf numFmtId="164" fontId="8" fillId="9" borderId="63" xfId="0" applyNumberFormat="1" applyFont="1" applyFill="1" applyBorder="1" applyAlignment="1">
      <alignment horizontal="center" vertical="center" wrapText="1"/>
    </xf>
    <xf numFmtId="164" fontId="8" fillId="9" borderId="67" xfId="0" applyNumberFormat="1" applyFont="1" applyFill="1" applyBorder="1" applyAlignment="1">
      <alignment horizontal="center" vertical="center" wrapText="1"/>
    </xf>
    <xf numFmtId="164" fontId="8" fillId="9" borderId="64" xfId="0" applyNumberFormat="1" applyFont="1" applyFill="1" applyBorder="1" applyAlignment="1">
      <alignment horizontal="center" vertical="center" wrapText="1"/>
    </xf>
    <xf numFmtId="49" fontId="8" fillId="6" borderId="45" xfId="0" applyNumberFormat="1" applyFont="1" applyFill="1" applyBorder="1" applyAlignment="1">
      <alignment horizontal="center" vertical="center" wrapText="1"/>
    </xf>
    <xf numFmtId="164" fontId="10" fillId="0" borderId="41" xfId="0" applyNumberFormat="1" applyFont="1" applyBorder="1" applyAlignment="1">
      <alignment horizontal="center" vertical="center" wrapText="1"/>
    </xf>
    <xf numFmtId="0" fontId="8" fillId="0" borderId="41" xfId="0" applyFont="1" applyBorder="1" applyAlignment="1">
      <alignment horizontal="center" vertical="center" wrapText="1"/>
    </xf>
    <xf numFmtId="0" fontId="8" fillId="6" borderId="45" xfId="0" applyFont="1" applyFill="1" applyBorder="1" applyAlignment="1">
      <alignment horizontal="center" vertical="center" textRotation="90"/>
    </xf>
    <xf numFmtId="0" fontId="8" fillId="6" borderId="47" xfId="0" applyFont="1" applyFill="1" applyBorder="1" applyAlignment="1">
      <alignment horizontal="center" vertical="center" textRotation="90"/>
    </xf>
    <xf numFmtId="0" fontId="10" fillId="7" borderId="47" xfId="0" applyFont="1" applyFill="1" applyBorder="1" applyAlignment="1">
      <alignment horizontal="center" vertical="center"/>
    </xf>
    <xf numFmtId="164" fontId="10" fillId="7" borderId="47" xfId="0" applyNumberFormat="1" applyFont="1" applyFill="1" applyBorder="1" applyAlignment="1">
      <alignment horizontal="center" vertical="center"/>
    </xf>
    <xf numFmtId="0" fontId="8" fillId="7" borderId="47" xfId="0" applyFont="1" applyFill="1" applyBorder="1" applyAlignment="1">
      <alignment horizontal="center" vertical="center"/>
    </xf>
    <xf numFmtId="17" fontId="8" fillId="7" borderId="47" xfId="0" applyNumberFormat="1" applyFont="1" applyFill="1" applyBorder="1" applyAlignment="1">
      <alignment horizontal="center" vertical="center"/>
    </xf>
    <xf numFmtId="0" fontId="10" fillId="10" borderId="32" xfId="0" applyFont="1" applyFill="1" applyBorder="1" applyAlignment="1">
      <alignment vertical="center" wrapText="1"/>
    </xf>
    <xf numFmtId="0" fontId="8" fillId="10" borderId="32" xfId="0" applyFont="1" applyFill="1" applyBorder="1" applyAlignment="1">
      <alignment vertical="center" wrapText="1"/>
    </xf>
    <xf numFmtId="0" fontId="10" fillId="10" borderId="32" xfId="0" applyFont="1" applyFill="1" applyBorder="1" applyAlignment="1">
      <alignment horizontal="left" vertical="center" wrapText="1"/>
    </xf>
    <xf numFmtId="0" fontId="10" fillId="10" borderId="59" xfId="0" applyFont="1" applyFill="1" applyBorder="1" applyAlignment="1">
      <alignment horizontal="left" vertical="center" wrapText="1"/>
    </xf>
    <xf numFmtId="164" fontId="10" fillId="5" borderId="0" xfId="0" applyNumberFormat="1" applyFont="1" applyFill="1" applyAlignment="1">
      <alignment vertical="center" textRotation="90"/>
    </xf>
    <xf numFmtId="9" fontId="10" fillId="0" borderId="42" xfId="1" applyFont="1" applyFill="1" applyBorder="1" applyAlignment="1">
      <alignment horizontal="center" vertical="center" wrapText="1"/>
    </xf>
    <xf numFmtId="49" fontId="7" fillId="10" borderId="74" xfId="0" applyNumberFormat="1" applyFont="1" applyFill="1" applyBorder="1" applyAlignment="1">
      <alignment horizontal="left" vertical="center" wrapText="1"/>
    </xf>
    <xf numFmtId="0" fontId="8" fillId="10" borderId="52" xfId="0" applyFont="1" applyFill="1" applyBorder="1" applyAlignment="1">
      <alignment horizontal="center" vertical="center" wrapText="1"/>
    </xf>
    <xf numFmtId="164" fontId="8" fillId="10" borderId="63" xfId="0" applyNumberFormat="1" applyFont="1" applyFill="1" applyBorder="1" applyAlignment="1">
      <alignment horizontal="center" vertical="center" wrapText="1"/>
    </xf>
    <xf numFmtId="49" fontId="7" fillId="10" borderId="71" xfId="0" applyNumberFormat="1" applyFont="1" applyFill="1" applyBorder="1" applyAlignment="1">
      <alignment horizontal="left" vertical="center" wrapText="1"/>
    </xf>
    <xf numFmtId="0" fontId="8" fillId="10" borderId="32" xfId="0" applyFont="1" applyFill="1" applyBorder="1" applyAlignment="1">
      <alignment horizontal="center" vertical="center" wrapText="1"/>
    </xf>
    <xf numFmtId="164" fontId="8" fillId="10" borderId="67" xfId="0" applyNumberFormat="1" applyFont="1" applyFill="1" applyBorder="1" applyAlignment="1">
      <alignment horizontal="center" vertical="center" wrapText="1"/>
    </xf>
    <xf numFmtId="49" fontId="7" fillId="10" borderId="72" xfId="0" applyNumberFormat="1" applyFont="1" applyFill="1" applyBorder="1" applyAlignment="1">
      <alignment horizontal="left" vertical="center" wrapText="1"/>
    </xf>
    <xf numFmtId="0" fontId="8" fillId="10" borderId="59" xfId="0" applyFont="1" applyFill="1" applyBorder="1" applyAlignment="1">
      <alignment horizontal="center" vertical="center" wrapText="1"/>
    </xf>
    <xf numFmtId="164" fontId="8" fillId="10" borderId="64" xfId="0" applyNumberFormat="1" applyFont="1" applyFill="1" applyBorder="1" applyAlignment="1">
      <alignment horizontal="center" vertical="center" wrapText="1"/>
    </xf>
    <xf numFmtId="0" fontId="8" fillId="5" borderId="5" xfId="0" applyFont="1" applyFill="1" applyBorder="1" applyAlignment="1">
      <alignment vertical="center" textRotation="90"/>
    </xf>
    <xf numFmtId="0" fontId="8" fillId="5" borderId="0" xfId="0" applyFont="1" applyFill="1" applyAlignment="1">
      <alignment horizontal="center" vertical="center" textRotation="90"/>
    </xf>
    <xf numFmtId="164" fontId="8" fillId="5" borderId="0" xfId="0" applyNumberFormat="1" applyFont="1" applyFill="1" applyAlignment="1">
      <alignment vertical="center" textRotation="90"/>
    </xf>
    <xf numFmtId="49" fontId="18" fillId="9" borderId="74" xfId="0" applyNumberFormat="1" applyFont="1" applyFill="1" applyBorder="1" applyAlignment="1">
      <alignment horizontal="left" vertical="center" wrapText="1"/>
    </xf>
    <xf numFmtId="49" fontId="18" fillId="9" borderId="71" xfId="0" applyNumberFormat="1" applyFont="1" applyFill="1" applyBorder="1" applyAlignment="1">
      <alignment horizontal="left" vertical="center" wrapText="1"/>
    </xf>
    <xf numFmtId="49" fontId="17" fillId="9" borderId="72" xfId="0" applyNumberFormat="1" applyFont="1" applyFill="1" applyBorder="1" applyAlignment="1">
      <alignment horizontal="left" vertical="center" wrapText="1"/>
    </xf>
    <xf numFmtId="164" fontId="10" fillId="20" borderId="47" xfId="0" applyNumberFormat="1" applyFont="1" applyFill="1" applyBorder="1" applyAlignment="1">
      <alignment horizontal="center" vertical="center" wrapText="1"/>
    </xf>
    <xf numFmtId="9" fontId="10" fillId="0" borderId="36" xfId="1" applyFont="1" applyFill="1" applyBorder="1" applyAlignment="1">
      <alignment horizontal="center" vertical="center" wrapText="1"/>
    </xf>
    <xf numFmtId="9" fontId="10" fillId="20" borderId="49" xfId="1" applyFont="1" applyFill="1" applyBorder="1" applyAlignment="1">
      <alignment horizontal="center" vertical="center" wrapText="1"/>
    </xf>
    <xf numFmtId="0" fontId="10" fillId="10" borderId="40" xfId="0" applyFont="1" applyFill="1" applyBorder="1" applyAlignment="1">
      <alignment horizontal="left" vertical="center" wrapText="1"/>
    </xf>
    <xf numFmtId="0" fontId="8" fillId="10" borderId="42" xfId="0" applyFont="1" applyFill="1" applyBorder="1" applyAlignment="1">
      <alignment horizontal="left" vertical="center" wrapText="1"/>
    </xf>
    <xf numFmtId="0" fontId="8" fillId="10" borderId="43" xfId="0" applyFont="1" applyFill="1" applyBorder="1" applyAlignment="1">
      <alignment horizontal="left" vertical="center" wrapText="1"/>
    </xf>
    <xf numFmtId="49" fontId="7" fillId="20" borderId="45" xfId="0" applyNumberFormat="1" applyFont="1" applyFill="1" applyBorder="1" applyAlignment="1">
      <alignment horizontal="left" vertical="center" wrapText="1"/>
    </xf>
    <xf numFmtId="0" fontId="8" fillId="20" borderId="47" xfId="0" applyFont="1" applyFill="1" applyBorder="1" applyAlignment="1">
      <alignment horizontal="center" vertical="center" wrapText="1"/>
    </xf>
    <xf numFmtId="164" fontId="8" fillId="20" borderId="49" xfId="0" applyNumberFormat="1" applyFont="1" applyFill="1" applyBorder="1" applyAlignment="1">
      <alignment horizontal="center" vertical="center" wrapText="1"/>
    </xf>
    <xf numFmtId="9" fontId="10" fillId="3" borderId="63" xfId="1" applyFont="1" applyFill="1" applyBorder="1" applyAlignment="1">
      <alignment horizontal="center" vertical="center" wrapText="1"/>
    </xf>
    <xf numFmtId="9" fontId="10" fillId="3" borderId="64" xfId="1" applyFont="1" applyFill="1" applyBorder="1" applyAlignment="1">
      <alignment horizontal="center" vertical="center" wrapText="1"/>
    </xf>
    <xf numFmtId="49" fontId="7" fillId="3" borderId="74" xfId="0" applyNumberFormat="1" applyFont="1" applyFill="1" applyBorder="1" applyAlignment="1">
      <alignment horizontal="left" vertical="center" wrapText="1"/>
    </xf>
    <xf numFmtId="164" fontId="9" fillId="10" borderId="63" xfId="0" applyNumberFormat="1" applyFont="1" applyFill="1" applyBorder="1" applyAlignment="1">
      <alignment horizontal="center" vertical="center" wrapText="1"/>
    </xf>
    <xf numFmtId="49" fontId="7" fillId="3" borderId="72" xfId="0" applyNumberFormat="1" applyFont="1" applyFill="1" applyBorder="1" applyAlignment="1">
      <alignment horizontal="left" vertical="center" wrapText="1"/>
    </xf>
    <xf numFmtId="164" fontId="9" fillId="10" borderId="64" xfId="0" applyNumberFormat="1" applyFont="1" applyFill="1" applyBorder="1" applyAlignment="1">
      <alignment horizontal="center" vertical="center" wrapText="1"/>
    </xf>
    <xf numFmtId="0" fontId="8" fillId="0" borderId="0" xfId="0" applyFont="1" applyAlignment="1">
      <alignment horizontal="center" vertical="center" textRotation="90"/>
    </xf>
    <xf numFmtId="0" fontId="10" fillId="0" borderId="0" xfId="0" applyFont="1" applyAlignment="1">
      <alignment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15" fontId="8" fillId="0" borderId="0" xfId="0" applyNumberFormat="1" applyFont="1" applyAlignment="1">
      <alignment horizontal="center" vertical="center" wrapText="1"/>
    </xf>
    <xf numFmtId="0" fontId="8" fillId="0" borderId="0" xfId="0" applyFont="1" applyAlignment="1">
      <alignment vertical="center" wrapText="1"/>
    </xf>
    <xf numFmtId="164" fontId="10" fillId="9" borderId="63" xfId="0" applyNumberFormat="1" applyFont="1" applyFill="1" applyBorder="1" applyAlignment="1">
      <alignment horizontal="center" vertical="center" wrapText="1"/>
    </xf>
    <xf numFmtId="49" fontId="7" fillId="9" borderId="71" xfId="0" applyNumberFormat="1" applyFont="1" applyFill="1" applyBorder="1" applyAlignment="1">
      <alignment horizontal="center" vertical="center" wrapText="1"/>
    </xf>
    <xf numFmtId="164" fontId="10" fillId="9" borderId="67" xfId="0" applyNumberFormat="1" applyFont="1" applyFill="1" applyBorder="1" applyAlignment="1">
      <alignment horizontal="center" vertical="center" wrapText="1"/>
    </xf>
    <xf numFmtId="164" fontId="10" fillId="9" borderId="64" xfId="0" applyNumberFormat="1" applyFont="1" applyFill="1" applyBorder="1" applyAlignment="1">
      <alignment horizontal="center" vertical="center" wrapText="1"/>
    </xf>
    <xf numFmtId="49" fontId="7" fillId="0" borderId="5" xfId="0" applyNumberFormat="1" applyFont="1" applyBorder="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0" fontId="8" fillId="9" borderId="33" xfId="0" applyFont="1" applyFill="1" applyBorder="1" applyAlignment="1">
      <alignment vertical="center" textRotation="90"/>
    </xf>
    <xf numFmtId="0" fontId="10" fillId="13" borderId="52" xfId="0" applyFont="1" applyFill="1" applyBorder="1" applyAlignment="1">
      <alignment horizontal="left" vertical="center" wrapText="1"/>
    </xf>
    <xf numFmtId="0" fontId="10" fillId="13" borderId="52" xfId="0" applyFont="1" applyFill="1" applyBorder="1" applyAlignment="1">
      <alignment horizontal="center" vertical="center" wrapText="1"/>
    </xf>
    <xf numFmtId="164" fontId="10" fillId="13" borderId="52" xfId="0" applyNumberFormat="1" applyFont="1" applyFill="1" applyBorder="1" applyAlignment="1">
      <alignment horizontal="center" vertical="center" wrapText="1"/>
    </xf>
    <xf numFmtId="15" fontId="8" fillId="13" borderId="52" xfId="0" applyNumberFormat="1" applyFont="1" applyFill="1" applyBorder="1" applyAlignment="1">
      <alignment horizontal="center" vertical="center" wrapText="1"/>
    </xf>
    <xf numFmtId="15" fontId="10" fillId="13" borderId="52" xfId="0" applyNumberFormat="1" applyFont="1" applyFill="1" applyBorder="1" applyAlignment="1">
      <alignment horizontal="center" vertical="center" wrapText="1"/>
    </xf>
    <xf numFmtId="9" fontId="10" fillId="13" borderId="52" xfId="1" applyFont="1" applyFill="1" applyBorder="1" applyAlignment="1">
      <alignment horizontal="center" vertical="center" wrapText="1"/>
    </xf>
    <xf numFmtId="0" fontId="7" fillId="13" borderId="52" xfId="0" applyFont="1" applyFill="1" applyBorder="1"/>
    <xf numFmtId="0" fontId="8" fillId="13" borderId="52" xfId="0" applyFont="1" applyFill="1" applyBorder="1" applyAlignment="1">
      <alignment horizontal="left" vertical="center" wrapText="1"/>
    </xf>
    <xf numFmtId="9" fontId="10" fillId="13" borderId="63" xfId="1" applyFont="1" applyFill="1" applyBorder="1" applyAlignment="1">
      <alignment horizontal="center" vertical="center" wrapText="1"/>
    </xf>
    <xf numFmtId="49" fontId="7" fillId="13" borderId="74" xfId="0" applyNumberFormat="1" applyFont="1" applyFill="1" applyBorder="1" applyAlignment="1">
      <alignment horizontal="center" vertical="center" wrapText="1"/>
    </xf>
    <xf numFmtId="0" fontId="8" fillId="13" borderId="52" xfId="0" applyFont="1" applyFill="1" applyBorder="1" applyAlignment="1">
      <alignment horizontal="center" vertical="center" wrapText="1"/>
    </xf>
    <xf numFmtId="164" fontId="10" fillId="13" borderId="63" xfId="0" applyNumberFormat="1" applyFont="1" applyFill="1" applyBorder="1" applyAlignment="1">
      <alignment horizontal="center" vertical="center" wrapText="1"/>
    </xf>
    <xf numFmtId="9" fontId="10" fillId="5" borderId="0" xfId="1" applyFont="1" applyFill="1" applyAlignment="1">
      <alignment vertical="center" textRotation="90"/>
    </xf>
    <xf numFmtId="0" fontId="10" fillId="13" borderId="59" xfId="0" applyFont="1" applyFill="1" applyBorder="1" applyAlignment="1">
      <alignment horizontal="left" vertical="center" wrapText="1"/>
    </xf>
    <xf numFmtId="0" fontId="10" fillId="13" borderId="59" xfId="0" applyFont="1" applyFill="1" applyBorder="1" applyAlignment="1">
      <alignment horizontal="center" vertical="center" wrapText="1"/>
    </xf>
    <xf numFmtId="164" fontId="10" fillId="13" borderId="59" xfId="0" applyNumberFormat="1" applyFont="1" applyFill="1" applyBorder="1" applyAlignment="1">
      <alignment horizontal="center" vertical="center" wrapText="1"/>
    </xf>
    <xf numFmtId="15" fontId="8" fillId="13" borderId="59" xfId="0" applyNumberFormat="1" applyFont="1" applyFill="1" applyBorder="1" applyAlignment="1">
      <alignment horizontal="center" vertical="center" wrapText="1"/>
    </xf>
    <xf numFmtId="15" fontId="10" fillId="13" borderId="59" xfId="0" applyNumberFormat="1" applyFont="1" applyFill="1" applyBorder="1" applyAlignment="1">
      <alignment horizontal="center" vertical="center" wrapText="1"/>
    </xf>
    <xf numFmtId="9" fontId="10" fillId="13" borderId="59" xfId="1" applyFont="1" applyFill="1" applyBorder="1" applyAlignment="1">
      <alignment horizontal="center" vertical="center" wrapText="1"/>
    </xf>
    <xf numFmtId="0" fontId="7" fillId="13" borderId="59" xfId="0" applyFont="1" applyFill="1" applyBorder="1"/>
    <xf numFmtId="0" fontId="8" fillId="13" borderId="59" xfId="0" applyFont="1" applyFill="1" applyBorder="1" applyAlignment="1">
      <alignment horizontal="left" vertical="center" wrapText="1"/>
    </xf>
    <xf numFmtId="9" fontId="10" fillId="13" borderId="64" xfId="1" applyFont="1" applyFill="1" applyBorder="1" applyAlignment="1">
      <alignment horizontal="center" vertical="center" wrapText="1"/>
    </xf>
    <xf numFmtId="49" fontId="7" fillId="13" borderId="72" xfId="0" applyNumberFormat="1" applyFont="1" applyFill="1" applyBorder="1" applyAlignment="1">
      <alignment horizontal="left" vertical="center" wrapText="1"/>
    </xf>
    <xf numFmtId="0" fontId="8" fillId="13" borderId="59" xfId="0" applyFont="1" applyFill="1" applyBorder="1" applyAlignment="1">
      <alignment horizontal="center" vertical="center" wrapText="1"/>
    </xf>
    <xf numFmtId="164" fontId="10" fillId="13" borderId="64" xfId="0" applyNumberFormat="1" applyFont="1" applyFill="1" applyBorder="1" applyAlignment="1">
      <alignment horizontal="center" vertical="center" wrapText="1"/>
    </xf>
    <xf numFmtId="164" fontId="10" fillId="11" borderId="59" xfId="0" applyNumberFormat="1" applyFont="1" applyFill="1" applyBorder="1" applyAlignment="1">
      <alignment horizontal="center" vertical="center" wrapText="1"/>
    </xf>
    <xf numFmtId="0" fontId="8" fillId="9" borderId="45" xfId="0" applyFont="1" applyFill="1" applyBorder="1" applyAlignment="1">
      <alignment horizontal="center" vertical="center" textRotation="90"/>
    </xf>
    <xf numFmtId="0" fontId="8" fillId="9" borderId="47" xfId="0" applyFont="1" applyFill="1" applyBorder="1" applyAlignment="1">
      <alignment vertical="center" textRotation="90"/>
    </xf>
    <xf numFmtId="0" fontId="10" fillId="9" borderId="47" xfId="0" applyFont="1" applyFill="1" applyBorder="1" applyAlignment="1">
      <alignment horizontal="left" vertical="center" wrapText="1"/>
    </xf>
    <xf numFmtId="0" fontId="10" fillId="9" borderId="47" xfId="0" applyFont="1" applyFill="1" applyBorder="1" applyAlignment="1">
      <alignment horizontal="center" vertical="center" wrapText="1"/>
    </xf>
    <xf numFmtId="164" fontId="10" fillId="9" borderId="47" xfId="0" applyNumberFormat="1" applyFont="1" applyFill="1" applyBorder="1" applyAlignment="1">
      <alignment horizontal="center" vertical="center" wrapText="1"/>
    </xf>
    <xf numFmtId="164" fontId="10" fillId="11" borderId="47" xfId="0" applyNumberFormat="1" applyFont="1" applyFill="1" applyBorder="1" applyAlignment="1">
      <alignment horizontal="center" vertical="center" wrapText="1"/>
    </xf>
    <xf numFmtId="15" fontId="8" fillId="9" borderId="47" xfId="0" applyNumberFormat="1" applyFont="1" applyFill="1" applyBorder="1" applyAlignment="1">
      <alignment horizontal="center" vertical="center" wrapText="1"/>
    </xf>
    <xf numFmtId="15" fontId="10" fillId="9" borderId="47" xfId="0" applyNumberFormat="1" applyFont="1" applyFill="1" applyBorder="1" applyAlignment="1">
      <alignment horizontal="center" vertical="center" wrapText="1"/>
    </xf>
    <xf numFmtId="9" fontId="10" fillId="9" borderId="47" xfId="1" applyFont="1" applyFill="1" applyBorder="1" applyAlignment="1">
      <alignment horizontal="center" vertical="center" wrapText="1"/>
    </xf>
    <xf numFmtId="0" fontId="7" fillId="9" borderId="47" xfId="0" applyFont="1" applyFill="1" applyBorder="1"/>
    <xf numFmtId="0" fontId="8" fillId="9" borderId="47" xfId="0" applyFont="1" applyFill="1" applyBorder="1" applyAlignment="1">
      <alignment horizontal="left" vertical="center" wrapText="1"/>
    </xf>
    <xf numFmtId="9" fontId="10" fillId="9" borderId="49" xfId="1" applyFont="1" applyFill="1" applyBorder="1" applyAlignment="1">
      <alignment horizontal="center" vertical="center" wrapText="1"/>
    </xf>
    <xf numFmtId="0" fontId="8" fillId="9" borderId="47" xfId="0" applyFont="1" applyFill="1" applyBorder="1" applyAlignment="1">
      <alignment horizontal="center" vertical="center" wrapText="1"/>
    </xf>
    <xf numFmtId="164" fontId="10" fillId="9" borderId="49" xfId="0" applyNumberFormat="1" applyFont="1" applyFill="1" applyBorder="1" applyAlignment="1">
      <alignment horizontal="center" vertical="center" wrapText="1"/>
    </xf>
    <xf numFmtId="0" fontId="8" fillId="20" borderId="45" xfId="0" applyFont="1" applyFill="1" applyBorder="1" applyAlignment="1">
      <alignment horizontal="center" vertical="center" textRotation="90"/>
    </xf>
    <xf numFmtId="0" fontId="0" fillId="20" borderId="47" xfId="0" applyFill="1" applyBorder="1"/>
    <xf numFmtId="164" fontId="10" fillId="20" borderId="49" xfId="0" applyNumberFormat="1" applyFont="1" applyFill="1" applyBorder="1" applyAlignment="1">
      <alignment horizontal="center" vertical="center" wrapText="1"/>
    </xf>
    <xf numFmtId="9" fontId="10" fillId="3" borderId="67" xfId="1" applyFont="1" applyFill="1" applyBorder="1" applyAlignment="1">
      <alignment horizontal="center" vertical="center" wrapText="1"/>
    </xf>
    <xf numFmtId="49" fontId="7" fillId="10" borderId="32" xfId="0" applyNumberFormat="1" applyFont="1" applyFill="1" applyBorder="1" applyAlignment="1">
      <alignment vertical="center" wrapText="1"/>
    </xf>
    <xf numFmtId="49" fontId="7" fillId="3" borderId="74" xfId="0" applyNumberFormat="1" applyFont="1" applyFill="1" applyBorder="1" applyAlignment="1">
      <alignment vertical="center" wrapText="1"/>
    </xf>
    <xf numFmtId="15" fontId="11" fillId="10" borderId="63" xfId="0" applyNumberFormat="1" applyFont="1" applyFill="1" applyBorder="1" applyAlignment="1">
      <alignment horizontal="center" vertical="center" wrapText="1"/>
    </xf>
    <xf numFmtId="49" fontId="7" fillId="3" borderId="71" xfId="0" applyNumberFormat="1" applyFont="1" applyFill="1" applyBorder="1" applyAlignment="1">
      <alignment vertical="center" wrapText="1"/>
    </xf>
    <xf numFmtId="15" fontId="11" fillId="3" borderId="67" xfId="0" applyNumberFormat="1" applyFont="1" applyFill="1" applyBorder="1" applyAlignment="1">
      <alignment horizontal="center" vertical="center" wrapText="1"/>
    </xf>
    <xf numFmtId="49" fontId="7" fillId="10" borderId="71" xfId="0" applyNumberFormat="1" applyFont="1" applyFill="1" applyBorder="1" applyAlignment="1">
      <alignment vertical="center" wrapText="1"/>
    </xf>
    <xf numFmtId="15" fontId="11" fillId="10" borderId="67" xfId="0" applyNumberFormat="1" applyFont="1" applyFill="1" applyBorder="1" applyAlignment="1">
      <alignment horizontal="center" vertical="center" wrapText="1"/>
    </xf>
    <xf numFmtId="49" fontId="7" fillId="3" borderId="72" xfId="0" applyNumberFormat="1" applyFont="1" applyFill="1" applyBorder="1" applyAlignment="1">
      <alignment vertical="center" wrapText="1"/>
    </xf>
    <xf numFmtId="15" fontId="11" fillId="10" borderId="64" xfId="0" applyNumberFormat="1" applyFont="1" applyFill="1" applyBorder="1" applyAlignment="1">
      <alignment horizontal="center" vertical="center" wrapText="1"/>
    </xf>
    <xf numFmtId="0" fontId="8" fillId="14" borderId="52" xfId="0" applyFont="1" applyFill="1" applyBorder="1" applyAlignment="1">
      <alignment horizontal="center" vertical="center" textRotation="90"/>
    </xf>
    <xf numFmtId="15" fontId="8" fillId="14" borderId="52" xfId="0" applyNumberFormat="1" applyFont="1" applyFill="1" applyBorder="1" applyAlignment="1">
      <alignment horizontal="center" vertical="center" wrapText="1"/>
    </xf>
    <xf numFmtId="0" fontId="7" fillId="14" borderId="52" xfId="0" applyFont="1" applyFill="1" applyBorder="1"/>
    <xf numFmtId="9" fontId="10" fillId="14" borderId="63" xfId="1" applyFont="1" applyFill="1" applyBorder="1" applyAlignment="1">
      <alignment horizontal="center" vertical="center" wrapText="1"/>
    </xf>
    <xf numFmtId="0" fontId="8" fillId="14" borderId="59" xfId="0" applyFont="1" applyFill="1" applyBorder="1" applyAlignment="1">
      <alignment horizontal="center" vertical="center" textRotation="90"/>
    </xf>
    <xf numFmtId="15" fontId="8" fillId="14" borderId="59" xfId="0" applyNumberFormat="1" applyFont="1" applyFill="1" applyBorder="1" applyAlignment="1">
      <alignment horizontal="center" vertical="center" wrapText="1"/>
    </xf>
    <xf numFmtId="0" fontId="7" fillId="14" borderId="59" xfId="0" applyFont="1" applyFill="1" applyBorder="1"/>
    <xf numFmtId="9" fontId="10" fillId="14" borderId="64" xfId="1" applyFont="1" applyFill="1" applyBorder="1" applyAlignment="1">
      <alignment horizontal="center" vertical="center" wrapText="1"/>
    </xf>
    <xf numFmtId="49" fontId="18" fillId="14" borderId="74" xfId="0" applyNumberFormat="1" applyFont="1" applyFill="1" applyBorder="1" applyAlignment="1">
      <alignment vertical="center" wrapText="1"/>
    </xf>
    <xf numFmtId="0" fontId="8" fillId="14" borderId="52" xfId="0" applyFont="1" applyFill="1" applyBorder="1" applyAlignment="1">
      <alignment horizontal="center" vertical="center" wrapText="1"/>
    </xf>
    <xf numFmtId="0" fontId="8" fillId="14" borderId="59" xfId="0" applyFont="1" applyFill="1" applyBorder="1" applyAlignment="1">
      <alignment horizontal="center" vertical="center" wrapText="1"/>
    </xf>
    <xf numFmtId="49" fontId="18" fillId="14" borderId="74" xfId="0" applyNumberFormat="1" applyFont="1" applyFill="1" applyBorder="1" applyAlignment="1">
      <alignment horizontal="left" vertical="top" wrapText="1"/>
    </xf>
    <xf numFmtId="49" fontId="18" fillId="14" borderId="72" xfId="0" applyNumberFormat="1" applyFont="1" applyFill="1" applyBorder="1" applyAlignment="1">
      <alignment vertical="center" wrapText="1"/>
    </xf>
    <xf numFmtId="9" fontId="10" fillId="19" borderId="63" xfId="1" applyFont="1" applyFill="1" applyBorder="1" applyAlignment="1">
      <alignment horizontal="center" vertical="center" wrapText="1"/>
    </xf>
    <xf numFmtId="0" fontId="38" fillId="19" borderId="32" xfId="0" applyFont="1" applyFill="1" applyBorder="1" applyAlignment="1">
      <alignment vertical="center" textRotation="90"/>
    </xf>
    <xf numFmtId="9" fontId="10" fillId="19" borderId="67" xfId="1" applyFont="1" applyFill="1" applyBorder="1" applyAlignment="1">
      <alignment horizontal="center" vertical="center" wrapText="1"/>
    </xf>
    <xf numFmtId="0" fontId="38" fillId="19" borderId="59" xfId="0" applyFont="1" applyFill="1" applyBorder="1" applyAlignment="1">
      <alignment vertical="center" textRotation="90"/>
    </xf>
    <xf numFmtId="9" fontId="10" fillId="19" borderId="64" xfId="1" applyFont="1" applyFill="1" applyBorder="1" applyAlignment="1">
      <alignment horizontal="center" vertical="center" wrapText="1"/>
    </xf>
    <xf numFmtId="49" fontId="30" fillId="19" borderId="74" xfId="0" applyNumberFormat="1" applyFont="1" applyFill="1" applyBorder="1" applyAlignment="1">
      <alignment horizontal="left" vertical="center" wrapText="1"/>
    </xf>
    <xf numFmtId="49" fontId="18" fillId="19" borderId="71" xfId="0" applyNumberFormat="1" applyFont="1" applyFill="1" applyBorder="1" applyAlignment="1">
      <alignment horizontal="left" vertical="center" wrapText="1"/>
    </xf>
    <xf numFmtId="9" fontId="16" fillId="0" borderId="33" xfId="1" applyFont="1" applyBorder="1" applyAlignment="1">
      <alignment horizontal="center" vertical="center" wrapText="1"/>
    </xf>
    <xf numFmtId="9" fontId="16" fillId="3" borderId="0" xfId="1" applyFont="1" applyFill="1" applyAlignment="1">
      <alignment horizontal="center" vertical="center" wrapText="1"/>
    </xf>
    <xf numFmtId="9" fontId="16" fillId="5" borderId="0" xfId="1" applyFont="1" applyFill="1" applyAlignment="1">
      <alignment vertical="center" textRotation="90"/>
    </xf>
    <xf numFmtId="0" fontId="18" fillId="0" borderId="29" xfId="0" applyFont="1" applyBorder="1"/>
    <xf numFmtId="0" fontId="18" fillId="0" borderId="33" xfId="0" applyFont="1" applyBorder="1"/>
    <xf numFmtId="0" fontId="11" fillId="0" borderId="36" xfId="0" applyFont="1" applyBorder="1" applyAlignment="1">
      <alignment vertical="center" textRotation="90"/>
    </xf>
    <xf numFmtId="0" fontId="11" fillId="0" borderId="2" xfId="0" applyFont="1" applyBorder="1" applyAlignment="1">
      <alignment vertical="center" textRotation="90"/>
    </xf>
    <xf numFmtId="0" fontId="18" fillId="0" borderId="39" xfId="0" applyFont="1" applyBorder="1"/>
    <xf numFmtId="0" fontId="18" fillId="0" borderId="44" xfId="0" applyFont="1" applyBorder="1"/>
    <xf numFmtId="0" fontId="11" fillId="0" borderId="0" xfId="0" applyFont="1" applyAlignment="1">
      <alignment vertical="center" textRotation="90"/>
    </xf>
    <xf numFmtId="0" fontId="11" fillId="9" borderId="52" xfId="0" applyFont="1" applyFill="1" applyBorder="1" applyAlignment="1">
      <alignment vertical="center" textRotation="90"/>
    </xf>
    <xf numFmtId="0" fontId="11" fillId="9" borderId="32" xfId="0" applyFont="1" applyFill="1" applyBorder="1" applyAlignment="1">
      <alignment vertical="center" textRotation="90"/>
    </xf>
    <xf numFmtId="0" fontId="36" fillId="3" borderId="52" xfId="0" applyFont="1" applyFill="1" applyBorder="1" applyAlignment="1">
      <alignment horizontal="center" vertical="center" textRotation="90"/>
    </xf>
    <xf numFmtId="0" fontId="18" fillId="0" borderId="65" xfId="0" applyFont="1" applyBorder="1"/>
    <xf numFmtId="9" fontId="16" fillId="9" borderId="63" xfId="1" applyFont="1" applyFill="1" applyBorder="1" applyAlignment="1">
      <alignment horizontal="center" vertical="center" wrapText="1"/>
    </xf>
    <xf numFmtId="9" fontId="16" fillId="9" borderId="67" xfId="1" applyFont="1" applyFill="1" applyBorder="1" applyAlignment="1">
      <alignment horizontal="center" vertical="center" wrapText="1"/>
    </xf>
    <xf numFmtId="9" fontId="16" fillId="9" borderId="64" xfId="1" applyFont="1" applyFill="1" applyBorder="1" applyAlignment="1">
      <alignment horizontal="center" vertical="center" wrapText="1"/>
    </xf>
    <xf numFmtId="49" fontId="18" fillId="9" borderId="72" xfId="0" applyNumberFormat="1" applyFont="1" applyFill="1" applyBorder="1" applyAlignment="1">
      <alignment horizontal="left" vertical="center" wrapText="1"/>
    </xf>
    <xf numFmtId="0" fontId="11" fillId="10" borderId="52" xfId="0" applyFont="1" applyFill="1" applyBorder="1" applyAlignment="1">
      <alignment horizontal="center" vertical="center" textRotation="90"/>
    </xf>
    <xf numFmtId="0" fontId="16" fillId="10" borderId="52" xfId="0" applyFont="1" applyFill="1" applyBorder="1" applyAlignment="1">
      <alignment vertical="center" wrapText="1"/>
    </xf>
    <xf numFmtId="9" fontId="16" fillId="10" borderId="63" xfId="1" applyFont="1" applyFill="1" applyBorder="1" applyAlignment="1">
      <alignment horizontal="center" vertical="center" wrapText="1"/>
    </xf>
    <xf numFmtId="0" fontId="11" fillId="10" borderId="32" xfId="0" applyFont="1" applyFill="1" applyBorder="1" applyAlignment="1">
      <alignment horizontal="center" vertical="center" textRotation="90"/>
    </xf>
    <xf numFmtId="0" fontId="16" fillId="10" borderId="32" xfId="0" applyFont="1" applyFill="1" applyBorder="1" applyAlignment="1">
      <alignment vertical="center" wrapText="1"/>
    </xf>
    <xf numFmtId="0" fontId="16" fillId="10" borderId="32" xfId="0" applyFont="1" applyFill="1" applyBorder="1" applyAlignment="1">
      <alignment horizontal="center" vertical="center" wrapText="1"/>
    </xf>
    <xf numFmtId="9" fontId="16" fillId="10" borderId="67" xfId="1" applyFont="1" applyFill="1" applyBorder="1" applyAlignment="1">
      <alignment horizontal="center" vertical="center" wrapText="1"/>
    </xf>
    <xf numFmtId="0" fontId="16" fillId="10" borderId="32" xfId="0" applyFont="1" applyFill="1" applyBorder="1" applyAlignment="1">
      <alignment horizontal="left" vertical="center" wrapText="1"/>
    </xf>
    <xf numFmtId="0" fontId="11" fillId="10" borderId="59" xfId="0" applyFont="1" applyFill="1" applyBorder="1" applyAlignment="1">
      <alignment horizontal="center" vertical="center" textRotation="90"/>
    </xf>
    <xf numFmtId="0" fontId="16" fillId="10" borderId="59" xfId="0" applyFont="1" applyFill="1" applyBorder="1" applyAlignment="1">
      <alignment horizontal="left" vertical="center" wrapText="1"/>
    </xf>
    <xf numFmtId="0" fontId="16" fillId="10" borderId="59" xfId="0" applyFont="1" applyFill="1" applyBorder="1" applyAlignment="1">
      <alignment horizontal="center" vertical="center" wrapText="1"/>
    </xf>
    <xf numFmtId="9" fontId="16" fillId="10" borderId="64" xfId="1" applyFont="1" applyFill="1" applyBorder="1" applyAlignment="1">
      <alignment horizontal="center" vertical="center" wrapText="1"/>
    </xf>
    <xf numFmtId="49" fontId="18" fillId="10" borderId="74" xfId="0" applyNumberFormat="1" applyFont="1" applyFill="1" applyBorder="1" applyAlignment="1">
      <alignment horizontal="left" vertical="center" wrapText="1"/>
    </xf>
    <xf numFmtId="49" fontId="18" fillId="10" borderId="71" xfId="0" applyNumberFormat="1" applyFont="1" applyFill="1" applyBorder="1" applyAlignment="1">
      <alignment horizontal="left" vertical="center" wrapText="1"/>
    </xf>
    <xf numFmtId="49" fontId="18" fillId="10" borderId="72" xfId="0" applyNumberFormat="1" applyFont="1" applyFill="1" applyBorder="1" applyAlignment="1">
      <alignment horizontal="left" vertical="center" wrapText="1"/>
    </xf>
    <xf numFmtId="0" fontId="16" fillId="9" borderId="59" xfId="0" applyFont="1" applyFill="1" applyBorder="1" applyAlignment="1">
      <alignment vertical="center" wrapText="1"/>
    </xf>
    <xf numFmtId="0" fontId="11" fillId="9" borderId="31" xfId="0" applyFont="1" applyFill="1" applyBorder="1" applyAlignment="1">
      <alignment vertical="center" wrapText="1"/>
    </xf>
    <xf numFmtId="15" fontId="19" fillId="9" borderId="64" xfId="0" applyNumberFormat="1" applyFont="1" applyFill="1" applyBorder="1" applyAlignment="1">
      <alignment horizontal="center" vertical="center" wrapText="1"/>
    </xf>
    <xf numFmtId="0" fontId="11" fillId="20" borderId="45" xfId="0" applyFont="1" applyFill="1" applyBorder="1" applyAlignment="1">
      <alignment horizontal="center" vertical="center" textRotation="90" wrapText="1"/>
    </xf>
    <xf numFmtId="15" fontId="16" fillId="20" borderId="47" xfId="0" applyNumberFormat="1" applyFont="1" applyFill="1" applyBorder="1" applyAlignment="1">
      <alignment horizontal="center" vertical="center" wrapText="1"/>
    </xf>
    <xf numFmtId="9" fontId="16" fillId="20" borderId="47" xfId="1" applyFont="1" applyFill="1" applyBorder="1" applyAlignment="1">
      <alignment horizontal="center" vertical="center" wrapText="1"/>
    </xf>
    <xf numFmtId="0" fontId="18" fillId="0" borderId="48" xfId="0" applyFont="1" applyBorder="1"/>
    <xf numFmtId="0" fontId="11" fillId="20" borderId="47" xfId="0" applyFont="1" applyFill="1" applyBorder="1" applyAlignment="1">
      <alignment horizontal="center" vertical="center" textRotation="90" wrapText="1"/>
    </xf>
    <xf numFmtId="0" fontId="16" fillId="20" borderId="47" xfId="0" applyFont="1" applyFill="1" applyBorder="1" applyAlignment="1">
      <alignment horizontal="left" vertical="center" wrapText="1"/>
    </xf>
    <xf numFmtId="0" fontId="16" fillId="20" borderId="47" xfId="0" applyFont="1" applyFill="1" applyBorder="1" applyAlignment="1">
      <alignment horizontal="center" vertical="center" wrapText="1"/>
    </xf>
    <xf numFmtId="9" fontId="16" fillId="20" borderId="49" xfId="1" applyFont="1" applyFill="1" applyBorder="1" applyAlignment="1">
      <alignment horizontal="center" vertical="center" wrapText="1"/>
    </xf>
    <xf numFmtId="49" fontId="18" fillId="20" borderId="45" xfId="0" applyNumberFormat="1" applyFont="1" applyFill="1" applyBorder="1" applyAlignment="1">
      <alignment horizontal="left" vertical="center" wrapText="1"/>
    </xf>
    <xf numFmtId="15" fontId="11" fillId="20" borderId="47" xfId="0" applyNumberFormat="1" applyFont="1" applyFill="1" applyBorder="1" applyAlignment="1">
      <alignment horizontal="center" vertical="center" wrapText="1"/>
    </xf>
    <xf numFmtId="15" fontId="11" fillId="20" borderId="49" xfId="0" applyNumberFormat="1" applyFont="1" applyFill="1" applyBorder="1" applyAlignment="1">
      <alignment horizontal="center" vertical="center" wrapText="1"/>
    </xf>
    <xf numFmtId="0" fontId="18" fillId="0" borderId="54" xfId="0" applyFont="1" applyBorder="1"/>
    <xf numFmtId="0" fontId="18" fillId="0" borderId="61" xfId="0" applyFont="1" applyBorder="1"/>
    <xf numFmtId="0" fontId="16" fillId="10" borderId="30" xfId="0" applyFont="1" applyFill="1" applyBorder="1" applyAlignment="1">
      <alignment horizontal="left" vertical="center" wrapText="1"/>
    </xf>
    <xf numFmtId="0" fontId="16" fillId="10" borderId="30" xfId="0" applyFont="1" applyFill="1" applyBorder="1" applyAlignment="1">
      <alignment horizontal="center" vertical="center" wrapText="1"/>
    </xf>
    <xf numFmtId="15" fontId="16" fillId="10" borderId="29" xfId="0" applyNumberFormat="1" applyFont="1" applyFill="1" applyBorder="1" applyAlignment="1">
      <alignment horizontal="center" vertical="center" wrapText="1"/>
    </xf>
    <xf numFmtId="9" fontId="16" fillId="10" borderId="29" xfId="1" applyFont="1" applyFill="1" applyBorder="1" applyAlignment="1">
      <alignment horizontal="center" vertical="center" wrapText="1"/>
    </xf>
    <xf numFmtId="0" fontId="11" fillId="9" borderId="51" xfId="0" applyFont="1" applyFill="1" applyBorder="1" applyAlignment="1">
      <alignment horizontal="left" vertical="center" wrapText="1"/>
    </xf>
    <xf numFmtId="0" fontId="11" fillId="9" borderId="58" xfId="0" applyFont="1" applyFill="1" applyBorder="1" applyAlignment="1">
      <alignment horizontal="left" vertical="center" wrapText="1"/>
    </xf>
    <xf numFmtId="9" fontId="16" fillId="3" borderId="63" xfId="1" applyFont="1" applyFill="1" applyBorder="1" applyAlignment="1">
      <alignment horizontal="center" vertical="center" wrapText="1"/>
    </xf>
    <xf numFmtId="9" fontId="16" fillId="3" borderId="64" xfId="1" applyFont="1" applyFill="1" applyBorder="1" applyAlignment="1">
      <alignment horizontal="center" vertical="center" wrapText="1"/>
    </xf>
    <xf numFmtId="0" fontId="18" fillId="0" borderId="34" xfId="0" applyFont="1" applyBorder="1"/>
    <xf numFmtId="15" fontId="16" fillId="9" borderId="63" xfId="0" applyNumberFormat="1" applyFont="1" applyFill="1" applyBorder="1" applyAlignment="1">
      <alignment horizontal="center" vertical="center" wrapText="1"/>
    </xf>
    <xf numFmtId="49" fontId="18" fillId="9" borderId="71" xfId="0" applyNumberFormat="1" applyFont="1" applyFill="1" applyBorder="1" applyAlignment="1">
      <alignment horizontal="center" vertical="center" wrapText="1"/>
    </xf>
    <xf numFmtId="15" fontId="16" fillId="9" borderId="67" xfId="0" applyNumberFormat="1" applyFont="1" applyFill="1" applyBorder="1" applyAlignment="1">
      <alignment horizontal="center" vertical="center" wrapText="1"/>
    </xf>
    <xf numFmtId="15" fontId="16" fillId="9" borderId="64" xfId="0" applyNumberFormat="1" applyFont="1" applyFill="1" applyBorder="1" applyAlignment="1">
      <alignment horizontal="center" vertical="center" wrapText="1"/>
    </xf>
    <xf numFmtId="0" fontId="11" fillId="9" borderId="31" xfId="0" applyFont="1" applyFill="1" applyBorder="1" applyAlignment="1">
      <alignment horizontal="left" vertical="center" wrapText="1"/>
    </xf>
    <xf numFmtId="0" fontId="11" fillId="0" borderId="0" xfId="0" applyFont="1" applyAlignment="1">
      <alignment horizontal="center" vertical="center" textRotation="90"/>
    </xf>
    <xf numFmtId="0" fontId="16" fillId="0" borderId="0" xfId="0" applyFont="1" applyAlignment="1">
      <alignment vertical="center" wrapText="1"/>
    </xf>
    <xf numFmtId="0" fontId="16" fillId="0" borderId="0" xfId="0" applyFont="1" applyAlignment="1">
      <alignment horizontal="center" vertical="center" wrapText="1"/>
    </xf>
    <xf numFmtId="15" fontId="16" fillId="0" borderId="0" xfId="0" applyNumberFormat="1" applyFont="1" applyAlignment="1">
      <alignment horizontal="center" vertical="center" wrapText="1"/>
    </xf>
    <xf numFmtId="9" fontId="16" fillId="0" borderId="0" xfId="1" applyFont="1" applyFill="1" applyAlignment="1">
      <alignment horizontal="center" vertical="center" wrapText="1"/>
    </xf>
    <xf numFmtId="0" fontId="11" fillId="0" borderId="0" xfId="0" applyFont="1" applyAlignment="1">
      <alignment vertical="center" wrapText="1"/>
    </xf>
    <xf numFmtId="49" fontId="18" fillId="0" borderId="0" xfId="0" applyNumberFormat="1" applyFont="1" applyAlignment="1">
      <alignment horizontal="center" vertical="center" wrapText="1"/>
    </xf>
    <xf numFmtId="15" fontId="11" fillId="0" borderId="0" xfId="0" applyNumberFormat="1" applyFont="1" applyAlignment="1">
      <alignment horizontal="center" vertical="center" wrapText="1"/>
    </xf>
    <xf numFmtId="0" fontId="16" fillId="13" borderId="52" xfId="0" applyFont="1" applyFill="1" applyBorder="1" applyAlignment="1">
      <alignment horizontal="left" vertical="center" wrapText="1"/>
    </xf>
    <xf numFmtId="0" fontId="16" fillId="13" borderId="52" xfId="0" applyFont="1" applyFill="1" applyBorder="1" applyAlignment="1">
      <alignment horizontal="center" vertical="center" wrapText="1"/>
    </xf>
    <xf numFmtId="15" fontId="16" fillId="13" borderId="52" xfId="0" applyNumberFormat="1" applyFont="1" applyFill="1" applyBorder="1" applyAlignment="1">
      <alignment horizontal="center" vertical="center" wrapText="1"/>
    </xf>
    <xf numFmtId="9" fontId="16" fillId="13" borderId="52" xfId="1" applyFont="1" applyFill="1" applyBorder="1" applyAlignment="1">
      <alignment horizontal="center" vertical="center" wrapText="1"/>
    </xf>
    <xf numFmtId="9" fontId="16" fillId="13" borderId="63" xfId="1" applyFont="1" applyFill="1" applyBorder="1" applyAlignment="1">
      <alignment horizontal="center" vertical="center" wrapText="1"/>
    </xf>
    <xf numFmtId="0" fontId="16" fillId="13" borderId="59" xfId="0" applyFont="1" applyFill="1" applyBorder="1" applyAlignment="1">
      <alignment horizontal="left" vertical="center" wrapText="1"/>
    </xf>
    <xf numFmtId="0" fontId="16" fillId="13" borderId="59" xfId="0" applyFont="1" applyFill="1" applyBorder="1" applyAlignment="1">
      <alignment horizontal="center" vertical="center" wrapText="1"/>
    </xf>
    <xf numFmtId="15" fontId="16" fillId="13" borderId="59" xfId="0" applyNumberFormat="1" applyFont="1" applyFill="1" applyBorder="1" applyAlignment="1">
      <alignment horizontal="center" vertical="center" wrapText="1"/>
    </xf>
    <xf numFmtId="9" fontId="16" fillId="13" borderId="59" xfId="1" applyFont="1" applyFill="1" applyBorder="1" applyAlignment="1">
      <alignment horizontal="center" vertical="center" wrapText="1"/>
    </xf>
    <xf numFmtId="9" fontId="16" fillId="13" borderId="64" xfId="1" applyFont="1" applyFill="1" applyBorder="1" applyAlignment="1">
      <alignment horizontal="center" vertical="center" wrapText="1"/>
    </xf>
    <xf numFmtId="49" fontId="18" fillId="13" borderId="74" xfId="0" applyNumberFormat="1" applyFont="1" applyFill="1" applyBorder="1" applyAlignment="1">
      <alignment horizontal="center" vertical="center" wrapText="1"/>
    </xf>
    <xf numFmtId="15" fontId="16" fillId="13" borderId="63" xfId="0" applyNumberFormat="1" applyFont="1" applyFill="1" applyBorder="1" applyAlignment="1">
      <alignment horizontal="center" vertical="center" wrapText="1"/>
    </xf>
    <xf numFmtId="49" fontId="18" fillId="13" borderId="72" xfId="0" applyNumberFormat="1" applyFont="1" applyFill="1" applyBorder="1" applyAlignment="1">
      <alignment horizontal="left" vertical="center" wrapText="1"/>
    </xf>
    <xf numFmtId="15" fontId="16" fillId="13" borderId="64" xfId="0" applyNumberFormat="1" applyFont="1" applyFill="1" applyBorder="1" applyAlignment="1">
      <alignment horizontal="center" vertical="center" wrapText="1"/>
    </xf>
    <xf numFmtId="0" fontId="11" fillId="13" borderId="31" xfId="0" applyFont="1" applyFill="1" applyBorder="1" applyAlignment="1">
      <alignment horizontal="left" vertical="center" wrapText="1"/>
    </xf>
    <xf numFmtId="9" fontId="16" fillId="0" borderId="0" xfId="1" applyFont="1" applyAlignment="1">
      <alignment horizontal="center" vertical="center" wrapText="1"/>
    </xf>
    <xf numFmtId="49" fontId="18" fillId="13" borderId="74" xfId="0" applyNumberFormat="1" applyFont="1" applyFill="1" applyBorder="1" applyAlignment="1">
      <alignment horizontal="left" vertical="center" wrapText="1"/>
    </xf>
    <xf numFmtId="0" fontId="11" fillId="9" borderId="45" xfId="0" applyFont="1" applyFill="1" applyBorder="1" applyAlignment="1">
      <alignment horizontal="center" vertical="center" textRotation="90"/>
    </xf>
    <xf numFmtId="0" fontId="11" fillId="9" borderId="47" xfId="0" applyFont="1" applyFill="1" applyBorder="1" applyAlignment="1">
      <alignment vertical="center" textRotation="90"/>
    </xf>
    <xf numFmtId="0" fontId="16" fillId="9" borderId="47" xfId="0" applyFont="1" applyFill="1" applyBorder="1" applyAlignment="1">
      <alignment horizontal="left" vertical="center" wrapText="1"/>
    </xf>
    <xf numFmtId="0" fontId="16" fillId="9" borderId="47" xfId="0" applyFont="1" applyFill="1" applyBorder="1" applyAlignment="1">
      <alignment horizontal="center" vertical="center" wrapText="1"/>
    </xf>
    <xf numFmtId="15" fontId="16" fillId="9" borderId="47" xfId="0" applyNumberFormat="1" applyFont="1" applyFill="1" applyBorder="1" applyAlignment="1">
      <alignment horizontal="center" vertical="center" wrapText="1"/>
    </xf>
    <xf numFmtId="9" fontId="16" fillId="9" borderId="47" xfId="1" applyFont="1" applyFill="1" applyBorder="1" applyAlignment="1">
      <alignment horizontal="center" vertical="center" wrapText="1"/>
    </xf>
    <xf numFmtId="9" fontId="16" fillId="9" borderId="49" xfId="1" applyFont="1" applyFill="1" applyBorder="1" applyAlignment="1">
      <alignment horizontal="center" vertical="center" wrapText="1"/>
    </xf>
    <xf numFmtId="15" fontId="16" fillId="18" borderId="49" xfId="0" applyNumberFormat="1" applyFont="1" applyFill="1" applyBorder="1" applyAlignment="1">
      <alignment horizontal="center" vertical="center" wrapText="1"/>
    </xf>
    <xf numFmtId="0" fontId="11" fillId="8" borderId="58" xfId="0" applyFont="1" applyFill="1" applyBorder="1" applyAlignment="1">
      <alignment horizontal="left" vertical="center" wrapText="1"/>
    </xf>
    <xf numFmtId="0" fontId="11" fillId="20" borderId="45" xfId="0" applyFont="1" applyFill="1" applyBorder="1" applyAlignment="1">
      <alignment horizontal="center" vertical="center" textRotation="90"/>
    </xf>
    <xf numFmtId="0" fontId="11" fillId="20" borderId="47" xfId="0" applyFont="1" applyFill="1" applyBorder="1" applyAlignment="1">
      <alignment vertical="center" textRotation="90"/>
    </xf>
    <xf numFmtId="15" fontId="16" fillId="20" borderId="49" xfId="0" applyNumberFormat="1" applyFont="1" applyFill="1" applyBorder="1" applyAlignment="1">
      <alignment horizontal="center" vertical="center" wrapText="1"/>
    </xf>
    <xf numFmtId="0" fontId="18" fillId="0" borderId="43" xfId="0" applyFont="1" applyBorder="1"/>
    <xf numFmtId="0" fontId="11" fillId="10" borderId="51" xfId="0" applyFont="1" applyFill="1" applyBorder="1" applyAlignment="1">
      <alignment horizontal="left" vertical="center" wrapText="1"/>
    </xf>
    <xf numFmtId="0" fontId="11" fillId="3" borderId="31" xfId="0" applyFont="1" applyFill="1" applyBorder="1" applyAlignment="1">
      <alignment horizontal="left" vertical="center" wrapText="1"/>
    </xf>
    <xf numFmtId="0" fontId="11" fillId="3" borderId="40" xfId="0" applyFont="1" applyFill="1" applyBorder="1" applyAlignment="1">
      <alignment horizontal="left" vertical="center" wrapText="1"/>
    </xf>
    <xf numFmtId="0" fontId="11" fillId="3" borderId="58" xfId="0" applyFont="1" applyFill="1" applyBorder="1" applyAlignment="1">
      <alignment horizontal="left" vertical="center" wrapText="1"/>
    </xf>
    <xf numFmtId="15" fontId="11" fillId="10" borderId="33" xfId="0" applyNumberFormat="1" applyFont="1" applyFill="1" applyBorder="1" applyAlignment="1">
      <alignment vertical="center" wrapText="1"/>
    </xf>
    <xf numFmtId="0" fontId="11" fillId="14" borderId="52" xfId="0" applyFont="1" applyFill="1" applyBorder="1" applyAlignment="1">
      <alignment horizontal="center" vertical="center" textRotation="90"/>
    </xf>
    <xf numFmtId="9" fontId="16" fillId="14" borderId="63" xfId="1" applyFont="1" applyFill="1" applyBorder="1" applyAlignment="1">
      <alignment horizontal="center" vertical="center" wrapText="1"/>
    </xf>
    <xf numFmtId="0" fontId="11" fillId="14" borderId="59" xfId="0" applyFont="1" applyFill="1" applyBorder="1" applyAlignment="1">
      <alignment horizontal="center" vertical="center" textRotation="90"/>
    </xf>
    <xf numFmtId="9" fontId="16" fillId="14" borderId="64" xfId="1" applyFont="1" applyFill="1" applyBorder="1" applyAlignment="1">
      <alignment horizontal="center" vertical="center" wrapText="1"/>
    </xf>
    <xf numFmtId="0" fontId="11" fillId="20" borderId="52" xfId="0" applyFont="1" applyFill="1" applyBorder="1" applyAlignment="1">
      <alignment vertical="center" textRotation="90"/>
    </xf>
    <xf numFmtId="0" fontId="16" fillId="20" borderId="52" xfId="0" applyFont="1" applyFill="1" applyBorder="1" applyAlignment="1">
      <alignment horizontal="left" vertical="center" wrapText="1"/>
    </xf>
    <xf numFmtId="0" fontId="16" fillId="20" borderId="52" xfId="0" applyFont="1" applyFill="1" applyBorder="1" applyAlignment="1">
      <alignment horizontal="center" vertical="center" wrapText="1"/>
    </xf>
    <xf numFmtId="9" fontId="16" fillId="20" borderId="52" xfId="1" applyFont="1" applyFill="1" applyBorder="1" applyAlignment="1">
      <alignment horizontal="center" vertical="center" wrapText="1"/>
    </xf>
    <xf numFmtId="9" fontId="16" fillId="20" borderId="63" xfId="1" applyFont="1" applyFill="1" applyBorder="1" applyAlignment="1">
      <alignment horizontal="center" vertical="center" wrapText="1"/>
    </xf>
    <xf numFmtId="0" fontId="11" fillId="20" borderId="59" xfId="0" applyFont="1" applyFill="1" applyBorder="1" applyAlignment="1">
      <alignment vertical="center" textRotation="90"/>
    </xf>
    <xf numFmtId="0" fontId="16" fillId="20" borderId="59" xfId="0" applyFont="1" applyFill="1" applyBorder="1" applyAlignment="1">
      <alignment horizontal="left" vertical="center" wrapText="1"/>
    </xf>
    <xf numFmtId="0" fontId="16" fillId="20" borderId="59" xfId="0" applyFont="1" applyFill="1" applyBorder="1" applyAlignment="1">
      <alignment horizontal="center" vertical="center" wrapText="1"/>
    </xf>
    <xf numFmtId="9" fontId="16" fillId="20" borderId="59" xfId="1" applyFont="1" applyFill="1" applyBorder="1" applyAlignment="1">
      <alignment horizontal="center" vertical="center" wrapText="1"/>
    </xf>
    <xf numFmtId="9" fontId="16" fillId="20" borderId="64" xfId="1" applyFont="1" applyFill="1" applyBorder="1" applyAlignment="1">
      <alignment horizontal="center" vertical="center" wrapText="1"/>
    </xf>
    <xf numFmtId="49" fontId="18" fillId="20" borderId="74" xfId="0" applyNumberFormat="1" applyFont="1" applyFill="1" applyBorder="1" applyAlignment="1">
      <alignment horizontal="center" vertical="center" wrapText="1"/>
    </xf>
    <xf numFmtId="15" fontId="16" fillId="20" borderId="63" xfId="0" applyNumberFormat="1" applyFont="1" applyFill="1" applyBorder="1" applyAlignment="1">
      <alignment horizontal="center" vertical="center" wrapText="1"/>
    </xf>
    <xf numFmtId="49" fontId="18" fillId="20" borderId="72" xfId="0" applyNumberFormat="1" applyFont="1" applyFill="1" applyBorder="1" applyAlignment="1">
      <alignment horizontal="left" vertical="center" wrapText="1"/>
    </xf>
    <xf numFmtId="15" fontId="16" fillId="20" borderId="64" xfId="0" applyNumberFormat="1" applyFont="1" applyFill="1" applyBorder="1" applyAlignment="1">
      <alignment horizontal="center" vertical="center" wrapText="1"/>
    </xf>
    <xf numFmtId="49" fontId="18" fillId="20" borderId="74" xfId="0" applyNumberFormat="1" applyFont="1" applyFill="1" applyBorder="1" applyAlignment="1">
      <alignment horizontal="left" vertical="center" wrapText="1"/>
    </xf>
    <xf numFmtId="49" fontId="18" fillId="9" borderId="74" xfId="0" applyNumberFormat="1" applyFont="1" applyFill="1" applyBorder="1" applyAlignment="1">
      <alignment horizontal="center" vertical="center" wrapText="1"/>
    </xf>
    <xf numFmtId="49" fontId="18" fillId="9" borderId="71" xfId="0" applyNumberFormat="1" applyFont="1" applyFill="1" applyBorder="1" applyAlignment="1">
      <alignment vertical="center" wrapText="1"/>
    </xf>
    <xf numFmtId="49" fontId="7" fillId="9" borderId="71" xfId="0" applyNumberFormat="1" applyFont="1" applyFill="1" applyBorder="1" applyAlignment="1">
      <alignment vertical="center" wrapText="1"/>
    </xf>
    <xf numFmtId="49" fontId="18" fillId="9" borderId="72" xfId="0" applyNumberFormat="1" applyFont="1" applyFill="1" applyBorder="1" applyAlignment="1">
      <alignment vertical="center" wrapText="1"/>
    </xf>
    <xf numFmtId="0" fontId="11" fillId="20" borderId="52" xfId="0" applyFont="1" applyFill="1" applyBorder="1" applyAlignment="1">
      <alignment horizontal="center" vertical="center" textRotation="90"/>
    </xf>
    <xf numFmtId="0" fontId="11" fillId="20" borderId="59" xfId="0" applyFont="1" applyFill="1" applyBorder="1" applyAlignment="1">
      <alignment horizontal="center" vertical="center" textRotation="90"/>
    </xf>
    <xf numFmtId="49" fontId="18" fillId="20" borderId="74" xfId="0" applyNumberFormat="1" applyFont="1" applyFill="1" applyBorder="1" applyAlignment="1">
      <alignment vertical="center" wrapText="1"/>
    </xf>
    <xf numFmtId="15" fontId="11" fillId="20" borderId="52" xfId="0" applyNumberFormat="1" applyFont="1" applyFill="1" applyBorder="1" applyAlignment="1">
      <alignment horizontal="center" vertical="center" wrapText="1"/>
    </xf>
    <xf numFmtId="15" fontId="11" fillId="20" borderId="63" xfId="0" applyNumberFormat="1" applyFont="1" applyFill="1" applyBorder="1" applyAlignment="1">
      <alignment horizontal="center" vertical="center" wrapText="1"/>
    </xf>
    <xf numFmtId="15" fontId="11" fillId="20" borderId="59" xfId="0" applyNumberFormat="1" applyFont="1" applyFill="1" applyBorder="1" applyAlignment="1">
      <alignment horizontal="center" vertical="center" wrapText="1"/>
    </xf>
    <xf numFmtId="15" fontId="19" fillId="20" borderId="64" xfId="0" applyNumberFormat="1" applyFont="1" applyFill="1" applyBorder="1" applyAlignment="1">
      <alignment horizontal="center" vertical="center" wrapText="1"/>
    </xf>
    <xf numFmtId="0" fontId="11" fillId="0" borderId="34" xfId="0" applyFont="1" applyBorder="1" applyAlignment="1">
      <alignment vertical="center" wrapText="1"/>
    </xf>
    <xf numFmtId="0" fontId="11" fillId="19" borderId="52" xfId="0" applyFont="1" applyFill="1" applyBorder="1" applyAlignment="1">
      <alignment vertical="center" textRotation="90"/>
    </xf>
    <xf numFmtId="0" fontId="16" fillId="19" borderId="52" xfId="0" applyFont="1" applyFill="1" applyBorder="1" applyAlignment="1">
      <alignment horizontal="left" vertical="center" wrapText="1"/>
    </xf>
    <xf numFmtId="0" fontId="16" fillId="19" borderId="52" xfId="0" applyFont="1" applyFill="1" applyBorder="1" applyAlignment="1">
      <alignment horizontal="center" vertical="center" wrapText="1"/>
    </xf>
    <xf numFmtId="15" fontId="16" fillId="19" borderId="52" xfId="0" applyNumberFormat="1" applyFont="1" applyFill="1" applyBorder="1" applyAlignment="1">
      <alignment horizontal="center" vertical="center" wrapText="1"/>
    </xf>
    <xf numFmtId="9" fontId="16" fillId="19" borderId="52" xfId="1" applyFont="1" applyFill="1" applyBorder="1" applyAlignment="1">
      <alignment horizontal="center" vertical="center" wrapText="1"/>
    </xf>
    <xf numFmtId="9" fontId="16" fillId="19" borderId="63" xfId="1" applyFont="1" applyFill="1" applyBorder="1" applyAlignment="1">
      <alignment horizontal="center" vertical="center" wrapText="1"/>
    </xf>
    <xf numFmtId="0" fontId="11" fillId="19" borderId="32" xfId="0" applyFont="1" applyFill="1" applyBorder="1" applyAlignment="1">
      <alignment vertical="center" textRotation="90"/>
    </xf>
    <xf numFmtId="9" fontId="16" fillId="19" borderId="67" xfId="1" applyFont="1" applyFill="1" applyBorder="1" applyAlignment="1">
      <alignment horizontal="center" vertical="center" wrapText="1"/>
    </xf>
    <xf numFmtId="0" fontId="11" fillId="19" borderId="59" xfId="0" applyFont="1" applyFill="1" applyBorder="1" applyAlignment="1">
      <alignment vertical="center" textRotation="90"/>
    </xf>
    <xf numFmtId="0" fontId="16" fillId="19" borderId="59" xfId="0" applyFont="1" applyFill="1" applyBorder="1" applyAlignment="1">
      <alignment horizontal="left" vertical="center" wrapText="1"/>
    </xf>
    <xf numFmtId="0" fontId="16" fillId="19" borderId="59" xfId="0" applyFont="1" applyFill="1" applyBorder="1" applyAlignment="1">
      <alignment horizontal="center" vertical="center" wrapText="1"/>
    </xf>
    <xf numFmtId="15" fontId="16" fillId="19" borderId="59" xfId="0" applyNumberFormat="1" applyFont="1" applyFill="1" applyBorder="1" applyAlignment="1">
      <alignment horizontal="center" vertical="center" wrapText="1"/>
    </xf>
    <xf numFmtId="9" fontId="16" fillId="19" borderId="59" xfId="1" applyFont="1" applyFill="1" applyBorder="1" applyAlignment="1">
      <alignment horizontal="center" vertical="center" wrapText="1"/>
    </xf>
    <xf numFmtId="9" fontId="16" fillId="19" borderId="64" xfId="1" applyFont="1" applyFill="1" applyBorder="1" applyAlignment="1">
      <alignment horizontal="center" vertical="center" wrapText="1"/>
    </xf>
    <xf numFmtId="49" fontId="18" fillId="19" borderId="31" xfId="0" applyNumberFormat="1" applyFont="1" applyFill="1" applyBorder="1" applyAlignment="1">
      <alignment vertical="center" wrapText="1"/>
    </xf>
    <xf numFmtId="15" fontId="11" fillId="19" borderId="52" xfId="0" applyNumberFormat="1" applyFont="1" applyFill="1" applyBorder="1" applyAlignment="1">
      <alignment horizontal="center" vertical="center" wrapText="1"/>
    </xf>
    <xf numFmtId="15" fontId="11" fillId="19" borderId="63" xfId="0" applyNumberFormat="1" applyFont="1" applyFill="1" applyBorder="1" applyAlignment="1">
      <alignment horizontal="center" vertical="center" wrapText="1"/>
    </xf>
    <xf numFmtId="15" fontId="11" fillId="19" borderId="67" xfId="0" applyNumberFormat="1" applyFont="1" applyFill="1" applyBorder="1" applyAlignment="1">
      <alignment horizontal="center" vertical="center" wrapText="1"/>
    </xf>
    <xf numFmtId="15" fontId="19" fillId="19" borderId="59" xfId="0" applyNumberFormat="1" applyFont="1" applyFill="1" applyBorder="1" applyAlignment="1">
      <alignment horizontal="center" vertical="center" wrapText="1"/>
    </xf>
    <xf numFmtId="15" fontId="19" fillId="19" borderId="64" xfId="0" applyNumberFormat="1" applyFont="1" applyFill="1" applyBorder="1" applyAlignment="1">
      <alignment horizontal="center" vertical="center" wrapText="1"/>
    </xf>
    <xf numFmtId="0" fontId="18" fillId="0" borderId="7" xfId="0" applyFont="1" applyBorder="1"/>
    <xf numFmtId="0" fontId="11" fillId="0" borderId="38" xfId="0" applyFont="1" applyBorder="1" applyAlignment="1">
      <alignment vertical="center" wrapText="1"/>
    </xf>
    <xf numFmtId="0" fontId="16" fillId="0" borderId="41" xfId="0" applyFont="1" applyBorder="1" applyAlignment="1">
      <alignment horizontal="center" vertical="center" wrapText="1"/>
    </xf>
    <xf numFmtId="9" fontId="16" fillId="0" borderId="41" xfId="1" applyFont="1" applyBorder="1" applyAlignment="1">
      <alignment horizontal="center" vertical="center" wrapText="1"/>
    </xf>
    <xf numFmtId="0" fontId="16" fillId="7" borderId="45" xfId="0" applyFont="1" applyFill="1" applyBorder="1" applyAlignment="1">
      <alignment horizontal="center" vertical="center"/>
    </xf>
    <xf numFmtId="0" fontId="16" fillId="7" borderId="47" xfId="0" applyFont="1" applyFill="1" applyBorder="1" applyAlignment="1">
      <alignment horizontal="center" vertical="center"/>
    </xf>
    <xf numFmtId="0" fontId="16" fillId="8" borderId="47" xfId="0" applyFont="1" applyFill="1" applyBorder="1" applyAlignment="1">
      <alignment horizontal="center" vertical="center"/>
    </xf>
    <xf numFmtId="9" fontId="16" fillId="8" borderId="47" xfId="1" applyFont="1" applyFill="1" applyBorder="1" applyAlignment="1">
      <alignment horizontal="center" vertical="center"/>
    </xf>
    <xf numFmtId="9" fontId="16" fillId="8" borderId="49" xfId="1" applyFont="1" applyFill="1" applyBorder="1" applyAlignment="1">
      <alignment horizontal="center" vertical="center"/>
    </xf>
    <xf numFmtId="0" fontId="16" fillId="9" borderId="51" xfId="0" applyFont="1" applyFill="1" applyBorder="1" applyAlignment="1">
      <alignment horizontal="center" vertical="center" wrapText="1"/>
    </xf>
    <xf numFmtId="0" fontId="16" fillId="9" borderId="58" xfId="0" applyFont="1" applyFill="1" applyBorder="1" applyAlignment="1">
      <alignment horizontal="center" vertical="center" wrapText="1"/>
    </xf>
    <xf numFmtId="15" fontId="16" fillId="9" borderId="74" xfId="0" applyNumberFormat="1" applyFont="1" applyFill="1" applyBorder="1" applyAlignment="1">
      <alignment horizontal="center" vertical="center" wrapText="1"/>
    </xf>
    <xf numFmtId="15" fontId="16" fillId="9" borderId="71" xfId="0" applyNumberFormat="1" applyFont="1" applyFill="1" applyBorder="1" applyAlignment="1">
      <alignment horizontal="center" vertical="center" wrapText="1"/>
    </xf>
    <xf numFmtId="15" fontId="16" fillId="9" borderId="72" xfId="0" applyNumberFormat="1" applyFont="1" applyFill="1" applyBorder="1" applyAlignment="1">
      <alignment horizontal="center" vertical="center" wrapText="1"/>
    </xf>
    <xf numFmtId="0" fontId="11" fillId="9" borderId="51" xfId="0" applyFont="1" applyFill="1" applyBorder="1" applyAlignment="1">
      <alignment vertical="center" wrapText="1"/>
    </xf>
    <xf numFmtId="0" fontId="11" fillId="5" borderId="3" xfId="0" applyFont="1" applyFill="1" applyBorder="1" applyAlignment="1">
      <alignment vertical="center" textRotation="90"/>
    </xf>
    <xf numFmtId="0" fontId="18" fillId="0" borderId="81" xfId="0" applyFont="1" applyBorder="1"/>
    <xf numFmtId="0" fontId="11" fillId="0" borderId="7" xfId="0" applyFont="1" applyBorder="1" applyAlignment="1">
      <alignment horizontal="left" vertical="center" wrapText="1"/>
    </xf>
    <xf numFmtId="0" fontId="11" fillId="5" borderId="5" xfId="0" applyFont="1" applyFill="1" applyBorder="1" applyAlignment="1">
      <alignment vertical="center" textRotation="90"/>
    </xf>
    <xf numFmtId="49" fontId="18" fillId="9" borderId="71" xfId="0" applyNumberFormat="1" applyFont="1" applyFill="1" applyBorder="1" applyAlignment="1">
      <alignment horizontal="left" vertical="top" wrapText="1"/>
    </xf>
    <xf numFmtId="49" fontId="18" fillId="20" borderId="72" xfId="0" applyNumberFormat="1" applyFont="1" applyFill="1" applyBorder="1" applyAlignment="1">
      <alignment vertical="center" wrapText="1"/>
    </xf>
    <xf numFmtId="0" fontId="7" fillId="0" borderId="54" xfId="0" applyFont="1" applyBorder="1"/>
    <xf numFmtId="0" fontId="7" fillId="0" borderId="61" xfId="0" applyFont="1" applyBorder="1"/>
    <xf numFmtId="0" fontId="16" fillId="0" borderId="0" xfId="0" applyFont="1" applyAlignment="1">
      <alignment horizontal="left" vertical="center" wrapText="1"/>
    </xf>
    <xf numFmtId="9" fontId="16" fillId="0" borderId="0" xfId="1" applyFont="1" applyFill="1" applyBorder="1" applyAlignment="1">
      <alignment horizontal="center" vertical="center" wrapText="1"/>
    </xf>
    <xf numFmtId="15" fontId="8" fillId="18" borderId="72" xfId="0" applyNumberFormat="1" applyFont="1" applyFill="1" applyBorder="1" applyAlignment="1">
      <alignment horizontal="center" vertical="center" wrapText="1"/>
    </xf>
    <xf numFmtId="9" fontId="16" fillId="0" borderId="0" xfId="1" applyFont="1" applyBorder="1" applyAlignment="1">
      <alignment horizontal="center" vertical="center" wrapText="1"/>
    </xf>
    <xf numFmtId="15" fontId="16" fillId="11" borderId="47" xfId="0" applyNumberFormat="1" applyFont="1" applyFill="1" applyBorder="1" applyAlignment="1">
      <alignment horizontal="center" vertical="center" wrapText="1"/>
    </xf>
    <xf numFmtId="15" fontId="16" fillId="19" borderId="47" xfId="0" applyNumberFormat="1" applyFont="1" applyFill="1" applyBorder="1" applyAlignment="1">
      <alignment horizontal="center" vertical="center" wrapText="1"/>
    </xf>
    <xf numFmtId="15" fontId="16" fillId="19" borderId="49" xfId="0" applyNumberFormat="1" applyFont="1" applyFill="1" applyBorder="1" applyAlignment="1">
      <alignment horizontal="center" vertical="center" wrapText="1"/>
    </xf>
    <xf numFmtId="15" fontId="19" fillId="20" borderId="47" xfId="0" applyNumberFormat="1" applyFont="1" applyFill="1" applyBorder="1" applyAlignment="1">
      <alignment horizontal="center" vertical="center" wrapText="1"/>
    </xf>
    <xf numFmtId="15" fontId="19" fillId="20" borderId="49" xfId="0" applyNumberFormat="1" applyFont="1" applyFill="1" applyBorder="1" applyAlignment="1">
      <alignment horizontal="center" vertical="center" wrapText="1"/>
    </xf>
    <xf numFmtId="0" fontId="11" fillId="3" borderId="51" xfId="0" applyFont="1" applyFill="1" applyBorder="1" applyAlignment="1">
      <alignment horizontal="left" vertical="center" wrapText="1"/>
    </xf>
    <xf numFmtId="0" fontId="11" fillId="3" borderId="30" xfId="0" applyFont="1" applyFill="1" applyBorder="1" applyAlignment="1">
      <alignment horizontal="left" vertical="center" wrapText="1"/>
    </xf>
    <xf numFmtId="49" fontId="18" fillId="9" borderId="74" xfId="0" applyNumberFormat="1" applyFont="1" applyFill="1" applyBorder="1" applyAlignment="1">
      <alignment vertical="center" wrapText="1"/>
    </xf>
    <xf numFmtId="0" fontId="11" fillId="14" borderId="46" xfId="0" applyFont="1" applyFill="1" applyBorder="1" applyAlignment="1">
      <alignment horizontal="left" vertical="center" wrapText="1"/>
    </xf>
    <xf numFmtId="49" fontId="18" fillId="19" borderId="30" xfId="0" applyNumberFormat="1" applyFont="1" applyFill="1" applyBorder="1" applyAlignment="1">
      <alignment vertical="center" wrapText="1"/>
    </xf>
    <xf numFmtId="0" fontId="8" fillId="12" borderId="52" xfId="0" applyFont="1" applyFill="1" applyBorder="1" applyAlignment="1">
      <alignment horizontal="center" vertical="center" textRotation="90"/>
    </xf>
    <xf numFmtId="0" fontId="10" fillId="12" borderId="52" xfId="0" applyFont="1" applyFill="1" applyBorder="1" applyAlignment="1">
      <alignment vertical="center" wrapText="1"/>
    </xf>
    <xf numFmtId="0" fontId="10" fillId="12" borderId="52" xfId="0" applyFont="1" applyFill="1" applyBorder="1" applyAlignment="1">
      <alignment horizontal="center" vertical="center" wrapText="1"/>
    </xf>
    <xf numFmtId="0" fontId="7" fillId="12" borderId="52" xfId="0" applyFont="1" applyFill="1" applyBorder="1"/>
    <xf numFmtId="0" fontId="8" fillId="12" borderId="52" xfId="0" applyFont="1" applyFill="1" applyBorder="1" applyAlignment="1">
      <alignment vertical="center" wrapText="1"/>
    </xf>
    <xf numFmtId="9" fontId="10" fillId="12" borderId="63" xfId="1" applyFont="1" applyFill="1" applyBorder="1" applyAlignment="1">
      <alignment horizontal="center" vertical="center" wrapText="1"/>
    </xf>
    <xf numFmtId="0" fontId="8" fillId="12" borderId="32" xfId="0" applyFont="1" applyFill="1" applyBorder="1" applyAlignment="1">
      <alignment horizontal="center" vertical="center" textRotation="90"/>
    </xf>
    <xf numFmtId="0" fontId="10" fillId="12" borderId="32" xfId="0" applyFont="1" applyFill="1" applyBorder="1" applyAlignment="1">
      <alignment vertical="center" wrapText="1"/>
    </xf>
    <xf numFmtId="0" fontId="10" fillId="12" borderId="32" xfId="0" applyFont="1" applyFill="1" applyBorder="1" applyAlignment="1">
      <alignment horizontal="center" vertical="center" wrapText="1"/>
    </xf>
    <xf numFmtId="0" fontId="7" fillId="12" borderId="32" xfId="0" applyFont="1" applyFill="1" applyBorder="1"/>
    <xf numFmtId="0" fontId="8" fillId="12" borderId="32" xfId="0" applyFont="1" applyFill="1" applyBorder="1" applyAlignment="1">
      <alignment vertical="center" wrapText="1"/>
    </xf>
    <xf numFmtId="9" fontId="10" fillId="12" borderId="67" xfId="1" applyFont="1" applyFill="1" applyBorder="1" applyAlignment="1">
      <alignment horizontal="center" vertical="center" wrapText="1"/>
    </xf>
    <xf numFmtId="0" fontId="10" fillId="12" borderId="32" xfId="0" applyFont="1" applyFill="1" applyBorder="1" applyAlignment="1">
      <alignment horizontal="left" vertical="center" wrapText="1"/>
    </xf>
    <xf numFmtId="0" fontId="8" fillId="12" borderId="32" xfId="0" applyFont="1" applyFill="1" applyBorder="1" applyAlignment="1">
      <alignment horizontal="left" vertical="center" wrapText="1"/>
    </xf>
    <xf numFmtId="0" fontId="8" fillId="12" borderId="59" xfId="0" applyFont="1" applyFill="1" applyBorder="1" applyAlignment="1">
      <alignment horizontal="center" vertical="center" textRotation="90"/>
    </xf>
    <xf numFmtId="0" fontId="10" fillId="12" borderId="59" xfId="0" applyFont="1" applyFill="1" applyBorder="1" applyAlignment="1">
      <alignment horizontal="left" vertical="center" wrapText="1"/>
    </xf>
    <xf numFmtId="0" fontId="10" fillId="12" borderId="59" xfId="0" applyFont="1" applyFill="1" applyBorder="1" applyAlignment="1">
      <alignment horizontal="center" vertical="center" wrapText="1"/>
    </xf>
    <xf numFmtId="0" fontId="7" fillId="12" borderId="59" xfId="0" applyFont="1" applyFill="1" applyBorder="1"/>
    <xf numFmtId="0" fontId="8" fillId="12" borderId="59" xfId="0" applyFont="1" applyFill="1" applyBorder="1" applyAlignment="1">
      <alignment horizontal="left" vertical="center" wrapText="1"/>
    </xf>
    <xf numFmtId="9" fontId="10" fillId="12" borderId="64" xfId="1" applyFont="1" applyFill="1" applyBorder="1" applyAlignment="1">
      <alignment horizontal="center" vertical="center" wrapText="1"/>
    </xf>
    <xf numFmtId="49" fontId="7" fillId="12" borderId="74" xfId="0" applyNumberFormat="1" applyFont="1" applyFill="1" applyBorder="1" applyAlignment="1">
      <alignment horizontal="left" vertical="center" wrapText="1"/>
    </xf>
    <xf numFmtId="15" fontId="8" fillId="12" borderId="63" xfId="0" applyNumberFormat="1" applyFont="1" applyFill="1" applyBorder="1" applyAlignment="1">
      <alignment horizontal="center" vertical="center" wrapText="1"/>
    </xf>
    <xf numFmtId="49" fontId="7" fillId="12" borderId="71" xfId="0" applyNumberFormat="1" applyFont="1" applyFill="1" applyBorder="1" applyAlignment="1">
      <alignment horizontal="left" vertical="center" wrapText="1"/>
    </xf>
    <xf numFmtId="15" fontId="8" fillId="12" borderId="67" xfId="0" applyNumberFormat="1" applyFont="1" applyFill="1" applyBorder="1" applyAlignment="1">
      <alignment horizontal="center" vertical="center" wrapText="1"/>
    </xf>
    <xf numFmtId="49" fontId="7" fillId="12" borderId="72" xfId="0" applyNumberFormat="1" applyFont="1" applyFill="1" applyBorder="1" applyAlignment="1">
      <alignment horizontal="left" vertical="center" wrapText="1"/>
    </xf>
    <xf numFmtId="15" fontId="8" fillId="12" borderId="64" xfId="0" applyNumberFormat="1" applyFont="1" applyFill="1" applyBorder="1" applyAlignment="1">
      <alignment horizontal="center" vertical="center" wrapText="1"/>
    </xf>
    <xf numFmtId="0" fontId="10" fillId="12" borderId="40" xfId="0" applyFont="1" applyFill="1" applyBorder="1" applyAlignment="1">
      <alignment horizontal="left" vertical="center" wrapText="1"/>
    </xf>
    <xf numFmtId="0" fontId="8" fillId="12" borderId="42" xfId="0" applyFont="1" applyFill="1" applyBorder="1" applyAlignment="1">
      <alignment horizontal="left" vertical="center" wrapText="1"/>
    </xf>
    <xf numFmtId="0" fontId="8" fillId="12" borderId="43" xfId="0" applyFont="1" applyFill="1" applyBorder="1" applyAlignment="1">
      <alignment horizontal="left" vertical="center" wrapText="1"/>
    </xf>
    <xf numFmtId="15" fontId="8" fillId="20" borderId="49" xfId="0" applyNumberFormat="1" applyFont="1" applyFill="1" applyBorder="1" applyAlignment="1">
      <alignment horizontal="center" vertical="center" wrapText="1"/>
    </xf>
    <xf numFmtId="15" fontId="8" fillId="10" borderId="63" xfId="0" applyNumberFormat="1" applyFont="1" applyFill="1" applyBorder="1" applyAlignment="1">
      <alignment horizontal="center" vertical="center" wrapText="1"/>
    </xf>
    <xf numFmtId="15" fontId="8" fillId="10" borderId="64" xfId="0" applyNumberFormat="1" applyFont="1" applyFill="1" applyBorder="1" applyAlignment="1">
      <alignment horizontal="center" vertical="center" wrapText="1"/>
    </xf>
    <xf numFmtId="0" fontId="10" fillId="20" borderId="52" xfId="0" applyFont="1" applyFill="1" applyBorder="1" applyAlignment="1">
      <alignment horizontal="left" vertical="center" wrapText="1"/>
    </xf>
    <xf numFmtId="0" fontId="10" fillId="20" borderId="52" xfId="0" applyFont="1" applyFill="1" applyBorder="1" applyAlignment="1">
      <alignment horizontal="center" vertical="center" wrapText="1"/>
    </xf>
    <xf numFmtId="15" fontId="10" fillId="20" borderId="52" xfId="0" applyNumberFormat="1" applyFont="1" applyFill="1" applyBorder="1" applyAlignment="1">
      <alignment horizontal="center" vertical="center" wrapText="1"/>
    </xf>
    <xf numFmtId="9" fontId="10" fillId="20" borderId="52" xfId="1" applyFont="1" applyFill="1" applyBorder="1" applyAlignment="1">
      <alignment horizontal="center" vertical="center" wrapText="1"/>
    </xf>
    <xf numFmtId="0" fontId="7" fillId="20" borderId="52" xfId="0" applyFont="1" applyFill="1" applyBorder="1"/>
    <xf numFmtId="0" fontId="8" fillId="20" borderId="52" xfId="0" applyFont="1" applyFill="1" applyBorder="1" applyAlignment="1">
      <alignment horizontal="left" vertical="center" wrapText="1"/>
    </xf>
    <xf numFmtId="9" fontId="10" fillId="20" borderId="63" xfId="1" applyFont="1" applyFill="1" applyBorder="1" applyAlignment="1">
      <alignment horizontal="center" vertical="center" wrapText="1"/>
    </xf>
    <xf numFmtId="9" fontId="10" fillId="20" borderId="64" xfId="1" applyFont="1" applyFill="1" applyBorder="1" applyAlignment="1">
      <alignment horizontal="center" vertical="center" wrapText="1"/>
    </xf>
    <xf numFmtId="49" fontId="7" fillId="20" borderId="74" xfId="0" applyNumberFormat="1" applyFont="1" applyFill="1" applyBorder="1" applyAlignment="1">
      <alignment horizontal="center" vertical="center" wrapText="1"/>
    </xf>
    <xf numFmtId="15" fontId="10" fillId="20" borderId="63" xfId="0" applyNumberFormat="1" applyFont="1" applyFill="1" applyBorder="1" applyAlignment="1">
      <alignment horizontal="center" vertical="center" wrapText="1"/>
    </xf>
    <xf numFmtId="49" fontId="7" fillId="20" borderId="72" xfId="0" applyNumberFormat="1" applyFont="1" applyFill="1" applyBorder="1" applyAlignment="1">
      <alignment horizontal="left" vertical="center" wrapText="1"/>
    </xf>
    <xf numFmtId="15" fontId="10" fillId="20" borderId="64" xfId="0" applyNumberFormat="1" applyFont="1" applyFill="1" applyBorder="1" applyAlignment="1">
      <alignment horizontal="center" vertical="center" wrapText="1"/>
    </xf>
    <xf numFmtId="49" fontId="7" fillId="20" borderId="74" xfId="0" applyNumberFormat="1" applyFont="1" applyFill="1" applyBorder="1" applyAlignment="1">
      <alignment horizontal="left" vertical="center" wrapText="1"/>
    </xf>
    <xf numFmtId="9" fontId="10" fillId="20" borderId="53" xfId="1" applyFont="1" applyFill="1" applyBorder="1" applyAlignment="1">
      <alignment horizontal="center" vertical="center" wrapText="1"/>
    </xf>
    <xf numFmtId="9" fontId="10" fillId="20" borderId="60" xfId="1" applyFont="1" applyFill="1" applyBorder="1" applyAlignment="1">
      <alignment horizontal="center" vertical="center" wrapText="1"/>
    </xf>
    <xf numFmtId="0" fontId="10" fillId="15" borderId="52" xfId="0" applyFont="1" applyFill="1" applyBorder="1" applyAlignment="1">
      <alignment horizontal="left" vertical="center" wrapText="1"/>
    </xf>
    <xf numFmtId="0" fontId="10" fillId="15" borderId="52" xfId="0" applyFont="1" applyFill="1" applyBorder="1" applyAlignment="1">
      <alignment horizontal="center" vertical="center" wrapText="1"/>
    </xf>
    <xf numFmtId="15" fontId="10" fillId="15" borderId="52" xfId="0" applyNumberFormat="1" applyFont="1" applyFill="1" applyBorder="1" applyAlignment="1">
      <alignment horizontal="center" vertical="center" wrapText="1"/>
    </xf>
    <xf numFmtId="9" fontId="10" fillId="15" borderId="52" xfId="1" applyFont="1" applyFill="1" applyBorder="1" applyAlignment="1">
      <alignment horizontal="center" vertical="center" wrapText="1"/>
    </xf>
    <xf numFmtId="0" fontId="7" fillId="15" borderId="52" xfId="0" applyFont="1" applyFill="1" applyBorder="1"/>
    <xf numFmtId="0" fontId="8" fillId="15" borderId="52" xfId="0" applyFont="1" applyFill="1" applyBorder="1" applyAlignment="1">
      <alignment horizontal="left" vertical="center" wrapText="1"/>
    </xf>
    <xf numFmtId="9" fontId="10" fillId="15" borderId="63" xfId="1" applyFont="1" applyFill="1" applyBorder="1" applyAlignment="1">
      <alignment horizontal="center" vertical="center" wrapText="1"/>
    </xf>
    <xf numFmtId="0" fontId="10" fillId="15" borderId="59" xfId="0" applyFont="1" applyFill="1" applyBorder="1" applyAlignment="1">
      <alignment horizontal="left" vertical="center" wrapText="1"/>
    </xf>
    <xf numFmtId="0" fontId="10" fillId="15" borderId="59" xfId="0" applyFont="1" applyFill="1" applyBorder="1" applyAlignment="1">
      <alignment horizontal="center" vertical="center" wrapText="1"/>
    </xf>
    <xf numFmtId="15" fontId="10" fillId="15" borderId="59" xfId="0" applyNumberFormat="1" applyFont="1" applyFill="1" applyBorder="1" applyAlignment="1">
      <alignment horizontal="center" vertical="center" wrapText="1"/>
    </xf>
    <xf numFmtId="9" fontId="10" fillId="15" borderId="59" xfId="1" applyFont="1" applyFill="1" applyBorder="1" applyAlignment="1">
      <alignment horizontal="center" vertical="center" wrapText="1"/>
    </xf>
    <xf numFmtId="0" fontId="7" fillId="15" borderId="59" xfId="0" applyFont="1" applyFill="1" applyBorder="1"/>
    <xf numFmtId="0" fontId="8" fillId="15" borderId="59" xfId="0" applyFont="1" applyFill="1" applyBorder="1" applyAlignment="1">
      <alignment horizontal="left" vertical="center" wrapText="1"/>
    </xf>
    <xf numFmtId="9" fontId="10" fillId="15" borderId="64" xfId="1" applyFont="1" applyFill="1" applyBorder="1" applyAlignment="1">
      <alignment horizontal="center" vertical="center" wrapText="1"/>
    </xf>
    <xf numFmtId="49" fontId="7" fillId="15" borderId="74" xfId="0" applyNumberFormat="1" applyFont="1" applyFill="1" applyBorder="1" applyAlignment="1">
      <alignment horizontal="left" vertical="center" wrapText="1"/>
    </xf>
    <xf numFmtId="15" fontId="10" fillId="15" borderId="63" xfId="0" applyNumberFormat="1" applyFont="1" applyFill="1" applyBorder="1" applyAlignment="1">
      <alignment horizontal="center" vertical="center" wrapText="1"/>
    </xf>
    <xf numFmtId="49" fontId="7" fillId="15" borderId="72" xfId="0" applyNumberFormat="1" applyFont="1" applyFill="1" applyBorder="1" applyAlignment="1">
      <alignment horizontal="left" vertical="center" wrapText="1"/>
    </xf>
    <xf numFmtId="15" fontId="10" fillId="15" borderId="64" xfId="0" applyNumberFormat="1" applyFont="1" applyFill="1" applyBorder="1" applyAlignment="1">
      <alignment horizontal="center" vertical="center" wrapText="1"/>
    </xf>
    <xf numFmtId="15" fontId="10" fillId="9" borderId="49" xfId="0" applyNumberFormat="1" applyFont="1" applyFill="1" applyBorder="1" applyAlignment="1">
      <alignment horizontal="center" vertical="center" wrapText="1"/>
    </xf>
    <xf numFmtId="0" fontId="36" fillId="20" borderId="47" xfId="0" applyFont="1" applyFill="1" applyBorder="1" applyAlignment="1">
      <alignment vertical="center" textRotation="90"/>
    </xf>
    <xf numFmtId="9" fontId="10" fillId="20" borderId="36" xfId="1" applyFont="1" applyFill="1" applyBorder="1" applyAlignment="1">
      <alignment horizontal="center" vertical="center" wrapText="1"/>
    </xf>
    <xf numFmtId="0" fontId="0" fillId="0" borderId="52" xfId="0" applyBorder="1"/>
    <xf numFmtId="0" fontId="36" fillId="10" borderId="32" xfId="0" applyFont="1" applyFill="1" applyBorder="1" applyAlignment="1">
      <alignment horizontal="center" vertical="center" textRotation="90"/>
    </xf>
    <xf numFmtId="0" fontId="36" fillId="10" borderId="59" xfId="0" applyFont="1" applyFill="1" applyBorder="1" applyAlignment="1">
      <alignment horizontal="center" vertical="center" textRotation="90"/>
    </xf>
    <xf numFmtId="49" fontId="7" fillId="10" borderId="72" xfId="0" applyNumberFormat="1" applyFont="1" applyFill="1" applyBorder="1" applyAlignment="1">
      <alignment vertical="center" wrapText="1"/>
    </xf>
    <xf numFmtId="0" fontId="8" fillId="5" borderId="83" xfId="0" applyFont="1" applyFill="1" applyBorder="1" applyAlignment="1">
      <alignment vertical="center" textRotation="90"/>
    </xf>
    <xf numFmtId="15" fontId="8" fillId="10" borderId="67" xfId="0" applyNumberFormat="1" applyFont="1" applyFill="1" applyBorder="1" applyAlignment="1">
      <alignment horizontal="center" vertical="center" wrapText="1"/>
    </xf>
    <xf numFmtId="0" fontId="7" fillId="0" borderId="3" xfId="0" applyFont="1" applyBorder="1"/>
    <xf numFmtId="0" fontId="7" fillId="0" borderId="5" xfId="0" applyFont="1" applyBorder="1"/>
    <xf numFmtId="0" fontId="7" fillId="0" borderId="8" xfId="0" applyFont="1" applyBorder="1"/>
    <xf numFmtId="0" fontId="7" fillId="0" borderId="37" xfId="0" applyFont="1" applyBorder="1"/>
    <xf numFmtId="15" fontId="10" fillId="3" borderId="59" xfId="0" applyNumberFormat="1" applyFont="1" applyFill="1" applyBorder="1" applyAlignment="1">
      <alignment horizontal="center" vertical="center" wrapText="1"/>
    </xf>
    <xf numFmtId="0" fontId="8" fillId="3" borderId="30" xfId="0" applyFont="1" applyFill="1" applyBorder="1" applyAlignment="1">
      <alignment vertical="center" wrapText="1"/>
    </xf>
    <xf numFmtId="15" fontId="8" fillId="3" borderId="63" xfId="0" applyNumberFormat="1" applyFont="1" applyFill="1" applyBorder="1" applyAlignment="1">
      <alignment horizontal="center" vertical="center" wrapText="1"/>
    </xf>
    <xf numFmtId="15" fontId="8" fillId="3" borderId="64" xfId="0" applyNumberFormat="1" applyFont="1" applyFill="1" applyBorder="1" applyAlignment="1">
      <alignment horizontal="center" vertical="center" wrapText="1"/>
    </xf>
    <xf numFmtId="0" fontId="8" fillId="0" borderId="35" xfId="0" applyFont="1" applyBorder="1" applyAlignment="1">
      <alignment vertical="center" textRotation="90"/>
    </xf>
    <xf numFmtId="0" fontId="8" fillId="9" borderId="31" xfId="0" applyFont="1" applyFill="1" applyBorder="1" applyAlignment="1">
      <alignment horizontal="left" vertical="center" wrapText="1"/>
    </xf>
    <xf numFmtId="15" fontId="10" fillId="13" borderId="63" xfId="0" applyNumberFormat="1" applyFont="1" applyFill="1" applyBorder="1" applyAlignment="1">
      <alignment horizontal="center" vertical="center" wrapText="1"/>
    </xf>
    <xf numFmtId="15" fontId="10" fillId="13" borderId="64" xfId="0" applyNumberFormat="1" applyFont="1" applyFill="1" applyBorder="1" applyAlignment="1">
      <alignment horizontal="center" vertical="center" wrapText="1"/>
    </xf>
    <xf numFmtId="0" fontId="8" fillId="13" borderId="31" xfId="0" applyFont="1" applyFill="1" applyBorder="1" applyAlignment="1">
      <alignment horizontal="left" vertical="center" wrapText="1"/>
    </xf>
    <xf numFmtId="15" fontId="10" fillId="18" borderId="63" xfId="0" applyNumberFormat="1" applyFont="1" applyFill="1" applyBorder="1" applyAlignment="1">
      <alignment horizontal="center" vertical="center" wrapText="1"/>
    </xf>
    <xf numFmtId="15" fontId="10" fillId="18" borderId="64" xfId="0" applyNumberFormat="1" applyFont="1" applyFill="1" applyBorder="1" applyAlignment="1">
      <alignment horizontal="center" vertical="center" wrapText="1"/>
    </xf>
    <xf numFmtId="0" fontId="8" fillId="20" borderId="47" xfId="0" applyFont="1" applyFill="1" applyBorder="1" applyAlignment="1">
      <alignment vertical="center" textRotation="90"/>
    </xf>
    <xf numFmtId="0" fontId="7" fillId="20" borderId="37" xfId="0" applyFont="1" applyFill="1" applyBorder="1"/>
    <xf numFmtId="49" fontId="7" fillId="20" borderId="84" xfId="0" applyNumberFormat="1" applyFont="1" applyFill="1" applyBorder="1" applyAlignment="1">
      <alignment horizontal="left" vertical="center" wrapText="1"/>
    </xf>
    <xf numFmtId="49" fontId="7" fillId="20" borderId="85" xfId="0" applyNumberFormat="1" applyFont="1" applyFill="1" applyBorder="1" applyAlignment="1">
      <alignment horizontal="center" vertical="center" wrapText="1"/>
    </xf>
    <xf numFmtId="15" fontId="10" fillId="20" borderId="86" xfId="0" applyNumberFormat="1" applyFont="1" applyFill="1" applyBorder="1" applyAlignment="1">
      <alignment horizontal="center" vertical="center" wrapText="1"/>
    </xf>
    <xf numFmtId="15" fontId="10" fillId="18" borderId="49" xfId="0" applyNumberFormat="1" applyFont="1" applyFill="1" applyBorder="1" applyAlignment="1">
      <alignment horizontal="center" vertical="center" wrapText="1"/>
    </xf>
    <xf numFmtId="0" fontId="36" fillId="9" borderId="32" xfId="0" applyFont="1" applyFill="1" applyBorder="1" applyAlignment="1">
      <alignment horizontal="center" vertical="center" textRotation="90"/>
    </xf>
    <xf numFmtId="0" fontId="36" fillId="9" borderId="59" xfId="0" applyFont="1" applyFill="1" applyBorder="1" applyAlignment="1">
      <alignment horizontal="center" vertical="center" textRotation="90"/>
    </xf>
    <xf numFmtId="49" fontId="7" fillId="9" borderId="72" xfId="0" applyNumberFormat="1" applyFont="1" applyFill="1" applyBorder="1" applyAlignment="1">
      <alignment vertical="center" wrapText="1"/>
    </xf>
    <xf numFmtId="0" fontId="8" fillId="14" borderId="51" xfId="0" applyFont="1" applyFill="1" applyBorder="1" applyAlignment="1">
      <alignment horizontal="left" vertical="center" wrapText="1"/>
    </xf>
    <xf numFmtId="0" fontId="8" fillId="14" borderId="58" xfId="0" applyFont="1" applyFill="1" applyBorder="1" applyAlignment="1">
      <alignment horizontal="left" vertical="center" wrapText="1"/>
    </xf>
    <xf numFmtId="49" fontId="14" fillId="9" borderId="51" xfId="0" applyNumberFormat="1" applyFont="1" applyFill="1" applyBorder="1" applyAlignment="1">
      <alignment horizontal="left" vertical="center" wrapText="1"/>
    </xf>
    <xf numFmtId="49" fontId="14" fillId="9" borderId="30" xfId="0" applyNumberFormat="1" applyFont="1" applyFill="1" applyBorder="1" applyAlignment="1">
      <alignment vertical="center" wrapText="1"/>
    </xf>
    <xf numFmtId="49" fontId="14" fillId="9" borderId="58" xfId="0" applyNumberFormat="1" applyFont="1" applyFill="1" applyBorder="1" applyAlignment="1">
      <alignment horizontal="left" vertical="center" wrapText="1"/>
    </xf>
    <xf numFmtId="49" fontId="30" fillId="9" borderId="74" xfId="0" applyNumberFormat="1" applyFont="1" applyFill="1" applyBorder="1" applyAlignment="1">
      <alignment horizontal="left" vertical="center" wrapText="1"/>
    </xf>
    <xf numFmtId="0" fontId="8" fillId="8" borderId="47" xfId="0" applyFont="1" applyFill="1" applyBorder="1" applyAlignment="1">
      <alignment horizontal="center" vertical="center" wrapText="1"/>
    </xf>
    <xf numFmtId="9" fontId="10" fillId="8" borderId="49" xfId="1" applyFont="1" applyFill="1" applyBorder="1" applyAlignment="1">
      <alignment horizontal="center" vertical="center" wrapText="1"/>
    </xf>
    <xf numFmtId="0" fontId="10" fillId="8" borderId="47" xfId="0" applyFont="1" applyFill="1" applyBorder="1" applyAlignment="1">
      <alignment horizontal="center" vertical="center" wrapText="1"/>
    </xf>
    <xf numFmtId="9" fontId="10" fillId="8" borderId="47" xfId="1"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8" borderId="32" xfId="0" applyFont="1" applyFill="1" applyBorder="1" applyAlignment="1">
      <alignment horizontal="center" vertical="center" wrapText="1"/>
    </xf>
    <xf numFmtId="0" fontId="10" fillId="5" borderId="2" xfId="0" applyFont="1" applyFill="1" applyBorder="1" applyAlignment="1">
      <alignment horizontal="center" vertical="center" textRotation="90" wrapText="1"/>
    </xf>
    <xf numFmtId="0" fontId="10" fillId="5" borderId="2" xfId="0" applyFont="1" applyFill="1" applyBorder="1" applyAlignment="1">
      <alignment vertical="center" textRotation="90" wrapText="1"/>
    </xf>
    <xf numFmtId="9" fontId="17" fillId="9" borderId="63" xfId="1" applyFont="1" applyFill="1" applyBorder="1" applyAlignment="1">
      <alignment horizontal="center" vertical="center" wrapText="1"/>
    </xf>
    <xf numFmtId="15" fontId="39" fillId="9" borderId="52" xfId="0" applyNumberFormat="1" applyFont="1" applyFill="1" applyBorder="1" applyAlignment="1">
      <alignment horizontal="center" vertical="center" wrapText="1"/>
    </xf>
    <xf numFmtId="167" fontId="45" fillId="0" borderId="87" xfId="0" applyNumberFormat="1" applyFont="1" applyBorder="1" applyAlignment="1">
      <alignment horizontal="center" vertical="center"/>
    </xf>
    <xf numFmtId="167" fontId="45" fillId="0" borderId="88" xfId="0" applyNumberFormat="1" applyFont="1" applyBorder="1" applyAlignment="1">
      <alignment horizontal="center" vertical="center"/>
    </xf>
    <xf numFmtId="167" fontId="45" fillId="0" borderId="89" xfId="0" applyNumberFormat="1" applyFont="1" applyBorder="1" applyAlignment="1">
      <alignment horizontal="center" vertical="center"/>
    </xf>
    <xf numFmtId="0" fontId="46" fillId="0" borderId="90" xfId="0" applyFont="1" applyBorder="1" applyAlignment="1">
      <alignment horizontal="center" vertical="center"/>
    </xf>
    <xf numFmtId="0" fontId="46" fillId="0" borderId="91" xfId="0" applyFont="1" applyBorder="1" applyAlignment="1">
      <alignment horizontal="center" vertical="center"/>
    </xf>
    <xf numFmtId="0" fontId="46" fillId="0" borderId="92" xfId="0" applyFont="1" applyBorder="1" applyAlignment="1">
      <alignment horizontal="center" vertical="center"/>
    </xf>
    <xf numFmtId="167" fontId="42" fillId="21" borderId="1" xfId="0" applyNumberFormat="1" applyFont="1" applyFill="1" applyBorder="1" applyAlignment="1">
      <alignment horizontal="center" vertical="center" wrapText="1"/>
    </xf>
    <xf numFmtId="167" fontId="42" fillId="21" borderId="2" xfId="0" applyNumberFormat="1" applyFont="1" applyFill="1" applyBorder="1" applyAlignment="1">
      <alignment horizontal="center" vertical="center" wrapText="1"/>
    </xf>
    <xf numFmtId="167" fontId="42" fillId="21" borderId="3" xfId="0" applyNumberFormat="1" applyFont="1" applyFill="1" applyBorder="1" applyAlignment="1">
      <alignment horizontal="center" vertical="center" wrapText="1"/>
    </xf>
    <xf numFmtId="0" fontId="42" fillId="21" borderId="87" xfId="2" applyFont="1" applyFill="1" applyBorder="1" applyAlignment="1">
      <alignment horizontal="center" vertical="center" wrapText="1"/>
    </xf>
    <xf numFmtId="0" fontId="42" fillId="21" borderId="88" xfId="2" applyFont="1" applyFill="1" applyBorder="1" applyAlignment="1">
      <alignment horizontal="center" vertical="center" wrapText="1"/>
    </xf>
    <xf numFmtId="0" fontId="42" fillId="21" borderId="89" xfId="2" applyFont="1" applyFill="1" applyBorder="1" applyAlignment="1">
      <alignment horizontal="center" vertical="center" wrapText="1"/>
    </xf>
    <xf numFmtId="0" fontId="43" fillId="0" borderId="93" xfId="2" applyFont="1" applyBorder="1" applyAlignment="1">
      <alignment vertical="center"/>
    </xf>
    <xf numFmtId="166" fontId="41" fillId="0" borderId="94" xfId="2" applyNumberFormat="1" applyBorder="1" applyAlignment="1">
      <alignment vertical="center"/>
    </xf>
    <xf numFmtId="0" fontId="44" fillId="22" borderId="94" xfId="2" applyFont="1" applyFill="1" applyBorder="1" applyAlignment="1">
      <alignment horizontal="center" vertical="center"/>
    </xf>
    <xf numFmtId="0" fontId="41" fillId="0" borderId="94" xfId="2" applyBorder="1" applyAlignment="1">
      <alignment vertical="center" wrapText="1"/>
    </xf>
    <xf numFmtId="0" fontId="41" fillId="0" borderId="95" xfId="2" applyBorder="1" applyAlignment="1">
      <alignment vertical="center" wrapText="1"/>
    </xf>
    <xf numFmtId="0" fontId="43" fillId="0" borderId="90" xfId="2" applyFont="1" applyBorder="1" applyAlignment="1">
      <alignment vertical="center"/>
    </xf>
    <xf numFmtId="166" fontId="41" fillId="0" borderId="91" xfId="2" applyNumberFormat="1" applyBorder="1" applyAlignment="1">
      <alignment vertical="center"/>
    </xf>
    <xf numFmtId="0" fontId="44" fillId="22" borderId="91" xfId="2" applyFont="1" applyFill="1" applyBorder="1" applyAlignment="1">
      <alignment horizontal="center" vertical="center"/>
    </xf>
    <xf numFmtId="0" fontId="41" fillId="0" borderId="91" xfId="2" applyBorder="1" applyAlignment="1">
      <alignment vertical="center" wrapText="1"/>
    </xf>
    <xf numFmtId="0" fontId="41" fillId="0" borderId="92" xfId="2" applyBorder="1" applyAlignment="1">
      <alignment vertical="center" wrapText="1"/>
    </xf>
    <xf numFmtId="0" fontId="41" fillId="0" borderId="94" xfId="2" applyBorder="1" applyAlignment="1">
      <alignment horizontal="center" vertical="center"/>
    </xf>
    <xf numFmtId="0" fontId="41" fillId="0" borderId="91" xfId="2" applyBorder="1" applyAlignment="1">
      <alignment horizontal="center" vertical="center"/>
    </xf>
    <xf numFmtId="0" fontId="45" fillId="0" borderId="4" xfId="0" applyFont="1" applyBorder="1" applyAlignment="1">
      <alignment horizontal="center" vertical="center"/>
    </xf>
    <xf numFmtId="0" fontId="45" fillId="0" borderId="0" xfId="0" applyFont="1" applyAlignment="1">
      <alignment horizontal="center" vertical="center"/>
    </xf>
    <xf numFmtId="0" fontId="45" fillId="0" borderId="5" xfId="0" applyFont="1" applyBorder="1" applyAlignment="1">
      <alignment horizontal="center" vertical="center"/>
    </xf>
    <xf numFmtId="0" fontId="45" fillId="0" borderId="6" xfId="0" applyFont="1" applyBorder="1" applyAlignment="1">
      <alignment horizontal="center" vertical="center"/>
    </xf>
    <xf numFmtId="0" fontId="45" fillId="0" borderId="7" xfId="0" applyFont="1" applyBorder="1" applyAlignment="1">
      <alignment horizontal="center" vertical="center"/>
    </xf>
    <xf numFmtId="0" fontId="45" fillId="0" borderId="8" xfId="0" applyFont="1" applyBorder="1" applyAlignment="1">
      <alignment horizontal="center" vertical="center"/>
    </xf>
    <xf numFmtId="0" fontId="0" fillId="0" borderId="0" xfId="4" applyFont="1"/>
    <xf numFmtId="0" fontId="0" fillId="0" borderId="0" xfId="4" applyFont="1" applyAlignment="1">
      <alignment horizontal="center" vertical="center"/>
    </xf>
    <xf numFmtId="9" fontId="0" fillId="0" borderId="96" xfId="4" applyNumberFormat="1" applyFont="1" applyBorder="1" applyAlignment="1">
      <alignment horizontal="center" vertical="center"/>
    </xf>
    <xf numFmtId="9" fontId="47" fillId="0" borderId="96" xfId="4" applyNumberFormat="1" applyFont="1" applyBorder="1" applyAlignment="1">
      <alignment horizontal="left" vertical="center"/>
    </xf>
    <xf numFmtId="9" fontId="47" fillId="0" borderId="97" xfId="4" applyNumberFormat="1" applyFont="1" applyBorder="1" applyAlignment="1">
      <alignment horizontal="left" vertical="center"/>
    </xf>
    <xf numFmtId="0" fontId="49" fillId="0" borderId="103" xfId="4" applyFont="1" applyBorder="1" applyAlignment="1">
      <alignment vertical="center"/>
    </xf>
    <xf numFmtId="0" fontId="49" fillId="0" borderId="104" xfId="4" applyFont="1" applyBorder="1" applyAlignment="1">
      <alignment vertical="center"/>
    </xf>
    <xf numFmtId="0" fontId="48" fillId="0" borderId="105" xfId="4" applyFont="1" applyBorder="1" applyAlignment="1">
      <alignment vertical="center"/>
    </xf>
    <xf numFmtId="0" fontId="51" fillId="18" borderId="96" xfId="4" applyFont="1" applyFill="1" applyBorder="1" applyAlignment="1">
      <alignment horizontal="center" vertical="center"/>
    </xf>
    <xf numFmtId="0" fontId="51" fillId="23" borderId="96" xfId="4" applyFont="1" applyFill="1" applyBorder="1" applyAlignment="1">
      <alignment horizontal="center" vertical="center"/>
    </xf>
    <xf numFmtId="0" fontId="51" fillId="24" borderId="96" xfId="4" applyFont="1" applyFill="1" applyBorder="1" applyAlignment="1">
      <alignment horizontal="center" vertical="center"/>
    </xf>
    <xf numFmtId="0" fontId="51" fillId="25" borderId="96" xfId="4" applyFont="1" applyFill="1" applyBorder="1" applyAlignment="1">
      <alignment horizontal="center" textRotation="90"/>
    </xf>
    <xf numFmtId="0" fontId="51" fillId="0" borderId="96" xfId="4" applyFont="1" applyBorder="1" applyAlignment="1">
      <alignment horizontal="center" vertical="center"/>
    </xf>
    <xf numFmtId="9" fontId="47" fillId="0" borderId="96" xfId="5" applyFont="1" applyBorder="1" applyAlignment="1">
      <alignment horizontal="right" vertical="center"/>
    </xf>
    <xf numFmtId="9" fontId="52" fillId="0" borderId="96" xfId="4" applyNumberFormat="1" applyFont="1" applyBorder="1" applyAlignment="1">
      <alignment horizontal="left" vertical="center"/>
    </xf>
    <xf numFmtId="9" fontId="53" fillId="0" borderId="96" xfId="4" applyNumberFormat="1" applyFont="1" applyBorder="1" applyAlignment="1">
      <alignment horizontal="center" vertical="center"/>
    </xf>
    <xf numFmtId="9" fontId="52" fillId="0" borderId="96" xfId="5" applyFont="1" applyBorder="1" applyAlignment="1">
      <alignment horizontal="right" vertical="center"/>
    </xf>
    <xf numFmtId="9" fontId="54" fillId="0" borderId="96" xfId="5" applyFont="1" applyBorder="1" applyAlignment="1">
      <alignment horizontal="right" vertical="center"/>
    </xf>
    <xf numFmtId="9" fontId="51" fillId="0" borderId="96" xfId="4" applyNumberFormat="1" applyFont="1" applyBorder="1" applyAlignment="1">
      <alignment horizontal="left" vertical="center"/>
    </xf>
    <xf numFmtId="9" fontId="51" fillId="0" borderId="96" xfId="5" applyFont="1" applyBorder="1" applyAlignment="1">
      <alignment horizontal="right" vertical="center"/>
    </xf>
    <xf numFmtId="0" fontId="56" fillId="0" borderId="0" xfId="4" applyFont="1"/>
    <xf numFmtId="0" fontId="56" fillId="0" borderId="0" xfId="4" applyFont="1" applyAlignment="1">
      <alignment horizontal="center" vertical="center"/>
    </xf>
    <xf numFmtId="0" fontId="56" fillId="5" borderId="15" xfId="4" applyFont="1" applyFill="1" applyBorder="1"/>
    <xf numFmtId="0" fontId="56" fillId="5" borderId="16" xfId="4" applyFont="1" applyFill="1" applyBorder="1" applyAlignment="1">
      <alignment horizontal="center" vertical="center"/>
    </xf>
    <xf numFmtId="0" fontId="56" fillId="0" borderId="16" xfId="4" applyFont="1" applyBorder="1" applyAlignment="1">
      <alignment horizontal="center" vertical="center"/>
    </xf>
    <xf numFmtId="0" fontId="56" fillId="0" borderId="17" xfId="4" applyFont="1" applyBorder="1" applyAlignment="1">
      <alignment horizontal="center" vertical="center"/>
    </xf>
    <xf numFmtId="0" fontId="0" fillId="20" borderId="16" xfId="4" applyFont="1" applyFill="1" applyBorder="1"/>
    <xf numFmtId="9" fontId="58" fillId="0" borderId="16" xfId="4" applyNumberFormat="1" applyFont="1" applyBorder="1" applyAlignment="1">
      <alignment horizontal="center" vertical="top"/>
    </xf>
    <xf numFmtId="165" fontId="58" fillId="5" borderId="16" xfId="4" applyNumberFormat="1" applyFont="1" applyFill="1" applyBorder="1" applyAlignment="1">
      <alignment horizontal="center" vertical="top"/>
    </xf>
    <xf numFmtId="165" fontId="58" fillId="0" borderId="16" xfId="4" applyNumberFormat="1" applyFont="1" applyBorder="1" applyAlignment="1">
      <alignment horizontal="center" vertical="top"/>
    </xf>
    <xf numFmtId="4" fontId="58" fillId="0" borderId="17" xfId="4" applyNumberFormat="1" applyFont="1" applyBorder="1" applyAlignment="1">
      <alignment horizontal="center" vertical="top"/>
    </xf>
    <xf numFmtId="9" fontId="56" fillId="0" borderId="16" xfId="4" applyNumberFormat="1" applyFont="1" applyBorder="1" applyAlignment="1">
      <alignment horizontal="center" vertical="center"/>
    </xf>
    <xf numFmtId="9" fontId="58" fillId="0" borderId="24" xfId="4" applyNumberFormat="1" applyFont="1" applyBorder="1" applyAlignment="1">
      <alignment horizontal="center" vertical="top"/>
    </xf>
    <xf numFmtId="165" fontId="58" fillId="0" borderId="24" xfId="4" applyNumberFormat="1" applyFont="1" applyBorder="1" applyAlignment="1">
      <alignment horizontal="center" vertical="top"/>
    </xf>
    <xf numFmtId="4" fontId="58" fillId="0" borderId="25" xfId="4" applyNumberFormat="1" applyFont="1" applyBorder="1" applyAlignment="1">
      <alignment horizontal="center" vertical="top"/>
    </xf>
    <xf numFmtId="0" fontId="0" fillId="20" borderId="24" xfId="4" applyFont="1" applyFill="1" applyBorder="1"/>
    <xf numFmtId="15" fontId="16" fillId="27" borderId="52" xfId="0" applyNumberFormat="1" applyFont="1" applyFill="1" applyBorder="1" applyAlignment="1">
      <alignment horizontal="center" vertical="center" wrapText="1"/>
    </xf>
    <xf numFmtId="15" fontId="16" fillId="27" borderId="54" xfId="0" applyNumberFormat="1" applyFont="1" applyFill="1" applyBorder="1" applyAlignment="1">
      <alignment horizontal="center" vertical="center" wrapText="1"/>
    </xf>
    <xf numFmtId="15" fontId="16" fillId="27" borderId="41" xfId="0" applyNumberFormat="1" applyFont="1" applyFill="1" applyBorder="1" applyAlignment="1">
      <alignment horizontal="center" vertical="center" wrapText="1"/>
    </xf>
    <xf numFmtId="15" fontId="16" fillId="27" borderId="43" xfId="0" applyNumberFormat="1" applyFont="1" applyFill="1" applyBorder="1" applyAlignment="1">
      <alignment horizontal="center" vertical="center" wrapText="1"/>
    </xf>
    <xf numFmtId="15" fontId="16" fillId="28" borderId="32" xfId="0" applyNumberFormat="1" applyFont="1" applyFill="1" applyBorder="1" applyAlignment="1">
      <alignment horizontal="center" vertical="center" wrapText="1"/>
    </xf>
    <xf numFmtId="15" fontId="16" fillId="28" borderId="43" xfId="0" applyNumberFormat="1" applyFont="1" applyFill="1" applyBorder="1" applyAlignment="1">
      <alignment horizontal="center" vertical="center" wrapText="1"/>
    </xf>
    <xf numFmtId="15" fontId="16" fillId="28" borderId="41" xfId="0" applyNumberFormat="1" applyFont="1" applyFill="1" applyBorder="1" applyAlignment="1">
      <alignment horizontal="center" vertical="center" wrapText="1"/>
    </xf>
    <xf numFmtId="15" fontId="16" fillId="27" borderId="32" xfId="0" applyNumberFormat="1" applyFont="1" applyFill="1" applyBorder="1" applyAlignment="1">
      <alignment horizontal="center" vertical="center" wrapText="1"/>
    </xf>
    <xf numFmtId="15" fontId="16" fillId="27" borderId="34" xfId="0" applyNumberFormat="1" applyFont="1" applyFill="1" applyBorder="1" applyAlignment="1">
      <alignment horizontal="center" vertical="center" wrapText="1"/>
    </xf>
    <xf numFmtId="15" fontId="59" fillId="27" borderId="32" xfId="0" applyNumberFormat="1" applyFont="1" applyFill="1" applyBorder="1" applyAlignment="1">
      <alignment wrapText="1"/>
    </xf>
    <xf numFmtId="15" fontId="59" fillId="27" borderId="34" xfId="0" applyNumberFormat="1" applyFont="1" applyFill="1" applyBorder="1" applyAlignment="1">
      <alignment wrapText="1"/>
    </xf>
    <xf numFmtId="15" fontId="59" fillId="27" borderId="41" xfId="0" applyNumberFormat="1" applyFont="1" applyFill="1" applyBorder="1" applyAlignment="1">
      <alignment wrapText="1"/>
    </xf>
    <xf numFmtId="15" fontId="59" fillId="27" borderId="43" xfId="0" applyNumberFormat="1" applyFont="1" applyFill="1" applyBorder="1" applyAlignment="1">
      <alignment wrapText="1"/>
    </xf>
    <xf numFmtId="15" fontId="59" fillId="28" borderId="41" xfId="0" applyNumberFormat="1" applyFont="1" applyFill="1" applyBorder="1" applyAlignment="1">
      <alignment wrapText="1"/>
    </xf>
    <xf numFmtId="15" fontId="59" fillId="28" borderId="43" xfId="0" applyNumberFormat="1" applyFont="1" applyFill="1" applyBorder="1" applyAlignment="1">
      <alignment wrapText="1"/>
    </xf>
    <xf numFmtId="15" fontId="59" fillId="27" borderId="32" xfId="0" applyNumberFormat="1" applyFont="1" applyFill="1" applyBorder="1" applyAlignment="1">
      <alignment horizontal="center" vertical="center" wrapText="1"/>
    </xf>
    <xf numFmtId="15" fontId="59" fillId="27" borderId="34" xfId="0" applyNumberFormat="1" applyFont="1" applyFill="1" applyBorder="1" applyAlignment="1">
      <alignment horizontal="center" vertical="center" wrapText="1"/>
    </xf>
    <xf numFmtId="15" fontId="59" fillId="27" borderId="41" xfId="0" applyNumberFormat="1" applyFont="1" applyFill="1" applyBorder="1" applyAlignment="1">
      <alignment horizontal="center" vertical="center" wrapText="1"/>
    </xf>
    <xf numFmtId="15" fontId="59" fillId="27" borderId="43" xfId="0" applyNumberFormat="1" applyFont="1" applyFill="1" applyBorder="1" applyAlignment="1">
      <alignment horizontal="center" vertical="center" wrapText="1"/>
    </xf>
    <xf numFmtId="15" fontId="59" fillId="28" borderId="32" xfId="0" applyNumberFormat="1" applyFont="1" applyFill="1" applyBorder="1" applyAlignment="1">
      <alignment wrapText="1"/>
    </xf>
    <xf numFmtId="15" fontId="13" fillId="19" borderId="32" xfId="1" applyNumberFormat="1" applyFont="1" applyFill="1" applyBorder="1" applyAlignment="1">
      <alignment horizontal="center" vertical="center" wrapText="1"/>
    </xf>
    <xf numFmtId="15" fontId="34" fillId="9" borderId="32" xfId="1" applyNumberFormat="1" applyFont="1" applyFill="1" applyBorder="1" applyAlignment="1">
      <alignment horizontal="center" vertical="center" wrapText="1"/>
    </xf>
    <xf numFmtId="49" fontId="8" fillId="6" borderId="48" xfId="0" applyNumberFormat="1" applyFont="1" applyFill="1" applyBorder="1" applyAlignment="1">
      <alignment horizontal="center" vertical="center" wrapText="1"/>
    </xf>
    <xf numFmtId="49" fontId="18" fillId="9" borderId="54" xfId="0" applyNumberFormat="1" applyFont="1" applyFill="1" applyBorder="1" applyAlignment="1">
      <alignment horizontal="left" vertical="center" wrapText="1"/>
    </xf>
    <xf numFmtId="49" fontId="18" fillId="9" borderId="34" xfId="0" applyNumberFormat="1" applyFont="1" applyFill="1" applyBorder="1" applyAlignment="1">
      <alignment horizontal="left" vertical="center" wrapText="1"/>
    </xf>
    <xf numFmtId="49" fontId="18" fillId="9" borderId="61" xfId="0" applyNumberFormat="1" applyFont="1" applyFill="1" applyBorder="1" applyAlignment="1">
      <alignment horizontal="left" vertical="center" wrapText="1"/>
    </xf>
    <xf numFmtId="49" fontId="7" fillId="3" borderId="54" xfId="0" applyNumberFormat="1" applyFont="1" applyFill="1" applyBorder="1" applyAlignment="1">
      <alignment horizontal="left" vertical="center" wrapText="1"/>
    </xf>
    <xf numFmtId="49" fontId="7" fillId="3" borderId="61" xfId="0" applyNumberFormat="1" applyFont="1" applyFill="1" applyBorder="1" applyAlignment="1">
      <alignment horizontal="left" vertical="center" wrapText="1"/>
    </xf>
    <xf numFmtId="49" fontId="7" fillId="0" borderId="0" xfId="0" applyNumberFormat="1" applyFont="1" applyAlignment="1">
      <alignment horizontal="center" vertical="center" wrapText="1"/>
    </xf>
    <xf numFmtId="49" fontId="7" fillId="9" borderId="34" xfId="0" applyNumberFormat="1" applyFont="1" applyFill="1" applyBorder="1" applyAlignment="1">
      <alignment horizontal="center" vertical="center" wrapText="1"/>
    </xf>
    <xf numFmtId="49" fontId="7" fillId="13" borderId="54" xfId="0" applyNumberFormat="1" applyFont="1" applyFill="1" applyBorder="1" applyAlignment="1">
      <alignment horizontal="center" vertical="center" wrapText="1"/>
    </xf>
    <xf numFmtId="49" fontId="18" fillId="9" borderId="48" xfId="0" applyNumberFormat="1" applyFont="1" applyFill="1" applyBorder="1" applyAlignment="1">
      <alignment horizontal="left" vertical="center" wrapText="1"/>
    </xf>
    <xf numFmtId="49" fontId="18" fillId="14" borderId="61" xfId="0" applyNumberFormat="1" applyFont="1" applyFill="1" applyBorder="1" applyAlignment="1">
      <alignment vertical="center" wrapText="1"/>
    </xf>
    <xf numFmtId="49" fontId="30" fillId="19" borderId="54" xfId="0" applyNumberFormat="1" applyFont="1" applyFill="1" applyBorder="1" applyAlignment="1">
      <alignment horizontal="left" vertical="center" wrapText="1"/>
    </xf>
    <xf numFmtId="49" fontId="18" fillId="19" borderId="34" xfId="0" applyNumberFormat="1" applyFont="1" applyFill="1" applyBorder="1" applyAlignment="1">
      <alignment horizontal="left" vertical="center" wrapText="1"/>
    </xf>
    <xf numFmtId="49" fontId="18" fillId="19" borderId="61" xfId="0" applyNumberFormat="1" applyFont="1" applyFill="1" applyBorder="1" applyAlignment="1">
      <alignment horizontal="left" vertical="center" wrapText="1"/>
    </xf>
    <xf numFmtId="49" fontId="7" fillId="0" borderId="0" xfId="0" applyNumberFormat="1" applyFont="1" applyAlignment="1">
      <alignment horizontal="center" wrapText="1"/>
    </xf>
    <xf numFmtId="49" fontId="7" fillId="9" borderId="54" xfId="0" applyNumberFormat="1" applyFont="1" applyFill="1" applyBorder="1" applyAlignment="1">
      <alignment horizontal="center" vertical="center" wrapText="1"/>
    </xf>
    <xf numFmtId="49" fontId="7" fillId="9" borderId="61" xfId="0" applyNumberFormat="1" applyFont="1" applyFill="1" applyBorder="1" applyAlignment="1">
      <alignment horizontal="center" vertical="center" wrapText="1"/>
    </xf>
    <xf numFmtId="49" fontId="7" fillId="10" borderId="54" xfId="0" applyNumberFormat="1" applyFont="1" applyFill="1" applyBorder="1" applyAlignment="1">
      <alignment horizontal="center" vertical="center" wrapText="1"/>
    </xf>
    <xf numFmtId="49" fontId="7" fillId="10" borderId="34" xfId="0" applyNumberFormat="1" applyFont="1" applyFill="1" applyBorder="1" applyAlignment="1">
      <alignment horizontal="center" vertical="center" wrapText="1"/>
    </xf>
    <xf numFmtId="49" fontId="7" fillId="10" borderId="61" xfId="0" applyNumberFormat="1" applyFont="1" applyFill="1" applyBorder="1" applyAlignment="1">
      <alignment horizontal="center" vertical="center" wrapText="1"/>
    </xf>
    <xf numFmtId="49" fontId="18" fillId="9" borderId="54" xfId="0" applyNumberFormat="1" applyFont="1" applyFill="1" applyBorder="1" applyAlignment="1">
      <alignment horizontal="center" vertical="center" wrapText="1"/>
    </xf>
    <xf numFmtId="49" fontId="18" fillId="9" borderId="34" xfId="0" applyNumberFormat="1" applyFont="1" applyFill="1" applyBorder="1" applyAlignment="1">
      <alignment horizontal="center" vertical="center" wrapText="1"/>
    </xf>
    <xf numFmtId="49" fontId="17" fillId="9" borderId="61" xfId="0" applyNumberFormat="1" applyFont="1" applyFill="1" applyBorder="1" applyAlignment="1">
      <alignment horizontal="center" vertical="center" wrapText="1"/>
    </xf>
    <xf numFmtId="49" fontId="7" fillId="20" borderId="48" xfId="0" applyNumberFormat="1" applyFont="1" applyFill="1" applyBorder="1" applyAlignment="1">
      <alignment horizontal="center" vertical="center" wrapText="1"/>
    </xf>
    <xf numFmtId="49" fontId="18" fillId="9" borderId="61" xfId="0" applyNumberFormat="1" applyFont="1" applyFill="1" applyBorder="1" applyAlignment="1">
      <alignment horizontal="center" vertical="center" wrapText="1"/>
    </xf>
    <xf numFmtId="49" fontId="7" fillId="3" borderId="54" xfId="0" applyNumberFormat="1" applyFont="1" applyFill="1" applyBorder="1" applyAlignment="1">
      <alignment horizontal="center" vertical="center" wrapText="1"/>
    </xf>
    <xf numFmtId="49" fontId="7" fillId="3" borderId="61" xfId="0" applyNumberFormat="1" applyFont="1" applyFill="1" applyBorder="1" applyAlignment="1">
      <alignment horizontal="center" vertical="center" wrapText="1"/>
    </xf>
    <xf numFmtId="49" fontId="7" fillId="13" borderId="61" xfId="0" applyNumberFormat="1" applyFont="1" applyFill="1" applyBorder="1" applyAlignment="1">
      <alignment horizontal="center" vertical="center" wrapText="1"/>
    </xf>
    <xf numFmtId="49" fontId="18" fillId="9" borderId="48" xfId="0" applyNumberFormat="1" applyFont="1" applyFill="1" applyBorder="1" applyAlignment="1">
      <alignment horizontal="center" vertical="center" wrapText="1"/>
    </xf>
    <xf numFmtId="49" fontId="7" fillId="3" borderId="34" xfId="0" applyNumberFormat="1" applyFont="1" applyFill="1" applyBorder="1" applyAlignment="1">
      <alignment horizontal="center" vertical="center" wrapText="1"/>
    </xf>
    <xf numFmtId="49" fontId="18" fillId="14" borderId="54" xfId="0" applyNumberFormat="1" applyFont="1" applyFill="1" applyBorder="1" applyAlignment="1">
      <alignment horizontal="center" vertical="top" wrapText="1"/>
    </xf>
    <xf numFmtId="49" fontId="18" fillId="14" borderId="61" xfId="0" applyNumberFormat="1" applyFont="1" applyFill="1" applyBorder="1" applyAlignment="1">
      <alignment horizontal="center" vertical="center" wrapText="1"/>
    </xf>
    <xf numFmtId="49" fontId="18" fillId="0" borderId="0" xfId="0" applyNumberFormat="1" applyFont="1" applyAlignment="1">
      <alignment horizontal="center" wrapText="1"/>
    </xf>
    <xf numFmtId="49" fontId="30" fillId="19" borderId="54" xfId="0" applyNumberFormat="1" applyFont="1" applyFill="1" applyBorder="1" applyAlignment="1">
      <alignment horizontal="center" vertical="center" wrapText="1"/>
    </xf>
    <xf numFmtId="49" fontId="18" fillId="19" borderId="34" xfId="0" applyNumberFormat="1" applyFont="1" applyFill="1" applyBorder="1" applyAlignment="1">
      <alignment horizontal="center" vertical="center" wrapText="1"/>
    </xf>
    <xf numFmtId="49" fontId="18" fillId="19" borderId="61" xfId="0" applyNumberFormat="1" applyFont="1" applyFill="1" applyBorder="1" applyAlignment="1">
      <alignment horizontal="center" vertical="center" wrapText="1"/>
    </xf>
    <xf numFmtId="49" fontId="18" fillId="10" borderId="54" xfId="0" applyNumberFormat="1" applyFont="1" applyFill="1" applyBorder="1" applyAlignment="1">
      <alignment horizontal="left" vertical="center" wrapText="1"/>
    </xf>
    <xf numFmtId="49" fontId="18" fillId="10" borderId="34" xfId="0" applyNumberFormat="1" applyFont="1" applyFill="1" applyBorder="1" applyAlignment="1">
      <alignment horizontal="left" vertical="center" wrapText="1"/>
    </xf>
    <xf numFmtId="49" fontId="18" fillId="10" borderId="61" xfId="0" applyNumberFormat="1" applyFont="1" applyFill="1" applyBorder="1" applyAlignment="1">
      <alignment horizontal="left" vertical="center" wrapText="1"/>
    </xf>
    <xf numFmtId="49" fontId="18" fillId="20" borderId="48" xfId="0" applyNumberFormat="1" applyFont="1" applyFill="1" applyBorder="1" applyAlignment="1">
      <alignment horizontal="left" vertical="center" wrapText="1"/>
    </xf>
    <xf numFmtId="49" fontId="18" fillId="13" borderId="54" xfId="0" applyNumberFormat="1" applyFont="1" applyFill="1" applyBorder="1" applyAlignment="1">
      <alignment horizontal="center" vertical="center" wrapText="1"/>
    </xf>
    <xf numFmtId="49" fontId="18" fillId="13" borderId="61" xfId="0" applyNumberFormat="1" applyFont="1" applyFill="1" applyBorder="1" applyAlignment="1">
      <alignment horizontal="left" vertical="center" wrapText="1"/>
    </xf>
    <xf numFmtId="49" fontId="18" fillId="13" borderId="54" xfId="0" applyNumberFormat="1" applyFont="1" applyFill="1" applyBorder="1" applyAlignment="1">
      <alignment horizontal="left" vertical="center" wrapText="1"/>
    </xf>
    <xf numFmtId="49" fontId="18" fillId="9" borderId="54" xfId="0" applyNumberFormat="1" applyFont="1" applyFill="1" applyBorder="1" applyAlignment="1">
      <alignment vertical="center" wrapText="1"/>
    </xf>
    <xf numFmtId="49" fontId="18" fillId="9" borderId="34" xfId="0" applyNumberFormat="1" applyFont="1" applyFill="1" applyBorder="1" applyAlignment="1">
      <alignment vertical="center" wrapText="1"/>
    </xf>
    <xf numFmtId="49" fontId="7" fillId="9" borderId="34" xfId="0" applyNumberFormat="1" applyFont="1" applyFill="1" applyBorder="1" applyAlignment="1">
      <alignment vertical="center" wrapText="1"/>
    </xf>
    <xf numFmtId="49" fontId="18" fillId="9" borderId="61" xfId="0" applyNumberFormat="1" applyFont="1" applyFill="1" applyBorder="1" applyAlignment="1">
      <alignment vertical="center" wrapText="1"/>
    </xf>
    <xf numFmtId="49" fontId="18" fillId="14" borderId="54" xfId="0" applyNumberFormat="1" applyFont="1" applyFill="1" applyBorder="1" applyAlignment="1">
      <alignment vertical="center" wrapText="1"/>
    </xf>
    <xf numFmtId="49" fontId="18" fillId="3" borderId="0" xfId="0" applyNumberFormat="1" applyFont="1" applyFill="1" applyAlignment="1">
      <alignment horizontal="center" vertical="center" wrapText="1"/>
    </xf>
    <xf numFmtId="49" fontId="18" fillId="20" borderId="54" xfId="0" applyNumberFormat="1" applyFont="1" applyFill="1" applyBorder="1" applyAlignment="1">
      <alignment horizontal="center" vertical="center" wrapText="1"/>
    </xf>
    <xf numFmtId="49" fontId="18" fillId="0" borderId="31" xfId="0" applyNumberFormat="1" applyFont="1" applyBorder="1" applyAlignment="1">
      <alignment horizontal="center" vertical="center" wrapText="1"/>
    </xf>
    <xf numFmtId="0" fontId="11" fillId="5" borderId="0" xfId="0" applyFont="1" applyFill="1" applyAlignment="1">
      <alignment horizontal="center" vertical="center" textRotation="90"/>
    </xf>
    <xf numFmtId="49" fontId="18" fillId="10" borderId="54" xfId="0" applyNumberFormat="1" applyFont="1" applyFill="1" applyBorder="1" applyAlignment="1">
      <alignment horizontal="center" vertical="center" wrapText="1"/>
    </xf>
    <xf numFmtId="49" fontId="18" fillId="10" borderId="34" xfId="0" applyNumberFormat="1" applyFont="1" applyFill="1" applyBorder="1" applyAlignment="1">
      <alignment horizontal="center" vertical="center" wrapText="1"/>
    </xf>
    <xf numFmtId="49" fontId="18" fillId="10" borderId="61" xfId="0" applyNumberFormat="1" applyFont="1" applyFill="1" applyBorder="1" applyAlignment="1">
      <alignment horizontal="center" vertical="center" wrapText="1"/>
    </xf>
    <xf numFmtId="0" fontId="11" fillId="5" borderId="2" xfId="0" applyFont="1" applyFill="1" applyBorder="1" applyAlignment="1">
      <alignment horizontal="center" vertical="center" textRotation="90"/>
    </xf>
    <xf numFmtId="49" fontId="18" fillId="20" borderId="48" xfId="0" applyNumberFormat="1" applyFont="1" applyFill="1" applyBorder="1" applyAlignment="1">
      <alignment horizontal="center" vertical="center" wrapText="1"/>
    </xf>
    <xf numFmtId="0" fontId="11" fillId="5" borderId="7" xfId="0" applyFont="1" applyFill="1" applyBorder="1" applyAlignment="1">
      <alignment horizontal="center" vertical="center" textRotation="90"/>
    </xf>
    <xf numFmtId="49" fontId="7" fillId="3" borderId="51" xfId="0" applyNumberFormat="1" applyFont="1" applyFill="1" applyBorder="1" applyAlignment="1">
      <alignment horizontal="center" vertical="center" wrapText="1"/>
    </xf>
    <xf numFmtId="49" fontId="7" fillId="3" borderId="58" xfId="0" applyNumberFormat="1" applyFont="1" applyFill="1" applyBorder="1" applyAlignment="1">
      <alignment horizontal="center" vertical="center" wrapText="1"/>
    </xf>
    <xf numFmtId="49" fontId="18" fillId="20" borderId="61" xfId="0" applyNumberFormat="1" applyFont="1" applyFill="1" applyBorder="1" applyAlignment="1">
      <alignment horizontal="center" vertical="center" wrapText="1"/>
    </xf>
    <xf numFmtId="49" fontId="7" fillId="12" borderId="35" xfId="0" applyNumberFormat="1" applyFont="1" applyFill="1" applyBorder="1" applyAlignment="1">
      <alignment horizontal="center" vertical="center" wrapText="1"/>
    </xf>
    <xf numFmtId="49" fontId="7" fillId="12" borderId="76" xfId="0" applyNumberFormat="1" applyFont="1" applyFill="1" applyBorder="1" applyAlignment="1">
      <alignment horizontal="center" vertical="center" wrapText="1"/>
    </xf>
    <xf numFmtId="49" fontId="7" fillId="20" borderId="54" xfId="0" applyNumberFormat="1" applyFont="1" applyFill="1" applyBorder="1" applyAlignment="1">
      <alignment horizontal="center" vertical="center" wrapText="1"/>
    </xf>
    <xf numFmtId="49" fontId="7" fillId="0" borderId="41" xfId="0" applyNumberFormat="1" applyFont="1" applyBorder="1" applyAlignment="1">
      <alignment horizontal="center" vertical="center" wrapText="1"/>
    </xf>
    <xf numFmtId="49" fontId="7" fillId="12" borderId="54" xfId="0" applyNumberFormat="1" applyFont="1" applyFill="1" applyBorder="1" applyAlignment="1">
      <alignment horizontal="center" vertical="center" wrapText="1"/>
    </xf>
    <xf numFmtId="49" fontId="7" fillId="12" borderId="34" xfId="0" applyNumberFormat="1" applyFont="1" applyFill="1" applyBorder="1" applyAlignment="1">
      <alignment horizontal="center" vertical="center" wrapText="1"/>
    </xf>
    <xf numFmtId="49" fontId="7" fillId="12" borderId="61" xfId="0" applyNumberFormat="1" applyFont="1" applyFill="1" applyBorder="1" applyAlignment="1">
      <alignment horizontal="center" vertical="center" wrapText="1"/>
    </xf>
    <xf numFmtId="49" fontId="7" fillId="20" borderId="61" xfId="0" applyNumberFormat="1" applyFont="1" applyFill="1" applyBorder="1" applyAlignment="1">
      <alignment horizontal="center" vertical="center" wrapText="1"/>
    </xf>
    <xf numFmtId="49" fontId="7" fillId="15" borderId="54" xfId="0" applyNumberFormat="1" applyFont="1" applyFill="1" applyBorder="1" applyAlignment="1">
      <alignment horizontal="center" vertical="center" wrapText="1"/>
    </xf>
    <xf numFmtId="49" fontId="7" fillId="15" borderId="61" xfId="0" applyNumberFormat="1" applyFont="1" applyFill="1" applyBorder="1" applyAlignment="1">
      <alignment horizontal="center" vertical="center" wrapText="1"/>
    </xf>
    <xf numFmtId="0" fontId="8" fillId="9" borderId="54" xfId="0" applyFont="1" applyFill="1" applyBorder="1" applyAlignment="1">
      <alignment horizontal="center" vertical="center" wrapText="1"/>
    </xf>
    <xf numFmtId="0" fontId="8" fillId="9" borderId="34" xfId="0" applyFont="1" applyFill="1" applyBorder="1" applyAlignment="1">
      <alignment horizontal="center" vertical="center" wrapText="1"/>
    </xf>
    <xf numFmtId="0" fontId="36" fillId="10" borderId="52" xfId="0" applyFont="1" applyFill="1" applyBorder="1" applyAlignment="1">
      <alignment horizontal="center" vertical="center" textRotation="90"/>
    </xf>
    <xf numFmtId="49" fontId="58" fillId="10" borderId="34" xfId="0" applyNumberFormat="1" applyFont="1" applyFill="1" applyBorder="1" applyAlignment="1">
      <alignment horizontal="center" vertical="center" wrapText="1"/>
    </xf>
    <xf numFmtId="49" fontId="58" fillId="10" borderId="61" xfId="0" applyNumberFormat="1" applyFont="1" applyFill="1" applyBorder="1" applyAlignment="1">
      <alignment horizontal="center" vertical="center" wrapText="1"/>
    </xf>
    <xf numFmtId="0" fontId="8" fillId="18" borderId="54" xfId="0" applyFont="1" applyFill="1" applyBorder="1" applyAlignment="1">
      <alignment horizontal="center" vertical="center" wrapText="1"/>
    </xf>
    <xf numFmtId="0" fontId="8" fillId="18" borderId="61" xfId="0" applyFont="1" applyFill="1" applyBorder="1" applyAlignment="1">
      <alignment horizontal="center" vertical="center" wrapText="1"/>
    </xf>
    <xf numFmtId="49" fontId="58" fillId="9" borderId="34" xfId="0" applyNumberFormat="1" applyFont="1" applyFill="1" applyBorder="1" applyAlignment="1">
      <alignment horizontal="center" vertical="center" wrapText="1"/>
    </xf>
    <xf numFmtId="49" fontId="58" fillId="9" borderId="54" xfId="0" applyNumberFormat="1" applyFont="1" applyFill="1" applyBorder="1" applyAlignment="1">
      <alignment horizontal="center" vertical="center" wrapText="1"/>
    </xf>
    <xf numFmtId="49" fontId="58" fillId="9" borderId="61" xfId="0" applyNumberFormat="1" applyFont="1" applyFill="1" applyBorder="1" applyAlignment="1">
      <alignment horizontal="center" vertical="center" wrapText="1"/>
    </xf>
    <xf numFmtId="49" fontId="58" fillId="10" borderId="54" xfId="0" applyNumberFormat="1" applyFont="1" applyFill="1" applyBorder="1" applyAlignment="1">
      <alignment horizontal="center" vertical="center" wrapText="1"/>
    </xf>
    <xf numFmtId="49" fontId="58" fillId="20" borderId="48" xfId="0" applyNumberFormat="1" applyFont="1" applyFill="1" applyBorder="1" applyAlignment="1">
      <alignment horizontal="center" vertical="center" wrapText="1"/>
    </xf>
    <xf numFmtId="49" fontId="58" fillId="3" borderId="54" xfId="0" applyNumberFormat="1" applyFont="1" applyFill="1" applyBorder="1" applyAlignment="1">
      <alignment horizontal="center" vertical="center" wrapText="1"/>
    </xf>
    <xf numFmtId="49" fontId="58" fillId="3" borderId="61" xfId="0" applyNumberFormat="1" applyFont="1" applyFill="1" applyBorder="1" applyAlignment="1">
      <alignment horizontal="center" vertical="center" wrapText="1"/>
    </xf>
    <xf numFmtId="49" fontId="18" fillId="14" borderId="54" xfId="0" applyNumberFormat="1" applyFont="1" applyFill="1" applyBorder="1" applyAlignment="1">
      <alignment horizontal="center" vertical="center" wrapText="1"/>
    </xf>
    <xf numFmtId="49" fontId="30" fillId="9" borderId="54" xfId="0" applyNumberFormat="1" applyFont="1" applyFill="1" applyBorder="1" applyAlignment="1">
      <alignment horizontal="center" vertical="center" wrapText="1"/>
    </xf>
    <xf numFmtId="49" fontId="58" fillId="13" borderId="54" xfId="0" applyNumberFormat="1" applyFont="1" applyFill="1" applyBorder="1" applyAlignment="1">
      <alignment horizontal="center" vertical="center" wrapText="1"/>
    </xf>
    <xf numFmtId="49" fontId="58" fillId="13" borderId="61" xfId="0" applyNumberFormat="1" applyFont="1" applyFill="1" applyBorder="1" applyAlignment="1">
      <alignment horizontal="center" vertical="center" wrapText="1"/>
    </xf>
    <xf numFmtId="49" fontId="58" fillId="13" borderId="43" xfId="0" applyNumberFormat="1" applyFont="1" applyFill="1" applyBorder="1" applyAlignment="1">
      <alignment horizontal="center" vertical="center" wrapText="1"/>
    </xf>
    <xf numFmtId="49" fontId="58" fillId="13" borderId="38" xfId="0" applyNumberFormat="1" applyFont="1" applyFill="1" applyBorder="1" applyAlignment="1">
      <alignment horizontal="center" vertical="center" wrapText="1"/>
    </xf>
    <xf numFmtId="49" fontId="58" fillId="9" borderId="38" xfId="0" applyNumberFormat="1" applyFont="1" applyFill="1" applyBorder="1" applyAlignment="1">
      <alignment horizontal="center" vertical="center" wrapText="1"/>
    </xf>
    <xf numFmtId="49" fontId="58" fillId="20" borderId="111" xfId="0" applyNumberFormat="1" applyFont="1" applyFill="1" applyBorder="1" applyAlignment="1">
      <alignment horizontal="center" vertical="center" wrapText="1"/>
    </xf>
    <xf numFmtId="49" fontId="8" fillId="6" borderId="65" xfId="0" applyNumberFormat="1" applyFont="1" applyFill="1" applyBorder="1" applyAlignment="1">
      <alignment horizontal="center" vertical="center" wrapText="1"/>
    </xf>
    <xf numFmtId="13" fontId="16" fillId="9" borderId="67" xfId="1" quotePrefix="1" applyNumberFormat="1" applyFont="1" applyFill="1" applyBorder="1" applyAlignment="1">
      <alignment horizontal="center" vertical="center" wrapText="1"/>
    </xf>
    <xf numFmtId="15" fontId="16" fillId="19" borderId="32" xfId="1" applyNumberFormat="1" applyFont="1" applyFill="1" applyBorder="1" applyAlignment="1">
      <alignment horizontal="center" vertical="center" wrapText="1"/>
    </xf>
    <xf numFmtId="0" fontId="11" fillId="9" borderId="74" xfId="0" applyFont="1" applyFill="1" applyBorder="1" applyAlignment="1">
      <alignment horizontal="center" vertical="center" textRotation="90"/>
    </xf>
    <xf numFmtId="0" fontId="11" fillId="9" borderId="71" xfId="0" applyFont="1" applyFill="1" applyBorder="1" applyAlignment="1">
      <alignment horizontal="center" vertical="center" textRotation="90"/>
    </xf>
    <xf numFmtId="0" fontId="11" fillId="9" borderId="72" xfId="0" applyFont="1" applyFill="1" applyBorder="1" applyAlignment="1">
      <alignment horizontal="center" vertical="center" textRotation="90"/>
    </xf>
    <xf numFmtId="0" fontId="11" fillId="10" borderId="50" xfId="0" applyFont="1" applyFill="1" applyBorder="1" applyAlignment="1">
      <alignment horizontal="center" vertical="center" textRotation="90"/>
    </xf>
    <xf numFmtId="0" fontId="11" fillId="10" borderId="55" xfId="0" applyFont="1" applyFill="1" applyBorder="1" applyAlignment="1">
      <alignment horizontal="center" vertical="center" textRotation="90"/>
    </xf>
    <xf numFmtId="0" fontId="11" fillId="10" borderId="57" xfId="0" applyFont="1" applyFill="1" applyBorder="1" applyAlignment="1">
      <alignment horizontal="center" vertical="center" textRotation="90"/>
    </xf>
    <xf numFmtId="0" fontId="11" fillId="10" borderId="74" xfId="0" applyFont="1" applyFill="1" applyBorder="1" applyAlignment="1">
      <alignment horizontal="center" vertical="center" textRotation="90"/>
    </xf>
    <xf numFmtId="0" fontId="11" fillId="10" borderId="71" xfId="0" applyFont="1" applyFill="1" applyBorder="1" applyAlignment="1">
      <alignment horizontal="center" vertical="center" textRotation="90"/>
    </xf>
    <xf numFmtId="0" fontId="11" fillId="10" borderId="72" xfId="0" applyFont="1" applyFill="1" applyBorder="1" applyAlignment="1">
      <alignment horizontal="center" vertical="center" textRotation="90"/>
    </xf>
    <xf numFmtId="0" fontId="11" fillId="3" borderId="74" xfId="0" applyFont="1" applyFill="1" applyBorder="1" applyAlignment="1">
      <alignment horizontal="center" vertical="center" textRotation="90"/>
    </xf>
    <xf numFmtId="0" fontId="11" fillId="3" borderId="72" xfId="0" applyFont="1" applyFill="1" applyBorder="1" applyAlignment="1">
      <alignment horizontal="center" vertical="center" textRotation="90"/>
    </xf>
    <xf numFmtId="0" fontId="11" fillId="9" borderId="74" xfId="0" applyFont="1" applyFill="1" applyBorder="1" applyAlignment="1">
      <alignment horizontal="center" vertical="center" textRotation="90" wrapText="1"/>
    </xf>
    <xf numFmtId="0" fontId="11" fillId="20" borderId="74" xfId="0" applyFont="1" applyFill="1" applyBorder="1" applyAlignment="1">
      <alignment horizontal="center" vertical="center" textRotation="90" wrapText="1"/>
    </xf>
    <xf numFmtId="0" fontId="11" fillId="20" borderId="72" xfId="0" applyFont="1" applyFill="1" applyBorder="1" applyAlignment="1">
      <alignment horizontal="center" vertical="center" textRotation="90"/>
    </xf>
    <xf numFmtId="15" fontId="11" fillId="9" borderId="52" xfId="0" applyNumberFormat="1" applyFont="1" applyFill="1" applyBorder="1" applyAlignment="1">
      <alignment horizontal="center" vertical="center" wrapText="1"/>
    </xf>
    <xf numFmtId="15" fontId="11" fillId="9" borderId="32" xfId="0" applyNumberFormat="1" applyFont="1" applyFill="1" applyBorder="1" applyAlignment="1">
      <alignment horizontal="center" vertical="center" wrapText="1"/>
    </xf>
    <xf numFmtId="15" fontId="11" fillId="9" borderId="59" xfId="0" applyNumberFormat="1" applyFont="1" applyFill="1" applyBorder="1" applyAlignment="1">
      <alignment horizontal="center" vertical="center" wrapText="1"/>
    </xf>
    <xf numFmtId="0" fontId="11" fillId="20" borderId="74" xfId="0" applyFont="1" applyFill="1" applyBorder="1" applyAlignment="1">
      <alignment horizontal="center" vertical="center" textRotation="90"/>
    </xf>
    <xf numFmtId="0" fontId="11" fillId="19" borderId="74" xfId="0" applyFont="1" applyFill="1" applyBorder="1" applyAlignment="1">
      <alignment horizontal="center" vertical="center" textRotation="90"/>
    </xf>
    <xf numFmtId="0" fontId="11" fillId="19" borderId="71" xfId="0" applyFont="1" applyFill="1" applyBorder="1" applyAlignment="1">
      <alignment horizontal="center" vertical="center" textRotation="90"/>
    </xf>
    <xf numFmtId="0" fontId="11" fillId="19" borderId="72" xfId="0" applyFont="1" applyFill="1" applyBorder="1" applyAlignment="1">
      <alignment horizontal="center" vertical="center" textRotation="90"/>
    </xf>
    <xf numFmtId="0" fontId="13" fillId="0" borderId="31" xfId="0" applyFont="1" applyBorder="1" applyAlignment="1">
      <alignment horizontal="left" vertical="center" wrapText="1"/>
    </xf>
    <xf numFmtId="0" fontId="13" fillId="0" borderId="38" xfId="0" applyFont="1" applyBorder="1" applyAlignment="1">
      <alignment horizontal="left" vertical="center" wrapText="1"/>
    </xf>
    <xf numFmtId="0" fontId="13" fillId="0" borderId="34" xfId="0" applyFont="1" applyBorder="1" applyAlignment="1">
      <alignment horizontal="left" vertical="center" wrapText="1"/>
    </xf>
    <xf numFmtId="0" fontId="13" fillId="6" borderId="29" xfId="0" applyFont="1" applyFill="1" applyBorder="1" applyAlignment="1">
      <alignment horizontal="center" vertical="center" textRotation="90"/>
    </xf>
    <xf numFmtId="0" fontId="13" fillId="6" borderId="33" xfId="0" applyFont="1" applyFill="1" applyBorder="1" applyAlignment="1">
      <alignment horizontal="center" vertical="center" textRotation="90"/>
    </xf>
    <xf numFmtId="0" fontId="13" fillId="6" borderId="41" xfId="0" applyFont="1" applyFill="1" applyBorder="1" applyAlignment="1">
      <alignment horizontal="center" vertical="center" textRotation="90"/>
    </xf>
    <xf numFmtId="0" fontId="13" fillId="0" borderId="32" xfId="0" applyFont="1" applyBorder="1" applyAlignment="1">
      <alignment horizontal="left" vertical="center" wrapText="1"/>
    </xf>
    <xf numFmtId="0" fontId="13" fillId="0" borderId="32" xfId="0" applyFont="1" applyBorder="1" applyAlignment="1">
      <alignment horizontal="left" vertical="center"/>
    </xf>
    <xf numFmtId="0" fontId="0" fillId="0" borderId="103" xfId="4" applyFont="1" applyBorder="1" applyAlignment="1">
      <alignment horizontal="center"/>
    </xf>
    <xf numFmtId="0" fontId="0" fillId="0" borderId="104" xfId="4" applyFont="1" applyBorder="1" applyAlignment="1">
      <alignment horizontal="center"/>
    </xf>
    <xf numFmtId="0" fontId="0" fillId="0" borderId="105" xfId="4" applyFont="1" applyBorder="1" applyAlignment="1">
      <alignment horizontal="center"/>
    </xf>
    <xf numFmtId="0" fontId="0" fillId="0" borderId="110" xfId="4" applyFont="1" applyBorder="1" applyAlignment="1">
      <alignment horizontal="center"/>
    </xf>
    <xf numFmtId="0" fontId="50" fillId="0" borderId="96" xfId="4" applyFont="1" applyBorder="1" applyAlignment="1">
      <alignment horizontal="center" vertical="center"/>
    </xf>
    <xf numFmtId="0" fontId="55" fillId="0" borderId="98" xfId="4" applyFont="1" applyBorder="1" applyAlignment="1">
      <alignment horizontal="center" vertical="center"/>
    </xf>
    <xf numFmtId="0" fontId="55" fillId="0" borderId="99" xfId="4" applyFont="1" applyBorder="1" applyAlignment="1">
      <alignment horizontal="center" vertical="center"/>
    </xf>
    <xf numFmtId="0" fontId="55" fillId="0" borderId="100" xfId="4" applyFont="1" applyBorder="1" applyAlignment="1">
      <alignment horizontal="center" vertical="center"/>
    </xf>
    <xf numFmtId="0" fontId="55" fillId="0" borderId="101" xfId="4" applyFont="1" applyBorder="1" applyAlignment="1">
      <alignment horizontal="center" vertical="center"/>
    </xf>
    <xf numFmtId="0" fontId="55" fillId="0" borderId="0" xfId="4" applyFont="1" applyAlignment="1">
      <alignment horizontal="center" vertical="center"/>
    </xf>
    <xf numFmtId="0" fontId="55" fillId="0" borderId="102" xfId="4" applyFont="1" applyBorder="1" applyAlignment="1">
      <alignment horizontal="center" vertical="center"/>
    </xf>
    <xf numFmtId="0" fontId="55" fillId="0" borderId="103" xfId="4" applyFont="1" applyBorder="1" applyAlignment="1">
      <alignment horizontal="center" vertical="center"/>
    </xf>
    <xf numFmtId="0" fontId="55" fillId="0" borderId="104" xfId="4" applyFont="1" applyBorder="1" applyAlignment="1">
      <alignment horizontal="center" vertical="center"/>
    </xf>
    <xf numFmtId="0" fontId="55" fillId="0" borderId="106" xfId="4" applyFont="1" applyBorder="1" applyAlignment="1">
      <alignment horizontal="center" vertical="center"/>
    </xf>
    <xf numFmtId="0" fontId="48" fillId="0" borderId="98" xfId="4" applyFont="1" applyBorder="1" applyAlignment="1">
      <alignment horizontal="center" vertical="center"/>
    </xf>
    <xf numFmtId="0" fontId="48" fillId="0" borderId="99" xfId="4" applyFont="1" applyBorder="1" applyAlignment="1">
      <alignment horizontal="center" vertical="center"/>
    </xf>
    <xf numFmtId="0" fontId="48" fillId="0" borderId="100" xfId="4" applyFont="1" applyBorder="1" applyAlignment="1">
      <alignment horizontal="center" vertical="center"/>
    </xf>
    <xf numFmtId="0" fontId="48" fillId="0" borderId="101" xfId="4" applyFont="1" applyBorder="1" applyAlignment="1">
      <alignment horizontal="center" vertical="center"/>
    </xf>
    <xf numFmtId="0" fontId="48" fillId="0" borderId="0" xfId="4" applyFont="1" applyAlignment="1">
      <alignment horizontal="center" vertical="center"/>
    </xf>
    <xf numFmtId="0" fontId="48" fillId="0" borderId="102" xfId="4" applyFont="1" applyBorder="1" applyAlignment="1">
      <alignment horizontal="center" vertical="center"/>
    </xf>
    <xf numFmtId="0" fontId="48" fillId="0" borderId="104" xfId="4" applyFont="1" applyBorder="1" applyAlignment="1">
      <alignment horizontal="center" vertical="center"/>
    </xf>
    <xf numFmtId="0" fontId="48" fillId="0" borderId="106" xfId="4" applyFont="1" applyBorder="1" applyAlignment="1">
      <alignment horizontal="center" vertical="center"/>
    </xf>
    <xf numFmtId="0" fontId="0" fillId="0" borderId="107" xfId="4" applyFont="1" applyBorder="1" applyAlignment="1">
      <alignment horizontal="center"/>
    </xf>
    <xf numFmtId="0" fontId="0" fillId="0" borderId="108" xfId="4" applyFont="1" applyBorder="1" applyAlignment="1">
      <alignment horizontal="center"/>
    </xf>
    <xf numFmtId="0" fontId="0" fillId="0" borderId="109" xfId="4" applyFont="1" applyBorder="1" applyAlignment="1">
      <alignment horizontal="center"/>
    </xf>
    <xf numFmtId="0" fontId="0" fillId="0" borderId="15" xfId="4" applyFont="1" applyBorder="1" applyAlignment="1">
      <alignment horizontal="center"/>
    </xf>
    <xf numFmtId="0" fontId="0" fillId="0" borderId="16" xfId="4" applyFont="1" applyBorder="1" applyAlignment="1">
      <alignment horizontal="center"/>
    </xf>
    <xf numFmtId="0" fontId="0" fillId="0" borderId="17" xfId="4" applyFont="1" applyBorder="1" applyAlignment="1">
      <alignment horizontal="center"/>
    </xf>
    <xf numFmtId="0" fontId="0" fillId="20" borderId="15" xfId="4" applyFont="1" applyFill="1" applyBorder="1" applyAlignment="1">
      <alignment horizontal="center" vertical="center"/>
    </xf>
    <xf numFmtId="0" fontId="0" fillId="20" borderId="23" xfId="4" applyFont="1" applyFill="1" applyBorder="1" applyAlignment="1">
      <alignment horizontal="center" vertical="center"/>
    </xf>
    <xf numFmtId="0" fontId="57" fillId="26" borderId="11" xfId="4" applyFont="1" applyFill="1" applyBorder="1" applyAlignment="1">
      <alignment horizontal="center"/>
    </xf>
    <xf numFmtId="0" fontId="57" fillId="26" borderId="12" xfId="4" applyFont="1" applyFill="1" applyBorder="1" applyAlignment="1">
      <alignment horizontal="center"/>
    </xf>
    <xf numFmtId="0" fontId="57" fillId="26" borderId="13" xfId="4" applyFont="1" applyFill="1" applyBorder="1" applyAlignment="1">
      <alignment horizontal="center"/>
    </xf>
    <xf numFmtId="0" fontId="57" fillId="0" borderId="1" xfId="4" applyFont="1" applyBorder="1" applyAlignment="1">
      <alignment horizontal="center"/>
    </xf>
    <xf numFmtId="0" fontId="57" fillId="0" borderId="2" xfId="4" applyFont="1" applyBorder="1" applyAlignment="1">
      <alignment horizontal="center"/>
    </xf>
    <xf numFmtId="0" fontId="57" fillId="0" borderId="3" xfId="4" applyFont="1" applyBorder="1" applyAlignment="1">
      <alignment horizontal="center"/>
    </xf>
    <xf numFmtId="0" fontId="57" fillId="0" borderId="4" xfId="4" applyFont="1" applyBorder="1" applyAlignment="1">
      <alignment horizontal="center"/>
    </xf>
    <xf numFmtId="0" fontId="57" fillId="0" borderId="0" xfId="4" applyFont="1" applyAlignment="1">
      <alignment horizontal="center"/>
    </xf>
    <xf numFmtId="0" fontId="57" fillId="0" borderId="5" xfId="4" applyFont="1" applyBorder="1" applyAlignment="1">
      <alignment horizontal="center"/>
    </xf>
    <xf numFmtId="0" fontId="57" fillId="0" borderId="6" xfId="4" applyFont="1" applyBorder="1" applyAlignment="1">
      <alignment horizontal="center"/>
    </xf>
    <xf numFmtId="0" fontId="57" fillId="0" borderId="7" xfId="4" applyFont="1" applyBorder="1" applyAlignment="1">
      <alignment horizontal="center"/>
    </xf>
    <xf numFmtId="0" fontId="57" fillId="0" borderId="8" xfId="4" applyFont="1" applyBorder="1" applyAlignment="1">
      <alignment horizontal="center"/>
    </xf>
    <xf numFmtId="0" fontId="11" fillId="12" borderId="74" xfId="0" applyFont="1" applyFill="1" applyBorder="1" applyAlignment="1">
      <alignment horizontal="center" vertical="center" textRotation="90" wrapText="1"/>
    </xf>
    <xf numFmtId="0" fontId="11" fillId="12" borderId="72" xfId="0" applyFont="1" applyFill="1" applyBorder="1" applyAlignment="1">
      <alignment horizontal="center" vertical="center" textRotation="90"/>
    </xf>
    <xf numFmtId="0" fontId="11" fillId="13" borderId="74" xfId="0" applyFont="1" applyFill="1" applyBorder="1" applyAlignment="1">
      <alignment horizontal="center" vertical="center" textRotation="90" wrapText="1"/>
    </xf>
    <xf numFmtId="0" fontId="11" fillId="13" borderId="72" xfId="0" applyFont="1" applyFill="1" applyBorder="1" applyAlignment="1">
      <alignment horizontal="center" vertical="center" textRotation="90"/>
    </xf>
    <xf numFmtId="0" fontId="8" fillId="3" borderId="74" xfId="0" applyFont="1" applyFill="1" applyBorder="1" applyAlignment="1">
      <alignment horizontal="center" vertical="center" textRotation="90"/>
    </xf>
    <xf numFmtId="0" fontId="8" fillId="3" borderId="72" xfId="0" applyFont="1" applyFill="1" applyBorder="1" applyAlignment="1">
      <alignment horizontal="center" vertical="center" textRotation="90"/>
    </xf>
    <xf numFmtId="0" fontId="11" fillId="14" borderId="74" xfId="0" applyFont="1" applyFill="1" applyBorder="1" applyAlignment="1">
      <alignment horizontal="center" vertical="center" textRotation="90"/>
    </xf>
    <xf numFmtId="0" fontId="11" fillId="14" borderId="72" xfId="0" applyFont="1" applyFill="1" applyBorder="1" applyAlignment="1">
      <alignment horizontal="center" vertical="center" textRotation="90"/>
    </xf>
    <xf numFmtId="0" fontId="8" fillId="10" borderId="74" xfId="0" applyFont="1" applyFill="1" applyBorder="1" applyAlignment="1">
      <alignment horizontal="center" vertical="center" textRotation="90"/>
    </xf>
    <xf numFmtId="0" fontId="8" fillId="10" borderId="71" xfId="0" applyFont="1" applyFill="1" applyBorder="1" applyAlignment="1">
      <alignment horizontal="center" vertical="center" textRotation="90"/>
    </xf>
    <xf numFmtId="0" fontId="8" fillId="10" borderId="72" xfId="0" applyFont="1" applyFill="1" applyBorder="1" applyAlignment="1">
      <alignment horizontal="center" vertical="center" textRotation="90"/>
    </xf>
    <xf numFmtId="0" fontId="8" fillId="9" borderId="74" xfId="0" applyFont="1" applyFill="1" applyBorder="1" applyAlignment="1">
      <alignment horizontal="center" vertical="center" textRotation="90"/>
    </xf>
    <xf numFmtId="0" fontId="8" fillId="9" borderId="71" xfId="0" applyFont="1" applyFill="1" applyBorder="1" applyAlignment="1">
      <alignment horizontal="center" vertical="center" textRotation="90"/>
    </xf>
    <xf numFmtId="0" fontId="8" fillId="9" borderId="72" xfId="0" applyFont="1" applyFill="1" applyBorder="1" applyAlignment="1">
      <alignment horizontal="center" vertical="center" textRotation="90"/>
    </xf>
    <xf numFmtId="0" fontId="12" fillId="19" borderId="74" xfId="0" applyFont="1" applyFill="1" applyBorder="1" applyAlignment="1">
      <alignment horizontal="center" vertical="center" textRotation="90"/>
    </xf>
    <xf numFmtId="0" fontId="12" fillId="19" borderId="71" xfId="0" applyFont="1" applyFill="1" applyBorder="1" applyAlignment="1">
      <alignment horizontal="center" vertical="center" textRotation="90"/>
    </xf>
    <xf numFmtId="0" fontId="12" fillId="19" borderId="72" xfId="0" applyFont="1" applyFill="1" applyBorder="1" applyAlignment="1">
      <alignment horizontal="center" vertical="center" textRotation="90"/>
    </xf>
    <xf numFmtId="0" fontId="8" fillId="13" borderId="74" xfId="0" applyFont="1" applyFill="1" applyBorder="1" applyAlignment="1">
      <alignment horizontal="center" vertical="center" textRotation="90" wrapText="1"/>
    </xf>
    <xf numFmtId="0" fontId="8" fillId="13" borderId="72" xfId="0" applyFont="1" applyFill="1" applyBorder="1" applyAlignment="1">
      <alignment horizontal="center" vertical="center" textRotation="90"/>
    </xf>
    <xf numFmtId="0" fontId="8" fillId="9" borderId="74" xfId="0" applyFont="1" applyFill="1" applyBorder="1" applyAlignment="1">
      <alignment horizontal="center" vertical="center" textRotation="90" wrapText="1"/>
    </xf>
    <xf numFmtId="9" fontId="10" fillId="0" borderId="2" xfId="1" applyFont="1" applyFill="1" applyBorder="1" applyAlignment="1">
      <alignment horizontal="center" vertical="center" wrapText="1"/>
    </xf>
    <xf numFmtId="9" fontId="10" fillId="0" borderId="0" xfId="1" applyFont="1" applyFill="1" applyBorder="1" applyAlignment="1">
      <alignment horizontal="center" vertical="center" wrapText="1"/>
    </xf>
    <xf numFmtId="9" fontId="10" fillId="0" borderId="7" xfId="1" applyFont="1" applyFill="1" applyBorder="1" applyAlignment="1">
      <alignment horizontal="center" vertical="center" wrapText="1"/>
    </xf>
    <xf numFmtId="9" fontId="10" fillId="0" borderId="79" xfId="1" applyFont="1" applyBorder="1" applyAlignment="1">
      <alignment horizontal="center" vertical="center" wrapText="1"/>
    </xf>
    <xf numFmtId="9" fontId="10" fillId="0" borderId="10" xfId="1" applyFont="1" applyBorder="1" applyAlignment="1">
      <alignment horizontal="center" vertical="center" wrapText="1"/>
    </xf>
    <xf numFmtId="9" fontId="10" fillId="0" borderId="80" xfId="1" applyFont="1" applyBorder="1" applyAlignment="1">
      <alignment horizontal="center" vertical="center" wrapText="1"/>
    </xf>
    <xf numFmtId="0" fontId="8" fillId="3" borderId="52"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59" xfId="0" applyFont="1" applyFill="1" applyBorder="1" applyAlignment="1">
      <alignment horizontal="center" vertical="center" wrapText="1"/>
    </xf>
    <xf numFmtId="0" fontId="8" fillId="3" borderId="71" xfId="0" applyFont="1" applyFill="1" applyBorder="1" applyAlignment="1">
      <alignment horizontal="center" vertical="center" textRotation="90"/>
    </xf>
    <xf numFmtId="0" fontId="8" fillId="14" borderId="74" xfId="0" applyFont="1" applyFill="1" applyBorder="1" applyAlignment="1">
      <alignment horizontal="center" vertical="center" textRotation="90"/>
    </xf>
    <xf numFmtId="0" fontId="8" fillId="14" borderId="72" xfId="0" applyFont="1" applyFill="1" applyBorder="1" applyAlignment="1">
      <alignment horizontal="center" vertical="center" textRotation="90"/>
    </xf>
    <xf numFmtId="0" fontId="8" fillId="12" borderId="74" xfId="0" applyFont="1" applyFill="1" applyBorder="1" applyAlignment="1">
      <alignment horizontal="center" vertical="center" textRotation="90" wrapText="1"/>
    </xf>
    <xf numFmtId="0" fontId="8" fillId="12" borderId="72" xfId="0" applyFont="1" applyFill="1" applyBorder="1" applyAlignment="1">
      <alignment horizontal="center" vertical="center" textRotation="90"/>
    </xf>
    <xf numFmtId="0" fontId="8" fillId="10" borderId="55" xfId="0" applyFont="1" applyFill="1" applyBorder="1" applyAlignment="1">
      <alignment horizontal="center" vertical="center" textRotation="90"/>
    </xf>
    <xf numFmtId="0" fontId="8" fillId="10" borderId="57" xfId="0" applyFont="1" applyFill="1" applyBorder="1" applyAlignment="1">
      <alignment horizontal="center" vertical="center" textRotation="90"/>
    </xf>
    <xf numFmtId="0" fontId="8" fillId="12" borderId="74" xfId="0" applyFont="1" applyFill="1" applyBorder="1" applyAlignment="1">
      <alignment horizontal="center" vertical="center" textRotation="90"/>
    </xf>
    <xf numFmtId="0" fontId="8" fillId="12" borderId="71" xfId="0" applyFont="1" applyFill="1" applyBorder="1" applyAlignment="1">
      <alignment horizontal="center" vertical="center" textRotation="90"/>
    </xf>
    <xf numFmtId="0" fontId="8" fillId="12" borderId="50" xfId="0" applyFont="1" applyFill="1" applyBorder="1" applyAlignment="1">
      <alignment horizontal="center" vertical="center" textRotation="90"/>
    </xf>
    <xf numFmtId="0" fontId="8" fillId="12" borderId="55" xfId="0" applyFont="1" applyFill="1" applyBorder="1" applyAlignment="1">
      <alignment horizontal="center" vertical="center" textRotation="90"/>
    </xf>
    <xf numFmtId="0" fontId="8" fillId="12" borderId="57" xfId="0" applyFont="1" applyFill="1" applyBorder="1" applyAlignment="1">
      <alignment horizontal="center" vertical="center" textRotation="90"/>
    </xf>
    <xf numFmtId="49" fontId="7" fillId="12" borderId="112" xfId="0" applyNumberFormat="1" applyFont="1" applyFill="1" applyBorder="1" applyAlignment="1">
      <alignment horizontal="center" vertical="center" wrapText="1"/>
    </xf>
    <xf numFmtId="49" fontId="7" fillId="12" borderId="56" xfId="0" applyNumberFormat="1" applyFont="1" applyFill="1" applyBorder="1" applyAlignment="1">
      <alignment horizontal="center" vertical="center" wrapText="1"/>
    </xf>
    <xf numFmtId="49" fontId="7" fillId="10" borderId="74" xfId="0" applyNumberFormat="1" applyFont="1" applyFill="1" applyBorder="1" applyAlignment="1">
      <alignment horizontal="center" vertical="center" wrapText="1"/>
    </xf>
    <xf numFmtId="49" fontId="7" fillId="10" borderId="71" xfId="0" applyNumberFormat="1" applyFont="1" applyFill="1" applyBorder="1" applyAlignment="1">
      <alignment horizontal="center" vertical="center" wrapText="1"/>
    </xf>
    <xf numFmtId="0" fontId="8" fillId="20" borderId="74" xfId="0" applyFont="1" applyFill="1" applyBorder="1" applyAlignment="1">
      <alignment horizontal="center" vertical="center" textRotation="90" wrapText="1"/>
    </xf>
    <xf numFmtId="0" fontId="8" fillId="20" borderId="72" xfId="0" applyFont="1" applyFill="1" applyBorder="1" applyAlignment="1">
      <alignment horizontal="center" vertical="center" textRotation="90"/>
    </xf>
    <xf numFmtId="0" fontId="8" fillId="15" borderId="74" xfId="0" applyFont="1" applyFill="1" applyBorder="1" applyAlignment="1">
      <alignment horizontal="center" vertical="center" textRotation="90" wrapText="1"/>
    </xf>
    <xf numFmtId="0" fontId="8" fillId="15" borderId="72" xfId="0" applyFont="1" applyFill="1" applyBorder="1" applyAlignment="1">
      <alignment horizontal="center" vertical="center" textRotation="90"/>
    </xf>
    <xf numFmtId="9" fontId="10" fillId="20" borderId="2" xfId="1" applyFont="1" applyFill="1" applyBorder="1" applyAlignment="1">
      <alignment horizontal="center" vertical="center" wrapText="1"/>
    </xf>
    <xf numFmtId="9" fontId="10" fillId="20" borderId="7" xfId="1" applyFont="1" applyFill="1" applyBorder="1" applyAlignment="1">
      <alignment horizontal="center" vertical="center" wrapText="1"/>
    </xf>
    <xf numFmtId="15" fontId="11" fillId="10" borderId="52" xfId="0" applyNumberFormat="1" applyFont="1" applyFill="1" applyBorder="1" applyAlignment="1">
      <alignment horizontal="center" vertical="center" wrapText="1"/>
    </xf>
    <xf numFmtId="15" fontId="11" fillId="10" borderId="32" xfId="0" applyNumberFormat="1" applyFont="1" applyFill="1" applyBorder="1" applyAlignment="1">
      <alignment horizontal="center" vertical="center" wrapText="1"/>
    </xf>
    <xf numFmtId="15" fontId="11" fillId="10" borderId="59" xfId="0" applyNumberFormat="1" applyFont="1" applyFill="1" applyBorder="1" applyAlignment="1">
      <alignment horizontal="center" vertical="center" wrapText="1"/>
    </xf>
    <xf numFmtId="0" fontId="8" fillId="18" borderId="74" xfId="0" applyFont="1" applyFill="1" applyBorder="1" applyAlignment="1">
      <alignment horizontal="center" vertical="center" textRotation="90"/>
    </xf>
    <xf numFmtId="0" fontId="8" fillId="18" borderId="72" xfId="0" applyFont="1" applyFill="1" applyBorder="1" applyAlignment="1">
      <alignment horizontal="center" vertical="center" textRotation="90"/>
    </xf>
    <xf numFmtId="0" fontId="12" fillId="9" borderId="74" xfId="0" applyFont="1" applyFill="1" applyBorder="1" applyAlignment="1">
      <alignment horizontal="center" vertical="center" textRotation="90"/>
    </xf>
    <xf numFmtId="0" fontId="12" fillId="9" borderId="71" xfId="0" applyFont="1" applyFill="1" applyBorder="1" applyAlignment="1">
      <alignment horizontal="center" vertical="center" textRotation="90"/>
    </xf>
    <xf numFmtId="0" fontId="12" fillId="9" borderId="72" xfId="0" applyFont="1" applyFill="1" applyBorder="1" applyAlignment="1">
      <alignment horizontal="center" vertical="center" textRotation="90"/>
    </xf>
    <xf numFmtId="9" fontId="10" fillId="0" borderId="53" xfId="1" applyFont="1" applyFill="1" applyBorder="1" applyAlignment="1">
      <alignment horizontal="center" vertical="center" wrapText="1"/>
    </xf>
    <xf numFmtId="9" fontId="10" fillId="0" borderId="38" xfId="1" applyFont="1" applyFill="1" applyBorder="1" applyAlignment="1">
      <alignment horizontal="center" vertical="center" wrapText="1"/>
    </xf>
    <xf numFmtId="9" fontId="10" fillId="0" borderId="60" xfId="1" applyFont="1" applyFill="1" applyBorder="1" applyAlignment="1">
      <alignment horizontal="center" vertical="center" wrapText="1"/>
    </xf>
    <xf numFmtId="0" fontId="7" fillId="0" borderId="3" xfId="0" applyFont="1" applyBorder="1" applyAlignment="1">
      <alignment horizontal="center"/>
    </xf>
    <xf numFmtId="0" fontId="7" fillId="0" borderId="5" xfId="0" applyFont="1" applyBorder="1" applyAlignment="1">
      <alignment horizontal="center"/>
    </xf>
    <xf numFmtId="0" fontId="7" fillId="0" borderId="8" xfId="0" applyFont="1" applyBorder="1" applyAlignment="1">
      <alignment horizontal="center"/>
    </xf>
    <xf numFmtId="49" fontId="7" fillId="10" borderId="35" xfId="0" applyNumberFormat="1" applyFont="1" applyFill="1" applyBorder="1" applyAlignment="1">
      <alignment horizontal="center" vertical="center" wrapText="1"/>
    </xf>
    <xf numFmtId="49" fontId="7" fillId="9" borderId="74" xfId="0" applyNumberFormat="1" applyFont="1" applyFill="1" applyBorder="1" applyAlignment="1">
      <alignment horizontal="center" vertical="center" wrapText="1"/>
    </xf>
    <xf numFmtId="49" fontId="7" fillId="9" borderId="71" xfId="0" applyNumberFormat="1" applyFont="1" applyFill="1" applyBorder="1" applyAlignment="1">
      <alignment horizontal="center" vertical="center" wrapText="1"/>
    </xf>
    <xf numFmtId="0" fontId="8" fillId="9" borderId="70" xfId="0" applyFont="1" applyFill="1" applyBorder="1" applyAlignment="1">
      <alignment horizontal="center" vertical="center" textRotation="90" wrapText="1"/>
    </xf>
    <xf numFmtId="0" fontId="8" fillId="9" borderId="68" xfId="0" applyFont="1" applyFill="1" applyBorder="1" applyAlignment="1">
      <alignment horizontal="center" vertical="center" textRotation="90"/>
    </xf>
    <xf numFmtId="0" fontId="8" fillId="13" borderId="70" xfId="0" applyFont="1" applyFill="1" applyBorder="1" applyAlignment="1">
      <alignment horizontal="center" vertical="center" textRotation="90" wrapText="1"/>
    </xf>
    <xf numFmtId="0" fontId="8" fillId="13" borderId="68" xfId="0" applyFont="1" applyFill="1" applyBorder="1" applyAlignment="1">
      <alignment horizontal="center" vertical="center" textRotation="90"/>
    </xf>
    <xf numFmtId="0" fontId="7" fillId="0" borderId="66" xfId="0" applyFont="1" applyBorder="1" applyAlignment="1">
      <alignment horizontal="center"/>
    </xf>
    <xf numFmtId="0" fontId="7" fillId="0" borderId="69" xfId="0" applyFont="1" applyBorder="1" applyAlignment="1">
      <alignment horizontal="center"/>
    </xf>
    <xf numFmtId="0" fontId="7" fillId="0" borderId="73" xfId="0" applyFont="1" applyBorder="1" applyAlignment="1">
      <alignment horizontal="center"/>
    </xf>
    <xf numFmtId="0" fontId="7" fillId="0" borderId="3" xfId="0" applyFont="1" applyBorder="1" applyAlignment="1">
      <alignment horizontal="center" wrapText="1"/>
    </xf>
    <xf numFmtId="0" fontId="7" fillId="0" borderId="8" xfId="0" applyFont="1" applyBorder="1" applyAlignment="1">
      <alignment horizontal="center" wrapText="1"/>
    </xf>
    <xf numFmtId="0" fontId="7" fillId="0" borderId="79" xfId="0" applyFont="1" applyBorder="1" applyAlignment="1">
      <alignment horizontal="center"/>
    </xf>
    <xf numFmtId="0" fontId="7" fillId="0" borderId="10" xfId="0" applyFont="1" applyBorder="1" applyAlignment="1">
      <alignment horizontal="center"/>
    </xf>
    <xf numFmtId="0" fontId="7" fillId="0" borderId="80" xfId="0" applyFont="1" applyBorder="1" applyAlignment="1">
      <alignment horizontal="center"/>
    </xf>
    <xf numFmtId="0" fontId="7" fillId="9" borderId="54" xfId="0" applyFont="1" applyFill="1" applyBorder="1" applyAlignment="1">
      <alignment horizontal="center"/>
    </xf>
    <xf numFmtId="0" fontId="7" fillId="9" borderId="34" xfId="0" applyFont="1" applyFill="1" applyBorder="1" applyAlignment="1">
      <alignment horizontal="center"/>
    </xf>
    <xf numFmtId="0" fontId="7" fillId="9" borderId="61" xfId="0" applyFont="1" applyFill="1" applyBorder="1" applyAlignment="1">
      <alignment horizont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4" xfId="0" applyFont="1" applyFill="1" applyBorder="1" applyAlignment="1">
      <alignment horizontal="center" vertical="center"/>
    </xf>
    <xf numFmtId="15" fontId="6" fillId="0" borderId="16" xfId="0" applyNumberFormat="1" applyFont="1" applyBorder="1" applyAlignment="1">
      <alignment horizontal="center" vertical="center"/>
    </xf>
    <xf numFmtId="15" fontId="6" fillId="0" borderId="24" xfId="0" applyNumberFormat="1" applyFont="1" applyBorder="1" applyAlignment="1">
      <alignment horizontal="center" vertical="center"/>
    </xf>
    <xf numFmtId="15" fontId="6" fillId="0" borderId="17" xfId="0" applyNumberFormat="1" applyFont="1" applyBorder="1" applyAlignment="1">
      <alignment horizontal="center" vertical="center"/>
    </xf>
    <xf numFmtId="15" fontId="6" fillId="0" borderId="25" xfId="0" applyNumberFormat="1" applyFont="1" applyBorder="1" applyAlignment="1">
      <alignment horizontal="center" vertical="center"/>
    </xf>
    <xf numFmtId="0" fontId="3" fillId="2" borderId="18" xfId="0" applyFont="1" applyFill="1" applyBorder="1" applyAlignment="1">
      <alignment horizontal="center" vertical="center" wrapText="1"/>
    </xf>
    <xf numFmtId="0" fontId="3" fillId="2" borderId="16" xfId="0" applyFont="1" applyFill="1" applyBorder="1" applyAlignment="1">
      <alignment horizontal="center" vertical="center"/>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xf>
    <xf numFmtId="0" fontId="3" fillId="2" borderId="15" xfId="0" applyFont="1" applyFill="1" applyBorder="1" applyAlignment="1">
      <alignment horizontal="center" vertical="center" wrapText="1"/>
    </xf>
    <xf numFmtId="0" fontId="3"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cellXfs>
  <cellStyles count="6">
    <cellStyle name="Normal" xfId="0" builtinId="0"/>
    <cellStyle name="Normal 2" xfId="2" xr:uid="{8810A36D-6FEA-4089-B29B-7D01E8E60C05}"/>
    <cellStyle name="Normal 3" xfId="4" xr:uid="{2B0B8844-1288-4136-A313-E1ED3728223A}"/>
    <cellStyle name="Per cent" xfId="1" builtinId="5"/>
    <cellStyle name="Percent 2" xfId="3" xr:uid="{DB9A4E79-727E-4F87-9D48-11E2B67733ED}"/>
    <cellStyle name="Percent 3" xfId="5" xr:uid="{DAB3C912-C0B7-4CD3-9CAA-9ACD44110376}"/>
  </cellStyles>
  <dxfs count="52">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b/>
        <color rgb="FF1F4E78"/>
      </font>
      <fill>
        <patternFill patternType="solid">
          <bgColor rgb="FF9FD5E8"/>
        </patternFill>
      </fill>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17217</xdr:colOff>
      <xdr:row>18</xdr:row>
      <xdr:rowOff>291996</xdr:rowOff>
    </xdr:from>
    <xdr:to>
      <xdr:col>5</xdr:col>
      <xdr:colOff>494109</xdr:colOff>
      <xdr:row>18</xdr:row>
      <xdr:rowOff>291996</xdr:rowOff>
    </xdr:to>
    <xdr:cxnSp macro="">
      <xdr:nvCxnSpPr>
        <xdr:cNvPr id="6" name="Straight Connector 2">
          <a:extLst>
            <a:ext uri="{FF2B5EF4-FFF2-40B4-BE49-F238E27FC236}">
              <a16:creationId xmlns:a16="http://schemas.microsoft.com/office/drawing/2014/main" id="{00000000-0008-0000-0000-000006000000}"/>
            </a:ext>
          </a:extLst>
        </xdr:cNvPr>
        <xdr:cNvCxnSpPr/>
      </xdr:nvCxnSpPr>
      <xdr:spPr>
        <a:xfrm>
          <a:off x="4360545" y="9809480"/>
          <a:ext cx="4768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3122</xdr:colOff>
      <xdr:row>1</xdr:row>
      <xdr:rowOff>15240</xdr:rowOff>
    </xdr:from>
    <xdr:to>
      <xdr:col>9</xdr:col>
      <xdr:colOff>3122</xdr:colOff>
      <xdr:row>32</xdr:row>
      <xdr:rowOff>5603</xdr:rowOff>
    </xdr:to>
    <xdr:cxnSp macro="">
      <xdr:nvCxnSpPr>
        <xdr:cNvPr id="8" name="Straight Connector 27">
          <a:extLst>
            <a:ext uri="{FF2B5EF4-FFF2-40B4-BE49-F238E27FC236}">
              <a16:creationId xmlns:a16="http://schemas.microsoft.com/office/drawing/2014/main" id="{00000000-0008-0000-0000-000008000000}"/>
            </a:ext>
          </a:extLst>
        </xdr:cNvPr>
        <xdr:cNvCxnSpPr/>
      </xdr:nvCxnSpPr>
      <xdr:spPr>
        <a:xfrm>
          <a:off x="7127240" y="84455"/>
          <a:ext cx="0" cy="151231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482912</xdr:colOff>
      <xdr:row>41</xdr:row>
      <xdr:rowOff>55757</xdr:rowOff>
    </xdr:from>
    <xdr:to>
      <xdr:col>6</xdr:col>
      <xdr:colOff>482912</xdr:colOff>
      <xdr:row>42</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5521325" y="16886555"/>
          <a:ext cx="0" cy="12573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10886</xdr:colOff>
      <xdr:row>19</xdr:row>
      <xdr:rowOff>218498</xdr:rowOff>
    </xdr:from>
    <xdr:to>
      <xdr:col>6</xdr:col>
      <xdr:colOff>484371</xdr:colOff>
      <xdr:row>19</xdr:row>
      <xdr:rowOff>218498</xdr:rowOff>
    </xdr:to>
    <xdr:cxnSp macro="">
      <xdr:nvCxnSpPr>
        <xdr:cNvPr id="27" name="Straight Connector 2">
          <a:extLst>
            <a:ext uri="{FF2B5EF4-FFF2-40B4-BE49-F238E27FC236}">
              <a16:creationId xmlns:a16="http://schemas.microsoft.com/office/drawing/2014/main" id="{00000000-0008-0000-0000-00001B000000}"/>
            </a:ext>
          </a:extLst>
        </xdr:cNvPr>
        <xdr:cNvCxnSpPr/>
      </xdr:nvCxnSpPr>
      <xdr:spPr>
        <a:xfrm>
          <a:off x="4354195" y="1028890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487699</xdr:colOff>
      <xdr:row>19</xdr:row>
      <xdr:rowOff>221006</xdr:rowOff>
    </xdr:from>
    <xdr:to>
      <xdr:col>7</xdr:col>
      <xdr:colOff>287962</xdr:colOff>
      <xdr:row>19</xdr:row>
      <xdr:rowOff>221006</xdr:rowOff>
    </xdr:to>
    <xdr:cxnSp macro="">
      <xdr:nvCxnSpPr>
        <xdr:cNvPr id="28" name="Straight Connector 19">
          <a:extLst>
            <a:ext uri="{FF2B5EF4-FFF2-40B4-BE49-F238E27FC236}">
              <a16:creationId xmlns:a16="http://schemas.microsoft.com/office/drawing/2014/main" id="{00000000-0008-0000-0000-00001C000000}"/>
            </a:ext>
          </a:extLst>
        </xdr:cNvPr>
        <xdr:cNvCxnSpPr/>
      </xdr:nvCxnSpPr>
      <xdr:spPr>
        <a:xfrm>
          <a:off x="5526405" y="1029144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532087</xdr:colOff>
      <xdr:row>2</xdr:row>
      <xdr:rowOff>282841</xdr:rowOff>
    </xdr:from>
    <xdr:to>
      <xdr:col>4</xdr:col>
      <xdr:colOff>505811</xdr:colOff>
      <xdr:row>2</xdr:row>
      <xdr:rowOff>282841</xdr:rowOff>
    </xdr:to>
    <xdr:cxnSp macro="">
      <xdr:nvCxnSpPr>
        <xdr:cNvPr id="29" name="Straight Connector 1">
          <a:extLst>
            <a:ext uri="{FF2B5EF4-FFF2-40B4-BE49-F238E27FC236}">
              <a16:creationId xmlns:a16="http://schemas.microsoft.com/office/drawing/2014/main" id="{00000000-0008-0000-0000-00001D000000}"/>
            </a:ext>
          </a:extLst>
        </xdr:cNvPr>
        <xdr:cNvCxnSpPr/>
      </xdr:nvCxnSpPr>
      <xdr:spPr>
        <a:xfrm>
          <a:off x="3484245" y="656590"/>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16124</xdr:colOff>
      <xdr:row>17</xdr:row>
      <xdr:rowOff>283719</xdr:rowOff>
    </xdr:from>
    <xdr:to>
      <xdr:col>5</xdr:col>
      <xdr:colOff>480876</xdr:colOff>
      <xdr:row>17</xdr:row>
      <xdr:rowOff>283719</xdr:rowOff>
    </xdr:to>
    <xdr:cxnSp macro="">
      <xdr:nvCxnSpPr>
        <xdr:cNvPr id="30" name="Straight Connector 2">
          <a:extLst>
            <a:ext uri="{FF2B5EF4-FFF2-40B4-BE49-F238E27FC236}">
              <a16:creationId xmlns:a16="http://schemas.microsoft.com/office/drawing/2014/main" id="{00000000-0008-0000-0000-00001E000000}"/>
            </a:ext>
          </a:extLst>
        </xdr:cNvPr>
        <xdr:cNvCxnSpPr/>
      </xdr:nvCxnSpPr>
      <xdr:spPr>
        <a:xfrm>
          <a:off x="4359275" y="9229725"/>
          <a:ext cx="4648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2129</xdr:colOff>
      <xdr:row>1</xdr:row>
      <xdr:rowOff>19050</xdr:rowOff>
    </xdr:from>
    <xdr:to>
      <xdr:col>3</xdr:col>
      <xdr:colOff>2129</xdr:colOff>
      <xdr:row>32</xdr:row>
      <xdr:rowOff>5603</xdr:rowOff>
    </xdr:to>
    <xdr:cxnSp macro="">
      <xdr:nvCxnSpPr>
        <xdr:cNvPr id="31" name="Straight Connector 5">
          <a:extLst>
            <a:ext uri="{FF2B5EF4-FFF2-40B4-BE49-F238E27FC236}">
              <a16:creationId xmlns:a16="http://schemas.microsoft.com/office/drawing/2014/main" id="{00000000-0008-0000-0000-00001F000000}"/>
            </a:ext>
          </a:extLst>
        </xdr:cNvPr>
        <xdr:cNvCxnSpPr/>
      </xdr:nvCxnSpPr>
      <xdr:spPr>
        <a:xfrm>
          <a:off x="2954655" y="88265"/>
          <a:ext cx="0" cy="151193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1</xdr:row>
      <xdr:rowOff>15421</xdr:rowOff>
    </xdr:from>
    <xdr:to>
      <xdr:col>4</xdr:col>
      <xdr:colOff>0</xdr:colOff>
      <xdr:row>32</xdr:row>
      <xdr:rowOff>5896</xdr:rowOff>
    </xdr:to>
    <xdr:cxnSp macro="">
      <xdr:nvCxnSpPr>
        <xdr:cNvPr id="32" name="Straight Connector 6">
          <a:extLst>
            <a:ext uri="{FF2B5EF4-FFF2-40B4-BE49-F238E27FC236}">
              <a16:creationId xmlns:a16="http://schemas.microsoft.com/office/drawing/2014/main" id="{00000000-0008-0000-0000-000020000000}"/>
            </a:ext>
          </a:extLst>
        </xdr:cNvPr>
        <xdr:cNvCxnSpPr/>
      </xdr:nvCxnSpPr>
      <xdr:spPr>
        <a:xfrm>
          <a:off x="3648075" y="84455"/>
          <a:ext cx="0" cy="151237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624840</xdr:colOff>
      <xdr:row>1</xdr:row>
      <xdr:rowOff>15240</xdr:rowOff>
    </xdr:from>
    <xdr:to>
      <xdr:col>4</xdr:col>
      <xdr:colOff>624840</xdr:colOff>
      <xdr:row>31</xdr:row>
      <xdr:rowOff>453838</xdr:rowOff>
    </xdr:to>
    <xdr:cxnSp macro="">
      <xdr:nvCxnSpPr>
        <xdr:cNvPr id="33" name="Straight Connector 7">
          <a:extLst>
            <a:ext uri="{FF2B5EF4-FFF2-40B4-BE49-F238E27FC236}">
              <a16:creationId xmlns:a16="http://schemas.microsoft.com/office/drawing/2014/main" id="{00000000-0008-0000-0000-000021000000}"/>
            </a:ext>
          </a:extLst>
        </xdr:cNvPr>
        <xdr:cNvCxnSpPr/>
      </xdr:nvCxnSpPr>
      <xdr:spPr>
        <a:xfrm>
          <a:off x="4272915" y="8445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3842</xdr:colOff>
      <xdr:row>1</xdr:row>
      <xdr:rowOff>19050</xdr:rowOff>
    </xdr:from>
    <xdr:to>
      <xdr:col>6</xdr:col>
      <xdr:colOff>3842</xdr:colOff>
      <xdr:row>31</xdr:row>
      <xdr:rowOff>448235</xdr:rowOff>
    </xdr:to>
    <xdr:cxnSp macro="">
      <xdr:nvCxnSpPr>
        <xdr:cNvPr id="34" name="Straight Connector 8">
          <a:extLst>
            <a:ext uri="{FF2B5EF4-FFF2-40B4-BE49-F238E27FC236}">
              <a16:creationId xmlns:a16="http://schemas.microsoft.com/office/drawing/2014/main" id="{00000000-0008-0000-0000-000022000000}"/>
            </a:ext>
          </a:extLst>
        </xdr:cNvPr>
        <xdr:cNvCxnSpPr/>
      </xdr:nvCxnSpPr>
      <xdr:spPr>
        <a:xfrm>
          <a:off x="5042535" y="88265"/>
          <a:ext cx="0" cy="151047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1</xdr:row>
      <xdr:rowOff>19050</xdr:rowOff>
    </xdr:from>
    <xdr:to>
      <xdr:col>7</xdr:col>
      <xdr:colOff>0</xdr:colOff>
      <xdr:row>31</xdr:row>
      <xdr:rowOff>453838</xdr:rowOff>
    </xdr:to>
    <xdr:cxnSp macro="">
      <xdr:nvCxnSpPr>
        <xdr:cNvPr id="35" name="Straight Connector 9">
          <a:extLst>
            <a:ext uri="{FF2B5EF4-FFF2-40B4-BE49-F238E27FC236}">
              <a16:creationId xmlns:a16="http://schemas.microsoft.com/office/drawing/2014/main" id="{00000000-0008-0000-0000-000023000000}"/>
            </a:ext>
          </a:extLst>
        </xdr:cNvPr>
        <xdr:cNvCxnSpPr/>
      </xdr:nvCxnSpPr>
      <xdr:spPr>
        <a:xfrm>
          <a:off x="5734050" y="88265"/>
          <a:ext cx="0" cy="151104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1</xdr:row>
      <xdr:rowOff>19050</xdr:rowOff>
    </xdr:from>
    <xdr:to>
      <xdr:col>8</xdr:col>
      <xdr:colOff>0</xdr:colOff>
      <xdr:row>32</xdr:row>
      <xdr:rowOff>0</xdr:rowOff>
    </xdr:to>
    <xdr:cxnSp macro="">
      <xdr:nvCxnSpPr>
        <xdr:cNvPr id="36" name="Straight Connector 10">
          <a:extLst>
            <a:ext uri="{FF2B5EF4-FFF2-40B4-BE49-F238E27FC236}">
              <a16:creationId xmlns:a16="http://schemas.microsoft.com/office/drawing/2014/main" id="{00000000-0008-0000-0000-000024000000}"/>
            </a:ext>
          </a:extLst>
        </xdr:cNvPr>
        <xdr:cNvCxnSpPr/>
      </xdr:nvCxnSpPr>
      <xdr:spPr>
        <a:xfrm>
          <a:off x="6429375" y="8826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479102</xdr:colOff>
      <xdr:row>1</xdr:row>
      <xdr:rowOff>0</xdr:rowOff>
    </xdr:from>
    <xdr:to>
      <xdr:col>6</xdr:col>
      <xdr:colOff>479102</xdr:colOff>
      <xdr:row>37</xdr:row>
      <xdr:rowOff>106455</xdr:rowOff>
    </xdr:to>
    <xdr:cxnSp macro="">
      <xdr:nvCxnSpPr>
        <xdr:cNvPr id="37" name="Straight Connector 10">
          <a:extLst>
            <a:ext uri="{FF2B5EF4-FFF2-40B4-BE49-F238E27FC236}">
              <a16:creationId xmlns:a16="http://schemas.microsoft.com/office/drawing/2014/main" id="{00000000-0008-0000-0000-000025000000}"/>
            </a:ext>
          </a:extLst>
        </xdr:cNvPr>
        <xdr:cNvCxnSpPr/>
      </xdr:nvCxnSpPr>
      <xdr:spPr>
        <a:xfrm>
          <a:off x="5517515" y="69215"/>
          <a:ext cx="0" cy="1614424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282245</xdr:colOff>
      <xdr:row>20</xdr:row>
      <xdr:rowOff>398977</xdr:rowOff>
    </xdr:from>
    <xdr:to>
      <xdr:col>6</xdr:col>
      <xdr:colOff>477102</xdr:colOff>
      <xdr:row>37</xdr:row>
      <xdr:rowOff>170205</xdr:rowOff>
    </xdr:to>
    <xdr:sp macro="" textlink="">
      <xdr:nvSpPr>
        <xdr:cNvPr id="38" name="TextBox 13">
          <a:extLst>
            <a:ext uri="{FF2B5EF4-FFF2-40B4-BE49-F238E27FC236}">
              <a16:creationId xmlns:a16="http://schemas.microsoft.com/office/drawing/2014/main" id="{00000000-0008-0000-0000-000026000000}"/>
            </a:ext>
          </a:extLst>
        </xdr:cNvPr>
        <xdr:cNvSpPr txBox="1"/>
      </xdr:nvSpPr>
      <xdr:spPr>
        <a:xfrm rot="16200000">
          <a:off x="2742565" y="13504545"/>
          <a:ext cx="535114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6</xdr:col>
      <xdr:colOff>501148</xdr:colOff>
      <xdr:row>32</xdr:row>
      <xdr:rowOff>56589</xdr:rowOff>
    </xdr:from>
    <xdr:to>
      <xdr:col>8</xdr:col>
      <xdr:colOff>179615</xdr:colOff>
      <xdr:row>33</xdr:row>
      <xdr:rowOff>122707</xdr:rowOff>
    </xdr:to>
    <xdr:sp macro="" textlink="">
      <xdr:nvSpPr>
        <xdr:cNvPr id="39" name="Left Brace 15">
          <a:extLst>
            <a:ext uri="{FF2B5EF4-FFF2-40B4-BE49-F238E27FC236}">
              <a16:creationId xmlns:a16="http://schemas.microsoft.com/office/drawing/2014/main" id="{00000000-0008-0000-0000-000027000000}"/>
            </a:ext>
          </a:extLst>
        </xdr:cNvPr>
        <xdr:cNvSpPr/>
      </xdr:nvSpPr>
      <xdr:spPr>
        <a:xfrm rot="16200000">
          <a:off x="5950585" y="14847570"/>
          <a:ext cx="247015" cy="1069340"/>
        </a:xfrm>
        <a:prstGeom prst="leftBrace">
          <a:avLst/>
        </a:prstGeom>
        <a:ln>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23820</xdr:colOff>
      <xdr:row>33</xdr:row>
      <xdr:rowOff>83196</xdr:rowOff>
    </xdr:from>
    <xdr:to>
      <xdr:col>8</xdr:col>
      <xdr:colOff>94441</xdr:colOff>
      <xdr:row>35</xdr:row>
      <xdr:rowOff>77391</xdr:rowOff>
    </xdr:to>
    <xdr:sp macro="" textlink="">
      <xdr:nvSpPr>
        <xdr:cNvPr id="40" name="TextBox 13">
          <a:extLst>
            <a:ext uri="{FF2B5EF4-FFF2-40B4-BE49-F238E27FC236}">
              <a16:creationId xmlns:a16="http://schemas.microsoft.com/office/drawing/2014/main" id="{00000000-0008-0000-0000-000028000000}"/>
            </a:ext>
          </a:extLst>
        </xdr:cNvPr>
        <xdr:cNvSpPr txBox="1"/>
      </xdr:nvSpPr>
      <xdr:spPr>
        <a:xfrm>
          <a:off x="5757545" y="15466695"/>
          <a:ext cx="76581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1">
              <a:solidFill>
                <a:srgbClr val="FF0000"/>
              </a:solidFill>
            </a:rPr>
            <a:t>Variance:</a:t>
          </a:r>
          <a:endParaRPr lang="en-GB" sz="800" b="1" baseline="0">
            <a:solidFill>
              <a:srgbClr val="FF0000"/>
            </a:solidFill>
          </a:endParaRPr>
        </a:p>
        <a:p>
          <a:pPr algn="ctr"/>
          <a:r>
            <a:rPr lang="en-GB" sz="800" b="1" baseline="0">
              <a:solidFill>
                <a:srgbClr val="FF0000"/>
              </a:solidFill>
            </a:rPr>
            <a:t> - 6 Weeks</a:t>
          </a:r>
          <a:endParaRPr lang="en-US" sz="800" b="1">
            <a:solidFill>
              <a:srgbClr val="FF0000"/>
            </a:solidFill>
          </a:endParaRPr>
        </a:p>
      </xdr:txBody>
    </xdr:sp>
    <xdr:clientData/>
  </xdr:twoCellAnchor>
  <xdr:twoCellAnchor>
    <xdr:from>
      <xdr:col>3</xdr:col>
      <xdr:colOff>532087</xdr:colOff>
      <xdr:row>3</xdr:row>
      <xdr:rowOff>298557</xdr:rowOff>
    </xdr:from>
    <xdr:to>
      <xdr:col>4</xdr:col>
      <xdr:colOff>507716</xdr:colOff>
      <xdr:row>3</xdr:row>
      <xdr:rowOff>298557</xdr:rowOff>
    </xdr:to>
    <xdr:cxnSp macro="">
      <xdr:nvCxnSpPr>
        <xdr:cNvPr id="88" name="Straight Connector 87">
          <a:extLst>
            <a:ext uri="{FF2B5EF4-FFF2-40B4-BE49-F238E27FC236}">
              <a16:creationId xmlns:a16="http://schemas.microsoft.com/office/drawing/2014/main" id="{00000000-0008-0000-0000-000058000000}"/>
            </a:ext>
          </a:extLst>
        </xdr:cNvPr>
        <xdr:cNvCxnSpPr/>
      </xdr:nvCxnSpPr>
      <xdr:spPr>
        <a:xfrm>
          <a:off x="3484245" y="1243965"/>
          <a:ext cx="6711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370114</xdr:colOff>
      <xdr:row>4</xdr:row>
      <xdr:rowOff>294747</xdr:rowOff>
    </xdr:from>
    <xdr:to>
      <xdr:col>4</xdr:col>
      <xdr:colOff>515336</xdr:colOff>
      <xdr:row>4</xdr:row>
      <xdr:rowOff>294747</xdr:rowOff>
    </xdr:to>
    <xdr:cxnSp macro="">
      <xdr:nvCxnSpPr>
        <xdr:cNvPr id="89" name="Straight Connector 88">
          <a:extLst>
            <a:ext uri="{FF2B5EF4-FFF2-40B4-BE49-F238E27FC236}">
              <a16:creationId xmlns:a16="http://schemas.microsoft.com/office/drawing/2014/main" id="{00000000-0008-0000-0000-000059000000}"/>
            </a:ext>
          </a:extLst>
        </xdr:cNvPr>
        <xdr:cNvCxnSpPr/>
      </xdr:nvCxnSpPr>
      <xdr:spPr>
        <a:xfrm>
          <a:off x="4017645" y="181165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479835</xdr:colOff>
      <xdr:row>6</xdr:row>
      <xdr:rowOff>287399</xdr:rowOff>
    </xdr:from>
    <xdr:to>
      <xdr:col>5</xdr:col>
      <xdr:colOff>12791</xdr:colOff>
      <xdr:row>6</xdr:row>
      <xdr:rowOff>287399</xdr:rowOff>
    </xdr:to>
    <xdr:cxnSp macro="">
      <xdr:nvCxnSpPr>
        <xdr:cNvPr id="90" name="Straight Connector 89">
          <a:extLst>
            <a:ext uri="{FF2B5EF4-FFF2-40B4-BE49-F238E27FC236}">
              <a16:creationId xmlns:a16="http://schemas.microsoft.com/office/drawing/2014/main" id="{00000000-0008-0000-0000-00005A000000}"/>
            </a:ext>
          </a:extLst>
        </xdr:cNvPr>
        <xdr:cNvCxnSpPr/>
      </xdr:nvCxnSpPr>
      <xdr:spPr>
        <a:xfrm>
          <a:off x="4127500" y="2947035"/>
          <a:ext cx="2286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11749</xdr:colOff>
      <xdr:row>7</xdr:row>
      <xdr:rowOff>305360</xdr:rowOff>
    </xdr:from>
    <xdr:to>
      <xdr:col>5</xdr:col>
      <xdr:colOff>183696</xdr:colOff>
      <xdr:row>7</xdr:row>
      <xdr:rowOff>305360</xdr:rowOff>
    </xdr:to>
    <xdr:cxnSp macro="">
      <xdr:nvCxnSpPr>
        <xdr:cNvPr id="91" name="Straight Connector 90">
          <a:extLst>
            <a:ext uri="{FF2B5EF4-FFF2-40B4-BE49-F238E27FC236}">
              <a16:creationId xmlns:a16="http://schemas.microsoft.com/office/drawing/2014/main" id="{00000000-0008-0000-0000-00005B000000}"/>
            </a:ext>
          </a:extLst>
        </xdr:cNvPr>
        <xdr:cNvCxnSpPr/>
      </xdr:nvCxnSpPr>
      <xdr:spPr>
        <a:xfrm>
          <a:off x="4354830" y="3536315"/>
          <a:ext cx="1720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188097</xdr:colOff>
      <xdr:row>8</xdr:row>
      <xdr:rowOff>285221</xdr:rowOff>
    </xdr:from>
    <xdr:to>
      <xdr:col>5</xdr:col>
      <xdr:colOff>348614</xdr:colOff>
      <xdr:row>8</xdr:row>
      <xdr:rowOff>285221</xdr:rowOff>
    </xdr:to>
    <xdr:cxnSp macro="">
      <xdr:nvCxnSpPr>
        <xdr:cNvPr id="92" name="Straight Connector 91">
          <a:extLst>
            <a:ext uri="{FF2B5EF4-FFF2-40B4-BE49-F238E27FC236}">
              <a16:creationId xmlns:a16="http://schemas.microsoft.com/office/drawing/2014/main" id="{00000000-0008-0000-0000-00005C000000}"/>
            </a:ext>
          </a:extLst>
        </xdr:cNvPr>
        <xdr:cNvCxnSpPr/>
      </xdr:nvCxnSpPr>
      <xdr:spPr>
        <a:xfrm>
          <a:off x="4531360" y="4088130"/>
          <a:ext cx="1600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353017</xdr:colOff>
      <xdr:row>9</xdr:row>
      <xdr:rowOff>286854</xdr:rowOff>
    </xdr:from>
    <xdr:to>
      <xdr:col>5</xdr:col>
      <xdr:colOff>515439</xdr:colOff>
      <xdr:row>9</xdr:row>
      <xdr:rowOff>286854</xdr:rowOff>
    </xdr:to>
    <xdr:cxnSp macro="">
      <xdr:nvCxnSpPr>
        <xdr:cNvPr id="93" name="Straight Connector 92">
          <a:extLst>
            <a:ext uri="{FF2B5EF4-FFF2-40B4-BE49-F238E27FC236}">
              <a16:creationId xmlns:a16="http://schemas.microsoft.com/office/drawing/2014/main" id="{00000000-0008-0000-0000-00005D000000}"/>
            </a:ext>
          </a:extLst>
        </xdr:cNvPr>
        <xdr:cNvCxnSpPr/>
      </xdr:nvCxnSpPr>
      <xdr:spPr>
        <a:xfrm>
          <a:off x="4695825" y="4660900"/>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476569</xdr:colOff>
      <xdr:row>10</xdr:row>
      <xdr:rowOff>284677</xdr:rowOff>
    </xdr:from>
    <xdr:to>
      <xdr:col>6</xdr:col>
      <xdr:colOff>1905</xdr:colOff>
      <xdr:row>10</xdr:row>
      <xdr:rowOff>284677</xdr:rowOff>
    </xdr:to>
    <xdr:cxnSp macro="">
      <xdr:nvCxnSpPr>
        <xdr:cNvPr id="94" name="Straight Connector 93">
          <a:extLst>
            <a:ext uri="{FF2B5EF4-FFF2-40B4-BE49-F238E27FC236}">
              <a16:creationId xmlns:a16="http://schemas.microsoft.com/office/drawing/2014/main" id="{00000000-0008-0000-0000-00005E000000}"/>
            </a:ext>
          </a:extLst>
        </xdr:cNvPr>
        <xdr:cNvCxnSpPr/>
      </xdr:nvCxnSpPr>
      <xdr:spPr>
        <a:xfrm>
          <a:off x="4819650" y="5230495"/>
          <a:ext cx="2209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612640</xdr:colOff>
      <xdr:row>11</xdr:row>
      <xdr:rowOff>301005</xdr:rowOff>
    </xdr:from>
    <xdr:to>
      <xdr:col>6</xdr:col>
      <xdr:colOff>139881</xdr:colOff>
      <xdr:row>11</xdr:row>
      <xdr:rowOff>301005</xdr:rowOff>
    </xdr:to>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a:off x="4955540" y="5818505"/>
          <a:ext cx="2228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122783</xdr:colOff>
      <xdr:row>12</xdr:row>
      <xdr:rowOff>293658</xdr:rowOff>
    </xdr:from>
    <xdr:to>
      <xdr:col>6</xdr:col>
      <xdr:colOff>283300</xdr:colOff>
      <xdr:row>12</xdr:row>
      <xdr:rowOff>293658</xdr:rowOff>
    </xdr:to>
    <xdr:cxnSp macro="">
      <xdr:nvCxnSpPr>
        <xdr:cNvPr id="96" name="Straight Connector 95">
          <a:extLst>
            <a:ext uri="{FF2B5EF4-FFF2-40B4-BE49-F238E27FC236}">
              <a16:creationId xmlns:a16="http://schemas.microsoft.com/office/drawing/2014/main" id="{00000000-0008-0000-0000-000060000000}"/>
            </a:ext>
          </a:extLst>
        </xdr:cNvPr>
        <xdr:cNvCxnSpPr/>
      </xdr:nvCxnSpPr>
      <xdr:spPr>
        <a:xfrm>
          <a:off x="5161280" y="638238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304030</xdr:colOff>
      <xdr:row>13</xdr:row>
      <xdr:rowOff>288215</xdr:rowOff>
    </xdr:from>
    <xdr:to>
      <xdr:col>6</xdr:col>
      <xdr:colOff>470262</xdr:colOff>
      <xdr:row>13</xdr:row>
      <xdr:rowOff>288215</xdr:rowOff>
    </xdr:to>
    <xdr:cxnSp macro="">
      <xdr:nvCxnSpPr>
        <xdr:cNvPr id="97" name="Straight Connector 96">
          <a:extLst>
            <a:ext uri="{FF2B5EF4-FFF2-40B4-BE49-F238E27FC236}">
              <a16:creationId xmlns:a16="http://schemas.microsoft.com/office/drawing/2014/main" id="{00000000-0008-0000-0000-000061000000}"/>
            </a:ext>
          </a:extLst>
        </xdr:cNvPr>
        <xdr:cNvCxnSpPr/>
      </xdr:nvCxnSpPr>
      <xdr:spPr>
        <a:xfrm>
          <a:off x="5342255" y="6948170"/>
          <a:ext cx="1663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474392</xdr:colOff>
      <xdr:row>14</xdr:row>
      <xdr:rowOff>304544</xdr:rowOff>
    </xdr:from>
    <xdr:to>
      <xdr:col>7</xdr:col>
      <xdr:colOff>13062</xdr:colOff>
      <xdr:row>14</xdr:row>
      <xdr:rowOff>304544</xdr:rowOff>
    </xdr:to>
    <xdr:cxnSp macro="">
      <xdr:nvCxnSpPr>
        <xdr:cNvPr id="98" name="Straight Connector 97">
          <a:extLst>
            <a:ext uri="{FF2B5EF4-FFF2-40B4-BE49-F238E27FC236}">
              <a16:creationId xmlns:a16="http://schemas.microsoft.com/office/drawing/2014/main" id="{00000000-0008-0000-0000-000062000000}"/>
            </a:ext>
          </a:extLst>
        </xdr:cNvPr>
        <xdr:cNvCxnSpPr/>
      </xdr:nvCxnSpPr>
      <xdr:spPr>
        <a:xfrm>
          <a:off x="5513070" y="7536180"/>
          <a:ext cx="2336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627063</xdr:colOff>
      <xdr:row>15</xdr:row>
      <xdr:rowOff>304544</xdr:rowOff>
    </xdr:from>
    <xdr:to>
      <xdr:col>7</xdr:col>
      <xdr:colOff>163828</xdr:colOff>
      <xdr:row>15</xdr:row>
      <xdr:rowOff>304544</xdr:rowOff>
    </xdr:to>
    <xdr:cxnSp macro="">
      <xdr:nvCxnSpPr>
        <xdr:cNvPr id="99" name="Straight Connector 98">
          <a:extLst>
            <a:ext uri="{FF2B5EF4-FFF2-40B4-BE49-F238E27FC236}">
              <a16:creationId xmlns:a16="http://schemas.microsoft.com/office/drawing/2014/main" id="{00000000-0008-0000-0000-000063000000}"/>
            </a:ext>
          </a:extLst>
        </xdr:cNvPr>
        <xdr:cNvCxnSpPr/>
      </xdr:nvCxnSpPr>
      <xdr:spPr>
        <a:xfrm>
          <a:off x="5665470" y="8107680"/>
          <a:ext cx="2317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20</xdr:row>
      <xdr:rowOff>248492</xdr:rowOff>
    </xdr:from>
    <xdr:to>
      <xdr:col>8</xdr:col>
      <xdr:colOff>239486</xdr:colOff>
      <xdr:row>20</xdr:row>
      <xdr:rowOff>248492</xdr:rowOff>
    </xdr:to>
    <xdr:cxnSp macro="">
      <xdr:nvCxnSpPr>
        <xdr:cNvPr id="100" name="Straight Connector 19">
          <a:extLst>
            <a:ext uri="{FF2B5EF4-FFF2-40B4-BE49-F238E27FC236}">
              <a16:creationId xmlns:a16="http://schemas.microsoft.com/office/drawing/2014/main" id="{00000000-0008-0000-0000-000064000000}"/>
            </a:ext>
          </a:extLst>
        </xdr:cNvPr>
        <xdr:cNvCxnSpPr/>
      </xdr:nvCxnSpPr>
      <xdr:spPr>
        <a:xfrm>
          <a:off x="6030595" y="10775950"/>
          <a:ext cx="6381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386443</xdr:colOff>
      <xdr:row>30</xdr:row>
      <xdr:rowOff>237567</xdr:rowOff>
    </xdr:from>
    <xdr:to>
      <xdr:col>5</xdr:col>
      <xdr:colOff>174171</xdr:colOff>
      <xdr:row>30</xdr:row>
      <xdr:rowOff>237567</xdr:rowOff>
    </xdr:to>
    <xdr:cxnSp macro="">
      <xdr:nvCxnSpPr>
        <xdr:cNvPr id="101" name="Straight Connector 2">
          <a:extLst>
            <a:ext uri="{FF2B5EF4-FFF2-40B4-BE49-F238E27FC236}">
              <a16:creationId xmlns:a16="http://schemas.microsoft.com/office/drawing/2014/main" id="{00000000-0008-0000-0000-000065000000}"/>
            </a:ext>
          </a:extLst>
        </xdr:cNvPr>
        <xdr:cNvCxnSpPr/>
      </xdr:nvCxnSpPr>
      <xdr:spPr>
        <a:xfrm>
          <a:off x="4034155" y="14525625"/>
          <a:ext cx="48323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21</xdr:row>
      <xdr:rowOff>177734</xdr:rowOff>
    </xdr:from>
    <xdr:to>
      <xdr:col>7</xdr:col>
      <xdr:colOff>419100</xdr:colOff>
      <xdr:row>21</xdr:row>
      <xdr:rowOff>177734</xdr:rowOff>
    </xdr:to>
    <xdr:cxnSp macro="">
      <xdr:nvCxnSpPr>
        <xdr:cNvPr id="102" name="Straight Connector 19">
          <a:extLst>
            <a:ext uri="{FF2B5EF4-FFF2-40B4-BE49-F238E27FC236}">
              <a16:creationId xmlns:a16="http://schemas.microsoft.com/office/drawing/2014/main" id="{00000000-0008-0000-0000-000066000000}"/>
            </a:ext>
          </a:extLst>
        </xdr:cNvPr>
        <xdr:cNvCxnSpPr/>
      </xdr:nvCxnSpPr>
      <xdr:spPr>
        <a:xfrm>
          <a:off x="6030595" y="1116203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405785</xdr:colOff>
      <xdr:row>22</xdr:row>
      <xdr:rowOff>194063</xdr:rowOff>
    </xdr:from>
    <xdr:to>
      <xdr:col>7</xdr:col>
      <xdr:colOff>527959</xdr:colOff>
      <xdr:row>22</xdr:row>
      <xdr:rowOff>194063</xdr:rowOff>
    </xdr:to>
    <xdr:cxnSp macro="">
      <xdr:nvCxnSpPr>
        <xdr:cNvPr id="103" name="Straight Connector 19">
          <a:extLst>
            <a:ext uri="{FF2B5EF4-FFF2-40B4-BE49-F238E27FC236}">
              <a16:creationId xmlns:a16="http://schemas.microsoft.com/office/drawing/2014/main" id="{00000000-0008-0000-0000-000067000000}"/>
            </a:ext>
          </a:extLst>
        </xdr:cNvPr>
        <xdr:cNvCxnSpPr/>
      </xdr:nvCxnSpPr>
      <xdr:spPr>
        <a:xfrm>
          <a:off x="6139815" y="1154557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498316</xdr:colOff>
      <xdr:row>23</xdr:row>
      <xdr:rowOff>194062</xdr:rowOff>
    </xdr:from>
    <xdr:to>
      <xdr:col>7</xdr:col>
      <xdr:colOff>620490</xdr:colOff>
      <xdr:row>23</xdr:row>
      <xdr:rowOff>194062</xdr:rowOff>
    </xdr:to>
    <xdr:cxnSp macro="">
      <xdr:nvCxnSpPr>
        <xdr:cNvPr id="104" name="Straight Connector 19">
          <a:extLst>
            <a:ext uri="{FF2B5EF4-FFF2-40B4-BE49-F238E27FC236}">
              <a16:creationId xmlns:a16="http://schemas.microsoft.com/office/drawing/2014/main" id="{00000000-0008-0000-0000-000068000000}"/>
            </a:ext>
          </a:extLst>
        </xdr:cNvPr>
        <xdr:cNvCxnSpPr/>
      </xdr:nvCxnSpPr>
      <xdr:spPr>
        <a:xfrm>
          <a:off x="6231890" y="1191260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618061</xdr:colOff>
      <xdr:row>24</xdr:row>
      <xdr:rowOff>204948</xdr:rowOff>
    </xdr:from>
    <xdr:to>
      <xdr:col>8</xdr:col>
      <xdr:colOff>114307</xdr:colOff>
      <xdr:row>24</xdr:row>
      <xdr:rowOff>204948</xdr:rowOff>
    </xdr:to>
    <xdr:cxnSp macro="">
      <xdr:nvCxnSpPr>
        <xdr:cNvPr id="105" name="Straight Connector 19">
          <a:extLst>
            <a:ext uri="{FF2B5EF4-FFF2-40B4-BE49-F238E27FC236}">
              <a16:creationId xmlns:a16="http://schemas.microsoft.com/office/drawing/2014/main" id="{00000000-0008-0000-0000-000069000000}"/>
            </a:ext>
          </a:extLst>
        </xdr:cNvPr>
        <xdr:cNvCxnSpPr/>
      </xdr:nvCxnSpPr>
      <xdr:spPr>
        <a:xfrm>
          <a:off x="6351905" y="12290425"/>
          <a:ext cx="1917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57449</xdr:colOff>
      <xdr:row>25</xdr:row>
      <xdr:rowOff>199506</xdr:rowOff>
    </xdr:from>
    <xdr:to>
      <xdr:col>8</xdr:col>
      <xdr:colOff>179623</xdr:colOff>
      <xdr:row>25</xdr:row>
      <xdr:rowOff>199506</xdr:rowOff>
    </xdr:to>
    <xdr:cxnSp macro="">
      <xdr:nvCxnSpPr>
        <xdr:cNvPr id="106" name="Straight Connector 19">
          <a:extLst>
            <a:ext uri="{FF2B5EF4-FFF2-40B4-BE49-F238E27FC236}">
              <a16:creationId xmlns:a16="http://schemas.microsoft.com/office/drawing/2014/main" id="{00000000-0008-0000-0000-00006A000000}"/>
            </a:ext>
          </a:extLst>
        </xdr:cNvPr>
        <xdr:cNvCxnSpPr/>
      </xdr:nvCxnSpPr>
      <xdr:spPr>
        <a:xfrm>
          <a:off x="6486525" y="1265237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95550</xdr:colOff>
      <xdr:row>26</xdr:row>
      <xdr:rowOff>199506</xdr:rowOff>
    </xdr:from>
    <xdr:to>
      <xdr:col>8</xdr:col>
      <xdr:colOff>217724</xdr:colOff>
      <xdr:row>26</xdr:row>
      <xdr:rowOff>199506</xdr:rowOff>
    </xdr:to>
    <xdr:cxnSp macro="">
      <xdr:nvCxnSpPr>
        <xdr:cNvPr id="107" name="Straight Connector 19">
          <a:extLst>
            <a:ext uri="{FF2B5EF4-FFF2-40B4-BE49-F238E27FC236}">
              <a16:creationId xmlns:a16="http://schemas.microsoft.com/office/drawing/2014/main" id="{00000000-0008-0000-0000-00006B000000}"/>
            </a:ext>
          </a:extLst>
        </xdr:cNvPr>
        <xdr:cNvCxnSpPr/>
      </xdr:nvCxnSpPr>
      <xdr:spPr>
        <a:xfrm>
          <a:off x="6524625" y="1301940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111879</xdr:colOff>
      <xdr:row>27</xdr:row>
      <xdr:rowOff>199507</xdr:rowOff>
    </xdr:from>
    <xdr:to>
      <xdr:col>8</xdr:col>
      <xdr:colOff>234053</xdr:colOff>
      <xdr:row>27</xdr:row>
      <xdr:rowOff>199507</xdr:rowOff>
    </xdr:to>
    <xdr:cxnSp macro="">
      <xdr:nvCxnSpPr>
        <xdr:cNvPr id="108" name="Straight Connector 19">
          <a:extLst>
            <a:ext uri="{FF2B5EF4-FFF2-40B4-BE49-F238E27FC236}">
              <a16:creationId xmlns:a16="http://schemas.microsoft.com/office/drawing/2014/main" id="{00000000-0008-0000-0000-00006C000000}"/>
            </a:ext>
          </a:extLst>
        </xdr:cNvPr>
        <xdr:cNvCxnSpPr/>
      </xdr:nvCxnSpPr>
      <xdr:spPr>
        <a:xfrm>
          <a:off x="6541135" y="1338643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310242</xdr:colOff>
      <xdr:row>5</xdr:row>
      <xdr:rowOff>311075</xdr:rowOff>
    </xdr:from>
    <xdr:to>
      <xdr:col>5</xdr:col>
      <xdr:colOff>455464</xdr:colOff>
      <xdr:row>5</xdr:row>
      <xdr:rowOff>311075</xdr:rowOff>
    </xdr:to>
    <xdr:cxnSp macro="">
      <xdr:nvCxnSpPr>
        <xdr:cNvPr id="109" name="Straight Connector 108">
          <a:extLst>
            <a:ext uri="{FF2B5EF4-FFF2-40B4-BE49-F238E27FC236}">
              <a16:creationId xmlns:a16="http://schemas.microsoft.com/office/drawing/2014/main" id="{00000000-0008-0000-0000-00006D000000}"/>
            </a:ext>
          </a:extLst>
        </xdr:cNvPr>
        <xdr:cNvCxnSpPr/>
      </xdr:nvCxnSpPr>
      <xdr:spPr>
        <a:xfrm>
          <a:off x="4653280" y="239903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153534</xdr:colOff>
      <xdr:row>16</xdr:row>
      <xdr:rowOff>288215</xdr:rowOff>
    </xdr:from>
    <xdr:to>
      <xdr:col>7</xdr:col>
      <xdr:colOff>316228</xdr:colOff>
      <xdr:row>16</xdr:row>
      <xdr:rowOff>288215</xdr:rowOff>
    </xdr:to>
    <xdr:cxnSp macro="">
      <xdr:nvCxnSpPr>
        <xdr:cNvPr id="110" name="Straight Connector 109">
          <a:extLst>
            <a:ext uri="{FF2B5EF4-FFF2-40B4-BE49-F238E27FC236}">
              <a16:creationId xmlns:a16="http://schemas.microsoft.com/office/drawing/2014/main" id="{00000000-0008-0000-0000-00006E000000}"/>
            </a:ext>
          </a:extLst>
        </xdr:cNvPr>
        <xdr:cNvCxnSpPr/>
      </xdr:nvCxnSpPr>
      <xdr:spPr>
        <a:xfrm>
          <a:off x="5887085" y="8662670"/>
          <a:ext cx="1625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635723</xdr:colOff>
      <xdr:row>52</xdr:row>
      <xdr:rowOff>230681</xdr:rowOff>
    </xdr:from>
    <xdr:to>
      <xdr:col>20</xdr:col>
      <xdr:colOff>122457</xdr:colOff>
      <xdr:row>52</xdr:row>
      <xdr:rowOff>230681</xdr:rowOff>
    </xdr:to>
    <xdr:cxnSp macro="">
      <xdr:nvCxnSpPr>
        <xdr:cNvPr id="8" name="Straight Connector 19">
          <a:extLst>
            <a:ext uri="{FF2B5EF4-FFF2-40B4-BE49-F238E27FC236}">
              <a16:creationId xmlns:a16="http://schemas.microsoft.com/office/drawing/2014/main" id="{00000000-0008-0000-0100-0000F3000000}"/>
            </a:ext>
          </a:extLst>
        </xdr:cNvPr>
        <xdr:cNvCxnSpPr/>
      </xdr:nvCxnSpPr>
      <xdr:spPr>
        <a:xfrm>
          <a:off x="12484735" y="25395555"/>
          <a:ext cx="8769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438150</xdr:colOff>
      <xdr:row>33</xdr:row>
      <xdr:rowOff>266172</xdr:rowOff>
    </xdr:from>
    <xdr:to>
      <xdr:col>18</xdr:col>
      <xdr:colOff>474980</xdr:colOff>
      <xdr:row>33</xdr:row>
      <xdr:rowOff>266172</xdr:rowOff>
    </xdr:to>
    <xdr:cxnSp macro="">
      <xdr:nvCxnSpPr>
        <xdr:cNvPr id="93" name="Straight Connector 92">
          <a:extLst>
            <a:ext uri="{FF2B5EF4-FFF2-40B4-BE49-F238E27FC236}">
              <a16:creationId xmlns:a16="http://schemas.microsoft.com/office/drawing/2014/main" id="{00000000-0008-0000-0100-00005D000000}"/>
            </a:ext>
          </a:extLst>
        </xdr:cNvPr>
        <xdr:cNvCxnSpPr/>
      </xdr:nvCxnSpPr>
      <xdr:spPr>
        <a:xfrm>
          <a:off x="12287250" y="14622780"/>
          <a:ext cx="368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580529</xdr:colOff>
      <xdr:row>47</xdr:row>
      <xdr:rowOff>298346</xdr:rowOff>
    </xdr:from>
    <xdr:to>
      <xdr:col>18</xdr:col>
      <xdr:colOff>386013</xdr:colOff>
      <xdr:row>47</xdr:row>
      <xdr:rowOff>298346</xdr:rowOff>
    </xdr:to>
    <xdr:cxnSp macro="">
      <xdr:nvCxnSpPr>
        <xdr:cNvPr id="201" name="Straight Connector 2">
          <a:extLst>
            <a:ext uri="{FF2B5EF4-FFF2-40B4-BE49-F238E27FC236}">
              <a16:creationId xmlns:a16="http://schemas.microsoft.com/office/drawing/2014/main" id="{00000000-0008-0000-0100-0000C9000000}"/>
            </a:ext>
          </a:extLst>
        </xdr:cNvPr>
        <xdr:cNvCxnSpPr/>
      </xdr:nvCxnSpPr>
      <xdr:spPr>
        <a:xfrm>
          <a:off x="11734165" y="21112480"/>
          <a:ext cx="5003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3122</xdr:colOff>
      <xdr:row>1</xdr:row>
      <xdr:rowOff>15240</xdr:rowOff>
    </xdr:from>
    <xdr:to>
      <xdr:col>21</xdr:col>
      <xdr:colOff>3122</xdr:colOff>
      <xdr:row>91</xdr:row>
      <xdr:rowOff>381000</xdr:rowOff>
    </xdr:to>
    <xdr:cxnSp macro="">
      <xdr:nvCxnSpPr>
        <xdr:cNvPr id="3" name="Straight Connector 27">
          <a:extLst>
            <a:ext uri="{FF2B5EF4-FFF2-40B4-BE49-F238E27FC236}">
              <a16:creationId xmlns:a16="http://schemas.microsoft.com/office/drawing/2014/main" id="{00000000-0008-0000-0100-000003000000}"/>
            </a:ext>
          </a:extLst>
        </xdr:cNvPr>
        <xdr:cNvCxnSpPr/>
      </xdr:nvCxnSpPr>
      <xdr:spPr>
        <a:xfrm>
          <a:off x="13937615" y="84455"/>
          <a:ext cx="0" cy="396284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591553</xdr:colOff>
      <xdr:row>48</xdr:row>
      <xdr:rowOff>221673</xdr:rowOff>
    </xdr:from>
    <xdr:to>
      <xdr:col>18</xdr:col>
      <xdr:colOff>487546</xdr:colOff>
      <xdr:row>48</xdr:row>
      <xdr:rowOff>221673</xdr:rowOff>
    </xdr:to>
    <xdr:cxnSp macro="">
      <xdr:nvCxnSpPr>
        <xdr:cNvPr id="207" name="Straight Connector 2">
          <a:extLst>
            <a:ext uri="{FF2B5EF4-FFF2-40B4-BE49-F238E27FC236}">
              <a16:creationId xmlns:a16="http://schemas.microsoft.com/office/drawing/2014/main" id="{00000000-0008-0000-0100-0000CF000000}"/>
            </a:ext>
          </a:extLst>
        </xdr:cNvPr>
        <xdr:cNvCxnSpPr/>
      </xdr:nvCxnSpPr>
      <xdr:spPr>
        <a:xfrm>
          <a:off x="11744960" y="21588730"/>
          <a:ext cx="5911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487699</xdr:colOff>
      <xdr:row>48</xdr:row>
      <xdr:rowOff>221225</xdr:rowOff>
    </xdr:from>
    <xdr:to>
      <xdr:col>20</xdr:col>
      <xdr:colOff>170448</xdr:colOff>
      <xdr:row>48</xdr:row>
      <xdr:rowOff>221225</xdr:rowOff>
    </xdr:to>
    <xdr:cxnSp macro="">
      <xdr:nvCxnSpPr>
        <xdr:cNvPr id="203" name="Straight Connector 19">
          <a:extLst>
            <a:ext uri="{FF2B5EF4-FFF2-40B4-BE49-F238E27FC236}">
              <a16:creationId xmlns:a16="http://schemas.microsoft.com/office/drawing/2014/main" id="{00000000-0008-0000-0100-0000CB000000}"/>
            </a:ext>
          </a:extLst>
        </xdr:cNvPr>
        <xdr:cNvCxnSpPr/>
      </xdr:nvCxnSpPr>
      <xdr:spPr>
        <a:xfrm>
          <a:off x="12336780" y="21588095"/>
          <a:ext cx="10731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532087</xdr:colOff>
      <xdr:row>2</xdr:row>
      <xdr:rowOff>282841</xdr:rowOff>
    </xdr:from>
    <xdr:to>
      <xdr:col>16</xdr:col>
      <xdr:colOff>505811</xdr:colOff>
      <xdr:row>2</xdr:row>
      <xdr:rowOff>282841</xdr:rowOff>
    </xdr:to>
    <xdr:cxnSp macro="">
      <xdr:nvCxnSpPr>
        <xdr:cNvPr id="7" name="Straight Connector 1">
          <a:extLst>
            <a:ext uri="{FF2B5EF4-FFF2-40B4-BE49-F238E27FC236}">
              <a16:creationId xmlns:a16="http://schemas.microsoft.com/office/drawing/2014/main" id="{00000000-0008-0000-0100-000007000000}"/>
            </a:ext>
          </a:extLst>
        </xdr:cNvPr>
        <xdr:cNvCxnSpPr/>
      </xdr:nvCxnSpPr>
      <xdr:spPr>
        <a:xfrm>
          <a:off x="10294620" y="374015"/>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592637</xdr:colOff>
      <xdr:row>46</xdr:row>
      <xdr:rowOff>283719</xdr:rowOff>
    </xdr:from>
    <xdr:to>
      <xdr:col>18</xdr:col>
      <xdr:colOff>401053</xdr:colOff>
      <xdr:row>46</xdr:row>
      <xdr:rowOff>283719</xdr:rowOff>
    </xdr:to>
    <xdr:cxnSp macro="">
      <xdr:nvCxnSpPr>
        <xdr:cNvPr id="199" name="Straight Connector 2">
          <a:extLst>
            <a:ext uri="{FF2B5EF4-FFF2-40B4-BE49-F238E27FC236}">
              <a16:creationId xmlns:a16="http://schemas.microsoft.com/office/drawing/2014/main" id="{00000000-0008-0000-0100-0000C7000000}"/>
            </a:ext>
          </a:extLst>
        </xdr:cNvPr>
        <xdr:cNvCxnSpPr/>
      </xdr:nvCxnSpPr>
      <xdr:spPr>
        <a:xfrm>
          <a:off x="11746230" y="20526375"/>
          <a:ext cx="5035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1</xdr:row>
      <xdr:rowOff>15421</xdr:rowOff>
    </xdr:from>
    <xdr:to>
      <xdr:col>16</xdr:col>
      <xdr:colOff>0</xdr:colOff>
      <xdr:row>91</xdr:row>
      <xdr:rowOff>361950</xdr:rowOff>
    </xdr:to>
    <xdr:cxnSp macro="">
      <xdr:nvCxnSpPr>
        <xdr:cNvPr id="10" name="Straight Connector 6">
          <a:extLst>
            <a:ext uri="{FF2B5EF4-FFF2-40B4-BE49-F238E27FC236}">
              <a16:creationId xmlns:a16="http://schemas.microsoft.com/office/drawing/2014/main" id="{00000000-0008-0000-0100-00000A000000}"/>
            </a:ext>
          </a:extLst>
        </xdr:cNvPr>
        <xdr:cNvCxnSpPr/>
      </xdr:nvCxnSpPr>
      <xdr:spPr>
        <a:xfrm>
          <a:off x="10458450" y="84455"/>
          <a:ext cx="0" cy="396093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93</xdr:row>
      <xdr:rowOff>0</xdr:rowOff>
    </xdr:to>
    <xdr:cxnSp macro="">
      <xdr:nvCxnSpPr>
        <xdr:cNvPr id="11" name="Straight Connector 7">
          <a:extLst>
            <a:ext uri="{FF2B5EF4-FFF2-40B4-BE49-F238E27FC236}">
              <a16:creationId xmlns:a16="http://schemas.microsoft.com/office/drawing/2014/main" id="{00000000-0008-0000-0100-00000B000000}"/>
            </a:ext>
          </a:extLst>
        </xdr:cNvPr>
        <xdr:cNvCxnSpPr/>
      </xdr:nvCxnSpPr>
      <xdr:spPr>
        <a:xfrm>
          <a:off x="11064240" y="84455"/>
          <a:ext cx="0" cy="400284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3842</xdr:colOff>
      <xdr:row>1</xdr:row>
      <xdr:rowOff>19050</xdr:rowOff>
    </xdr:from>
    <xdr:to>
      <xdr:col>18</xdr:col>
      <xdr:colOff>3842</xdr:colOff>
      <xdr:row>91</xdr:row>
      <xdr:rowOff>361950</xdr:rowOff>
    </xdr:to>
    <xdr:cxnSp macro="">
      <xdr:nvCxnSpPr>
        <xdr:cNvPr id="12" name="Straight Connector 8">
          <a:extLst>
            <a:ext uri="{FF2B5EF4-FFF2-40B4-BE49-F238E27FC236}">
              <a16:creationId xmlns:a16="http://schemas.microsoft.com/office/drawing/2014/main" id="{00000000-0008-0000-0100-00000C000000}"/>
            </a:ext>
          </a:extLst>
        </xdr:cNvPr>
        <xdr:cNvCxnSpPr/>
      </xdr:nvCxnSpPr>
      <xdr:spPr>
        <a:xfrm>
          <a:off x="11852910" y="88265"/>
          <a:ext cx="0" cy="3960558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607695</xdr:colOff>
      <xdr:row>1</xdr:row>
      <xdr:rowOff>30480</xdr:rowOff>
    </xdr:from>
    <xdr:to>
      <xdr:col>18</xdr:col>
      <xdr:colOff>607695</xdr:colOff>
      <xdr:row>91</xdr:row>
      <xdr:rowOff>323850</xdr:rowOff>
    </xdr:to>
    <xdr:cxnSp macro="">
      <xdr:nvCxnSpPr>
        <xdr:cNvPr id="13" name="Straight Connector 9">
          <a:extLst>
            <a:ext uri="{FF2B5EF4-FFF2-40B4-BE49-F238E27FC236}">
              <a16:creationId xmlns:a16="http://schemas.microsoft.com/office/drawing/2014/main" id="{00000000-0008-0000-0100-00000D000000}"/>
            </a:ext>
          </a:extLst>
        </xdr:cNvPr>
        <xdr:cNvCxnSpPr/>
      </xdr:nvCxnSpPr>
      <xdr:spPr>
        <a:xfrm>
          <a:off x="12456795" y="99695"/>
          <a:ext cx="0" cy="3955605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91</xdr:row>
      <xdr:rowOff>381000</xdr:rowOff>
    </xdr:to>
    <xdr:cxnSp macro="">
      <xdr:nvCxnSpPr>
        <xdr:cNvPr id="14" name="Straight Connector 10">
          <a:extLst>
            <a:ext uri="{FF2B5EF4-FFF2-40B4-BE49-F238E27FC236}">
              <a16:creationId xmlns:a16="http://schemas.microsoft.com/office/drawing/2014/main" id="{00000000-0008-0000-0100-00000E000000}"/>
            </a:ext>
          </a:extLst>
        </xdr:cNvPr>
        <xdr:cNvCxnSpPr/>
      </xdr:nvCxnSpPr>
      <xdr:spPr>
        <a:xfrm>
          <a:off x="13239750" y="88265"/>
          <a:ext cx="0" cy="3962463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479102</xdr:colOff>
      <xdr:row>1</xdr:row>
      <xdr:rowOff>0</xdr:rowOff>
    </xdr:from>
    <xdr:to>
      <xdr:col>18</xdr:col>
      <xdr:colOff>479102</xdr:colOff>
      <xdr:row>91</xdr:row>
      <xdr:rowOff>371475</xdr:rowOff>
    </xdr:to>
    <xdr:cxnSp macro="">
      <xdr:nvCxnSpPr>
        <xdr:cNvPr id="15" name="Straight Connector 10">
          <a:extLst>
            <a:ext uri="{FF2B5EF4-FFF2-40B4-BE49-F238E27FC236}">
              <a16:creationId xmlns:a16="http://schemas.microsoft.com/office/drawing/2014/main" id="{00000000-0008-0000-0100-00000F000000}"/>
            </a:ext>
          </a:extLst>
        </xdr:cNvPr>
        <xdr:cNvCxnSpPr/>
      </xdr:nvCxnSpPr>
      <xdr:spPr>
        <a:xfrm>
          <a:off x="12327890" y="69215"/>
          <a:ext cx="0" cy="3963416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276229</xdr:colOff>
      <xdr:row>93</xdr:row>
      <xdr:rowOff>19050</xdr:rowOff>
    </xdr:from>
    <xdr:to>
      <xdr:col>18</xdr:col>
      <xdr:colOff>430723</xdr:colOff>
      <xdr:row>99</xdr:row>
      <xdr:rowOff>16980</xdr:rowOff>
    </xdr:to>
    <xdr:sp macro="" textlink="">
      <xdr:nvSpPr>
        <xdr:cNvPr id="4" name="TextBox 13">
          <a:extLst>
            <a:ext uri="{FF2B5EF4-FFF2-40B4-BE49-F238E27FC236}">
              <a16:creationId xmlns:a16="http://schemas.microsoft.com/office/drawing/2014/main" id="{00000000-0008-0000-0100-000004000000}"/>
            </a:ext>
          </a:extLst>
        </xdr:cNvPr>
        <xdr:cNvSpPr txBox="1"/>
      </xdr:nvSpPr>
      <xdr:spPr>
        <a:xfrm rot="16200000">
          <a:off x="10107295" y="42149395"/>
          <a:ext cx="4190365" cy="1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700" b="1">
              <a:solidFill>
                <a:schemeClr val="dk1"/>
              </a:solidFill>
              <a:latin typeface="+mn-lt"/>
              <a:ea typeface="+mn-lt"/>
              <a:cs typeface="+mn-lt"/>
            </a:rPr>
            <a:t>Contract. TCC: 24-Jul-26</a:t>
          </a:r>
        </a:p>
      </xdr:txBody>
    </xdr:sp>
    <xdr:clientData/>
  </xdr:twoCellAnchor>
  <xdr:twoCellAnchor>
    <xdr:from>
      <xdr:col>16</xdr:col>
      <xdr:colOff>74543</xdr:colOff>
      <xdr:row>5</xdr:row>
      <xdr:rowOff>295382</xdr:rowOff>
    </xdr:from>
    <xdr:to>
      <xdr:col>17</xdr:col>
      <xdr:colOff>67235</xdr:colOff>
      <xdr:row>5</xdr:row>
      <xdr:rowOff>295382</xdr:rowOff>
    </xdr:to>
    <xdr:cxnSp macro="">
      <xdr:nvCxnSpPr>
        <xdr:cNvPr id="59" name="Straight Connector 18">
          <a:extLst>
            <a:ext uri="{FF2B5EF4-FFF2-40B4-BE49-F238E27FC236}">
              <a16:creationId xmlns:a16="http://schemas.microsoft.com/office/drawing/2014/main" id="{00000000-0008-0000-0100-00003B000000}"/>
            </a:ext>
          </a:extLst>
        </xdr:cNvPr>
        <xdr:cNvCxnSpPr/>
      </xdr:nvCxnSpPr>
      <xdr:spPr>
        <a:xfrm>
          <a:off x="10532745" y="669290"/>
          <a:ext cx="6877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596941</xdr:colOff>
      <xdr:row>6</xdr:row>
      <xdr:rowOff>297922</xdr:rowOff>
    </xdr:from>
    <xdr:to>
      <xdr:col>17</xdr:col>
      <xdr:colOff>515471</xdr:colOff>
      <xdr:row>6</xdr:row>
      <xdr:rowOff>297922</xdr:rowOff>
    </xdr:to>
    <xdr:cxnSp macro="">
      <xdr:nvCxnSpPr>
        <xdr:cNvPr id="57" name="Straight Connector 19">
          <a:extLst>
            <a:ext uri="{FF2B5EF4-FFF2-40B4-BE49-F238E27FC236}">
              <a16:creationId xmlns:a16="http://schemas.microsoft.com/office/drawing/2014/main" id="{00000000-0008-0000-0100-000039000000}"/>
            </a:ext>
          </a:extLst>
        </xdr:cNvPr>
        <xdr:cNvCxnSpPr/>
      </xdr:nvCxnSpPr>
      <xdr:spPr>
        <a:xfrm>
          <a:off x="11055350" y="1243330"/>
          <a:ext cx="6134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411443</xdr:colOff>
      <xdr:row>11</xdr:row>
      <xdr:rowOff>287399</xdr:rowOff>
    </xdr:from>
    <xdr:to>
      <xdr:col>17</xdr:col>
      <xdr:colOff>99391</xdr:colOff>
      <xdr:row>11</xdr:row>
      <xdr:rowOff>287399</xdr:rowOff>
    </xdr:to>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a:off x="10869295" y="4128135"/>
          <a:ext cx="3835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111672</xdr:colOff>
      <xdr:row>16</xdr:row>
      <xdr:rowOff>274162</xdr:rowOff>
    </xdr:from>
    <xdr:to>
      <xdr:col>17</xdr:col>
      <xdr:colOff>381000</xdr:colOff>
      <xdr:row>16</xdr:row>
      <xdr:rowOff>274162</xdr:rowOff>
    </xdr:to>
    <xdr:cxnSp macro="">
      <xdr:nvCxnSpPr>
        <xdr:cNvPr id="72" name="Straight Connector 21">
          <a:extLst>
            <a:ext uri="{FF2B5EF4-FFF2-40B4-BE49-F238E27FC236}">
              <a16:creationId xmlns:a16="http://schemas.microsoft.com/office/drawing/2014/main" id="{00000000-0008-0000-0100-000048000000}"/>
            </a:ext>
          </a:extLst>
        </xdr:cNvPr>
        <xdr:cNvCxnSpPr/>
      </xdr:nvCxnSpPr>
      <xdr:spPr>
        <a:xfrm>
          <a:off x="11264900" y="6457950"/>
          <a:ext cx="2698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188097</xdr:colOff>
      <xdr:row>21</xdr:row>
      <xdr:rowOff>285221</xdr:rowOff>
    </xdr:from>
    <xdr:to>
      <xdr:col>17</xdr:col>
      <xdr:colOff>479534</xdr:colOff>
      <xdr:row>21</xdr:row>
      <xdr:rowOff>285221</xdr:rowOff>
    </xdr:to>
    <xdr:cxnSp macro="">
      <xdr:nvCxnSpPr>
        <xdr:cNvPr id="100" name="Straight Connector 22">
          <a:extLst>
            <a:ext uri="{FF2B5EF4-FFF2-40B4-BE49-F238E27FC236}">
              <a16:creationId xmlns:a16="http://schemas.microsoft.com/office/drawing/2014/main" id="{00000000-0008-0000-0100-000064000000}"/>
            </a:ext>
          </a:extLst>
        </xdr:cNvPr>
        <xdr:cNvCxnSpPr/>
      </xdr:nvCxnSpPr>
      <xdr:spPr>
        <a:xfrm>
          <a:off x="11341735" y="8812530"/>
          <a:ext cx="2914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566618</xdr:colOff>
      <xdr:row>26</xdr:row>
      <xdr:rowOff>296817</xdr:rowOff>
    </xdr:from>
    <xdr:to>
      <xdr:col>18</xdr:col>
      <xdr:colOff>101929</xdr:colOff>
      <xdr:row>26</xdr:row>
      <xdr:rowOff>296817</xdr:rowOff>
    </xdr:to>
    <xdr:cxnSp macro="">
      <xdr:nvCxnSpPr>
        <xdr:cNvPr id="123" name="Straight Connector 23">
          <a:extLst>
            <a:ext uri="{FF2B5EF4-FFF2-40B4-BE49-F238E27FC236}">
              <a16:creationId xmlns:a16="http://schemas.microsoft.com/office/drawing/2014/main" id="{00000000-0008-0000-0100-00007B000000}"/>
            </a:ext>
          </a:extLst>
        </xdr:cNvPr>
        <xdr:cNvCxnSpPr/>
      </xdr:nvCxnSpPr>
      <xdr:spPr>
        <a:xfrm>
          <a:off x="11720195" y="11167110"/>
          <a:ext cx="2305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105738</xdr:colOff>
      <xdr:row>31</xdr:row>
      <xdr:rowOff>302536</xdr:rowOff>
    </xdr:from>
    <xdr:to>
      <xdr:col>18</xdr:col>
      <xdr:colOff>268263</xdr:colOff>
      <xdr:row>31</xdr:row>
      <xdr:rowOff>302536</xdr:rowOff>
    </xdr:to>
    <xdr:cxnSp macro="">
      <xdr:nvCxnSpPr>
        <xdr:cNvPr id="135" name="Straight Connector 24">
          <a:extLst>
            <a:ext uri="{FF2B5EF4-FFF2-40B4-BE49-F238E27FC236}">
              <a16:creationId xmlns:a16="http://schemas.microsoft.com/office/drawing/2014/main" id="{00000000-0008-0000-0100-000087000000}"/>
            </a:ext>
          </a:extLst>
        </xdr:cNvPr>
        <xdr:cNvCxnSpPr/>
      </xdr:nvCxnSpPr>
      <xdr:spPr>
        <a:xfrm>
          <a:off x="11954510" y="1351597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213739</xdr:colOff>
      <xdr:row>36</xdr:row>
      <xdr:rowOff>294655</xdr:rowOff>
    </xdr:from>
    <xdr:to>
      <xdr:col>18</xdr:col>
      <xdr:colOff>387490</xdr:colOff>
      <xdr:row>36</xdr:row>
      <xdr:rowOff>294655</xdr:rowOff>
    </xdr:to>
    <xdr:cxnSp macro="">
      <xdr:nvCxnSpPr>
        <xdr:cNvPr id="161" name="Straight Connector 25">
          <a:extLst>
            <a:ext uri="{FF2B5EF4-FFF2-40B4-BE49-F238E27FC236}">
              <a16:creationId xmlns:a16="http://schemas.microsoft.com/office/drawing/2014/main" id="{00000000-0008-0000-0100-0000A1000000}"/>
            </a:ext>
          </a:extLst>
        </xdr:cNvPr>
        <xdr:cNvCxnSpPr/>
      </xdr:nvCxnSpPr>
      <xdr:spPr>
        <a:xfrm>
          <a:off x="12062460" y="15851505"/>
          <a:ext cx="1739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314891</xdr:colOff>
      <xdr:row>41</xdr:row>
      <xdr:rowOff>302786</xdr:rowOff>
    </xdr:from>
    <xdr:to>
      <xdr:col>18</xdr:col>
      <xdr:colOff>465883</xdr:colOff>
      <xdr:row>41</xdr:row>
      <xdr:rowOff>302786</xdr:rowOff>
    </xdr:to>
    <xdr:cxnSp macro="">
      <xdr:nvCxnSpPr>
        <xdr:cNvPr id="184" name="Straight Connector 26">
          <a:extLst>
            <a:ext uri="{FF2B5EF4-FFF2-40B4-BE49-F238E27FC236}">
              <a16:creationId xmlns:a16="http://schemas.microsoft.com/office/drawing/2014/main" id="{00000000-0008-0000-0100-0000B8000000}"/>
            </a:ext>
          </a:extLst>
        </xdr:cNvPr>
        <xdr:cNvCxnSpPr/>
      </xdr:nvCxnSpPr>
      <xdr:spPr>
        <a:xfrm>
          <a:off x="12163425" y="18202275"/>
          <a:ext cx="1511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274552</xdr:colOff>
      <xdr:row>83</xdr:row>
      <xdr:rowOff>270412</xdr:rowOff>
    </xdr:from>
    <xdr:to>
      <xdr:col>18</xdr:col>
      <xdr:colOff>141343</xdr:colOff>
      <xdr:row>83</xdr:row>
      <xdr:rowOff>270412</xdr:rowOff>
    </xdr:to>
    <xdr:cxnSp macro="">
      <xdr:nvCxnSpPr>
        <xdr:cNvPr id="246" name="Straight Connector 2">
          <a:extLst>
            <a:ext uri="{FF2B5EF4-FFF2-40B4-BE49-F238E27FC236}">
              <a16:creationId xmlns:a16="http://schemas.microsoft.com/office/drawing/2014/main" id="{00000000-0008-0000-0100-0000F6000000}"/>
            </a:ext>
          </a:extLst>
        </xdr:cNvPr>
        <xdr:cNvCxnSpPr/>
      </xdr:nvCxnSpPr>
      <xdr:spPr>
        <a:xfrm>
          <a:off x="11428095" y="36579175"/>
          <a:ext cx="5619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280148</xdr:colOff>
      <xdr:row>8</xdr:row>
      <xdr:rowOff>314250</xdr:rowOff>
    </xdr:from>
    <xdr:to>
      <xdr:col>18</xdr:col>
      <xdr:colOff>383420</xdr:colOff>
      <xdr:row>8</xdr:row>
      <xdr:rowOff>314250</xdr:rowOff>
    </xdr:to>
    <xdr:cxnSp macro="">
      <xdr:nvCxnSpPr>
        <xdr:cNvPr id="20" name="Straight Connector 39">
          <a:extLst>
            <a:ext uri="{FF2B5EF4-FFF2-40B4-BE49-F238E27FC236}">
              <a16:creationId xmlns:a16="http://schemas.microsoft.com/office/drawing/2014/main" id="{00000000-0008-0000-0100-000014000000}"/>
            </a:ext>
          </a:extLst>
        </xdr:cNvPr>
        <xdr:cNvCxnSpPr/>
      </xdr:nvCxnSpPr>
      <xdr:spPr>
        <a:xfrm>
          <a:off x="12129135" y="2954655"/>
          <a:ext cx="1028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123265</xdr:colOff>
      <xdr:row>12</xdr:row>
      <xdr:rowOff>294747</xdr:rowOff>
    </xdr:from>
    <xdr:to>
      <xdr:col>17</xdr:col>
      <xdr:colOff>515471</xdr:colOff>
      <xdr:row>12</xdr:row>
      <xdr:rowOff>294747</xdr:rowOff>
    </xdr:to>
    <xdr:cxnSp macro="">
      <xdr:nvCxnSpPr>
        <xdr:cNvPr id="71" name="Straight Connector 41">
          <a:extLst>
            <a:ext uri="{FF2B5EF4-FFF2-40B4-BE49-F238E27FC236}">
              <a16:creationId xmlns:a16="http://schemas.microsoft.com/office/drawing/2014/main" id="{00000000-0008-0000-0100-000047000000}"/>
            </a:ext>
          </a:extLst>
        </xdr:cNvPr>
        <xdr:cNvCxnSpPr/>
      </xdr:nvCxnSpPr>
      <xdr:spPr>
        <a:xfrm>
          <a:off x="11276965" y="4707255"/>
          <a:ext cx="3917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515471</xdr:colOff>
      <xdr:row>17</xdr:row>
      <xdr:rowOff>276249</xdr:rowOff>
    </xdr:from>
    <xdr:to>
      <xdr:col>18</xdr:col>
      <xdr:colOff>67236</xdr:colOff>
      <xdr:row>17</xdr:row>
      <xdr:rowOff>276249</xdr:rowOff>
    </xdr:to>
    <xdr:cxnSp macro="">
      <xdr:nvCxnSpPr>
        <xdr:cNvPr id="82" name="Straight Connector 42">
          <a:extLst>
            <a:ext uri="{FF2B5EF4-FFF2-40B4-BE49-F238E27FC236}">
              <a16:creationId xmlns:a16="http://schemas.microsoft.com/office/drawing/2014/main" id="{00000000-0008-0000-0100-000052000000}"/>
            </a:ext>
          </a:extLst>
        </xdr:cNvPr>
        <xdr:cNvCxnSpPr/>
      </xdr:nvCxnSpPr>
      <xdr:spPr>
        <a:xfrm>
          <a:off x="11668760" y="7031990"/>
          <a:ext cx="2470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47730</xdr:colOff>
      <xdr:row>22</xdr:row>
      <xdr:rowOff>264791</xdr:rowOff>
    </xdr:from>
    <xdr:to>
      <xdr:col>18</xdr:col>
      <xdr:colOff>210207</xdr:colOff>
      <xdr:row>22</xdr:row>
      <xdr:rowOff>264791</xdr:rowOff>
    </xdr:to>
    <xdr:cxnSp macro="">
      <xdr:nvCxnSpPr>
        <xdr:cNvPr id="109" name="Straight Connector 43">
          <a:extLst>
            <a:ext uri="{FF2B5EF4-FFF2-40B4-BE49-F238E27FC236}">
              <a16:creationId xmlns:a16="http://schemas.microsoft.com/office/drawing/2014/main" id="{00000000-0008-0000-0100-00006D000000}"/>
            </a:ext>
          </a:extLst>
        </xdr:cNvPr>
        <xdr:cNvCxnSpPr/>
      </xdr:nvCxnSpPr>
      <xdr:spPr>
        <a:xfrm>
          <a:off x="11896725" y="936307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151086</xdr:colOff>
      <xdr:row>27</xdr:row>
      <xdr:rowOff>297922</xdr:rowOff>
    </xdr:from>
    <xdr:to>
      <xdr:col>18</xdr:col>
      <xdr:colOff>297657</xdr:colOff>
      <xdr:row>27</xdr:row>
      <xdr:rowOff>297922</xdr:rowOff>
    </xdr:to>
    <xdr:cxnSp macro="">
      <xdr:nvCxnSpPr>
        <xdr:cNvPr id="45" name="Straight Connector 44">
          <a:extLst>
            <a:ext uri="{FF2B5EF4-FFF2-40B4-BE49-F238E27FC236}">
              <a16:creationId xmlns:a16="http://schemas.microsoft.com/office/drawing/2014/main" id="{00000000-0008-0000-0100-00002D000000}"/>
            </a:ext>
          </a:extLst>
        </xdr:cNvPr>
        <xdr:cNvCxnSpPr/>
      </xdr:nvCxnSpPr>
      <xdr:spPr>
        <a:xfrm>
          <a:off x="11999595" y="11739880"/>
          <a:ext cx="1466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279290</xdr:colOff>
      <xdr:row>32</xdr:row>
      <xdr:rowOff>286016</xdr:rowOff>
    </xdr:from>
    <xdr:to>
      <xdr:col>18</xdr:col>
      <xdr:colOff>387569</xdr:colOff>
      <xdr:row>32</xdr:row>
      <xdr:rowOff>286016</xdr:rowOff>
    </xdr:to>
    <xdr:cxnSp macro="">
      <xdr:nvCxnSpPr>
        <xdr:cNvPr id="143" name="Straight Connector 45">
          <a:extLst>
            <a:ext uri="{FF2B5EF4-FFF2-40B4-BE49-F238E27FC236}">
              <a16:creationId xmlns:a16="http://schemas.microsoft.com/office/drawing/2014/main" id="{00000000-0008-0000-0100-00008F000000}"/>
            </a:ext>
          </a:extLst>
        </xdr:cNvPr>
        <xdr:cNvCxnSpPr/>
      </xdr:nvCxnSpPr>
      <xdr:spPr>
        <a:xfrm>
          <a:off x="12127865" y="14070965"/>
          <a:ext cx="1085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386013</xdr:colOff>
      <xdr:row>37</xdr:row>
      <xdr:rowOff>297922</xdr:rowOff>
    </xdr:from>
    <xdr:to>
      <xdr:col>18</xdr:col>
      <xdr:colOff>475623</xdr:colOff>
      <xdr:row>37</xdr:row>
      <xdr:rowOff>297922</xdr:rowOff>
    </xdr:to>
    <xdr:cxnSp macro="">
      <xdr:nvCxnSpPr>
        <xdr:cNvPr id="165" name="Straight Connector 46">
          <a:extLst>
            <a:ext uri="{FF2B5EF4-FFF2-40B4-BE49-F238E27FC236}">
              <a16:creationId xmlns:a16="http://schemas.microsoft.com/office/drawing/2014/main" id="{00000000-0008-0000-0100-0000A5000000}"/>
            </a:ext>
          </a:extLst>
        </xdr:cNvPr>
        <xdr:cNvCxnSpPr/>
      </xdr:nvCxnSpPr>
      <xdr:spPr>
        <a:xfrm>
          <a:off x="12234545" y="16426180"/>
          <a:ext cx="901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291353</xdr:colOff>
      <xdr:row>13</xdr:row>
      <xdr:rowOff>305967</xdr:rowOff>
    </xdr:from>
    <xdr:to>
      <xdr:col>18</xdr:col>
      <xdr:colOff>437030</xdr:colOff>
      <xdr:row>13</xdr:row>
      <xdr:rowOff>305967</xdr:rowOff>
    </xdr:to>
    <xdr:cxnSp macro="">
      <xdr:nvCxnSpPr>
        <xdr:cNvPr id="74" name="Straight Connector 48">
          <a:extLst>
            <a:ext uri="{FF2B5EF4-FFF2-40B4-BE49-F238E27FC236}">
              <a16:creationId xmlns:a16="http://schemas.microsoft.com/office/drawing/2014/main" id="{00000000-0008-0000-0100-00004A000000}"/>
            </a:ext>
          </a:extLst>
        </xdr:cNvPr>
        <xdr:cNvCxnSpPr/>
      </xdr:nvCxnSpPr>
      <xdr:spPr>
        <a:xfrm>
          <a:off x="12139930" y="5289550"/>
          <a:ext cx="14605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434578</xdr:colOff>
      <xdr:row>18</xdr:row>
      <xdr:rowOff>314250</xdr:rowOff>
    </xdr:from>
    <xdr:to>
      <xdr:col>18</xdr:col>
      <xdr:colOff>492673</xdr:colOff>
      <xdr:row>18</xdr:row>
      <xdr:rowOff>314250</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a:off x="12283440" y="7640955"/>
          <a:ext cx="577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573786</xdr:colOff>
      <xdr:row>23</xdr:row>
      <xdr:rowOff>317425</xdr:rowOff>
    </xdr:from>
    <xdr:to>
      <xdr:col>19</xdr:col>
      <xdr:colOff>138554</xdr:colOff>
      <xdr:row>23</xdr:row>
      <xdr:rowOff>317425</xdr:rowOff>
    </xdr:to>
    <xdr:cxnSp macro="">
      <xdr:nvCxnSpPr>
        <xdr:cNvPr id="111" name="Straight Connector 50">
          <a:extLst>
            <a:ext uri="{FF2B5EF4-FFF2-40B4-BE49-F238E27FC236}">
              <a16:creationId xmlns:a16="http://schemas.microsoft.com/office/drawing/2014/main" id="{00000000-0008-0000-0100-00006F000000}"/>
            </a:ext>
          </a:extLst>
        </xdr:cNvPr>
        <xdr:cNvCxnSpPr/>
      </xdr:nvCxnSpPr>
      <xdr:spPr>
        <a:xfrm>
          <a:off x="12422505" y="9987280"/>
          <a:ext cx="2603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84859</xdr:colOff>
      <xdr:row>28</xdr:row>
      <xdr:rowOff>317425</xdr:rowOff>
    </xdr:from>
    <xdr:to>
      <xdr:col>19</xdr:col>
      <xdr:colOff>352998</xdr:colOff>
      <xdr:row>28</xdr:row>
      <xdr:rowOff>317425</xdr:rowOff>
    </xdr:to>
    <xdr:cxnSp macro="">
      <xdr:nvCxnSpPr>
        <xdr:cNvPr id="129" name="Straight Connector 51">
          <a:extLst>
            <a:ext uri="{FF2B5EF4-FFF2-40B4-BE49-F238E27FC236}">
              <a16:creationId xmlns:a16="http://schemas.microsoft.com/office/drawing/2014/main" id="{00000000-0008-0000-0100-000081000000}"/>
            </a:ext>
          </a:extLst>
        </xdr:cNvPr>
        <xdr:cNvCxnSpPr/>
      </xdr:nvCxnSpPr>
      <xdr:spPr>
        <a:xfrm>
          <a:off x="12628880" y="12330430"/>
          <a:ext cx="2679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267505</xdr:colOff>
      <xdr:row>33</xdr:row>
      <xdr:rowOff>266625</xdr:rowOff>
    </xdr:from>
    <xdr:to>
      <xdr:col>19</xdr:col>
      <xdr:colOff>419077</xdr:colOff>
      <xdr:row>33</xdr:row>
      <xdr:rowOff>266625</xdr:rowOff>
    </xdr:to>
    <xdr:cxnSp macro="">
      <xdr:nvCxnSpPr>
        <xdr:cNvPr id="147" name="Straight Connector 52">
          <a:extLst>
            <a:ext uri="{FF2B5EF4-FFF2-40B4-BE49-F238E27FC236}">
              <a16:creationId xmlns:a16="http://schemas.microsoft.com/office/drawing/2014/main" id="{00000000-0008-0000-0100-000093000000}"/>
            </a:ext>
          </a:extLst>
        </xdr:cNvPr>
        <xdr:cNvCxnSpPr/>
      </xdr:nvCxnSpPr>
      <xdr:spPr>
        <a:xfrm>
          <a:off x="12811760" y="14622780"/>
          <a:ext cx="1511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449712</xdr:colOff>
      <xdr:row>38</xdr:row>
      <xdr:rowOff>317425</xdr:rowOff>
    </xdr:from>
    <xdr:to>
      <xdr:col>19</xdr:col>
      <xdr:colOff>585096</xdr:colOff>
      <xdr:row>38</xdr:row>
      <xdr:rowOff>317425</xdr:rowOff>
    </xdr:to>
    <xdr:cxnSp macro="">
      <xdr:nvCxnSpPr>
        <xdr:cNvPr id="174" name="Straight Connector 53">
          <a:extLst>
            <a:ext uri="{FF2B5EF4-FFF2-40B4-BE49-F238E27FC236}">
              <a16:creationId xmlns:a16="http://schemas.microsoft.com/office/drawing/2014/main" id="{00000000-0008-0000-0100-0000AE000000}"/>
            </a:ext>
          </a:extLst>
        </xdr:cNvPr>
        <xdr:cNvCxnSpPr/>
      </xdr:nvCxnSpPr>
      <xdr:spPr>
        <a:xfrm>
          <a:off x="12994005" y="17016730"/>
          <a:ext cx="1352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581892</xdr:colOff>
      <xdr:row>43</xdr:row>
      <xdr:rowOff>293216</xdr:rowOff>
    </xdr:from>
    <xdr:to>
      <xdr:col>19</xdr:col>
      <xdr:colOff>93618</xdr:colOff>
      <xdr:row>43</xdr:row>
      <xdr:rowOff>293216</xdr:rowOff>
    </xdr:to>
    <xdr:cxnSp macro="">
      <xdr:nvCxnSpPr>
        <xdr:cNvPr id="194" name="Straight Connector 54">
          <a:extLst>
            <a:ext uri="{FF2B5EF4-FFF2-40B4-BE49-F238E27FC236}">
              <a16:creationId xmlns:a16="http://schemas.microsoft.com/office/drawing/2014/main" id="{00000000-0008-0000-0100-0000C2000000}"/>
            </a:ext>
          </a:extLst>
        </xdr:cNvPr>
        <xdr:cNvCxnSpPr/>
      </xdr:nvCxnSpPr>
      <xdr:spPr>
        <a:xfrm>
          <a:off x="12430760" y="19335750"/>
          <a:ext cx="2070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368819</xdr:colOff>
      <xdr:row>9</xdr:row>
      <xdr:rowOff>275273</xdr:rowOff>
    </xdr:from>
    <xdr:to>
      <xdr:col>18</xdr:col>
      <xdr:colOff>425824</xdr:colOff>
      <xdr:row>9</xdr:row>
      <xdr:rowOff>275273</xdr:rowOff>
    </xdr:to>
    <xdr:cxnSp macro="">
      <xdr:nvCxnSpPr>
        <xdr:cNvPr id="60" name="Straight Connector 30">
          <a:extLst>
            <a:ext uri="{FF2B5EF4-FFF2-40B4-BE49-F238E27FC236}">
              <a16:creationId xmlns:a16="http://schemas.microsoft.com/office/drawing/2014/main" id="{00000000-0008-0000-0100-00003C000000}"/>
            </a:ext>
          </a:extLst>
        </xdr:cNvPr>
        <xdr:cNvCxnSpPr/>
      </xdr:nvCxnSpPr>
      <xdr:spPr>
        <a:xfrm>
          <a:off x="12217400" y="3487420"/>
          <a:ext cx="5715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391764</xdr:colOff>
      <xdr:row>14</xdr:row>
      <xdr:rowOff>272684</xdr:rowOff>
    </xdr:from>
    <xdr:to>
      <xdr:col>18</xdr:col>
      <xdr:colOff>465144</xdr:colOff>
      <xdr:row>14</xdr:row>
      <xdr:rowOff>272684</xdr:rowOff>
    </xdr:to>
    <xdr:cxnSp macro="">
      <xdr:nvCxnSpPr>
        <xdr:cNvPr id="5" name="Straight Connector 60">
          <a:extLst>
            <a:ext uri="{FF2B5EF4-FFF2-40B4-BE49-F238E27FC236}">
              <a16:creationId xmlns:a16="http://schemas.microsoft.com/office/drawing/2014/main" id="{00000000-0008-0000-0100-000005000000}"/>
            </a:ext>
          </a:extLst>
        </xdr:cNvPr>
        <xdr:cNvCxnSpPr/>
      </xdr:nvCxnSpPr>
      <xdr:spPr>
        <a:xfrm>
          <a:off x="12240260" y="5828030"/>
          <a:ext cx="736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541058</xdr:colOff>
      <xdr:row>19</xdr:row>
      <xdr:rowOff>291353</xdr:rowOff>
    </xdr:from>
    <xdr:to>
      <xdr:col>19</xdr:col>
      <xdr:colOff>89647</xdr:colOff>
      <xdr:row>19</xdr:row>
      <xdr:rowOff>294509</xdr:rowOff>
    </xdr:to>
    <xdr:cxnSp macro="">
      <xdr:nvCxnSpPr>
        <xdr:cNvPr id="89" name="Straight Connector 67">
          <a:extLst>
            <a:ext uri="{FF2B5EF4-FFF2-40B4-BE49-F238E27FC236}">
              <a16:creationId xmlns:a16="http://schemas.microsoft.com/office/drawing/2014/main" id="{00000000-0008-0000-0100-000059000000}"/>
            </a:ext>
          </a:extLst>
        </xdr:cNvPr>
        <xdr:cNvCxnSpPr/>
      </xdr:nvCxnSpPr>
      <xdr:spPr>
        <a:xfrm flipV="1">
          <a:off x="12390120" y="8189595"/>
          <a:ext cx="24384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203638</xdr:colOff>
      <xdr:row>24</xdr:row>
      <xdr:rowOff>292577</xdr:rowOff>
    </xdr:from>
    <xdr:to>
      <xdr:col>19</xdr:col>
      <xdr:colOff>269327</xdr:colOff>
      <xdr:row>24</xdr:row>
      <xdr:rowOff>292577</xdr:rowOff>
    </xdr:to>
    <xdr:cxnSp macro="">
      <xdr:nvCxnSpPr>
        <xdr:cNvPr id="115" name="Straight Connector 77">
          <a:extLst>
            <a:ext uri="{FF2B5EF4-FFF2-40B4-BE49-F238E27FC236}">
              <a16:creationId xmlns:a16="http://schemas.microsoft.com/office/drawing/2014/main" id="{00000000-0008-0000-0100-000073000000}"/>
            </a:ext>
          </a:extLst>
        </xdr:cNvPr>
        <xdr:cNvCxnSpPr/>
      </xdr:nvCxnSpPr>
      <xdr:spPr>
        <a:xfrm>
          <a:off x="12747625" y="10534015"/>
          <a:ext cx="660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341586</xdr:colOff>
      <xdr:row>29</xdr:row>
      <xdr:rowOff>296778</xdr:rowOff>
    </xdr:from>
    <xdr:to>
      <xdr:col>19</xdr:col>
      <xdr:colOff>420414</xdr:colOff>
      <xdr:row>29</xdr:row>
      <xdr:rowOff>296778</xdr:rowOff>
    </xdr:to>
    <xdr:cxnSp macro="">
      <xdr:nvCxnSpPr>
        <xdr:cNvPr id="131" name="Straight Connector 86">
          <a:extLst>
            <a:ext uri="{FF2B5EF4-FFF2-40B4-BE49-F238E27FC236}">
              <a16:creationId xmlns:a16="http://schemas.microsoft.com/office/drawing/2014/main" id="{00000000-0008-0000-0100-000083000000}"/>
            </a:ext>
          </a:extLst>
        </xdr:cNvPr>
        <xdr:cNvCxnSpPr/>
      </xdr:nvCxnSpPr>
      <xdr:spPr>
        <a:xfrm>
          <a:off x="12885420" y="12881610"/>
          <a:ext cx="79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446171</xdr:colOff>
      <xdr:row>34</xdr:row>
      <xdr:rowOff>316155</xdr:rowOff>
    </xdr:from>
    <xdr:to>
      <xdr:col>19</xdr:col>
      <xdr:colOff>507582</xdr:colOff>
      <xdr:row>34</xdr:row>
      <xdr:rowOff>316155</xdr:rowOff>
    </xdr:to>
    <xdr:cxnSp macro="">
      <xdr:nvCxnSpPr>
        <xdr:cNvPr id="154" name="Straight Connector 94">
          <a:extLst>
            <a:ext uri="{FF2B5EF4-FFF2-40B4-BE49-F238E27FC236}">
              <a16:creationId xmlns:a16="http://schemas.microsoft.com/office/drawing/2014/main" id="{00000000-0008-0000-0100-00009A000000}"/>
            </a:ext>
          </a:extLst>
        </xdr:cNvPr>
        <xdr:cNvCxnSpPr/>
      </xdr:nvCxnSpPr>
      <xdr:spPr>
        <a:xfrm>
          <a:off x="12990195" y="15243810"/>
          <a:ext cx="615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597998</xdr:colOff>
      <xdr:row>39</xdr:row>
      <xdr:rowOff>302344</xdr:rowOff>
    </xdr:from>
    <xdr:to>
      <xdr:col>20</xdr:col>
      <xdr:colOff>50132</xdr:colOff>
      <xdr:row>39</xdr:row>
      <xdr:rowOff>302344</xdr:rowOff>
    </xdr:to>
    <xdr:cxnSp macro="">
      <xdr:nvCxnSpPr>
        <xdr:cNvPr id="176" name="Straight Connector 100">
          <a:extLst>
            <a:ext uri="{FF2B5EF4-FFF2-40B4-BE49-F238E27FC236}">
              <a16:creationId xmlns:a16="http://schemas.microsoft.com/office/drawing/2014/main" id="{00000000-0008-0000-0100-0000B0000000}"/>
            </a:ext>
          </a:extLst>
        </xdr:cNvPr>
        <xdr:cNvCxnSpPr/>
      </xdr:nvCxnSpPr>
      <xdr:spPr>
        <a:xfrm>
          <a:off x="13141960" y="17573625"/>
          <a:ext cx="1473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553486</xdr:colOff>
      <xdr:row>42</xdr:row>
      <xdr:rowOff>284484</xdr:rowOff>
    </xdr:from>
    <xdr:to>
      <xdr:col>19</xdr:col>
      <xdr:colOff>26044</xdr:colOff>
      <xdr:row>42</xdr:row>
      <xdr:rowOff>284484</xdr:rowOff>
    </xdr:to>
    <xdr:cxnSp macro="">
      <xdr:nvCxnSpPr>
        <xdr:cNvPr id="193" name="Straight Connector 103">
          <a:extLst>
            <a:ext uri="{FF2B5EF4-FFF2-40B4-BE49-F238E27FC236}">
              <a16:creationId xmlns:a16="http://schemas.microsoft.com/office/drawing/2014/main" id="{00000000-0008-0000-0100-0000C1000000}"/>
            </a:ext>
          </a:extLst>
        </xdr:cNvPr>
        <xdr:cNvCxnSpPr/>
      </xdr:nvCxnSpPr>
      <xdr:spPr>
        <a:xfrm>
          <a:off x="12402185" y="18755995"/>
          <a:ext cx="1682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64514</xdr:colOff>
      <xdr:row>44</xdr:row>
      <xdr:rowOff>278531</xdr:rowOff>
    </xdr:from>
    <xdr:to>
      <xdr:col>19</xdr:col>
      <xdr:colOff>135355</xdr:colOff>
      <xdr:row>44</xdr:row>
      <xdr:rowOff>278531</xdr:rowOff>
    </xdr:to>
    <xdr:cxnSp macro="">
      <xdr:nvCxnSpPr>
        <xdr:cNvPr id="196" name="Straight Connector 105">
          <a:extLst>
            <a:ext uri="{FF2B5EF4-FFF2-40B4-BE49-F238E27FC236}">
              <a16:creationId xmlns:a16="http://schemas.microsoft.com/office/drawing/2014/main" id="{00000000-0008-0000-0100-0000C4000000}"/>
            </a:ext>
          </a:extLst>
        </xdr:cNvPr>
        <xdr:cNvCxnSpPr/>
      </xdr:nvCxnSpPr>
      <xdr:spPr>
        <a:xfrm>
          <a:off x="12608560" y="19892645"/>
          <a:ext cx="711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635723</xdr:colOff>
      <xdr:row>52</xdr:row>
      <xdr:rowOff>230681</xdr:rowOff>
    </xdr:from>
    <xdr:to>
      <xdr:col>20</xdr:col>
      <xdr:colOff>128807</xdr:colOff>
      <xdr:row>52</xdr:row>
      <xdr:rowOff>230681</xdr:rowOff>
    </xdr:to>
    <xdr:cxnSp macro="">
      <xdr:nvCxnSpPr>
        <xdr:cNvPr id="16" name="Straight Connector 19">
          <a:extLst>
            <a:ext uri="{FF2B5EF4-FFF2-40B4-BE49-F238E27FC236}">
              <a16:creationId xmlns:a16="http://schemas.microsoft.com/office/drawing/2014/main" id="{00000000-0008-0000-0100-0000F1000000}"/>
            </a:ext>
          </a:extLst>
        </xdr:cNvPr>
        <xdr:cNvCxnSpPr/>
      </xdr:nvCxnSpPr>
      <xdr:spPr>
        <a:xfrm>
          <a:off x="12484735" y="25395555"/>
          <a:ext cx="8832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9744</xdr:colOff>
      <xdr:row>85</xdr:row>
      <xdr:rowOff>237785</xdr:rowOff>
    </xdr:from>
    <xdr:to>
      <xdr:col>18</xdr:col>
      <xdr:colOff>289034</xdr:colOff>
      <xdr:row>85</xdr:row>
      <xdr:rowOff>237785</xdr:rowOff>
    </xdr:to>
    <xdr:cxnSp macro="">
      <xdr:nvCxnSpPr>
        <xdr:cNvPr id="124" name="Straight Connector 2">
          <a:extLst>
            <a:ext uri="{FF2B5EF4-FFF2-40B4-BE49-F238E27FC236}">
              <a16:creationId xmlns:a16="http://schemas.microsoft.com/office/drawing/2014/main" id="{00000000-0008-0000-0100-00007C000000}"/>
            </a:ext>
          </a:extLst>
        </xdr:cNvPr>
        <xdr:cNvCxnSpPr/>
      </xdr:nvCxnSpPr>
      <xdr:spPr>
        <a:xfrm>
          <a:off x="11858625" y="37261165"/>
          <a:ext cx="279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239793</xdr:colOff>
      <xdr:row>7</xdr:row>
      <xdr:rowOff>239406</xdr:rowOff>
    </xdr:from>
    <xdr:to>
      <xdr:col>18</xdr:col>
      <xdr:colOff>365274</xdr:colOff>
      <xdr:row>7</xdr:row>
      <xdr:rowOff>353430</xdr:rowOff>
    </xdr:to>
    <xdr:sp macro="" textlink="">
      <xdr:nvSpPr>
        <xdr:cNvPr id="58" name="Diamond 62">
          <a:extLst>
            <a:ext uri="{FF2B5EF4-FFF2-40B4-BE49-F238E27FC236}">
              <a16:creationId xmlns:a16="http://schemas.microsoft.com/office/drawing/2014/main" id="{00000000-0008-0000-0100-00003A000000}"/>
            </a:ext>
          </a:extLst>
        </xdr:cNvPr>
        <xdr:cNvSpPr/>
      </xdr:nvSpPr>
      <xdr:spPr>
        <a:xfrm>
          <a:off x="12088495" y="1756410"/>
          <a:ext cx="125730" cy="1136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273963</xdr:colOff>
      <xdr:row>50</xdr:row>
      <xdr:rowOff>0</xdr:rowOff>
    </xdr:from>
    <xdr:to>
      <xdr:col>18</xdr:col>
      <xdr:colOff>468820</xdr:colOff>
      <xdr:row>51</xdr:row>
      <xdr:rowOff>0</xdr:rowOff>
    </xdr:to>
    <xdr:sp macro="" textlink="">
      <xdr:nvSpPr>
        <xdr:cNvPr id="30" name="TextBox 13">
          <a:extLst>
            <a:ext uri="{FF2B5EF4-FFF2-40B4-BE49-F238E27FC236}">
              <a16:creationId xmlns:a16="http://schemas.microsoft.com/office/drawing/2014/main" id="{00000000-0008-0000-0100-00001E000000}"/>
            </a:ext>
          </a:extLst>
        </xdr:cNvPr>
        <xdr:cNvSpPr txBox="1"/>
      </xdr:nvSpPr>
      <xdr:spPr>
        <a:xfrm rot="16200000">
          <a:off x="11394440" y="22857460"/>
          <a:ext cx="16510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20</xdr:col>
      <xdr:colOff>292429</xdr:colOff>
      <xdr:row>50</xdr:row>
      <xdr:rowOff>572584</xdr:rowOff>
    </xdr:from>
    <xdr:to>
      <xdr:col>20</xdr:col>
      <xdr:colOff>400707</xdr:colOff>
      <xdr:row>50</xdr:row>
      <xdr:rowOff>572584</xdr:rowOff>
    </xdr:to>
    <xdr:cxnSp macro="">
      <xdr:nvCxnSpPr>
        <xdr:cNvPr id="226" name="Straight Connector 2">
          <a:extLst>
            <a:ext uri="{FF2B5EF4-FFF2-40B4-BE49-F238E27FC236}">
              <a16:creationId xmlns:a16="http://schemas.microsoft.com/office/drawing/2014/main" id="{00000000-0008-0000-0100-0000E2000000}"/>
            </a:ext>
          </a:extLst>
        </xdr:cNvPr>
        <xdr:cNvCxnSpPr/>
      </xdr:nvCxnSpPr>
      <xdr:spPr>
        <a:xfrm>
          <a:off x="13531850" y="22701885"/>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51</xdr:row>
      <xdr:rowOff>0</xdr:rowOff>
    </xdr:from>
    <xdr:to>
      <xdr:col>18</xdr:col>
      <xdr:colOff>468820</xdr:colOff>
      <xdr:row>86</xdr:row>
      <xdr:rowOff>0</xdr:rowOff>
    </xdr:to>
    <xdr:sp macro="" textlink="">
      <xdr:nvSpPr>
        <xdr:cNvPr id="56" name="TextBox 13">
          <a:extLst>
            <a:ext uri="{FF2B5EF4-FFF2-40B4-BE49-F238E27FC236}">
              <a16:creationId xmlns:a16="http://schemas.microsoft.com/office/drawing/2014/main" id="{00000000-0008-0000-0100-000038000000}"/>
            </a:ext>
          </a:extLst>
        </xdr:cNvPr>
        <xdr:cNvSpPr txBox="1"/>
      </xdr:nvSpPr>
      <xdr:spPr>
        <a:xfrm rot="16200000">
          <a:off x="5389880" y="30756225"/>
          <a:ext cx="1366075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487612</xdr:colOff>
      <xdr:row>14</xdr:row>
      <xdr:rowOff>272519</xdr:rowOff>
    </xdr:from>
    <xdr:to>
      <xdr:col>18</xdr:col>
      <xdr:colOff>555317</xdr:colOff>
      <xdr:row>14</xdr:row>
      <xdr:rowOff>272519</xdr:rowOff>
    </xdr:to>
    <xdr:cxnSp macro="">
      <xdr:nvCxnSpPr>
        <xdr:cNvPr id="86" name="Straight Connector 85">
          <a:extLst>
            <a:ext uri="{FF2B5EF4-FFF2-40B4-BE49-F238E27FC236}">
              <a16:creationId xmlns:a16="http://schemas.microsoft.com/office/drawing/2014/main" id="{00000000-0008-0000-0100-000056000000}"/>
            </a:ext>
          </a:extLst>
        </xdr:cNvPr>
        <xdr:cNvCxnSpPr/>
      </xdr:nvCxnSpPr>
      <xdr:spPr>
        <a:xfrm>
          <a:off x="12336145" y="5828030"/>
          <a:ext cx="679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483869</xdr:colOff>
      <xdr:row>18</xdr:row>
      <xdr:rowOff>317425</xdr:rowOff>
    </xdr:from>
    <xdr:to>
      <xdr:col>18</xdr:col>
      <xdr:colOff>571500</xdr:colOff>
      <xdr:row>18</xdr:row>
      <xdr:rowOff>317425</xdr:rowOff>
    </xdr:to>
    <xdr:cxnSp macro="">
      <xdr:nvCxnSpPr>
        <xdr:cNvPr id="88" name="Straight Connector 91">
          <a:extLst>
            <a:ext uri="{FF2B5EF4-FFF2-40B4-BE49-F238E27FC236}">
              <a16:creationId xmlns:a16="http://schemas.microsoft.com/office/drawing/2014/main" id="{00000000-0008-0000-0100-000058000000}"/>
            </a:ext>
          </a:extLst>
        </xdr:cNvPr>
        <xdr:cNvCxnSpPr/>
      </xdr:nvCxnSpPr>
      <xdr:spPr>
        <a:xfrm>
          <a:off x="12332335" y="7644130"/>
          <a:ext cx="882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314628</xdr:colOff>
      <xdr:row>33</xdr:row>
      <xdr:rowOff>248578</xdr:rowOff>
    </xdr:from>
    <xdr:to>
      <xdr:col>18</xdr:col>
      <xdr:colOff>466200</xdr:colOff>
      <xdr:row>33</xdr:row>
      <xdr:rowOff>248578</xdr:rowOff>
    </xdr:to>
    <xdr:cxnSp macro="">
      <xdr:nvCxnSpPr>
        <xdr:cNvPr id="151" name="Straight Connector 106">
          <a:extLst>
            <a:ext uri="{FF2B5EF4-FFF2-40B4-BE49-F238E27FC236}">
              <a16:creationId xmlns:a16="http://schemas.microsoft.com/office/drawing/2014/main" id="{00000000-0008-0000-0100-000097000000}"/>
            </a:ext>
          </a:extLst>
        </xdr:cNvPr>
        <xdr:cNvCxnSpPr/>
      </xdr:nvCxnSpPr>
      <xdr:spPr>
        <a:xfrm>
          <a:off x="12163425" y="14605000"/>
          <a:ext cx="151765"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311453</xdr:colOff>
      <xdr:row>33</xdr:row>
      <xdr:rowOff>278657</xdr:rowOff>
    </xdr:from>
    <xdr:to>
      <xdr:col>18</xdr:col>
      <xdr:colOff>469375</xdr:colOff>
      <xdr:row>33</xdr:row>
      <xdr:rowOff>278657</xdr:rowOff>
    </xdr:to>
    <xdr:cxnSp macro="">
      <xdr:nvCxnSpPr>
        <xdr:cNvPr id="152" name="Straight Connector 107">
          <a:extLst>
            <a:ext uri="{FF2B5EF4-FFF2-40B4-BE49-F238E27FC236}">
              <a16:creationId xmlns:a16="http://schemas.microsoft.com/office/drawing/2014/main" id="{00000000-0008-0000-0100-000098000000}"/>
            </a:ext>
          </a:extLst>
        </xdr:cNvPr>
        <xdr:cNvCxnSpPr/>
      </xdr:nvCxnSpPr>
      <xdr:spPr>
        <a:xfrm>
          <a:off x="12160250" y="14634845"/>
          <a:ext cx="158115"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486276</xdr:colOff>
      <xdr:row>37</xdr:row>
      <xdr:rowOff>297922</xdr:rowOff>
    </xdr:from>
    <xdr:to>
      <xdr:col>18</xdr:col>
      <xdr:colOff>534444</xdr:colOff>
      <xdr:row>37</xdr:row>
      <xdr:rowOff>297922</xdr:rowOff>
    </xdr:to>
    <xdr:cxnSp macro="">
      <xdr:nvCxnSpPr>
        <xdr:cNvPr id="168" name="Straight Connector 110">
          <a:extLst>
            <a:ext uri="{FF2B5EF4-FFF2-40B4-BE49-F238E27FC236}">
              <a16:creationId xmlns:a16="http://schemas.microsoft.com/office/drawing/2014/main" id="{00000000-0008-0000-0100-0000A8000000}"/>
            </a:ext>
          </a:extLst>
        </xdr:cNvPr>
        <xdr:cNvCxnSpPr/>
      </xdr:nvCxnSpPr>
      <xdr:spPr>
        <a:xfrm>
          <a:off x="12334875" y="16426180"/>
          <a:ext cx="482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484002</xdr:colOff>
      <xdr:row>41</xdr:row>
      <xdr:rowOff>302786</xdr:rowOff>
    </xdr:from>
    <xdr:to>
      <xdr:col>18</xdr:col>
      <xdr:colOff>531395</xdr:colOff>
      <xdr:row>41</xdr:row>
      <xdr:rowOff>302786</xdr:rowOff>
    </xdr:to>
    <xdr:cxnSp macro="">
      <xdr:nvCxnSpPr>
        <xdr:cNvPr id="187" name="Straight Connector 113">
          <a:extLst>
            <a:ext uri="{FF2B5EF4-FFF2-40B4-BE49-F238E27FC236}">
              <a16:creationId xmlns:a16="http://schemas.microsoft.com/office/drawing/2014/main" id="{00000000-0008-0000-0100-0000BB000000}"/>
            </a:ext>
          </a:extLst>
        </xdr:cNvPr>
        <xdr:cNvCxnSpPr/>
      </xdr:nvCxnSpPr>
      <xdr:spPr>
        <a:xfrm>
          <a:off x="12332970" y="18202275"/>
          <a:ext cx="46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514088</xdr:colOff>
      <xdr:row>53</xdr:row>
      <xdr:rowOff>312902</xdr:rowOff>
    </xdr:from>
    <xdr:to>
      <xdr:col>22</xdr:col>
      <xdr:colOff>821</xdr:colOff>
      <xdr:row>53</xdr:row>
      <xdr:rowOff>312902</xdr:rowOff>
    </xdr:to>
    <xdr:cxnSp macro="">
      <xdr:nvCxnSpPr>
        <xdr:cNvPr id="248" name="Straight Connector 19">
          <a:extLst>
            <a:ext uri="{FF2B5EF4-FFF2-40B4-BE49-F238E27FC236}">
              <a16:creationId xmlns:a16="http://schemas.microsoft.com/office/drawing/2014/main" id="{00000000-0008-0000-0100-0000F8000000}"/>
            </a:ext>
          </a:extLst>
        </xdr:cNvPr>
        <xdr:cNvCxnSpPr/>
      </xdr:nvCxnSpPr>
      <xdr:spPr>
        <a:xfrm>
          <a:off x="13753465" y="25915620"/>
          <a:ext cx="8775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59</xdr:row>
      <xdr:rowOff>206627</xdr:rowOff>
    </xdr:from>
    <xdr:to>
      <xdr:col>22</xdr:col>
      <xdr:colOff>5040</xdr:colOff>
      <xdr:row>59</xdr:row>
      <xdr:rowOff>206627</xdr:rowOff>
    </xdr:to>
    <xdr:cxnSp macro="">
      <xdr:nvCxnSpPr>
        <xdr:cNvPr id="75" name="Straight Connector 19">
          <a:extLst>
            <a:ext uri="{FF2B5EF4-FFF2-40B4-BE49-F238E27FC236}">
              <a16:creationId xmlns:a16="http://schemas.microsoft.com/office/drawing/2014/main" id="{00000000-0008-0000-0100-00004B000000}"/>
            </a:ext>
          </a:extLst>
        </xdr:cNvPr>
        <xdr:cNvCxnSpPr/>
      </xdr:nvCxnSpPr>
      <xdr:spPr>
        <a:xfrm>
          <a:off x="14347825" y="2755265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58</xdr:row>
      <xdr:rowOff>191267</xdr:rowOff>
    </xdr:from>
    <xdr:to>
      <xdr:col>22</xdr:col>
      <xdr:colOff>821</xdr:colOff>
      <xdr:row>58</xdr:row>
      <xdr:rowOff>191267</xdr:rowOff>
    </xdr:to>
    <xdr:cxnSp macro="">
      <xdr:nvCxnSpPr>
        <xdr:cNvPr id="76" name="Straight Connector 19">
          <a:extLst>
            <a:ext uri="{FF2B5EF4-FFF2-40B4-BE49-F238E27FC236}">
              <a16:creationId xmlns:a16="http://schemas.microsoft.com/office/drawing/2014/main" id="{00000000-0008-0000-0100-00004C000000}"/>
            </a:ext>
          </a:extLst>
        </xdr:cNvPr>
        <xdr:cNvCxnSpPr/>
      </xdr:nvCxnSpPr>
      <xdr:spPr>
        <a:xfrm>
          <a:off x="13449935" y="2695638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62</xdr:row>
      <xdr:rowOff>206627</xdr:rowOff>
    </xdr:from>
    <xdr:to>
      <xdr:col>22</xdr:col>
      <xdr:colOff>5040</xdr:colOff>
      <xdr:row>62</xdr:row>
      <xdr:rowOff>206627</xdr:rowOff>
    </xdr:to>
    <xdr:cxnSp macro="">
      <xdr:nvCxnSpPr>
        <xdr:cNvPr id="77" name="Straight Connector 19">
          <a:extLst>
            <a:ext uri="{FF2B5EF4-FFF2-40B4-BE49-F238E27FC236}">
              <a16:creationId xmlns:a16="http://schemas.microsoft.com/office/drawing/2014/main" id="{00000000-0008-0000-0100-00004D000000}"/>
            </a:ext>
          </a:extLst>
        </xdr:cNvPr>
        <xdr:cNvCxnSpPr/>
      </xdr:nvCxnSpPr>
      <xdr:spPr>
        <a:xfrm>
          <a:off x="14347825" y="2871470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98</xdr:row>
      <xdr:rowOff>0</xdr:rowOff>
    </xdr:from>
    <xdr:to>
      <xdr:col>17</xdr:col>
      <xdr:colOff>468820</xdr:colOff>
      <xdr:row>100</xdr:row>
      <xdr:rowOff>0</xdr:rowOff>
    </xdr:to>
    <xdr:sp macro="" textlink="">
      <xdr:nvSpPr>
        <xdr:cNvPr id="78" name="TextBox 13">
          <a:extLst>
            <a:ext uri="{FF2B5EF4-FFF2-40B4-BE49-F238E27FC236}">
              <a16:creationId xmlns:a16="http://schemas.microsoft.com/office/drawing/2014/main" id="{00000000-0008-0000-0100-00004E000000}"/>
            </a:ext>
          </a:extLst>
        </xdr:cNvPr>
        <xdr:cNvSpPr txBox="1"/>
      </xdr:nvSpPr>
      <xdr:spPr>
        <a:xfrm rot="16200000">
          <a:off x="10324465" y="43207305"/>
          <a:ext cx="24003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98</xdr:row>
      <xdr:rowOff>218498</xdr:rowOff>
    </xdr:from>
    <xdr:to>
      <xdr:col>17</xdr:col>
      <xdr:colOff>484371</xdr:colOff>
      <xdr:row>98</xdr:row>
      <xdr:rowOff>218498</xdr:rowOff>
    </xdr:to>
    <xdr:cxnSp macro="">
      <xdr:nvCxnSpPr>
        <xdr:cNvPr id="79" name="Straight Connector 2">
          <a:extLst>
            <a:ext uri="{FF2B5EF4-FFF2-40B4-BE49-F238E27FC236}">
              <a16:creationId xmlns:a16="http://schemas.microsoft.com/office/drawing/2014/main" id="{00000000-0008-0000-0100-00004F000000}"/>
            </a:ext>
          </a:extLst>
        </xdr:cNvPr>
        <xdr:cNvCxnSpPr/>
      </xdr:nvCxnSpPr>
      <xdr:spPr>
        <a:xfrm>
          <a:off x="10469245" y="4232338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98</xdr:row>
      <xdr:rowOff>221006</xdr:rowOff>
    </xdr:from>
    <xdr:to>
      <xdr:col>18</xdr:col>
      <xdr:colOff>287962</xdr:colOff>
      <xdr:row>98</xdr:row>
      <xdr:rowOff>221006</xdr:rowOff>
    </xdr:to>
    <xdr:cxnSp macro="">
      <xdr:nvCxnSpPr>
        <xdr:cNvPr id="80" name="Straight Connector 19">
          <a:extLst>
            <a:ext uri="{FF2B5EF4-FFF2-40B4-BE49-F238E27FC236}">
              <a16:creationId xmlns:a16="http://schemas.microsoft.com/office/drawing/2014/main" id="{00000000-0008-0000-0100-000050000000}"/>
            </a:ext>
          </a:extLst>
        </xdr:cNvPr>
        <xdr:cNvCxnSpPr/>
      </xdr:nvCxnSpPr>
      <xdr:spPr>
        <a:xfrm>
          <a:off x="11641455" y="4232592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98</xdr:row>
      <xdr:rowOff>16510</xdr:rowOff>
    </xdr:from>
    <xdr:to>
      <xdr:col>17</xdr:col>
      <xdr:colOff>467995</xdr:colOff>
      <xdr:row>101</xdr:row>
      <xdr:rowOff>6985</xdr:rowOff>
    </xdr:to>
    <xdr:sp macro="" textlink="">
      <xdr:nvSpPr>
        <xdr:cNvPr id="81" name="TextBox 13">
          <a:extLst>
            <a:ext uri="{FF2B5EF4-FFF2-40B4-BE49-F238E27FC236}">
              <a16:creationId xmlns:a16="http://schemas.microsoft.com/office/drawing/2014/main" id="{00000000-0008-0000-0100-000051000000}"/>
            </a:ext>
          </a:extLst>
        </xdr:cNvPr>
        <xdr:cNvSpPr txBox="1"/>
      </xdr:nvSpPr>
      <xdr:spPr>
        <a:xfrm rot="16200000">
          <a:off x="10128885" y="43419395"/>
          <a:ext cx="27908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17</xdr:col>
      <xdr:colOff>3427</xdr:colOff>
      <xdr:row>55</xdr:row>
      <xdr:rowOff>237567</xdr:rowOff>
    </xdr:from>
    <xdr:to>
      <xdr:col>17</xdr:col>
      <xdr:colOff>491133</xdr:colOff>
      <xdr:row>55</xdr:row>
      <xdr:rowOff>238125</xdr:rowOff>
    </xdr:to>
    <xdr:cxnSp macro="">
      <xdr:nvCxnSpPr>
        <xdr:cNvPr id="2" name="Straight Connector 2">
          <a:extLst>
            <a:ext uri="{FF2B5EF4-FFF2-40B4-BE49-F238E27FC236}">
              <a16:creationId xmlns:a16="http://schemas.microsoft.com/office/drawing/2014/main" id="{8A417C9F-4BAF-4D12-90D6-8FB52EBF7147}"/>
            </a:ext>
            <a:ext uri="{147F2762-F138-4A5C-976F-8EAC2B608ADB}">
              <a16:predDERef xmlns:a16="http://schemas.microsoft.com/office/drawing/2014/main" pred="{00000000-0008-0000-0100-000051000000}"/>
            </a:ext>
          </a:extLst>
        </xdr:cNvPr>
        <xdr:cNvCxnSpPr/>
      </xdr:nvCxnSpPr>
      <xdr:spPr>
        <a:xfrm>
          <a:off x="9248775" y="28888767"/>
          <a:ext cx="0" cy="55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56</xdr:row>
      <xdr:rowOff>213321</xdr:rowOff>
    </xdr:from>
    <xdr:to>
      <xdr:col>18</xdr:col>
      <xdr:colOff>357187</xdr:colOff>
      <xdr:row>56</xdr:row>
      <xdr:rowOff>218282</xdr:rowOff>
    </xdr:to>
    <xdr:cxnSp macro="">
      <xdr:nvCxnSpPr>
        <xdr:cNvPr id="6" name="Straight Connector 2">
          <a:extLst>
            <a:ext uri="{FF2B5EF4-FFF2-40B4-BE49-F238E27FC236}">
              <a16:creationId xmlns:a16="http://schemas.microsoft.com/office/drawing/2014/main" id="{36BDC9FC-08BD-4A29-AB16-3106AECD83E1}"/>
            </a:ext>
            <a:ext uri="{147F2762-F138-4A5C-976F-8EAC2B608ADB}">
              <a16:predDERef xmlns:a16="http://schemas.microsoft.com/office/drawing/2014/main" pred="{8A417C9F-4BAF-4D12-90D6-8FB52EBF7147}"/>
            </a:ext>
          </a:extLst>
        </xdr:cNvPr>
        <xdr:cNvCxnSpPr/>
      </xdr:nvCxnSpPr>
      <xdr:spPr>
        <a:xfrm>
          <a:off x="9248775" y="30588546"/>
          <a:ext cx="0" cy="496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3122</xdr:colOff>
      <xdr:row>1</xdr:row>
      <xdr:rowOff>15240</xdr:rowOff>
    </xdr:from>
    <xdr:to>
      <xdr:col>20</xdr:col>
      <xdr:colOff>3122</xdr:colOff>
      <xdr:row>97</xdr:row>
      <xdr:rowOff>336176</xdr:rowOff>
    </xdr:to>
    <xdr:cxnSp macro="">
      <xdr:nvCxnSpPr>
        <xdr:cNvPr id="2" name="Straight Connector 27">
          <a:extLst>
            <a:ext uri="{FF2B5EF4-FFF2-40B4-BE49-F238E27FC236}">
              <a16:creationId xmlns:a16="http://schemas.microsoft.com/office/drawing/2014/main" id="{00000000-0008-0000-0300-000002000000}"/>
            </a:ext>
          </a:extLst>
        </xdr:cNvPr>
        <xdr:cNvCxnSpPr/>
      </xdr:nvCxnSpPr>
      <xdr:spPr>
        <a:xfrm>
          <a:off x="13204190" y="205740"/>
          <a:ext cx="0" cy="460521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597647</xdr:colOff>
      <xdr:row>47</xdr:row>
      <xdr:rowOff>216647</xdr:rowOff>
    </xdr:from>
    <xdr:to>
      <xdr:col>17</xdr:col>
      <xdr:colOff>484371</xdr:colOff>
      <xdr:row>47</xdr:row>
      <xdr:rowOff>218498</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11572875" y="24230330"/>
          <a:ext cx="48387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47</xdr:row>
      <xdr:rowOff>221006</xdr:rowOff>
    </xdr:from>
    <xdr:to>
      <xdr:col>19</xdr:col>
      <xdr:colOff>239059</xdr:colOff>
      <xdr:row>47</xdr:row>
      <xdr:rowOff>224118</xdr:rowOff>
    </xdr:to>
    <xdr:cxnSp macro="">
      <xdr:nvCxnSpPr>
        <xdr:cNvPr id="4" name="Straight Connector 19">
          <a:extLst>
            <a:ext uri="{FF2B5EF4-FFF2-40B4-BE49-F238E27FC236}">
              <a16:creationId xmlns:a16="http://schemas.microsoft.com/office/drawing/2014/main" id="{00000000-0008-0000-0300-000004000000}"/>
            </a:ext>
          </a:extLst>
        </xdr:cNvPr>
        <xdr:cNvCxnSpPr/>
      </xdr:nvCxnSpPr>
      <xdr:spPr>
        <a:xfrm>
          <a:off x="12060555" y="24234775"/>
          <a:ext cx="8083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532087</xdr:colOff>
      <xdr:row>2</xdr:row>
      <xdr:rowOff>282841</xdr:rowOff>
    </xdr:from>
    <xdr:to>
      <xdr:col>15</xdr:col>
      <xdr:colOff>505811</xdr:colOff>
      <xdr:row>2</xdr:row>
      <xdr:rowOff>282841</xdr:rowOff>
    </xdr:to>
    <xdr:cxnSp macro="">
      <xdr:nvCxnSpPr>
        <xdr:cNvPr id="5" name="Straight Connector 1">
          <a:extLst>
            <a:ext uri="{FF2B5EF4-FFF2-40B4-BE49-F238E27FC236}">
              <a16:creationId xmlns:a16="http://schemas.microsoft.com/office/drawing/2014/main" id="{00000000-0008-0000-0300-000005000000}"/>
            </a:ext>
          </a:extLst>
        </xdr:cNvPr>
        <xdr:cNvCxnSpPr/>
      </xdr:nvCxnSpPr>
      <xdr:spPr>
        <a:xfrm>
          <a:off x="10437495" y="1330960"/>
          <a:ext cx="5168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567715</xdr:colOff>
      <xdr:row>45</xdr:row>
      <xdr:rowOff>306951</xdr:rowOff>
    </xdr:from>
    <xdr:to>
      <xdr:col>17</xdr:col>
      <xdr:colOff>372461</xdr:colOff>
      <xdr:row>45</xdr:row>
      <xdr:rowOff>306986</xdr:rowOff>
    </xdr:to>
    <xdr:cxnSp macro="">
      <xdr:nvCxnSpPr>
        <xdr:cNvPr id="6" name="Straight Connector 2">
          <a:extLst>
            <a:ext uri="{FF2B5EF4-FFF2-40B4-BE49-F238E27FC236}">
              <a16:creationId xmlns:a16="http://schemas.microsoft.com/office/drawing/2014/main" id="{00000000-0008-0000-0300-000006000000}"/>
            </a:ext>
          </a:extLst>
        </xdr:cNvPr>
        <xdr:cNvCxnSpPr/>
      </xdr:nvCxnSpPr>
      <xdr:spPr>
        <a:xfrm flipV="1">
          <a:off x="11572875" y="22947630"/>
          <a:ext cx="3721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42951</xdr:colOff>
      <xdr:row>2</xdr:row>
      <xdr:rowOff>434069</xdr:rowOff>
    </xdr:from>
    <xdr:to>
      <xdr:col>13</xdr:col>
      <xdr:colOff>42951</xdr:colOff>
      <xdr:row>61</xdr:row>
      <xdr:rowOff>0</xdr:rowOff>
    </xdr:to>
    <xdr:cxnSp macro="">
      <xdr:nvCxnSpPr>
        <xdr:cNvPr id="7" name="Straight Connector 5">
          <a:extLst>
            <a:ext uri="{FF2B5EF4-FFF2-40B4-BE49-F238E27FC236}">
              <a16:creationId xmlns:a16="http://schemas.microsoft.com/office/drawing/2014/main" id="{00000000-0008-0000-0300-000007000000}"/>
            </a:ext>
          </a:extLst>
        </xdr:cNvPr>
        <xdr:cNvCxnSpPr/>
      </xdr:nvCxnSpPr>
      <xdr:spPr>
        <a:xfrm>
          <a:off x="9815195" y="1438910"/>
          <a:ext cx="0" cy="282549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xdr:row>
      <xdr:rowOff>15421</xdr:rowOff>
    </xdr:from>
    <xdr:to>
      <xdr:col>15</xdr:col>
      <xdr:colOff>0</xdr:colOff>
      <xdr:row>97</xdr:row>
      <xdr:rowOff>302559</xdr:rowOff>
    </xdr:to>
    <xdr:cxnSp macro="">
      <xdr:nvCxnSpPr>
        <xdr:cNvPr id="8" name="Straight Connector 6">
          <a:extLst>
            <a:ext uri="{FF2B5EF4-FFF2-40B4-BE49-F238E27FC236}">
              <a16:creationId xmlns:a16="http://schemas.microsoft.com/office/drawing/2014/main" id="{00000000-0008-0000-0300-000008000000}"/>
            </a:ext>
          </a:extLst>
        </xdr:cNvPr>
        <xdr:cNvCxnSpPr/>
      </xdr:nvCxnSpPr>
      <xdr:spPr>
        <a:xfrm>
          <a:off x="10448925" y="205740"/>
          <a:ext cx="0" cy="460184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672</xdr:colOff>
      <xdr:row>1</xdr:row>
      <xdr:rowOff>15240</xdr:rowOff>
    </xdr:from>
    <xdr:to>
      <xdr:col>16</xdr:col>
      <xdr:colOff>672</xdr:colOff>
      <xdr:row>97</xdr:row>
      <xdr:rowOff>336176</xdr:rowOff>
    </xdr:to>
    <xdr:cxnSp macro="">
      <xdr:nvCxnSpPr>
        <xdr:cNvPr id="9" name="Straight Connector 7">
          <a:extLst>
            <a:ext uri="{FF2B5EF4-FFF2-40B4-BE49-F238E27FC236}">
              <a16:creationId xmlns:a16="http://schemas.microsoft.com/office/drawing/2014/main" id="{00000000-0008-0000-0300-000009000000}"/>
            </a:ext>
          </a:extLst>
        </xdr:cNvPr>
        <xdr:cNvCxnSpPr/>
      </xdr:nvCxnSpPr>
      <xdr:spPr>
        <a:xfrm>
          <a:off x="11040110" y="205740"/>
          <a:ext cx="0" cy="460521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3842</xdr:colOff>
      <xdr:row>1</xdr:row>
      <xdr:rowOff>19050</xdr:rowOff>
    </xdr:from>
    <xdr:to>
      <xdr:col>17</xdr:col>
      <xdr:colOff>3842</xdr:colOff>
      <xdr:row>98</xdr:row>
      <xdr:rowOff>0</xdr:rowOff>
    </xdr:to>
    <xdr:cxnSp macro="">
      <xdr:nvCxnSpPr>
        <xdr:cNvPr id="10" name="Straight Connector 8">
          <a:extLst>
            <a:ext uri="{FF2B5EF4-FFF2-40B4-BE49-F238E27FC236}">
              <a16:creationId xmlns:a16="http://schemas.microsoft.com/office/drawing/2014/main" id="{00000000-0008-0000-0300-00000A000000}"/>
            </a:ext>
          </a:extLst>
        </xdr:cNvPr>
        <xdr:cNvCxnSpPr/>
      </xdr:nvCxnSpPr>
      <xdr:spPr>
        <a:xfrm>
          <a:off x="11576685" y="209550"/>
          <a:ext cx="0" cy="461822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98</xdr:row>
      <xdr:rowOff>0</xdr:rowOff>
    </xdr:to>
    <xdr:cxnSp macro="">
      <xdr:nvCxnSpPr>
        <xdr:cNvPr id="11" name="Straight Connector 9">
          <a:extLst>
            <a:ext uri="{FF2B5EF4-FFF2-40B4-BE49-F238E27FC236}">
              <a16:creationId xmlns:a16="http://schemas.microsoft.com/office/drawing/2014/main" id="{00000000-0008-0000-0300-00000B000000}"/>
            </a:ext>
          </a:extLst>
        </xdr:cNvPr>
        <xdr:cNvCxnSpPr/>
      </xdr:nvCxnSpPr>
      <xdr:spPr>
        <a:xfrm>
          <a:off x="12068175" y="209550"/>
          <a:ext cx="0" cy="461822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97</xdr:row>
      <xdr:rowOff>347382</xdr:rowOff>
    </xdr:to>
    <xdr:cxnSp macro="">
      <xdr:nvCxnSpPr>
        <xdr:cNvPr id="12" name="Straight Connector 10">
          <a:extLst>
            <a:ext uri="{FF2B5EF4-FFF2-40B4-BE49-F238E27FC236}">
              <a16:creationId xmlns:a16="http://schemas.microsoft.com/office/drawing/2014/main" id="{00000000-0008-0000-0300-00000C000000}"/>
            </a:ext>
          </a:extLst>
        </xdr:cNvPr>
        <xdr:cNvCxnSpPr/>
      </xdr:nvCxnSpPr>
      <xdr:spPr>
        <a:xfrm>
          <a:off x="12630150" y="209550"/>
          <a:ext cx="0" cy="4605972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479102</xdr:colOff>
      <xdr:row>1</xdr:row>
      <xdr:rowOff>0</xdr:rowOff>
    </xdr:from>
    <xdr:to>
      <xdr:col>17</xdr:col>
      <xdr:colOff>479102</xdr:colOff>
      <xdr:row>98</xdr:row>
      <xdr:rowOff>0</xdr:rowOff>
    </xdr:to>
    <xdr:cxnSp macro="">
      <xdr:nvCxnSpPr>
        <xdr:cNvPr id="13" name="Straight Connector 10">
          <a:extLst>
            <a:ext uri="{FF2B5EF4-FFF2-40B4-BE49-F238E27FC236}">
              <a16:creationId xmlns:a16="http://schemas.microsoft.com/office/drawing/2014/main" id="{00000000-0008-0000-0300-00000D000000}"/>
            </a:ext>
          </a:extLst>
        </xdr:cNvPr>
        <xdr:cNvCxnSpPr/>
      </xdr:nvCxnSpPr>
      <xdr:spPr>
        <a:xfrm>
          <a:off x="12051665" y="190500"/>
          <a:ext cx="0" cy="4620133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53</xdr:row>
      <xdr:rowOff>16565</xdr:rowOff>
    </xdr:from>
    <xdr:to>
      <xdr:col>17</xdr:col>
      <xdr:colOff>468820</xdr:colOff>
      <xdr:row>90</xdr:row>
      <xdr:rowOff>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15</xdr:col>
      <xdr:colOff>84701</xdr:colOff>
      <xdr:row>4</xdr:row>
      <xdr:rowOff>312989</xdr:rowOff>
    </xdr:from>
    <xdr:to>
      <xdr:col>15</xdr:col>
      <xdr:colOff>512329</xdr:colOff>
      <xdr:row>4</xdr:row>
      <xdr:rowOff>317500</xdr:rowOff>
    </xdr:to>
    <xdr:cxnSp macro="">
      <xdr:nvCxnSpPr>
        <xdr:cNvPr id="15" name="Straight Connector 15">
          <a:extLst>
            <a:ext uri="{FF2B5EF4-FFF2-40B4-BE49-F238E27FC236}">
              <a16:creationId xmlns:a16="http://schemas.microsoft.com/office/drawing/2014/main" id="{00000000-0008-0000-0300-00000F000000}"/>
            </a:ext>
          </a:extLst>
        </xdr:cNvPr>
        <xdr:cNvCxnSpPr/>
      </xdr:nvCxnSpPr>
      <xdr:spPr>
        <a:xfrm>
          <a:off x="10533380" y="1951355"/>
          <a:ext cx="427355"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2103</xdr:colOff>
      <xdr:row>5</xdr:row>
      <xdr:rowOff>273100</xdr:rowOff>
    </xdr:from>
    <xdr:to>
      <xdr:col>16</xdr:col>
      <xdr:colOff>512329</xdr:colOff>
      <xdr:row>5</xdr:row>
      <xdr:rowOff>274205</xdr:rowOff>
    </xdr:to>
    <xdr:cxnSp macro="">
      <xdr:nvCxnSpPr>
        <xdr:cNvPr id="16" name="Straight Connector 16">
          <a:extLst>
            <a:ext uri="{FF2B5EF4-FFF2-40B4-BE49-F238E27FC236}">
              <a16:creationId xmlns:a16="http://schemas.microsoft.com/office/drawing/2014/main" id="{00000000-0008-0000-0300-000010000000}"/>
            </a:ext>
          </a:extLst>
        </xdr:cNvPr>
        <xdr:cNvCxnSpPr/>
      </xdr:nvCxnSpPr>
      <xdr:spPr>
        <a:xfrm>
          <a:off x="11041380" y="2607945"/>
          <a:ext cx="50990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479835</xdr:colOff>
      <xdr:row>10</xdr:row>
      <xdr:rowOff>287399</xdr:rowOff>
    </xdr:from>
    <xdr:to>
      <xdr:col>16</xdr:col>
      <xdr:colOff>0</xdr:colOff>
      <xdr:row>10</xdr:row>
      <xdr:rowOff>287399</xdr:rowOff>
    </xdr:to>
    <xdr:cxnSp macro="">
      <xdr:nvCxnSpPr>
        <xdr:cNvPr id="17" name="Straight Connector 17">
          <a:extLst>
            <a:ext uri="{FF2B5EF4-FFF2-40B4-BE49-F238E27FC236}">
              <a16:creationId xmlns:a16="http://schemas.microsoft.com/office/drawing/2014/main" id="{00000000-0008-0000-0300-000011000000}"/>
            </a:ext>
          </a:extLst>
        </xdr:cNvPr>
        <xdr:cNvCxnSpPr/>
      </xdr:nvCxnSpPr>
      <xdr:spPr>
        <a:xfrm>
          <a:off x="10928350" y="6205220"/>
          <a:ext cx="1111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578886</xdr:colOff>
      <xdr:row>15</xdr:row>
      <xdr:rowOff>305360</xdr:rowOff>
    </xdr:from>
    <xdr:to>
      <xdr:col>16</xdr:col>
      <xdr:colOff>484733</xdr:colOff>
      <xdr:row>15</xdr:row>
      <xdr:rowOff>305382</xdr:rowOff>
    </xdr:to>
    <xdr:cxnSp macro="">
      <xdr:nvCxnSpPr>
        <xdr:cNvPr id="18" name="Straight Connector 18">
          <a:extLst>
            <a:ext uri="{FF2B5EF4-FFF2-40B4-BE49-F238E27FC236}">
              <a16:creationId xmlns:a16="http://schemas.microsoft.com/office/drawing/2014/main" id="{00000000-0008-0000-0300-000012000000}"/>
            </a:ext>
          </a:extLst>
        </xdr:cNvPr>
        <xdr:cNvCxnSpPr/>
      </xdr:nvCxnSpPr>
      <xdr:spPr>
        <a:xfrm>
          <a:off x="11027410" y="8674100"/>
          <a:ext cx="4965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555078</xdr:colOff>
      <xdr:row>20</xdr:row>
      <xdr:rowOff>297591</xdr:rowOff>
    </xdr:from>
    <xdr:to>
      <xdr:col>17</xdr:col>
      <xdr:colOff>80595</xdr:colOff>
      <xdr:row>20</xdr:row>
      <xdr:rowOff>297591</xdr:rowOff>
    </xdr:to>
    <xdr:cxnSp macro="">
      <xdr:nvCxnSpPr>
        <xdr:cNvPr id="19" name="Straight Connector 19">
          <a:extLst>
            <a:ext uri="{FF2B5EF4-FFF2-40B4-BE49-F238E27FC236}">
              <a16:creationId xmlns:a16="http://schemas.microsoft.com/office/drawing/2014/main" id="{00000000-0008-0000-0300-000013000000}"/>
            </a:ext>
          </a:extLst>
        </xdr:cNvPr>
        <xdr:cNvCxnSpPr/>
      </xdr:nvCxnSpPr>
      <xdr:spPr>
        <a:xfrm>
          <a:off x="11572875" y="11181080"/>
          <a:ext cx="800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127880</xdr:colOff>
      <xdr:row>25</xdr:row>
      <xdr:rowOff>286854</xdr:rowOff>
    </xdr:from>
    <xdr:to>
      <xdr:col>17</xdr:col>
      <xdr:colOff>290302</xdr:colOff>
      <xdr:row>25</xdr:row>
      <xdr:rowOff>286854</xdr:rowOff>
    </xdr:to>
    <xdr:cxnSp macro="">
      <xdr:nvCxnSpPr>
        <xdr:cNvPr id="20" name="Straight Connector 20">
          <a:extLst>
            <a:ext uri="{FF2B5EF4-FFF2-40B4-BE49-F238E27FC236}">
              <a16:creationId xmlns:a16="http://schemas.microsoft.com/office/drawing/2014/main" id="{00000000-0008-0000-0300-000014000000}"/>
            </a:ext>
          </a:extLst>
        </xdr:cNvPr>
        <xdr:cNvCxnSpPr/>
      </xdr:nvCxnSpPr>
      <xdr:spPr>
        <a:xfrm>
          <a:off x="11700510" y="1326578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250100</xdr:colOff>
      <xdr:row>30</xdr:row>
      <xdr:rowOff>306880</xdr:rowOff>
    </xdr:from>
    <xdr:to>
      <xdr:col>17</xdr:col>
      <xdr:colOff>410436</xdr:colOff>
      <xdr:row>30</xdr:row>
      <xdr:rowOff>306880</xdr:rowOff>
    </xdr:to>
    <xdr:cxnSp macro="">
      <xdr:nvCxnSpPr>
        <xdr:cNvPr id="21" name="Straight Connector 21">
          <a:extLst>
            <a:ext uri="{FF2B5EF4-FFF2-40B4-BE49-F238E27FC236}">
              <a16:creationId xmlns:a16="http://schemas.microsoft.com/office/drawing/2014/main" id="{00000000-0008-0000-0300-000015000000}"/>
            </a:ext>
          </a:extLst>
        </xdr:cNvPr>
        <xdr:cNvCxnSpPr/>
      </xdr:nvCxnSpPr>
      <xdr:spPr>
        <a:xfrm>
          <a:off x="11822430" y="1574990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351734</xdr:colOff>
      <xdr:row>35</xdr:row>
      <xdr:rowOff>301225</xdr:rowOff>
    </xdr:from>
    <xdr:to>
      <xdr:col>17</xdr:col>
      <xdr:colOff>470683</xdr:colOff>
      <xdr:row>35</xdr:row>
      <xdr:rowOff>302754</xdr:rowOff>
    </xdr:to>
    <xdr:cxnSp macro="">
      <xdr:nvCxnSpPr>
        <xdr:cNvPr id="22" name="Straight Connector 22">
          <a:extLst>
            <a:ext uri="{FF2B5EF4-FFF2-40B4-BE49-F238E27FC236}">
              <a16:creationId xmlns:a16="http://schemas.microsoft.com/office/drawing/2014/main" id="{00000000-0008-0000-0300-000016000000}"/>
            </a:ext>
          </a:extLst>
        </xdr:cNvPr>
        <xdr:cNvCxnSpPr/>
      </xdr:nvCxnSpPr>
      <xdr:spPr>
        <a:xfrm>
          <a:off x="11924030" y="18030190"/>
          <a:ext cx="11938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3427</xdr:colOff>
      <xdr:row>59</xdr:row>
      <xdr:rowOff>237567</xdr:rowOff>
    </xdr:from>
    <xdr:to>
      <xdr:col>16</xdr:col>
      <xdr:colOff>491133</xdr:colOff>
      <xdr:row>59</xdr:row>
      <xdr:rowOff>238125</xdr:rowOff>
    </xdr:to>
    <xdr:cxnSp macro="">
      <xdr:nvCxnSpPr>
        <xdr:cNvPr id="23" name="Straight Connector 2">
          <a:extLst>
            <a:ext uri="{FF2B5EF4-FFF2-40B4-BE49-F238E27FC236}">
              <a16:creationId xmlns:a16="http://schemas.microsoft.com/office/drawing/2014/main" id="{00000000-0008-0000-0300-000017000000}"/>
            </a:ext>
          </a:extLst>
        </xdr:cNvPr>
        <xdr:cNvCxnSpPr/>
      </xdr:nvCxnSpPr>
      <xdr:spPr>
        <a:xfrm>
          <a:off x="11042650" y="27806650"/>
          <a:ext cx="487680"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296926</xdr:colOff>
      <xdr:row>50</xdr:row>
      <xdr:rowOff>177734</xdr:rowOff>
    </xdr:from>
    <xdr:to>
      <xdr:col>18</xdr:col>
      <xdr:colOff>419100</xdr:colOff>
      <xdr:row>50</xdr:row>
      <xdr:rowOff>177734</xdr:rowOff>
    </xdr:to>
    <xdr:cxnSp macro="">
      <xdr:nvCxnSpPr>
        <xdr:cNvPr id="24" name="Straight Connector 19">
          <a:extLst>
            <a:ext uri="{FF2B5EF4-FFF2-40B4-BE49-F238E27FC236}">
              <a16:creationId xmlns:a16="http://schemas.microsoft.com/office/drawing/2014/main" id="{00000000-0008-0000-0300-000018000000}"/>
            </a:ext>
          </a:extLst>
        </xdr:cNvPr>
        <xdr:cNvCxnSpPr/>
      </xdr:nvCxnSpPr>
      <xdr:spPr>
        <a:xfrm>
          <a:off x="12364720" y="2592006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405785</xdr:colOff>
      <xdr:row>51</xdr:row>
      <xdr:rowOff>193261</xdr:rowOff>
    </xdr:from>
    <xdr:to>
      <xdr:col>19</xdr:col>
      <xdr:colOff>45177</xdr:colOff>
      <xdr:row>51</xdr:row>
      <xdr:rowOff>194063</xdr:rowOff>
    </xdr:to>
    <xdr:cxnSp macro="">
      <xdr:nvCxnSpPr>
        <xdr:cNvPr id="25" name="Straight Connector 19">
          <a:extLst>
            <a:ext uri="{FF2B5EF4-FFF2-40B4-BE49-F238E27FC236}">
              <a16:creationId xmlns:a16="http://schemas.microsoft.com/office/drawing/2014/main" id="{00000000-0008-0000-0300-000019000000}"/>
            </a:ext>
          </a:extLst>
        </xdr:cNvPr>
        <xdr:cNvCxnSpPr/>
      </xdr:nvCxnSpPr>
      <xdr:spPr>
        <a:xfrm flipV="1">
          <a:off x="12473940" y="25920065"/>
          <a:ext cx="2012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57449</xdr:colOff>
      <xdr:row>52</xdr:row>
      <xdr:rowOff>199506</xdr:rowOff>
    </xdr:from>
    <xdr:to>
      <xdr:col>19</xdr:col>
      <xdr:colOff>179623</xdr:colOff>
      <xdr:row>52</xdr:row>
      <xdr:rowOff>199506</xdr:rowOff>
    </xdr:to>
    <xdr:cxnSp macro="">
      <xdr:nvCxnSpPr>
        <xdr:cNvPr id="26" name="Straight Connector 19">
          <a:extLst>
            <a:ext uri="{FF2B5EF4-FFF2-40B4-BE49-F238E27FC236}">
              <a16:creationId xmlns:a16="http://schemas.microsoft.com/office/drawing/2014/main" id="{00000000-0008-0000-0300-00001A000000}"/>
            </a:ext>
          </a:extLst>
        </xdr:cNvPr>
        <xdr:cNvCxnSpPr/>
      </xdr:nvCxnSpPr>
      <xdr:spPr>
        <a:xfrm>
          <a:off x="12687300" y="2592006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191884</xdr:colOff>
      <xdr:row>53</xdr:row>
      <xdr:rowOff>197819</xdr:rowOff>
    </xdr:from>
    <xdr:to>
      <xdr:col>19</xdr:col>
      <xdr:colOff>239250</xdr:colOff>
      <xdr:row>53</xdr:row>
      <xdr:rowOff>199506</xdr:rowOff>
    </xdr:to>
    <xdr:cxnSp macro="">
      <xdr:nvCxnSpPr>
        <xdr:cNvPr id="27" name="Straight Connector 19">
          <a:extLst>
            <a:ext uri="{FF2B5EF4-FFF2-40B4-BE49-F238E27FC236}">
              <a16:creationId xmlns:a16="http://schemas.microsoft.com/office/drawing/2014/main" id="{00000000-0008-0000-0300-00001B000000}"/>
            </a:ext>
          </a:extLst>
        </xdr:cNvPr>
        <xdr:cNvCxnSpPr/>
      </xdr:nvCxnSpPr>
      <xdr:spPr>
        <a:xfrm>
          <a:off x="12821920" y="25920065"/>
          <a:ext cx="46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361078</xdr:colOff>
      <xdr:row>7</xdr:row>
      <xdr:rowOff>289427</xdr:rowOff>
    </xdr:from>
    <xdr:to>
      <xdr:col>17</xdr:col>
      <xdr:colOff>455087</xdr:colOff>
      <xdr:row>7</xdr:row>
      <xdr:rowOff>290523</xdr:rowOff>
    </xdr:to>
    <xdr:cxnSp macro="">
      <xdr:nvCxnSpPr>
        <xdr:cNvPr id="28" name="Straight Connector 32">
          <a:extLst>
            <a:ext uri="{FF2B5EF4-FFF2-40B4-BE49-F238E27FC236}">
              <a16:creationId xmlns:a16="http://schemas.microsoft.com/office/drawing/2014/main" id="{00000000-0008-0000-0300-00001C000000}"/>
            </a:ext>
          </a:extLst>
        </xdr:cNvPr>
        <xdr:cNvCxnSpPr/>
      </xdr:nvCxnSpPr>
      <xdr:spPr>
        <a:xfrm flipV="1">
          <a:off x="11933555" y="4653280"/>
          <a:ext cx="9398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370114</xdr:colOff>
      <xdr:row>11</xdr:row>
      <xdr:rowOff>294747</xdr:rowOff>
    </xdr:from>
    <xdr:to>
      <xdr:col>15</xdr:col>
      <xdr:colOff>515336</xdr:colOff>
      <xdr:row>11</xdr:row>
      <xdr:rowOff>294747</xdr:rowOff>
    </xdr:to>
    <xdr:cxnSp macro="">
      <xdr:nvCxnSpPr>
        <xdr:cNvPr id="29" name="Straight Connector 33">
          <a:extLst>
            <a:ext uri="{FF2B5EF4-FFF2-40B4-BE49-F238E27FC236}">
              <a16:creationId xmlns:a16="http://schemas.microsoft.com/office/drawing/2014/main" id="{00000000-0008-0000-0300-00001D000000}"/>
            </a:ext>
          </a:extLst>
        </xdr:cNvPr>
        <xdr:cNvCxnSpPr/>
      </xdr:nvCxnSpPr>
      <xdr:spPr>
        <a:xfrm>
          <a:off x="10818495" y="679704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45343</xdr:colOff>
      <xdr:row>16</xdr:row>
      <xdr:rowOff>265663</xdr:rowOff>
    </xdr:from>
    <xdr:to>
      <xdr:col>17</xdr:col>
      <xdr:colOff>190565</xdr:colOff>
      <xdr:row>16</xdr:row>
      <xdr:rowOff>265663</xdr:rowOff>
    </xdr:to>
    <xdr:cxnSp macro="">
      <xdr:nvCxnSpPr>
        <xdr:cNvPr id="30" name="Straight Connector 34">
          <a:extLst>
            <a:ext uri="{FF2B5EF4-FFF2-40B4-BE49-F238E27FC236}">
              <a16:creationId xmlns:a16="http://schemas.microsoft.com/office/drawing/2014/main" id="{00000000-0008-0000-0300-00001E000000}"/>
            </a:ext>
          </a:extLst>
        </xdr:cNvPr>
        <xdr:cNvCxnSpPr/>
      </xdr:nvCxnSpPr>
      <xdr:spPr>
        <a:xfrm>
          <a:off x="11617960" y="923163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180439</xdr:colOff>
      <xdr:row>21</xdr:row>
      <xdr:rowOff>290623</xdr:rowOff>
    </xdr:from>
    <xdr:to>
      <xdr:col>16</xdr:col>
      <xdr:colOff>325661</xdr:colOff>
      <xdr:row>21</xdr:row>
      <xdr:rowOff>290623</xdr:rowOff>
    </xdr:to>
    <xdr:cxnSp macro="">
      <xdr:nvCxnSpPr>
        <xdr:cNvPr id="31" name="Straight Connector 35">
          <a:extLst>
            <a:ext uri="{FF2B5EF4-FFF2-40B4-BE49-F238E27FC236}">
              <a16:creationId xmlns:a16="http://schemas.microsoft.com/office/drawing/2014/main" id="{00000000-0008-0000-0300-00001F000000}"/>
            </a:ext>
          </a:extLst>
        </xdr:cNvPr>
        <xdr:cNvCxnSpPr/>
      </xdr:nvCxnSpPr>
      <xdr:spPr>
        <a:xfrm>
          <a:off x="11219815" y="11669395"/>
          <a:ext cx="1447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283523</xdr:colOff>
      <xdr:row>26</xdr:row>
      <xdr:rowOff>260110</xdr:rowOff>
    </xdr:from>
    <xdr:to>
      <xdr:col>17</xdr:col>
      <xdr:colOff>428745</xdr:colOff>
      <xdr:row>26</xdr:row>
      <xdr:rowOff>260110</xdr:rowOff>
    </xdr:to>
    <xdr:cxnSp macro="">
      <xdr:nvCxnSpPr>
        <xdr:cNvPr id="32" name="Straight Connector 36">
          <a:extLst>
            <a:ext uri="{FF2B5EF4-FFF2-40B4-BE49-F238E27FC236}">
              <a16:creationId xmlns:a16="http://schemas.microsoft.com/office/drawing/2014/main" id="{00000000-0008-0000-0300-000020000000}"/>
            </a:ext>
          </a:extLst>
        </xdr:cNvPr>
        <xdr:cNvCxnSpPr/>
      </xdr:nvCxnSpPr>
      <xdr:spPr>
        <a:xfrm>
          <a:off x="11856085" y="1382331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409575</xdr:colOff>
      <xdr:row>31</xdr:row>
      <xdr:rowOff>245901</xdr:rowOff>
    </xdr:from>
    <xdr:to>
      <xdr:col>17</xdr:col>
      <xdr:colOff>472840</xdr:colOff>
      <xdr:row>31</xdr:row>
      <xdr:rowOff>246063</xdr:rowOff>
    </xdr:to>
    <xdr:cxnSp macro="">
      <xdr:nvCxnSpPr>
        <xdr:cNvPr id="33" name="Straight Connector 37">
          <a:extLst>
            <a:ext uri="{FF2B5EF4-FFF2-40B4-BE49-F238E27FC236}">
              <a16:creationId xmlns:a16="http://schemas.microsoft.com/office/drawing/2014/main" id="{00000000-0008-0000-0300-000021000000}"/>
            </a:ext>
          </a:extLst>
        </xdr:cNvPr>
        <xdr:cNvCxnSpPr/>
      </xdr:nvCxnSpPr>
      <xdr:spPr>
        <a:xfrm flipV="1">
          <a:off x="11982450" y="16222345"/>
          <a:ext cx="628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370114</xdr:colOff>
      <xdr:row>41</xdr:row>
      <xdr:rowOff>294747</xdr:rowOff>
    </xdr:from>
    <xdr:to>
      <xdr:col>15</xdr:col>
      <xdr:colOff>515336</xdr:colOff>
      <xdr:row>41</xdr:row>
      <xdr:rowOff>294747</xdr:rowOff>
    </xdr:to>
    <xdr:cxnSp macro="">
      <xdr:nvCxnSpPr>
        <xdr:cNvPr id="34" name="Straight Connector 33">
          <a:extLst>
            <a:ext uri="{FF2B5EF4-FFF2-40B4-BE49-F238E27FC236}">
              <a16:creationId xmlns:a16="http://schemas.microsoft.com/office/drawing/2014/main" id="{00000000-0008-0000-0300-000022000000}"/>
            </a:ext>
          </a:extLst>
        </xdr:cNvPr>
        <xdr:cNvCxnSpPr/>
      </xdr:nvCxnSpPr>
      <xdr:spPr>
        <a:xfrm>
          <a:off x="10818495" y="2105914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429559</xdr:colOff>
      <xdr:row>12</xdr:row>
      <xdr:rowOff>300692</xdr:rowOff>
    </xdr:from>
    <xdr:to>
      <xdr:col>17</xdr:col>
      <xdr:colOff>469788</xdr:colOff>
      <xdr:row>12</xdr:row>
      <xdr:rowOff>301526</xdr:rowOff>
    </xdr:to>
    <xdr:cxnSp macro="">
      <xdr:nvCxnSpPr>
        <xdr:cNvPr id="35" name="Straight Connector 40">
          <a:extLst>
            <a:ext uri="{FF2B5EF4-FFF2-40B4-BE49-F238E27FC236}">
              <a16:creationId xmlns:a16="http://schemas.microsoft.com/office/drawing/2014/main" id="{00000000-0008-0000-0300-000023000000}"/>
            </a:ext>
          </a:extLst>
        </xdr:cNvPr>
        <xdr:cNvCxnSpPr/>
      </xdr:nvCxnSpPr>
      <xdr:spPr>
        <a:xfrm>
          <a:off x="12002135" y="7386955"/>
          <a:ext cx="4000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310242</xdr:colOff>
      <xdr:row>42</xdr:row>
      <xdr:rowOff>311075</xdr:rowOff>
    </xdr:from>
    <xdr:to>
      <xdr:col>16</xdr:col>
      <xdr:colOff>455464</xdr:colOff>
      <xdr:row>42</xdr:row>
      <xdr:rowOff>311075</xdr:rowOff>
    </xdr:to>
    <xdr:cxnSp macro="">
      <xdr:nvCxnSpPr>
        <xdr:cNvPr id="36" name="Straight Connector 35">
          <a:extLst>
            <a:ext uri="{FF2B5EF4-FFF2-40B4-BE49-F238E27FC236}">
              <a16:creationId xmlns:a16="http://schemas.microsoft.com/office/drawing/2014/main" id="{00000000-0008-0000-0300-000024000000}"/>
            </a:ext>
          </a:extLst>
        </xdr:cNvPr>
        <xdr:cNvCxnSpPr/>
      </xdr:nvCxnSpPr>
      <xdr:spPr>
        <a:xfrm>
          <a:off x="11349355" y="2163381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307271</xdr:colOff>
      <xdr:row>6</xdr:row>
      <xdr:rowOff>223630</xdr:rowOff>
    </xdr:from>
    <xdr:to>
      <xdr:col>17</xdr:col>
      <xdr:colOff>429577</xdr:colOff>
      <xdr:row>6</xdr:row>
      <xdr:rowOff>337654</xdr:rowOff>
    </xdr:to>
    <xdr:sp macro="" textlink="">
      <xdr:nvSpPr>
        <xdr:cNvPr id="37" name="Diamond 62">
          <a:extLst>
            <a:ext uri="{FF2B5EF4-FFF2-40B4-BE49-F238E27FC236}">
              <a16:creationId xmlns:a16="http://schemas.microsoft.com/office/drawing/2014/main" id="{00000000-0008-0000-0300-000025000000}"/>
            </a:ext>
          </a:extLst>
        </xdr:cNvPr>
        <xdr:cNvSpPr/>
      </xdr:nvSpPr>
      <xdr:spPr>
        <a:xfrm>
          <a:off x="11879580" y="3254375"/>
          <a:ext cx="122555" cy="1136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17</xdr:col>
      <xdr:colOff>273963</xdr:colOff>
      <xdr:row>49</xdr:row>
      <xdr:rowOff>0</xdr:rowOff>
    </xdr:from>
    <xdr:to>
      <xdr:col>17</xdr:col>
      <xdr:colOff>468820</xdr:colOff>
      <xdr:row>51</xdr:row>
      <xdr:rowOff>140805</xdr:rowOff>
    </xdr:to>
    <xdr:sp macro="" textlink="">
      <xdr:nvSpPr>
        <xdr:cNvPr id="38" name="TextBox 13">
          <a:extLst>
            <a:ext uri="{FF2B5EF4-FFF2-40B4-BE49-F238E27FC236}">
              <a16:creationId xmlns:a16="http://schemas.microsoft.com/office/drawing/2014/main" id="{00000000-0008-0000-0300-000026000000}"/>
            </a:ext>
          </a:extLst>
        </xdr:cNvPr>
        <xdr:cNvSpPr txBox="1"/>
      </xdr:nvSpPr>
      <xdr:spPr>
        <a:xfrm rot="16200000">
          <a:off x="11438890" y="25317450"/>
          <a:ext cx="101028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23813</xdr:colOff>
      <xdr:row>49</xdr:row>
      <xdr:rowOff>211291</xdr:rowOff>
    </xdr:from>
    <xdr:to>
      <xdr:col>17</xdr:col>
      <xdr:colOff>259365</xdr:colOff>
      <xdr:row>49</xdr:row>
      <xdr:rowOff>211291</xdr:rowOff>
    </xdr:to>
    <xdr:cxnSp macro="">
      <xdr:nvCxnSpPr>
        <xdr:cNvPr id="39" name="Straight Connector 2">
          <a:extLst>
            <a:ext uri="{FF2B5EF4-FFF2-40B4-BE49-F238E27FC236}">
              <a16:creationId xmlns:a16="http://schemas.microsoft.com/office/drawing/2014/main" id="{00000000-0008-0000-0300-000027000000}"/>
            </a:ext>
          </a:extLst>
        </xdr:cNvPr>
        <xdr:cNvCxnSpPr/>
      </xdr:nvCxnSpPr>
      <xdr:spPr>
        <a:xfrm>
          <a:off x="11062970" y="25120600"/>
          <a:ext cx="7689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52</xdr:row>
      <xdr:rowOff>16565</xdr:rowOff>
    </xdr:from>
    <xdr:to>
      <xdr:col>17</xdr:col>
      <xdr:colOff>468820</xdr:colOff>
      <xdr:row>90</xdr:row>
      <xdr:rowOff>0</xdr:rowOff>
    </xdr:to>
    <xdr:sp macro="" textlink="">
      <xdr:nvSpPr>
        <xdr:cNvPr id="40" name="TextBox 13">
          <a:extLst>
            <a:ext uri="{FF2B5EF4-FFF2-40B4-BE49-F238E27FC236}">
              <a16:creationId xmlns:a16="http://schemas.microsoft.com/office/drawing/2014/main" id="{00000000-0008-0000-0300-000028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273963</xdr:colOff>
      <xdr:row>52</xdr:row>
      <xdr:rowOff>0</xdr:rowOff>
    </xdr:from>
    <xdr:to>
      <xdr:col>17</xdr:col>
      <xdr:colOff>468820</xdr:colOff>
      <xdr:row>90</xdr:row>
      <xdr:rowOff>0</xdr:rowOff>
    </xdr:to>
    <xdr:sp macro="" textlink="">
      <xdr:nvSpPr>
        <xdr:cNvPr id="41" name="TextBox 13">
          <a:extLst>
            <a:ext uri="{FF2B5EF4-FFF2-40B4-BE49-F238E27FC236}">
              <a16:creationId xmlns:a16="http://schemas.microsoft.com/office/drawing/2014/main" id="{00000000-0008-0000-0300-000029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439738</xdr:colOff>
      <xdr:row>8</xdr:row>
      <xdr:rowOff>291921</xdr:rowOff>
    </xdr:from>
    <xdr:to>
      <xdr:col>17</xdr:col>
      <xdr:colOff>473621</xdr:colOff>
      <xdr:row>8</xdr:row>
      <xdr:rowOff>293687</xdr:rowOff>
    </xdr:to>
    <xdr:cxnSp macro="">
      <xdr:nvCxnSpPr>
        <xdr:cNvPr id="42" name="Straight Connector 58">
          <a:extLst>
            <a:ext uri="{FF2B5EF4-FFF2-40B4-BE49-F238E27FC236}">
              <a16:creationId xmlns:a16="http://schemas.microsoft.com/office/drawing/2014/main" id="{00000000-0008-0000-0300-00002A000000}"/>
            </a:ext>
          </a:extLst>
        </xdr:cNvPr>
        <xdr:cNvCxnSpPr/>
      </xdr:nvCxnSpPr>
      <xdr:spPr>
        <a:xfrm flipV="1">
          <a:off x="12012295" y="5351780"/>
          <a:ext cx="33655"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473216</xdr:colOff>
      <xdr:row>8</xdr:row>
      <xdr:rowOff>290513</xdr:rowOff>
    </xdr:from>
    <xdr:to>
      <xdr:col>17</xdr:col>
      <xdr:colOff>546100</xdr:colOff>
      <xdr:row>8</xdr:row>
      <xdr:rowOff>291211</xdr:rowOff>
    </xdr:to>
    <xdr:cxnSp macro="">
      <xdr:nvCxnSpPr>
        <xdr:cNvPr id="43" name="Straight Connector 19">
          <a:extLst>
            <a:ext uri="{FF2B5EF4-FFF2-40B4-BE49-F238E27FC236}">
              <a16:creationId xmlns:a16="http://schemas.microsoft.com/office/drawing/2014/main" id="{00000000-0008-0000-0300-00002B000000}"/>
            </a:ext>
          </a:extLst>
        </xdr:cNvPr>
        <xdr:cNvCxnSpPr/>
      </xdr:nvCxnSpPr>
      <xdr:spPr>
        <a:xfrm flipV="1">
          <a:off x="12045950" y="5350510"/>
          <a:ext cx="222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627461</xdr:colOff>
      <xdr:row>10</xdr:row>
      <xdr:rowOff>287017</xdr:rowOff>
    </xdr:from>
    <xdr:to>
      <xdr:col>16</xdr:col>
      <xdr:colOff>147626</xdr:colOff>
      <xdr:row>10</xdr:row>
      <xdr:rowOff>287017</xdr:rowOff>
    </xdr:to>
    <xdr:cxnSp macro="">
      <xdr:nvCxnSpPr>
        <xdr:cNvPr id="44" name="Straight Connector 68">
          <a:extLst>
            <a:ext uri="{FF2B5EF4-FFF2-40B4-BE49-F238E27FC236}">
              <a16:creationId xmlns:a16="http://schemas.microsoft.com/office/drawing/2014/main" id="{00000000-0008-0000-0300-00002C000000}"/>
            </a:ext>
          </a:extLst>
        </xdr:cNvPr>
        <xdr:cNvCxnSpPr/>
      </xdr:nvCxnSpPr>
      <xdr:spPr>
        <a:xfrm>
          <a:off x="11039475" y="6204585"/>
          <a:ext cx="1473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178698</xdr:colOff>
      <xdr:row>11</xdr:row>
      <xdr:rowOff>286466</xdr:rowOff>
    </xdr:from>
    <xdr:to>
      <xdr:col>17</xdr:col>
      <xdr:colOff>62068</xdr:colOff>
      <xdr:row>11</xdr:row>
      <xdr:rowOff>290854</xdr:rowOff>
    </xdr:to>
    <xdr:cxnSp macro="">
      <xdr:nvCxnSpPr>
        <xdr:cNvPr id="45" name="Straight Connector 69">
          <a:extLst>
            <a:ext uri="{FF2B5EF4-FFF2-40B4-BE49-F238E27FC236}">
              <a16:creationId xmlns:a16="http://schemas.microsoft.com/office/drawing/2014/main" id="{00000000-0008-0000-0300-00002D000000}"/>
            </a:ext>
          </a:extLst>
        </xdr:cNvPr>
        <xdr:cNvCxnSpPr/>
      </xdr:nvCxnSpPr>
      <xdr:spPr>
        <a:xfrm flipV="1">
          <a:off x="11217910" y="6788785"/>
          <a:ext cx="41656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485588</xdr:colOff>
      <xdr:row>12</xdr:row>
      <xdr:rowOff>302559</xdr:rowOff>
    </xdr:from>
    <xdr:to>
      <xdr:col>17</xdr:col>
      <xdr:colOff>558472</xdr:colOff>
      <xdr:row>12</xdr:row>
      <xdr:rowOff>303257</xdr:rowOff>
    </xdr:to>
    <xdr:cxnSp macro="">
      <xdr:nvCxnSpPr>
        <xdr:cNvPr id="46" name="Straight Connector 19">
          <a:extLst>
            <a:ext uri="{FF2B5EF4-FFF2-40B4-BE49-F238E27FC236}">
              <a16:creationId xmlns:a16="http://schemas.microsoft.com/office/drawing/2014/main" id="{00000000-0008-0000-0300-00002E000000}"/>
            </a:ext>
          </a:extLst>
        </xdr:cNvPr>
        <xdr:cNvCxnSpPr/>
      </xdr:nvCxnSpPr>
      <xdr:spPr>
        <a:xfrm flipV="1">
          <a:off x="12058015" y="7388860"/>
          <a:ext cx="1016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528360</xdr:colOff>
      <xdr:row>13</xdr:row>
      <xdr:rowOff>327234</xdr:rowOff>
    </xdr:from>
    <xdr:to>
      <xdr:col>17</xdr:col>
      <xdr:colOff>601244</xdr:colOff>
      <xdr:row>13</xdr:row>
      <xdr:rowOff>327932</xdr:rowOff>
    </xdr:to>
    <xdr:cxnSp macro="">
      <xdr:nvCxnSpPr>
        <xdr:cNvPr id="47" name="Straight Connector 19">
          <a:extLst>
            <a:ext uri="{FF2B5EF4-FFF2-40B4-BE49-F238E27FC236}">
              <a16:creationId xmlns:a16="http://schemas.microsoft.com/office/drawing/2014/main" id="{00000000-0008-0000-0300-00002F000000}"/>
            </a:ext>
          </a:extLst>
        </xdr:cNvPr>
        <xdr:cNvCxnSpPr/>
      </xdr:nvCxnSpPr>
      <xdr:spPr>
        <a:xfrm flipV="1">
          <a:off x="12068175" y="7997825"/>
          <a:ext cx="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562240</xdr:colOff>
      <xdr:row>17</xdr:row>
      <xdr:rowOff>304271</xdr:rowOff>
    </xdr:from>
    <xdr:to>
      <xdr:col>18</xdr:col>
      <xdr:colOff>89297</xdr:colOff>
      <xdr:row>17</xdr:row>
      <xdr:rowOff>308276</xdr:rowOff>
    </xdr:to>
    <xdr:cxnSp macro="">
      <xdr:nvCxnSpPr>
        <xdr:cNvPr id="48" name="Straight Connector 19">
          <a:extLst>
            <a:ext uri="{FF2B5EF4-FFF2-40B4-BE49-F238E27FC236}">
              <a16:creationId xmlns:a16="http://schemas.microsoft.com/office/drawing/2014/main" id="{00000000-0008-0000-0300-000030000000}"/>
            </a:ext>
          </a:extLst>
        </xdr:cNvPr>
        <xdr:cNvCxnSpPr/>
      </xdr:nvCxnSpPr>
      <xdr:spPr>
        <a:xfrm flipV="1">
          <a:off x="12068175" y="9867265"/>
          <a:ext cx="8890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83937</xdr:colOff>
      <xdr:row>18</xdr:row>
      <xdr:rowOff>266408</xdr:rowOff>
    </xdr:from>
    <xdr:to>
      <xdr:col>18</xdr:col>
      <xdr:colOff>156821</xdr:colOff>
      <xdr:row>18</xdr:row>
      <xdr:rowOff>267106</xdr:rowOff>
    </xdr:to>
    <xdr:cxnSp macro="">
      <xdr:nvCxnSpPr>
        <xdr:cNvPr id="49" name="Straight Connector 19">
          <a:extLst>
            <a:ext uri="{FF2B5EF4-FFF2-40B4-BE49-F238E27FC236}">
              <a16:creationId xmlns:a16="http://schemas.microsoft.com/office/drawing/2014/main" id="{00000000-0008-0000-0300-000031000000}"/>
            </a:ext>
          </a:extLst>
        </xdr:cNvPr>
        <xdr:cNvCxnSpPr/>
      </xdr:nvCxnSpPr>
      <xdr:spPr>
        <a:xfrm flipV="1">
          <a:off x="12151995" y="10426065"/>
          <a:ext cx="7239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69387</xdr:colOff>
      <xdr:row>22</xdr:row>
      <xdr:rowOff>296473</xdr:rowOff>
    </xdr:from>
    <xdr:to>
      <xdr:col>18</xdr:col>
      <xdr:colOff>180828</xdr:colOff>
      <xdr:row>22</xdr:row>
      <xdr:rowOff>296586</xdr:rowOff>
    </xdr:to>
    <xdr:cxnSp macro="">
      <xdr:nvCxnSpPr>
        <xdr:cNvPr id="50" name="Straight Connector 19">
          <a:extLst>
            <a:ext uri="{FF2B5EF4-FFF2-40B4-BE49-F238E27FC236}">
              <a16:creationId xmlns:a16="http://schemas.microsoft.com/office/drawing/2014/main" id="{00000000-0008-0000-0300-000032000000}"/>
            </a:ext>
          </a:extLst>
        </xdr:cNvPr>
        <xdr:cNvCxnSpPr/>
      </xdr:nvCxnSpPr>
      <xdr:spPr>
        <a:xfrm flipV="1">
          <a:off x="12137390" y="12170410"/>
          <a:ext cx="1111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170597</xdr:colOff>
      <xdr:row>23</xdr:row>
      <xdr:rowOff>250592</xdr:rowOff>
    </xdr:from>
    <xdr:to>
      <xdr:col>18</xdr:col>
      <xdr:colOff>223351</xdr:colOff>
      <xdr:row>23</xdr:row>
      <xdr:rowOff>251156</xdr:rowOff>
    </xdr:to>
    <xdr:cxnSp macro="">
      <xdr:nvCxnSpPr>
        <xdr:cNvPr id="51" name="Straight Connector 19">
          <a:extLst>
            <a:ext uri="{FF2B5EF4-FFF2-40B4-BE49-F238E27FC236}">
              <a16:creationId xmlns:a16="http://schemas.microsoft.com/office/drawing/2014/main" id="{00000000-0008-0000-0300-000033000000}"/>
            </a:ext>
          </a:extLst>
        </xdr:cNvPr>
        <xdr:cNvCxnSpPr/>
      </xdr:nvCxnSpPr>
      <xdr:spPr>
        <a:xfrm flipV="1">
          <a:off x="12238355" y="12619990"/>
          <a:ext cx="527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166013</xdr:colOff>
      <xdr:row>27</xdr:row>
      <xdr:rowOff>294673</xdr:rowOff>
    </xdr:from>
    <xdr:to>
      <xdr:col>18</xdr:col>
      <xdr:colOff>277454</xdr:colOff>
      <xdr:row>27</xdr:row>
      <xdr:rowOff>294786</xdr:rowOff>
    </xdr:to>
    <xdr:cxnSp macro="">
      <xdr:nvCxnSpPr>
        <xdr:cNvPr id="52" name="Straight Connector 19">
          <a:extLst>
            <a:ext uri="{FF2B5EF4-FFF2-40B4-BE49-F238E27FC236}">
              <a16:creationId xmlns:a16="http://schemas.microsoft.com/office/drawing/2014/main" id="{00000000-0008-0000-0300-000034000000}"/>
            </a:ext>
          </a:extLst>
        </xdr:cNvPr>
        <xdr:cNvCxnSpPr/>
      </xdr:nvCxnSpPr>
      <xdr:spPr>
        <a:xfrm flipV="1">
          <a:off x="12233910" y="14442440"/>
          <a:ext cx="1111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202204</xdr:colOff>
      <xdr:row>28</xdr:row>
      <xdr:rowOff>272759</xdr:rowOff>
    </xdr:from>
    <xdr:to>
      <xdr:col>18</xdr:col>
      <xdr:colOff>313645</xdr:colOff>
      <xdr:row>28</xdr:row>
      <xdr:rowOff>272872</xdr:rowOff>
    </xdr:to>
    <xdr:cxnSp macro="">
      <xdr:nvCxnSpPr>
        <xdr:cNvPr id="53" name="Straight Connector 19">
          <a:extLst>
            <a:ext uri="{FF2B5EF4-FFF2-40B4-BE49-F238E27FC236}">
              <a16:creationId xmlns:a16="http://schemas.microsoft.com/office/drawing/2014/main" id="{00000000-0008-0000-0300-000035000000}"/>
            </a:ext>
          </a:extLst>
        </xdr:cNvPr>
        <xdr:cNvCxnSpPr/>
      </xdr:nvCxnSpPr>
      <xdr:spPr>
        <a:xfrm flipV="1">
          <a:off x="12270105" y="15004415"/>
          <a:ext cx="1111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475590</xdr:colOff>
      <xdr:row>31</xdr:row>
      <xdr:rowOff>245174</xdr:rowOff>
    </xdr:from>
    <xdr:to>
      <xdr:col>17</xdr:col>
      <xdr:colOff>563899</xdr:colOff>
      <xdr:row>31</xdr:row>
      <xdr:rowOff>246681</xdr:rowOff>
    </xdr:to>
    <xdr:cxnSp macro="">
      <xdr:nvCxnSpPr>
        <xdr:cNvPr id="54" name="Straight Connector 19">
          <a:extLst>
            <a:ext uri="{FF2B5EF4-FFF2-40B4-BE49-F238E27FC236}">
              <a16:creationId xmlns:a16="http://schemas.microsoft.com/office/drawing/2014/main" id="{00000000-0008-0000-0300-000036000000}"/>
            </a:ext>
          </a:extLst>
        </xdr:cNvPr>
        <xdr:cNvCxnSpPr/>
      </xdr:nvCxnSpPr>
      <xdr:spPr>
        <a:xfrm flipV="1">
          <a:off x="12047855" y="16221710"/>
          <a:ext cx="2032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192171</xdr:colOff>
      <xdr:row>32</xdr:row>
      <xdr:rowOff>261205</xdr:rowOff>
    </xdr:from>
    <xdr:to>
      <xdr:col>18</xdr:col>
      <xdr:colOff>359136</xdr:colOff>
      <xdr:row>32</xdr:row>
      <xdr:rowOff>261799</xdr:rowOff>
    </xdr:to>
    <xdr:cxnSp macro="">
      <xdr:nvCxnSpPr>
        <xdr:cNvPr id="55" name="Straight Connector 19">
          <a:extLst>
            <a:ext uri="{FF2B5EF4-FFF2-40B4-BE49-F238E27FC236}">
              <a16:creationId xmlns:a16="http://schemas.microsoft.com/office/drawing/2014/main" id="{00000000-0008-0000-0300-000037000000}"/>
            </a:ext>
          </a:extLst>
        </xdr:cNvPr>
        <xdr:cNvCxnSpPr/>
      </xdr:nvCxnSpPr>
      <xdr:spPr>
        <a:xfrm flipV="1">
          <a:off x="12259945" y="16770985"/>
          <a:ext cx="1670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329557</xdr:colOff>
      <xdr:row>33</xdr:row>
      <xdr:rowOff>265709</xdr:rowOff>
    </xdr:from>
    <xdr:to>
      <xdr:col>18</xdr:col>
      <xdr:colOff>396646</xdr:colOff>
      <xdr:row>33</xdr:row>
      <xdr:rowOff>267263</xdr:rowOff>
    </xdr:to>
    <xdr:cxnSp macro="">
      <xdr:nvCxnSpPr>
        <xdr:cNvPr id="56" name="Straight Connector 19">
          <a:extLst>
            <a:ext uri="{FF2B5EF4-FFF2-40B4-BE49-F238E27FC236}">
              <a16:creationId xmlns:a16="http://schemas.microsoft.com/office/drawing/2014/main" id="{00000000-0008-0000-0300-000038000000}"/>
            </a:ext>
          </a:extLst>
        </xdr:cNvPr>
        <xdr:cNvCxnSpPr/>
      </xdr:nvCxnSpPr>
      <xdr:spPr>
        <a:xfrm flipV="1">
          <a:off x="12397105" y="17308830"/>
          <a:ext cx="6731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486309</xdr:colOff>
      <xdr:row>35</xdr:row>
      <xdr:rowOff>302632</xdr:rowOff>
    </xdr:from>
    <xdr:to>
      <xdr:col>17</xdr:col>
      <xdr:colOff>582520</xdr:colOff>
      <xdr:row>35</xdr:row>
      <xdr:rowOff>304380</xdr:rowOff>
    </xdr:to>
    <xdr:cxnSp macro="">
      <xdr:nvCxnSpPr>
        <xdr:cNvPr id="57" name="Straight Connector 19">
          <a:extLst>
            <a:ext uri="{FF2B5EF4-FFF2-40B4-BE49-F238E27FC236}">
              <a16:creationId xmlns:a16="http://schemas.microsoft.com/office/drawing/2014/main" id="{00000000-0008-0000-0300-000039000000}"/>
            </a:ext>
          </a:extLst>
        </xdr:cNvPr>
        <xdr:cNvCxnSpPr/>
      </xdr:nvCxnSpPr>
      <xdr:spPr>
        <a:xfrm>
          <a:off x="12058650" y="18031460"/>
          <a:ext cx="952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591472</xdr:colOff>
      <xdr:row>36</xdr:row>
      <xdr:rowOff>258609</xdr:rowOff>
    </xdr:from>
    <xdr:to>
      <xdr:col>18</xdr:col>
      <xdr:colOff>128024</xdr:colOff>
      <xdr:row>36</xdr:row>
      <xdr:rowOff>263730</xdr:rowOff>
    </xdr:to>
    <xdr:cxnSp macro="">
      <xdr:nvCxnSpPr>
        <xdr:cNvPr id="58" name="Straight Connector 19">
          <a:extLst>
            <a:ext uri="{FF2B5EF4-FFF2-40B4-BE49-F238E27FC236}">
              <a16:creationId xmlns:a16="http://schemas.microsoft.com/office/drawing/2014/main" id="{00000000-0008-0000-0300-00003A000000}"/>
            </a:ext>
          </a:extLst>
        </xdr:cNvPr>
        <xdr:cNvCxnSpPr/>
      </xdr:nvCxnSpPr>
      <xdr:spPr>
        <a:xfrm>
          <a:off x="12068175" y="18559145"/>
          <a:ext cx="127635" cy="508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231826</xdr:colOff>
      <xdr:row>37</xdr:row>
      <xdr:rowOff>297341</xdr:rowOff>
    </xdr:from>
    <xdr:to>
      <xdr:col>18</xdr:col>
      <xdr:colOff>403378</xdr:colOff>
      <xdr:row>37</xdr:row>
      <xdr:rowOff>302462</xdr:rowOff>
    </xdr:to>
    <xdr:cxnSp macro="">
      <xdr:nvCxnSpPr>
        <xdr:cNvPr id="59" name="Straight Connector 19">
          <a:extLst>
            <a:ext uri="{FF2B5EF4-FFF2-40B4-BE49-F238E27FC236}">
              <a16:creationId xmlns:a16="http://schemas.microsoft.com/office/drawing/2014/main" id="{00000000-0008-0000-0300-00003B000000}"/>
            </a:ext>
          </a:extLst>
        </xdr:cNvPr>
        <xdr:cNvCxnSpPr/>
      </xdr:nvCxnSpPr>
      <xdr:spPr>
        <a:xfrm>
          <a:off x="12299950" y="19169380"/>
          <a:ext cx="171450" cy="508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348884</xdr:colOff>
      <xdr:row>38</xdr:row>
      <xdr:rowOff>255445</xdr:rowOff>
    </xdr:from>
    <xdr:to>
      <xdr:col>18</xdr:col>
      <xdr:colOff>416437</xdr:colOff>
      <xdr:row>38</xdr:row>
      <xdr:rowOff>255445</xdr:rowOff>
    </xdr:to>
    <xdr:cxnSp macro="">
      <xdr:nvCxnSpPr>
        <xdr:cNvPr id="60" name="Straight Connector 19">
          <a:extLst>
            <a:ext uri="{FF2B5EF4-FFF2-40B4-BE49-F238E27FC236}">
              <a16:creationId xmlns:a16="http://schemas.microsoft.com/office/drawing/2014/main" id="{00000000-0008-0000-0300-00003C000000}"/>
            </a:ext>
          </a:extLst>
        </xdr:cNvPr>
        <xdr:cNvCxnSpPr/>
      </xdr:nvCxnSpPr>
      <xdr:spPr>
        <a:xfrm>
          <a:off x="12416790" y="19698970"/>
          <a:ext cx="673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578303</xdr:colOff>
      <xdr:row>40</xdr:row>
      <xdr:rowOff>299215</xdr:rowOff>
    </xdr:from>
    <xdr:to>
      <xdr:col>18</xdr:col>
      <xdr:colOff>172879</xdr:colOff>
      <xdr:row>40</xdr:row>
      <xdr:rowOff>300491</xdr:rowOff>
    </xdr:to>
    <xdr:cxnSp macro="">
      <xdr:nvCxnSpPr>
        <xdr:cNvPr id="61" name="Straight Connector 19">
          <a:extLst>
            <a:ext uri="{FF2B5EF4-FFF2-40B4-BE49-F238E27FC236}">
              <a16:creationId xmlns:a16="http://schemas.microsoft.com/office/drawing/2014/main" id="{00000000-0008-0000-0300-00003D000000}"/>
            </a:ext>
          </a:extLst>
        </xdr:cNvPr>
        <xdr:cNvCxnSpPr/>
      </xdr:nvCxnSpPr>
      <xdr:spPr>
        <a:xfrm flipV="1">
          <a:off x="12068175" y="20504785"/>
          <a:ext cx="17272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145791</xdr:colOff>
      <xdr:row>41</xdr:row>
      <xdr:rowOff>311019</xdr:rowOff>
    </xdr:from>
    <xdr:to>
      <xdr:col>18</xdr:col>
      <xdr:colOff>287702</xdr:colOff>
      <xdr:row>41</xdr:row>
      <xdr:rowOff>314271</xdr:rowOff>
    </xdr:to>
    <xdr:cxnSp macro="">
      <xdr:nvCxnSpPr>
        <xdr:cNvPr id="62" name="Straight Connector 19">
          <a:extLst>
            <a:ext uri="{FF2B5EF4-FFF2-40B4-BE49-F238E27FC236}">
              <a16:creationId xmlns:a16="http://schemas.microsoft.com/office/drawing/2014/main" id="{00000000-0008-0000-0300-00003E000000}"/>
            </a:ext>
          </a:extLst>
        </xdr:cNvPr>
        <xdr:cNvCxnSpPr/>
      </xdr:nvCxnSpPr>
      <xdr:spPr>
        <a:xfrm>
          <a:off x="12213590" y="21075015"/>
          <a:ext cx="14224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481500</xdr:colOff>
      <xdr:row>42</xdr:row>
      <xdr:rowOff>277717</xdr:rowOff>
    </xdr:from>
    <xdr:to>
      <xdr:col>19</xdr:col>
      <xdr:colOff>44302</xdr:colOff>
      <xdr:row>42</xdr:row>
      <xdr:rowOff>280582</xdr:rowOff>
    </xdr:to>
    <xdr:cxnSp macro="">
      <xdr:nvCxnSpPr>
        <xdr:cNvPr id="63" name="Straight Connector 19">
          <a:extLst>
            <a:ext uri="{FF2B5EF4-FFF2-40B4-BE49-F238E27FC236}">
              <a16:creationId xmlns:a16="http://schemas.microsoft.com/office/drawing/2014/main" id="{00000000-0008-0000-0300-00003F000000}"/>
            </a:ext>
          </a:extLst>
        </xdr:cNvPr>
        <xdr:cNvCxnSpPr/>
      </xdr:nvCxnSpPr>
      <xdr:spPr>
        <a:xfrm>
          <a:off x="12549505" y="21600795"/>
          <a:ext cx="12446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57727</xdr:colOff>
      <xdr:row>43</xdr:row>
      <xdr:rowOff>270596</xdr:rowOff>
    </xdr:from>
    <xdr:to>
      <xdr:col>19</xdr:col>
      <xdr:colOff>125280</xdr:colOff>
      <xdr:row>43</xdr:row>
      <xdr:rowOff>270596</xdr:rowOff>
    </xdr:to>
    <xdr:cxnSp macro="">
      <xdr:nvCxnSpPr>
        <xdr:cNvPr id="64" name="Straight Connector 63">
          <a:extLst>
            <a:ext uri="{FF2B5EF4-FFF2-40B4-BE49-F238E27FC236}">
              <a16:creationId xmlns:a16="http://schemas.microsoft.com/office/drawing/2014/main" id="{00000000-0008-0000-0300-000040000000}"/>
            </a:ext>
          </a:extLst>
        </xdr:cNvPr>
        <xdr:cNvCxnSpPr/>
      </xdr:nvCxnSpPr>
      <xdr:spPr>
        <a:xfrm>
          <a:off x="12687300" y="22152610"/>
          <a:ext cx="679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555099</xdr:colOff>
      <xdr:row>46</xdr:row>
      <xdr:rowOff>290166</xdr:rowOff>
    </xdr:from>
    <xdr:to>
      <xdr:col>17</xdr:col>
      <xdr:colOff>359845</xdr:colOff>
      <xdr:row>46</xdr:row>
      <xdr:rowOff>290201</xdr:rowOff>
    </xdr:to>
    <xdr:cxnSp macro="">
      <xdr:nvCxnSpPr>
        <xdr:cNvPr id="65" name="Straight Connector 2">
          <a:extLst>
            <a:ext uri="{FF2B5EF4-FFF2-40B4-BE49-F238E27FC236}">
              <a16:creationId xmlns:a16="http://schemas.microsoft.com/office/drawing/2014/main" id="{00000000-0008-0000-0300-000041000000}"/>
            </a:ext>
          </a:extLst>
        </xdr:cNvPr>
        <xdr:cNvCxnSpPr/>
      </xdr:nvCxnSpPr>
      <xdr:spPr>
        <a:xfrm flipV="1">
          <a:off x="11572875" y="23616920"/>
          <a:ext cx="359410"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206169</xdr:colOff>
      <xdr:row>49</xdr:row>
      <xdr:rowOff>597889</xdr:rowOff>
    </xdr:from>
    <xdr:to>
      <xdr:col>19</xdr:col>
      <xdr:colOff>328343</xdr:colOff>
      <xdr:row>49</xdr:row>
      <xdr:rowOff>597889</xdr:rowOff>
    </xdr:to>
    <xdr:cxnSp macro="">
      <xdr:nvCxnSpPr>
        <xdr:cNvPr id="66" name="Straight Connector 19">
          <a:extLst>
            <a:ext uri="{FF2B5EF4-FFF2-40B4-BE49-F238E27FC236}">
              <a16:creationId xmlns:a16="http://schemas.microsoft.com/office/drawing/2014/main" id="{00000000-0008-0000-0300-000042000000}"/>
            </a:ext>
          </a:extLst>
        </xdr:cNvPr>
        <xdr:cNvCxnSpPr/>
      </xdr:nvCxnSpPr>
      <xdr:spPr>
        <a:xfrm>
          <a:off x="12835890" y="2550731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215022</xdr:colOff>
      <xdr:row>54</xdr:row>
      <xdr:rowOff>213079</xdr:rowOff>
    </xdr:from>
    <xdr:to>
      <xdr:col>19</xdr:col>
      <xdr:colOff>262388</xdr:colOff>
      <xdr:row>54</xdr:row>
      <xdr:rowOff>214766</xdr:rowOff>
    </xdr:to>
    <xdr:cxnSp macro="">
      <xdr:nvCxnSpPr>
        <xdr:cNvPr id="67" name="Straight Connector 19">
          <a:extLst>
            <a:ext uri="{FF2B5EF4-FFF2-40B4-BE49-F238E27FC236}">
              <a16:creationId xmlns:a16="http://schemas.microsoft.com/office/drawing/2014/main" id="{00000000-0008-0000-0300-000043000000}"/>
            </a:ext>
          </a:extLst>
        </xdr:cNvPr>
        <xdr:cNvCxnSpPr/>
      </xdr:nvCxnSpPr>
      <xdr:spPr>
        <a:xfrm>
          <a:off x="12844780" y="25920065"/>
          <a:ext cx="476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624504</xdr:colOff>
      <xdr:row>56</xdr:row>
      <xdr:rowOff>215968</xdr:rowOff>
    </xdr:from>
    <xdr:to>
      <xdr:col>19</xdr:col>
      <xdr:colOff>220579</xdr:colOff>
      <xdr:row>56</xdr:row>
      <xdr:rowOff>220579</xdr:rowOff>
    </xdr:to>
    <xdr:cxnSp macro="">
      <xdr:nvCxnSpPr>
        <xdr:cNvPr id="68" name="Straight Connector 19">
          <a:extLst>
            <a:ext uri="{FF2B5EF4-FFF2-40B4-BE49-F238E27FC236}">
              <a16:creationId xmlns:a16="http://schemas.microsoft.com/office/drawing/2014/main" id="{00000000-0008-0000-0300-000044000000}"/>
            </a:ext>
          </a:extLst>
        </xdr:cNvPr>
        <xdr:cNvCxnSpPr/>
      </xdr:nvCxnSpPr>
      <xdr:spPr>
        <a:xfrm>
          <a:off x="12068175" y="26335990"/>
          <a:ext cx="782320"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60</xdr:row>
      <xdr:rowOff>213321</xdr:rowOff>
    </xdr:from>
    <xdr:to>
      <xdr:col>17</xdr:col>
      <xdr:colOff>357187</xdr:colOff>
      <xdr:row>60</xdr:row>
      <xdr:rowOff>218282</xdr:rowOff>
    </xdr:to>
    <xdr:cxnSp macro="">
      <xdr:nvCxnSpPr>
        <xdr:cNvPr id="70" name="Straight Connector 2">
          <a:extLst>
            <a:ext uri="{FF2B5EF4-FFF2-40B4-BE49-F238E27FC236}">
              <a16:creationId xmlns:a16="http://schemas.microsoft.com/office/drawing/2014/main" id="{00000000-0008-0000-0300-000046000000}"/>
            </a:ext>
          </a:extLst>
        </xdr:cNvPr>
        <xdr:cNvCxnSpPr/>
      </xdr:nvCxnSpPr>
      <xdr:spPr>
        <a:xfrm>
          <a:off x="11572875" y="29305885"/>
          <a:ext cx="35687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102</xdr:row>
      <xdr:rowOff>0</xdr:rowOff>
    </xdr:from>
    <xdr:to>
      <xdr:col>16</xdr:col>
      <xdr:colOff>468820</xdr:colOff>
      <xdr:row>104</xdr:row>
      <xdr:rowOff>0</xdr:rowOff>
    </xdr:to>
    <xdr:sp macro="" textlink="">
      <xdr:nvSpPr>
        <xdr:cNvPr id="74" name="TextBox 13">
          <a:extLst>
            <a:ext uri="{FF2B5EF4-FFF2-40B4-BE49-F238E27FC236}">
              <a16:creationId xmlns:a16="http://schemas.microsoft.com/office/drawing/2014/main" id="{00000000-0008-0000-0300-00004A000000}"/>
            </a:ext>
          </a:extLst>
        </xdr:cNvPr>
        <xdr:cNvSpPr txBox="1"/>
      </xdr:nvSpPr>
      <xdr:spPr>
        <a:xfrm rot="16200000">
          <a:off x="10362565" y="48981360"/>
          <a:ext cx="20955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15</xdr:col>
      <xdr:colOff>10886</xdr:colOff>
      <xdr:row>102</xdr:row>
      <xdr:rowOff>218498</xdr:rowOff>
    </xdr:from>
    <xdr:to>
      <xdr:col>16</xdr:col>
      <xdr:colOff>484371</xdr:colOff>
      <xdr:row>102</xdr:row>
      <xdr:rowOff>218498</xdr:rowOff>
    </xdr:to>
    <xdr:cxnSp macro="">
      <xdr:nvCxnSpPr>
        <xdr:cNvPr id="75" name="Straight Connector 2">
          <a:extLst>
            <a:ext uri="{FF2B5EF4-FFF2-40B4-BE49-F238E27FC236}">
              <a16:creationId xmlns:a16="http://schemas.microsoft.com/office/drawing/2014/main" id="{00000000-0008-0000-0300-00004B000000}"/>
            </a:ext>
          </a:extLst>
        </xdr:cNvPr>
        <xdr:cNvCxnSpPr/>
      </xdr:nvCxnSpPr>
      <xdr:spPr>
        <a:xfrm>
          <a:off x="10459720" y="48249840"/>
          <a:ext cx="10636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102</xdr:row>
      <xdr:rowOff>221006</xdr:rowOff>
    </xdr:from>
    <xdr:to>
      <xdr:col>17</xdr:col>
      <xdr:colOff>287962</xdr:colOff>
      <xdr:row>102</xdr:row>
      <xdr:rowOff>221006</xdr:rowOff>
    </xdr:to>
    <xdr:cxnSp macro="">
      <xdr:nvCxnSpPr>
        <xdr:cNvPr id="76" name="Straight Connector 19">
          <a:extLst>
            <a:ext uri="{FF2B5EF4-FFF2-40B4-BE49-F238E27FC236}">
              <a16:creationId xmlns:a16="http://schemas.microsoft.com/office/drawing/2014/main" id="{00000000-0008-0000-0300-00004C000000}"/>
            </a:ext>
          </a:extLst>
        </xdr:cNvPr>
        <xdr:cNvCxnSpPr/>
      </xdr:nvCxnSpPr>
      <xdr:spPr>
        <a:xfrm>
          <a:off x="11527155" y="48252380"/>
          <a:ext cx="333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273050</xdr:colOff>
      <xdr:row>102</xdr:row>
      <xdr:rowOff>16510</xdr:rowOff>
    </xdr:from>
    <xdr:to>
      <xdr:col>16</xdr:col>
      <xdr:colOff>467995</xdr:colOff>
      <xdr:row>105</xdr:row>
      <xdr:rowOff>6985</xdr:rowOff>
    </xdr:to>
    <xdr:sp macro="" textlink="">
      <xdr:nvSpPr>
        <xdr:cNvPr id="77" name="TextBox 13">
          <a:extLst>
            <a:ext uri="{FF2B5EF4-FFF2-40B4-BE49-F238E27FC236}">
              <a16:creationId xmlns:a16="http://schemas.microsoft.com/office/drawing/2014/main" id="{00000000-0008-0000-0300-00004D000000}"/>
            </a:ext>
          </a:extLst>
        </xdr:cNvPr>
        <xdr:cNvSpPr txBox="1"/>
      </xdr:nvSpPr>
      <xdr:spPr>
        <a:xfrm rot="16200000">
          <a:off x="10176510" y="49183925"/>
          <a:ext cx="246697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569010</xdr:colOff>
      <xdr:row>56</xdr:row>
      <xdr:rowOff>301739</xdr:rowOff>
    </xdr:from>
    <xdr:to>
      <xdr:col>18</xdr:col>
      <xdr:colOff>408713</xdr:colOff>
      <xdr:row>56</xdr:row>
      <xdr:rowOff>301739</xdr:rowOff>
    </xdr:to>
    <xdr:cxnSp macro="">
      <xdr:nvCxnSpPr>
        <xdr:cNvPr id="2" name="Straight Connector 2">
          <a:extLst>
            <a:ext uri="{FF2B5EF4-FFF2-40B4-BE49-F238E27FC236}">
              <a16:creationId xmlns:a16="http://schemas.microsoft.com/office/drawing/2014/main" id="{00000000-0008-0000-0200-000002000000}"/>
            </a:ext>
          </a:extLst>
        </xdr:cNvPr>
        <xdr:cNvCxnSpPr/>
      </xdr:nvCxnSpPr>
      <xdr:spPr>
        <a:xfrm>
          <a:off x="14084935" y="28517215"/>
          <a:ext cx="5346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3122</xdr:colOff>
      <xdr:row>1</xdr:row>
      <xdr:rowOff>15240</xdr:rowOff>
    </xdr:from>
    <xdr:to>
      <xdr:col>21</xdr:col>
      <xdr:colOff>3122</xdr:colOff>
      <xdr:row>112</xdr:row>
      <xdr:rowOff>361950</xdr:rowOff>
    </xdr:to>
    <xdr:cxnSp macro="">
      <xdr:nvCxnSpPr>
        <xdr:cNvPr id="3" name="Straight Connector 27">
          <a:extLst>
            <a:ext uri="{FF2B5EF4-FFF2-40B4-BE49-F238E27FC236}">
              <a16:creationId xmlns:a16="http://schemas.microsoft.com/office/drawing/2014/main" id="{00000000-0008-0000-0200-000003000000}"/>
            </a:ext>
          </a:extLst>
        </xdr:cNvPr>
        <xdr:cNvCxnSpPr/>
      </xdr:nvCxnSpPr>
      <xdr:spPr>
        <a:xfrm>
          <a:off x="16299815" y="84455"/>
          <a:ext cx="0" cy="516534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604345</xdr:colOff>
      <xdr:row>57</xdr:row>
      <xdr:rowOff>221673</xdr:rowOff>
    </xdr:from>
    <xdr:to>
      <xdr:col>18</xdr:col>
      <xdr:colOff>487546</xdr:colOff>
      <xdr:row>57</xdr:row>
      <xdr:rowOff>221673</xdr:rowOff>
    </xdr:to>
    <xdr:cxnSp macro="">
      <xdr:nvCxnSpPr>
        <xdr:cNvPr id="4" name="Straight Connector 2">
          <a:extLst>
            <a:ext uri="{FF2B5EF4-FFF2-40B4-BE49-F238E27FC236}">
              <a16:creationId xmlns:a16="http://schemas.microsoft.com/office/drawing/2014/main" id="{00000000-0008-0000-0200-000004000000}"/>
            </a:ext>
          </a:extLst>
        </xdr:cNvPr>
        <xdr:cNvCxnSpPr/>
      </xdr:nvCxnSpPr>
      <xdr:spPr>
        <a:xfrm>
          <a:off x="14119860" y="28989655"/>
          <a:ext cx="5784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484524</xdr:colOff>
      <xdr:row>57</xdr:row>
      <xdr:rowOff>217831</xdr:rowOff>
    </xdr:from>
    <xdr:to>
      <xdr:col>20</xdr:col>
      <xdr:colOff>59120</xdr:colOff>
      <xdr:row>57</xdr:row>
      <xdr:rowOff>217831</xdr:rowOff>
    </xdr:to>
    <xdr:cxnSp macro="">
      <xdr:nvCxnSpPr>
        <xdr:cNvPr id="5" name="Straight Connector 19">
          <a:extLst>
            <a:ext uri="{FF2B5EF4-FFF2-40B4-BE49-F238E27FC236}">
              <a16:creationId xmlns:a16="http://schemas.microsoft.com/office/drawing/2014/main" id="{00000000-0008-0000-0200-000005000000}"/>
            </a:ext>
          </a:extLst>
        </xdr:cNvPr>
        <xdr:cNvCxnSpPr/>
      </xdr:nvCxnSpPr>
      <xdr:spPr>
        <a:xfrm>
          <a:off x="14695805" y="28985845"/>
          <a:ext cx="9652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532087</xdr:colOff>
      <xdr:row>2</xdr:row>
      <xdr:rowOff>282841</xdr:rowOff>
    </xdr:from>
    <xdr:to>
      <xdr:col>16</xdr:col>
      <xdr:colOff>505811</xdr:colOff>
      <xdr:row>2</xdr:row>
      <xdr:rowOff>282841</xdr:rowOff>
    </xdr:to>
    <xdr:cxnSp macro="">
      <xdr:nvCxnSpPr>
        <xdr:cNvPr id="6" name="Straight Connector 1">
          <a:extLst>
            <a:ext uri="{FF2B5EF4-FFF2-40B4-BE49-F238E27FC236}">
              <a16:creationId xmlns:a16="http://schemas.microsoft.com/office/drawing/2014/main" id="{00000000-0008-0000-0200-000006000000}"/>
            </a:ext>
          </a:extLst>
        </xdr:cNvPr>
        <xdr:cNvCxnSpPr/>
      </xdr:nvCxnSpPr>
      <xdr:spPr>
        <a:xfrm>
          <a:off x="12656820" y="656590"/>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594193</xdr:colOff>
      <xdr:row>55</xdr:row>
      <xdr:rowOff>303425</xdr:rowOff>
    </xdr:from>
    <xdr:to>
      <xdr:col>18</xdr:col>
      <xdr:colOff>424931</xdr:colOff>
      <xdr:row>55</xdr:row>
      <xdr:rowOff>303425</xdr:rowOff>
    </xdr:to>
    <xdr:cxnSp macro="">
      <xdr:nvCxnSpPr>
        <xdr:cNvPr id="7" name="Straight Connector 2">
          <a:extLst>
            <a:ext uri="{FF2B5EF4-FFF2-40B4-BE49-F238E27FC236}">
              <a16:creationId xmlns:a16="http://schemas.microsoft.com/office/drawing/2014/main" id="{00000000-0008-0000-0200-000007000000}"/>
            </a:ext>
          </a:extLst>
        </xdr:cNvPr>
        <xdr:cNvCxnSpPr/>
      </xdr:nvCxnSpPr>
      <xdr:spPr>
        <a:xfrm>
          <a:off x="14109700" y="27946985"/>
          <a:ext cx="526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1</xdr:row>
      <xdr:rowOff>15421</xdr:rowOff>
    </xdr:from>
    <xdr:to>
      <xdr:col>16</xdr:col>
      <xdr:colOff>0</xdr:colOff>
      <xdr:row>112</xdr:row>
      <xdr:rowOff>323850</xdr:rowOff>
    </xdr:to>
    <xdr:cxnSp macro="">
      <xdr:nvCxnSpPr>
        <xdr:cNvPr id="9" name="Straight Connector 6">
          <a:extLst>
            <a:ext uri="{FF2B5EF4-FFF2-40B4-BE49-F238E27FC236}">
              <a16:creationId xmlns:a16="http://schemas.microsoft.com/office/drawing/2014/main" id="{00000000-0008-0000-0200-000009000000}"/>
            </a:ext>
          </a:extLst>
        </xdr:cNvPr>
        <xdr:cNvCxnSpPr/>
      </xdr:nvCxnSpPr>
      <xdr:spPr>
        <a:xfrm>
          <a:off x="12820650" y="84455"/>
          <a:ext cx="0" cy="516153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3842</xdr:colOff>
      <xdr:row>1</xdr:row>
      <xdr:rowOff>19050</xdr:rowOff>
    </xdr:from>
    <xdr:to>
      <xdr:col>18</xdr:col>
      <xdr:colOff>3842</xdr:colOff>
      <xdr:row>112</xdr:row>
      <xdr:rowOff>361950</xdr:rowOff>
    </xdr:to>
    <xdr:cxnSp macro="">
      <xdr:nvCxnSpPr>
        <xdr:cNvPr id="10" name="Straight Connector 8">
          <a:extLst>
            <a:ext uri="{FF2B5EF4-FFF2-40B4-BE49-F238E27FC236}">
              <a16:creationId xmlns:a16="http://schemas.microsoft.com/office/drawing/2014/main" id="{00000000-0008-0000-0200-00000A000000}"/>
            </a:ext>
          </a:extLst>
        </xdr:cNvPr>
        <xdr:cNvCxnSpPr/>
      </xdr:nvCxnSpPr>
      <xdr:spPr>
        <a:xfrm>
          <a:off x="14215110"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112</xdr:row>
      <xdr:rowOff>352425</xdr:rowOff>
    </xdr:to>
    <xdr:cxnSp macro="">
      <xdr:nvCxnSpPr>
        <xdr:cNvPr id="11" name="Straight Connector 7">
          <a:extLst>
            <a:ext uri="{FF2B5EF4-FFF2-40B4-BE49-F238E27FC236}">
              <a16:creationId xmlns:a16="http://schemas.microsoft.com/office/drawing/2014/main" id="{00000000-0008-0000-0200-00000B000000}"/>
            </a:ext>
          </a:extLst>
        </xdr:cNvPr>
        <xdr:cNvCxnSpPr/>
      </xdr:nvCxnSpPr>
      <xdr:spPr>
        <a:xfrm>
          <a:off x="13426440" y="84455"/>
          <a:ext cx="0" cy="516439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112</xdr:row>
      <xdr:rowOff>361950</xdr:rowOff>
    </xdr:to>
    <xdr:cxnSp macro="">
      <xdr:nvCxnSpPr>
        <xdr:cNvPr id="12" name="Straight Connector 9">
          <a:extLst>
            <a:ext uri="{FF2B5EF4-FFF2-40B4-BE49-F238E27FC236}">
              <a16:creationId xmlns:a16="http://schemas.microsoft.com/office/drawing/2014/main" id="{00000000-0008-0000-0200-00000C000000}"/>
            </a:ext>
          </a:extLst>
        </xdr:cNvPr>
        <xdr:cNvCxnSpPr/>
      </xdr:nvCxnSpPr>
      <xdr:spPr>
        <a:xfrm>
          <a:off x="14906625"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112</xdr:row>
      <xdr:rowOff>361950</xdr:rowOff>
    </xdr:to>
    <xdr:cxnSp macro="">
      <xdr:nvCxnSpPr>
        <xdr:cNvPr id="13" name="Straight Connector 10">
          <a:extLst>
            <a:ext uri="{FF2B5EF4-FFF2-40B4-BE49-F238E27FC236}">
              <a16:creationId xmlns:a16="http://schemas.microsoft.com/office/drawing/2014/main" id="{00000000-0008-0000-0200-00000D000000}"/>
            </a:ext>
          </a:extLst>
        </xdr:cNvPr>
        <xdr:cNvCxnSpPr/>
      </xdr:nvCxnSpPr>
      <xdr:spPr>
        <a:xfrm>
          <a:off x="15601950"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479102</xdr:colOff>
      <xdr:row>1</xdr:row>
      <xdr:rowOff>0</xdr:rowOff>
    </xdr:from>
    <xdr:to>
      <xdr:col>18</xdr:col>
      <xdr:colOff>479102</xdr:colOff>
      <xdr:row>113</xdr:row>
      <xdr:rowOff>19050</xdr:rowOff>
    </xdr:to>
    <xdr:cxnSp macro="">
      <xdr:nvCxnSpPr>
        <xdr:cNvPr id="14" name="Straight Connector 10">
          <a:extLst>
            <a:ext uri="{FF2B5EF4-FFF2-40B4-BE49-F238E27FC236}">
              <a16:creationId xmlns:a16="http://schemas.microsoft.com/office/drawing/2014/main" id="{00000000-0008-0000-0200-00000E000000}"/>
            </a:ext>
          </a:extLst>
        </xdr:cNvPr>
        <xdr:cNvCxnSpPr/>
      </xdr:nvCxnSpPr>
      <xdr:spPr>
        <a:xfrm>
          <a:off x="14690090" y="69215"/>
          <a:ext cx="0" cy="51716305"/>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64</xdr:row>
      <xdr:rowOff>16565</xdr:rowOff>
    </xdr:from>
    <xdr:to>
      <xdr:col>18</xdr:col>
      <xdr:colOff>468820</xdr:colOff>
      <xdr:row>106</xdr:row>
      <xdr:rowOff>0</xdr:rowOff>
    </xdr:to>
    <xdr:sp macro="" textlink="">
      <xdr:nvSpPr>
        <xdr:cNvPr id="15" name="TextBox 13">
          <a:extLst>
            <a:ext uri="{FF2B5EF4-FFF2-40B4-BE49-F238E27FC236}">
              <a16:creationId xmlns:a16="http://schemas.microsoft.com/office/drawing/2014/main" id="{00000000-0008-0000-0200-00000F000000}"/>
            </a:ext>
          </a:extLst>
        </xdr:cNvPr>
        <xdr:cNvSpPr txBox="1"/>
      </xdr:nvSpPr>
      <xdr:spPr>
        <a:xfrm rot="16200000">
          <a:off x="5466715" y="39852600"/>
          <a:ext cx="182308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16</xdr:col>
      <xdr:colOff>259936</xdr:colOff>
      <xdr:row>4</xdr:row>
      <xdr:rowOff>295382</xdr:rowOff>
    </xdr:from>
    <xdr:to>
      <xdr:col>17</xdr:col>
      <xdr:colOff>57280</xdr:colOff>
      <xdr:row>4</xdr:row>
      <xdr:rowOff>295382</xdr:rowOff>
    </xdr:to>
    <xdr:cxnSp macro="">
      <xdr:nvCxnSpPr>
        <xdr:cNvPr id="16" name="Straight Connector 15">
          <a:extLst>
            <a:ext uri="{FF2B5EF4-FFF2-40B4-BE49-F238E27FC236}">
              <a16:creationId xmlns:a16="http://schemas.microsoft.com/office/drawing/2014/main" id="{00000000-0008-0000-0200-000010000000}"/>
            </a:ext>
          </a:extLst>
        </xdr:cNvPr>
        <xdr:cNvCxnSpPr/>
      </xdr:nvCxnSpPr>
      <xdr:spPr>
        <a:xfrm>
          <a:off x="13080365" y="1297940"/>
          <a:ext cx="4927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306456</xdr:colOff>
      <xdr:row>5</xdr:row>
      <xdr:rowOff>286465</xdr:rowOff>
    </xdr:from>
    <xdr:to>
      <xdr:col>17</xdr:col>
      <xdr:colOff>560042</xdr:colOff>
      <xdr:row>5</xdr:row>
      <xdr:rowOff>286465</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13822045" y="1965960"/>
          <a:ext cx="2533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410955</xdr:colOff>
      <xdr:row>10</xdr:row>
      <xdr:rowOff>295682</xdr:rowOff>
    </xdr:from>
    <xdr:to>
      <xdr:col>17</xdr:col>
      <xdr:colOff>157369</xdr:colOff>
      <xdr:row>10</xdr:row>
      <xdr:rowOff>295682</xdr:rowOff>
    </xdr:to>
    <xdr:cxnSp macro="">
      <xdr:nvCxnSpPr>
        <xdr:cNvPr id="18" name="Straight Connector 17">
          <a:extLst>
            <a:ext uri="{FF2B5EF4-FFF2-40B4-BE49-F238E27FC236}">
              <a16:creationId xmlns:a16="http://schemas.microsoft.com/office/drawing/2014/main" id="{00000000-0008-0000-0200-000012000000}"/>
            </a:ext>
          </a:extLst>
        </xdr:cNvPr>
        <xdr:cNvCxnSpPr/>
      </xdr:nvCxnSpPr>
      <xdr:spPr>
        <a:xfrm>
          <a:off x="13231495" y="5059045"/>
          <a:ext cx="4413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86519</xdr:colOff>
      <xdr:row>15</xdr:row>
      <xdr:rowOff>305360</xdr:rowOff>
    </xdr:from>
    <xdr:to>
      <xdr:col>17</xdr:col>
      <xdr:colOff>455543</xdr:colOff>
      <xdr:row>15</xdr:row>
      <xdr:rowOff>305360</xdr:rowOff>
    </xdr:to>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13602335" y="9203690"/>
          <a:ext cx="36893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467002</xdr:colOff>
      <xdr:row>20</xdr:row>
      <xdr:rowOff>285221</xdr:rowOff>
    </xdr:from>
    <xdr:to>
      <xdr:col>18</xdr:col>
      <xdr:colOff>115957</xdr:colOff>
      <xdr:row>20</xdr:row>
      <xdr:rowOff>285221</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a:off x="13982700" y="11527155"/>
          <a:ext cx="3441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74543</xdr:colOff>
      <xdr:row>25</xdr:row>
      <xdr:rowOff>286854</xdr:rowOff>
    </xdr:from>
    <xdr:to>
      <xdr:col>18</xdr:col>
      <xdr:colOff>265043</xdr:colOff>
      <xdr:row>25</xdr:row>
      <xdr:rowOff>286854</xdr:rowOff>
    </xdr:to>
    <xdr:cxnSp macro="">
      <xdr:nvCxnSpPr>
        <xdr:cNvPr id="21" name="Straight Connector 20">
          <a:extLst>
            <a:ext uri="{FF2B5EF4-FFF2-40B4-BE49-F238E27FC236}">
              <a16:creationId xmlns:a16="http://schemas.microsoft.com/office/drawing/2014/main" id="{00000000-0008-0000-0200-000015000000}"/>
            </a:ext>
          </a:extLst>
        </xdr:cNvPr>
        <xdr:cNvCxnSpPr/>
      </xdr:nvCxnSpPr>
      <xdr:spPr>
        <a:xfrm>
          <a:off x="14285595" y="13871575"/>
          <a:ext cx="1905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173934</xdr:colOff>
      <xdr:row>30</xdr:row>
      <xdr:rowOff>284677</xdr:rowOff>
    </xdr:from>
    <xdr:to>
      <xdr:col>18</xdr:col>
      <xdr:colOff>323021</xdr:colOff>
      <xdr:row>30</xdr:row>
      <xdr:rowOff>284677</xdr:rowOff>
    </xdr:to>
    <xdr:cxnSp macro="">
      <xdr:nvCxnSpPr>
        <xdr:cNvPr id="22" name="Straight Connector 21">
          <a:extLst>
            <a:ext uri="{FF2B5EF4-FFF2-40B4-BE49-F238E27FC236}">
              <a16:creationId xmlns:a16="http://schemas.microsoft.com/office/drawing/2014/main" id="{00000000-0008-0000-0200-000016000000}"/>
            </a:ext>
          </a:extLst>
        </xdr:cNvPr>
        <xdr:cNvCxnSpPr/>
      </xdr:nvCxnSpPr>
      <xdr:spPr>
        <a:xfrm>
          <a:off x="14384655" y="16212820"/>
          <a:ext cx="1492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272229</xdr:colOff>
      <xdr:row>35</xdr:row>
      <xdr:rowOff>306113</xdr:rowOff>
    </xdr:from>
    <xdr:to>
      <xdr:col>18</xdr:col>
      <xdr:colOff>471471</xdr:colOff>
      <xdr:row>35</xdr:row>
      <xdr:rowOff>306113</xdr:rowOff>
    </xdr:to>
    <xdr:cxnSp macro="">
      <xdr:nvCxnSpPr>
        <xdr:cNvPr id="23" name="Straight Connector 22">
          <a:extLst>
            <a:ext uri="{FF2B5EF4-FFF2-40B4-BE49-F238E27FC236}">
              <a16:creationId xmlns:a16="http://schemas.microsoft.com/office/drawing/2014/main" id="{00000000-0008-0000-0200-000017000000}"/>
            </a:ext>
          </a:extLst>
        </xdr:cNvPr>
        <xdr:cNvCxnSpPr/>
      </xdr:nvCxnSpPr>
      <xdr:spPr>
        <a:xfrm>
          <a:off x="14483080" y="18577560"/>
          <a:ext cx="1993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556477</xdr:colOff>
      <xdr:row>40</xdr:row>
      <xdr:rowOff>299250</xdr:rowOff>
    </xdr:from>
    <xdr:to>
      <xdr:col>19</xdr:col>
      <xdr:colOff>79804</xdr:colOff>
      <xdr:row>40</xdr:row>
      <xdr:rowOff>299250</xdr:rowOff>
    </xdr:to>
    <xdr:cxnSp macro="">
      <xdr:nvCxnSpPr>
        <xdr:cNvPr id="24" name="Straight Connector 23">
          <a:extLst>
            <a:ext uri="{FF2B5EF4-FFF2-40B4-BE49-F238E27FC236}">
              <a16:creationId xmlns:a16="http://schemas.microsoft.com/office/drawing/2014/main" id="{00000000-0008-0000-0200-000018000000}"/>
            </a:ext>
          </a:extLst>
        </xdr:cNvPr>
        <xdr:cNvCxnSpPr/>
      </xdr:nvCxnSpPr>
      <xdr:spPr>
        <a:xfrm>
          <a:off x="14767560" y="20913725"/>
          <a:ext cx="2184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712</xdr:colOff>
      <xdr:row>66</xdr:row>
      <xdr:rowOff>211291</xdr:rowOff>
    </xdr:from>
    <xdr:to>
      <xdr:col>20</xdr:col>
      <xdr:colOff>137948</xdr:colOff>
      <xdr:row>66</xdr:row>
      <xdr:rowOff>211291</xdr:rowOff>
    </xdr:to>
    <xdr:cxnSp macro="">
      <xdr:nvCxnSpPr>
        <xdr:cNvPr id="25" name="Straight Connector 2">
          <a:extLst>
            <a:ext uri="{FF2B5EF4-FFF2-40B4-BE49-F238E27FC236}">
              <a16:creationId xmlns:a16="http://schemas.microsoft.com/office/drawing/2014/main" id="{00000000-0008-0000-0200-000019000000}"/>
            </a:ext>
          </a:extLst>
        </xdr:cNvPr>
        <xdr:cNvCxnSpPr/>
      </xdr:nvCxnSpPr>
      <xdr:spPr>
        <a:xfrm>
          <a:off x="14907260" y="31102935"/>
          <a:ext cx="8324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477887</xdr:colOff>
      <xdr:row>61</xdr:row>
      <xdr:rowOff>201943</xdr:rowOff>
    </xdr:from>
    <xdr:to>
      <xdr:col>19</xdr:col>
      <xdr:colOff>600061</xdr:colOff>
      <xdr:row>61</xdr:row>
      <xdr:rowOff>201943</xdr:rowOff>
    </xdr:to>
    <xdr:cxnSp macro="">
      <xdr:nvCxnSpPr>
        <xdr:cNvPr id="26" name="Straight Connector 19">
          <a:extLst>
            <a:ext uri="{FF2B5EF4-FFF2-40B4-BE49-F238E27FC236}">
              <a16:creationId xmlns:a16="http://schemas.microsoft.com/office/drawing/2014/main" id="{00000000-0008-0000-0200-00001A000000}"/>
            </a:ext>
          </a:extLst>
        </xdr:cNvPr>
        <xdr:cNvCxnSpPr/>
      </xdr:nvCxnSpPr>
      <xdr:spPr>
        <a:xfrm>
          <a:off x="15384145" y="3083496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616814</xdr:colOff>
      <xdr:row>62</xdr:row>
      <xdr:rowOff>191285</xdr:rowOff>
    </xdr:from>
    <xdr:to>
      <xdr:col>20</xdr:col>
      <xdr:colOff>151086</xdr:colOff>
      <xdr:row>62</xdr:row>
      <xdr:rowOff>191285</xdr:rowOff>
    </xdr:to>
    <xdr:cxnSp macro="">
      <xdr:nvCxnSpPr>
        <xdr:cNvPr id="27" name="Straight Connector 19">
          <a:extLst>
            <a:ext uri="{FF2B5EF4-FFF2-40B4-BE49-F238E27FC236}">
              <a16:creationId xmlns:a16="http://schemas.microsoft.com/office/drawing/2014/main" id="{00000000-0008-0000-0200-00001B000000}"/>
            </a:ext>
          </a:extLst>
        </xdr:cNvPr>
        <xdr:cNvCxnSpPr/>
      </xdr:nvCxnSpPr>
      <xdr:spPr>
        <a:xfrm>
          <a:off x="15523210" y="30834965"/>
          <a:ext cx="2292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64</xdr:row>
      <xdr:rowOff>202681</xdr:rowOff>
    </xdr:from>
    <xdr:to>
      <xdr:col>20</xdr:col>
      <xdr:colOff>249620</xdr:colOff>
      <xdr:row>64</xdr:row>
      <xdr:rowOff>202681</xdr:rowOff>
    </xdr:to>
    <xdr:cxnSp macro="">
      <xdr:nvCxnSpPr>
        <xdr:cNvPr id="28" name="Straight Connector 19">
          <a:extLst>
            <a:ext uri="{FF2B5EF4-FFF2-40B4-BE49-F238E27FC236}">
              <a16:creationId xmlns:a16="http://schemas.microsoft.com/office/drawing/2014/main" id="{00000000-0008-0000-0200-00001C000000}"/>
            </a:ext>
          </a:extLst>
        </xdr:cNvPr>
        <xdr:cNvCxnSpPr/>
      </xdr:nvCxnSpPr>
      <xdr:spPr>
        <a:xfrm>
          <a:off x="15812135" y="30834965"/>
          <a:ext cx="393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253015</xdr:colOff>
      <xdr:row>65</xdr:row>
      <xdr:rowOff>202682</xdr:rowOff>
    </xdr:from>
    <xdr:to>
      <xdr:col>20</xdr:col>
      <xdr:colOff>289034</xdr:colOff>
      <xdr:row>65</xdr:row>
      <xdr:rowOff>202682</xdr:rowOff>
    </xdr:to>
    <xdr:cxnSp macro="">
      <xdr:nvCxnSpPr>
        <xdr:cNvPr id="29" name="Straight Connector 19">
          <a:extLst>
            <a:ext uri="{FF2B5EF4-FFF2-40B4-BE49-F238E27FC236}">
              <a16:creationId xmlns:a16="http://schemas.microsoft.com/office/drawing/2014/main" id="{00000000-0008-0000-0200-00001D000000}"/>
            </a:ext>
          </a:extLst>
        </xdr:cNvPr>
        <xdr:cNvCxnSpPr/>
      </xdr:nvCxnSpPr>
      <xdr:spPr>
        <a:xfrm>
          <a:off x="15854680" y="30834965"/>
          <a:ext cx="361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248478</xdr:colOff>
      <xdr:row>7</xdr:row>
      <xdr:rowOff>317425</xdr:rowOff>
    </xdr:from>
    <xdr:to>
      <xdr:col>18</xdr:col>
      <xdr:colOff>323021</xdr:colOff>
      <xdr:row>7</xdr:row>
      <xdr:rowOff>317425</xdr:rowOff>
    </xdr:to>
    <xdr:cxnSp macro="">
      <xdr:nvCxnSpPr>
        <xdr:cNvPr id="30" name="Straight Connector 32">
          <a:extLst>
            <a:ext uri="{FF2B5EF4-FFF2-40B4-BE49-F238E27FC236}">
              <a16:creationId xmlns:a16="http://schemas.microsoft.com/office/drawing/2014/main" id="{00000000-0008-0000-0200-00001E000000}"/>
            </a:ext>
          </a:extLst>
        </xdr:cNvPr>
        <xdr:cNvCxnSpPr/>
      </xdr:nvCxnSpPr>
      <xdr:spPr>
        <a:xfrm>
          <a:off x="14459585" y="3652520"/>
          <a:ext cx="742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554934</xdr:colOff>
      <xdr:row>11</xdr:row>
      <xdr:rowOff>294747</xdr:rowOff>
    </xdr:from>
    <xdr:to>
      <xdr:col>18</xdr:col>
      <xdr:colOff>143979</xdr:colOff>
      <xdr:row>11</xdr:row>
      <xdr:rowOff>294747</xdr:rowOff>
    </xdr:to>
    <xdr:cxnSp macro="">
      <xdr:nvCxnSpPr>
        <xdr:cNvPr id="31" name="Straight Connector 33">
          <a:extLst>
            <a:ext uri="{FF2B5EF4-FFF2-40B4-BE49-F238E27FC236}">
              <a16:creationId xmlns:a16="http://schemas.microsoft.com/office/drawing/2014/main" id="{00000000-0008-0000-0200-00001F000000}"/>
            </a:ext>
          </a:extLst>
        </xdr:cNvPr>
        <xdr:cNvCxnSpPr/>
      </xdr:nvCxnSpPr>
      <xdr:spPr>
        <a:xfrm>
          <a:off x="14070330" y="5629910"/>
          <a:ext cx="2844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129919</xdr:colOff>
      <xdr:row>16</xdr:row>
      <xdr:rowOff>311312</xdr:rowOff>
    </xdr:from>
    <xdr:to>
      <xdr:col>18</xdr:col>
      <xdr:colOff>252172</xdr:colOff>
      <xdr:row>16</xdr:row>
      <xdr:rowOff>311312</xdr:rowOff>
    </xdr:to>
    <xdr:cxnSp macro="">
      <xdr:nvCxnSpPr>
        <xdr:cNvPr id="32" name="Straight Connector 34">
          <a:extLst>
            <a:ext uri="{FF2B5EF4-FFF2-40B4-BE49-F238E27FC236}">
              <a16:creationId xmlns:a16="http://schemas.microsoft.com/office/drawing/2014/main" id="{00000000-0008-0000-0200-000020000000}"/>
            </a:ext>
          </a:extLst>
        </xdr:cNvPr>
        <xdr:cNvCxnSpPr/>
      </xdr:nvCxnSpPr>
      <xdr:spPr>
        <a:xfrm>
          <a:off x="14340840" y="9781540"/>
          <a:ext cx="1225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182217</xdr:colOff>
      <xdr:row>21</xdr:row>
      <xdr:rowOff>297922</xdr:rowOff>
    </xdr:from>
    <xdr:to>
      <xdr:col>18</xdr:col>
      <xdr:colOff>341519</xdr:colOff>
      <xdr:row>21</xdr:row>
      <xdr:rowOff>297922</xdr:rowOff>
    </xdr:to>
    <xdr:cxnSp macro="">
      <xdr:nvCxnSpPr>
        <xdr:cNvPr id="33" name="Straight Connector 35">
          <a:extLst>
            <a:ext uri="{FF2B5EF4-FFF2-40B4-BE49-F238E27FC236}">
              <a16:creationId xmlns:a16="http://schemas.microsoft.com/office/drawing/2014/main" id="{00000000-0008-0000-0200-000021000000}"/>
            </a:ext>
          </a:extLst>
        </xdr:cNvPr>
        <xdr:cNvCxnSpPr/>
      </xdr:nvCxnSpPr>
      <xdr:spPr>
        <a:xfrm>
          <a:off x="14392910" y="12111355"/>
          <a:ext cx="1593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226135</xdr:colOff>
      <xdr:row>26</xdr:row>
      <xdr:rowOff>297922</xdr:rowOff>
    </xdr:from>
    <xdr:to>
      <xdr:col>18</xdr:col>
      <xdr:colOff>399380</xdr:colOff>
      <xdr:row>26</xdr:row>
      <xdr:rowOff>297922</xdr:rowOff>
    </xdr:to>
    <xdr:cxnSp macro="">
      <xdr:nvCxnSpPr>
        <xdr:cNvPr id="34" name="Straight Connector 36">
          <a:extLst>
            <a:ext uri="{FF2B5EF4-FFF2-40B4-BE49-F238E27FC236}">
              <a16:creationId xmlns:a16="http://schemas.microsoft.com/office/drawing/2014/main" id="{00000000-0008-0000-0200-000022000000}"/>
            </a:ext>
          </a:extLst>
        </xdr:cNvPr>
        <xdr:cNvCxnSpPr/>
      </xdr:nvCxnSpPr>
      <xdr:spPr>
        <a:xfrm>
          <a:off x="14437360" y="14454505"/>
          <a:ext cx="1727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332227</xdr:colOff>
      <xdr:row>31</xdr:row>
      <xdr:rowOff>250786</xdr:rowOff>
    </xdr:from>
    <xdr:to>
      <xdr:col>18</xdr:col>
      <xdr:colOff>483799</xdr:colOff>
      <xdr:row>31</xdr:row>
      <xdr:rowOff>250786</xdr:rowOff>
    </xdr:to>
    <xdr:cxnSp macro="">
      <xdr:nvCxnSpPr>
        <xdr:cNvPr id="35" name="Straight Connector 37">
          <a:extLst>
            <a:ext uri="{FF2B5EF4-FFF2-40B4-BE49-F238E27FC236}">
              <a16:creationId xmlns:a16="http://schemas.microsoft.com/office/drawing/2014/main" id="{00000000-0008-0000-0200-000023000000}"/>
            </a:ext>
          </a:extLst>
        </xdr:cNvPr>
        <xdr:cNvCxnSpPr/>
      </xdr:nvCxnSpPr>
      <xdr:spPr>
        <a:xfrm>
          <a:off x="14543405" y="16750030"/>
          <a:ext cx="1511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570577</xdr:colOff>
      <xdr:row>36</xdr:row>
      <xdr:rowOff>294747</xdr:rowOff>
    </xdr:from>
    <xdr:to>
      <xdr:col>19</xdr:col>
      <xdr:colOff>78828</xdr:colOff>
      <xdr:row>36</xdr:row>
      <xdr:rowOff>294747</xdr:rowOff>
    </xdr:to>
    <xdr:cxnSp macro="">
      <xdr:nvCxnSpPr>
        <xdr:cNvPr id="36" name="Straight Connector 38">
          <a:extLst>
            <a:ext uri="{FF2B5EF4-FFF2-40B4-BE49-F238E27FC236}">
              <a16:creationId xmlns:a16="http://schemas.microsoft.com/office/drawing/2014/main" id="{00000000-0008-0000-0200-000024000000}"/>
            </a:ext>
          </a:extLst>
        </xdr:cNvPr>
        <xdr:cNvCxnSpPr/>
      </xdr:nvCxnSpPr>
      <xdr:spPr>
        <a:xfrm>
          <a:off x="14781530" y="19137630"/>
          <a:ext cx="2038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248478</xdr:colOff>
      <xdr:row>12</xdr:row>
      <xdr:rowOff>317425</xdr:rowOff>
    </xdr:from>
    <xdr:to>
      <xdr:col>18</xdr:col>
      <xdr:colOff>374431</xdr:colOff>
      <xdr:row>12</xdr:row>
      <xdr:rowOff>317425</xdr:rowOff>
    </xdr:to>
    <xdr:cxnSp macro="">
      <xdr:nvCxnSpPr>
        <xdr:cNvPr id="37" name="Straight Connector 40">
          <a:extLst>
            <a:ext uri="{FF2B5EF4-FFF2-40B4-BE49-F238E27FC236}">
              <a16:creationId xmlns:a16="http://schemas.microsoft.com/office/drawing/2014/main" id="{00000000-0008-0000-0200-000025000000}"/>
            </a:ext>
          </a:extLst>
        </xdr:cNvPr>
        <xdr:cNvCxnSpPr/>
      </xdr:nvCxnSpPr>
      <xdr:spPr>
        <a:xfrm>
          <a:off x="14459585" y="6223635"/>
          <a:ext cx="1257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265043</xdr:colOff>
      <xdr:row>17</xdr:row>
      <xdr:rowOff>313007</xdr:rowOff>
    </xdr:from>
    <xdr:to>
      <xdr:col>18</xdr:col>
      <xdr:colOff>427520</xdr:colOff>
      <xdr:row>17</xdr:row>
      <xdr:rowOff>313007</xdr:rowOff>
    </xdr:to>
    <xdr:cxnSp macro="">
      <xdr:nvCxnSpPr>
        <xdr:cNvPr id="38" name="Straight Connector 41">
          <a:extLst>
            <a:ext uri="{FF2B5EF4-FFF2-40B4-BE49-F238E27FC236}">
              <a16:creationId xmlns:a16="http://schemas.microsoft.com/office/drawing/2014/main" id="{00000000-0008-0000-0200-000026000000}"/>
            </a:ext>
          </a:extLst>
        </xdr:cNvPr>
        <xdr:cNvCxnSpPr/>
      </xdr:nvCxnSpPr>
      <xdr:spPr>
        <a:xfrm>
          <a:off x="14476095" y="10354310"/>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530086</xdr:colOff>
      <xdr:row>22</xdr:row>
      <xdr:rowOff>302793</xdr:rowOff>
    </xdr:from>
    <xdr:to>
      <xdr:col>18</xdr:col>
      <xdr:colOff>609659</xdr:colOff>
      <xdr:row>22</xdr:row>
      <xdr:rowOff>302793</xdr:rowOff>
    </xdr:to>
    <xdr:cxnSp macro="">
      <xdr:nvCxnSpPr>
        <xdr:cNvPr id="39" name="Straight Connector 42">
          <a:extLst>
            <a:ext uri="{FF2B5EF4-FFF2-40B4-BE49-F238E27FC236}">
              <a16:creationId xmlns:a16="http://schemas.microsoft.com/office/drawing/2014/main" id="{00000000-0008-0000-0200-000027000000}"/>
            </a:ext>
          </a:extLst>
        </xdr:cNvPr>
        <xdr:cNvCxnSpPr/>
      </xdr:nvCxnSpPr>
      <xdr:spPr>
        <a:xfrm>
          <a:off x="14740890" y="12687300"/>
          <a:ext cx="800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586743</xdr:colOff>
      <xdr:row>27</xdr:row>
      <xdr:rowOff>302792</xdr:rowOff>
    </xdr:from>
    <xdr:to>
      <xdr:col>19</xdr:col>
      <xdr:colOff>91030</xdr:colOff>
      <xdr:row>27</xdr:row>
      <xdr:rowOff>302792</xdr:rowOff>
    </xdr:to>
    <xdr:cxnSp macro="">
      <xdr:nvCxnSpPr>
        <xdr:cNvPr id="40" name="Straight Connector 43">
          <a:extLst>
            <a:ext uri="{FF2B5EF4-FFF2-40B4-BE49-F238E27FC236}">
              <a16:creationId xmlns:a16="http://schemas.microsoft.com/office/drawing/2014/main" id="{00000000-0008-0000-0200-000028000000}"/>
            </a:ext>
          </a:extLst>
        </xdr:cNvPr>
        <xdr:cNvCxnSpPr/>
      </xdr:nvCxnSpPr>
      <xdr:spPr>
        <a:xfrm>
          <a:off x="14798040" y="15030450"/>
          <a:ext cx="1993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132522</xdr:colOff>
      <xdr:row>32</xdr:row>
      <xdr:rowOff>274441</xdr:rowOff>
    </xdr:from>
    <xdr:to>
      <xdr:col>19</xdr:col>
      <xdr:colOff>265044</xdr:colOff>
      <xdr:row>32</xdr:row>
      <xdr:rowOff>274441</xdr:rowOff>
    </xdr:to>
    <xdr:cxnSp macro="">
      <xdr:nvCxnSpPr>
        <xdr:cNvPr id="41" name="Straight Connector 44">
          <a:extLst>
            <a:ext uri="{FF2B5EF4-FFF2-40B4-BE49-F238E27FC236}">
              <a16:creationId xmlns:a16="http://schemas.microsoft.com/office/drawing/2014/main" id="{00000000-0008-0000-0200-000029000000}"/>
            </a:ext>
          </a:extLst>
        </xdr:cNvPr>
        <xdr:cNvCxnSpPr/>
      </xdr:nvCxnSpPr>
      <xdr:spPr>
        <a:xfrm>
          <a:off x="15038705" y="17345660"/>
          <a:ext cx="1327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181248</xdr:colOff>
      <xdr:row>37</xdr:row>
      <xdr:rowOff>311691</xdr:rowOff>
    </xdr:from>
    <xdr:to>
      <xdr:col>19</xdr:col>
      <xdr:colOff>262759</xdr:colOff>
      <xdr:row>37</xdr:row>
      <xdr:rowOff>311691</xdr:rowOff>
    </xdr:to>
    <xdr:cxnSp macro="">
      <xdr:nvCxnSpPr>
        <xdr:cNvPr id="42" name="Straight Connector 45">
          <a:extLst>
            <a:ext uri="{FF2B5EF4-FFF2-40B4-BE49-F238E27FC236}">
              <a16:creationId xmlns:a16="http://schemas.microsoft.com/office/drawing/2014/main" id="{00000000-0008-0000-0200-00002A000000}"/>
            </a:ext>
          </a:extLst>
        </xdr:cNvPr>
        <xdr:cNvCxnSpPr/>
      </xdr:nvCxnSpPr>
      <xdr:spPr>
        <a:xfrm>
          <a:off x="15087600" y="19725640"/>
          <a:ext cx="812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354724</xdr:colOff>
      <xdr:row>43</xdr:row>
      <xdr:rowOff>314250</xdr:rowOff>
    </xdr:from>
    <xdr:to>
      <xdr:col>19</xdr:col>
      <xdr:colOff>430377</xdr:colOff>
      <xdr:row>43</xdr:row>
      <xdr:rowOff>314250</xdr:rowOff>
    </xdr:to>
    <xdr:cxnSp macro="">
      <xdr:nvCxnSpPr>
        <xdr:cNvPr id="43" name="Straight Connector 46">
          <a:extLst>
            <a:ext uri="{FF2B5EF4-FFF2-40B4-BE49-F238E27FC236}">
              <a16:creationId xmlns:a16="http://schemas.microsoft.com/office/drawing/2014/main" id="{00000000-0008-0000-0200-00002B000000}"/>
            </a:ext>
          </a:extLst>
        </xdr:cNvPr>
        <xdr:cNvCxnSpPr/>
      </xdr:nvCxnSpPr>
      <xdr:spPr>
        <a:xfrm>
          <a:off x="15260955" y="22642830"/>
          <a:ext cx="755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269328</xdr:colOff>
      <xdr:row>46</xdr:row>
      <xdr:rowOff>294966</xdr:rowOff>
    </xdr:from>
    <xdr:to>
      <xdr:col>19</xdr:col>
      <xdr:colOff>393193</xdr:colOff>
      <xdr:row>46</xdr:row>
      <xdr:rowOff>294966</xdr:rowOff>
    </xdr:to>
    <xdr:cxnSp macro="">
      <xdr:nvCxnSpPr>
        <xdr:cNvPr id="44" name="Straight Connector 49">
          <a:extLst>
            <a:ext uri="{FF2B5EF4-FFF2-40B4-BE49-F238E27FC236}">
              <a16:creationId xmlns:a16="http://schemas.microsoft.com/office/drawing/2014/main" id="{00000000-0008-0000-0200-00002C000000}"/>
            </a:ext>
          </a:extLst>
        </xdr:cNvPr>
        <xdr:cNvCxnSpPr/>
      </xdr:nvCxnSpPr>
      <xdr:spPr>
        <a:xfrm>
          <a:off x="15175865" y="23823930"/>
          <a:ext cx="1238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387569</xdr:colOff>
      <xdr:row>47</xdr:row>
      <xdr:rowOff>324213</xdr:rowOff>
    </xdr:from>
    <xdr:to>
      <xdr:col>19</xdr:col>
      <xdr:colOff>512379</xdr:colOff>
      <xdr:row>47</xdr:row>
      <xdr:rowOff>324213</xdr:rowOff>
    </xdr:to>
    <xdr:cxnSp macro="">
      <xdr:nvCxnSpPr>
        <xdr:cNvPr id="45" name="Straight Connector 50">
          <a:extLst>
            <a:ext uri="{FF2B5EF4-FFF2-40B4-BE49-F238E27FC236}">
              <a16:creationId xmlns:a16="http://schemas.microsoft.com/office/drawing/2014/main" id="{00000000-0008-0000-0200-00002D000000}"/>
            </a:ext>
          </a:extLst>
        </xdr:cNvPr>
        <xdr:cNvCxnSpPr/>
      </xdr:nvCxnSpPr>
      <xdr:spPr>
        <a:xfrm>
          <a:off x="15293975" y="24424640"/>
          <a:ext cx="1244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236483</xdr:colOff>
      <xdr:row>50</xdr:row>
      <xdr:rowOff>297052</xdr:rowOff>
    </xdr:from>
    <xdr:to>
      <xdr:col>19</xdr:col>
      <xdr:colOff>410670</xdr:colOff>
      <xdr:row>50</xdr:row>
      <xdr:rowOff>297052</xdr:rowOff>
    </xdr:to>
    <xdr:cxnSp macro="">
      <xdr:nvCxnSpPr>
        <xdr:cNvPr id="46" name="Straight Connector 51">
          <a:extLst>
            <a:ext uri="{FF2B5EF4-FFF2-40B4-BE49-F238E27FC236}">
              <a16:creationId xmlns:a16="http://schemas.microsoft.com/office/drawing/2014/main" id="{00000000-0008-0000-0200-00002E000000}"/>
            </a:ext>
          </a:extLst>
        </xdr:cNvPr>
        <xdr:cNvCxnSpPr/>
      </xdr:nvCxnSpPr>
      <xdr:spPr>
        <a:xfrm>
          <a:off x="15142845" y="25597485"/>
          <a:ext cx="173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370114</xdr:colOff>
      <xdr:row>51</xdr:row>
      <xdr:rowOff>288178</xdr:rowOff>
    </xdr:from>
    <xdr:to>
      <xdr:col>19</xdr:col>
      <xdr:colOff>512161</xdr:colOff>
      <xdr:row>51</xdr:row>
      <xdr:rowOff>288178</xdr:rowOff>
    </xdr:to>
    <xdr:cxnSp macro="">
      <xdr:nvCxnSpPr>
        <xdr:cNvPr id="47" name="Straight Connector 52">
          <a:extLst>
            <a:ext uri="{FF2B5EF4-FFF2-40B4-BE49-F238E27FC236}">
              <a16:creationId xmlns:a16="http://schemas.microsoft.com/office/drawing/2014/main" id="{00000000-0008-0000-0200-00002F000000}"/>
            </a:ext>
          </a:extLst>
        </xdr:cNvPr>
        <xdr:cNvCxnSpPr/>
      </xdr:nvCxnSpPr>
      <xdr:spPr>
        <a:xfrm>
          <a:off x="15276195" y="26160095"/>
          <a:ext cx="1422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540156</xdr:colOff>
      <xdr:row>52</xdr:row>
      <xdr:rowOff>291369</xdr:rowOff>
    </xdr:from>
    <xdr:to>
      <xdr:col>20</xdr:col>
      <xdr:colOff>45013</xdr:colOff>
      <xdr:row>52</xdr:row>
      <xdr:rowOff>291369</xdr:rowOff>
    </xdr:to>
    <xdr:cxnSp macro="">
      <xdr:nvCxnSpPr>
        <xdr:cNvPr id="48" name="Straight Connector 53">
          <a:extLst>
            <a:ext uri="{FF2B5EF4-FFF2-40B4-BE49-F238E27FC236}">
              <a16:creationId xmlns:a16="http://schemas.microsoft.com/office/drawing/2014/main" id="{00000000-0008-0000-0200-000030000000}"/>
            </a:ext>
          </a:extLst>
        </xdr:cNvPr>
        <xdr:cNvCxnSpPr/>
      </xdr:nvCxnSpPr>
      <xdr:spPr>
        <a:xfrm>
          <a:off x="15446375" y="26734770"/>
          <a:ext cx="2000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335090</xdr:colOff>
      <xdr:row>8</xdr:row>
      <xdr:rowOff>269662</xdr:rowOff>
    </xdr:from>
    <xdr:to>
      <xdr:col>18</xdr:col>
      <xdr:colOff>427400</xdr:colOff>
      <xdr:row>8</xdr:row>
      <xdr:rowOff>269662</xdr:rowOff>
    </xdr:to>
    <xdr:cxnSp macro="">
      <xdr:nvCxnSpPr>
        <xdr:cNvPr id="49" name="Straight Connector 57">
          <a:extLst>
            <a:ext uri="{FF2B5EF4-FFF2-40B4-BE49-F238E27FC236}">
              <a16:creationId xmlns:a16="http://schemas.microsoft.com/office/drawing/2014/main" id="{00000000-0008-0000-0200-000031000000}"/>
            </a:ext>
          </a:extLst>
        </xdr:cNvPr>
        <xdr:cNvCxnSpPr/>
      </xdr:nvCxnSpPr>
      <xdr:spPr>
        <a:xfrm>
          <a:off x="14545945" y="4281805"/>
          <a:ext cx="927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314739</xdr:colOff>
      <xdr:row>13</xdr:row>
      <xdr:rowOff>294509</xdr:rowOff>
    </xdr:from>
    <xdr:to>
      <xdr:col>18</xdr:col>
      <xdr:colOff>397565</xdr:colOff>
      <xdr:row>13</xdr:row>
      <xdr:rowOff>294509</xdr:rowOff>
    </xdr:to>
    <xdr:cxnSp macro="">
      <xdr:nvCxnSpPr>
        <xdr:cNvPr id="50" name="Straight Connector 59">
          <a:extLst>
            <a:ext uri="{FF2B5EF4-FFF2-40B4-BE49-F238E27FC236}">
              <a16:creationId xmlns:a16="http://schemas.microsoft.com/office/drawing/2014/main" id="{00000000-0008-0000-0200-000032000000}"/>
            </a:ext>
          </a:extLst>
        </xdr:cNvPr>
        <xdr:cNvCxnSpPr/>
      </xdr:nvCxnSpPr>
      <xdr:spPr>
        <a:xfrm>
          <a:off x="14525625" y="7522845"/>
          <a:ext cx="831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523658</xdr:colOff>
      <xdr:row>18</xdr:row>
      <xdr:rowOff>286227</xdr:rowOff>
    </xdr:from>
    <xdr:to>
      <xdr:col>18</xdr:col>
      <xdr:colOff>612913</xdr:colOff>
      <xdr:row>18</xdr:row>
      <xdr:rowOff>286227</xdr:rowOff>
    </xdr:to>
    <xdr:cxnSp macro="">
      <xdr:nvCxnSpPr>
        <xdr:cNvPr id="51" name="Straight Connector 61">
          <a:extLst>
            <a:ext uri="{FF2B5EF4-FFF2-40B4-BE49-F238E27FC236}">
              <a16:creationId xmlns:a16="http://schemas.microsoft.com/office/drawing/2014/main" id="{00000000-0008-0000-0200-000033000000}"/>
            </a:ext>
          </a:extLst>
        </xdr:cNvPr>
        <xdr:cNvCxnSpPr/>
      </xdr:nvCxnSpPr>
      <xdr:spPr>
        <a:xfrm>
          <a:off x="14734540" y="10899140"/>
          <a:ext cx="895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571500</xdr:colOff>
      <xdr:row>23</xdr:row>
      <xdr:rowOff>294510</xdr:rowOff>
    </xdr:from>
    <xdr:to>
      <xdr:col>19</xdr:col>
      <xdr:colOff>86001</xdr:colOff>
      <xdr:row>23</xdr:row>
      <xdr:rowOff>294510</xdr:rowOff>
    </xdr:to>
    <xdr:cxnSp macro="">
      <xdr:nvCxnSpPr>
        <xdr:cNvPr id="52" name="Straight Connector 63">
          <a:extLst>
            <a:ext uri="{FF2B5EF4-FFF2-40B4-BE49-F238E27FC236}">
              <a16:creationId xmlns:a16="http://schemas.microsoft.com/office/drawing/2014/main" id="{00000000-0008-0000-0200-000034000000}"/>
            </a:ext>
          </a:extLst>
        </xdr:cNvPr>
        <xdr:cNvCxnSpPr/>
      </xdr:nvCxnSpPr>
      <xdr:spPr>
        <a:xfrm>
          <a:off x="14782800" y="13250545"/>
          <a:ext cx="2095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111466</xdr:colOff>
      <xdr:row>28</xdr:row>
      <xdr:rowOff>294134</xdr:rowOff>
    </xdr:from>
    <xdr:to>
      <xdr:col>19</xdr:col>
      <xdr:colOff>190500</xdr:colOff>
      <xdr:row>28</xdr:row>
      <xdr:rowOff>294134</xdr:rowOff>
    </xdr:to>
    <xdr:cxnSp macro="">
      <xdr:nvCxnSpPr>
        <xdr:cNvPr id="53" name="Straight Connector 69">
          <a:extLst>
            <a:ext uri="{FF2B5EF4-FFF2-40B4-BE49-F238E27FC236}">
              <a16:creationId xmlns:a16="http://schemas.microsoft.com/office/drawing/2014/main" id="{00000000-0008-0000-0200-000035000000}"/>
            </a:ext>
          </a:extLst>
        </xdr:cNvPr>
        <xdr:cNvCxnSpPr/>
      </xdr:nvCxnSpPr>
      <xdr:spPr>
        <a:xfrm>
          <a:off x="15017750" y="15593695"/>
          <a:ext cx="79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183884</xdr:colOff>
      <xdr:row>33</xdr:row>
      <xdr:rowOff>282976</xdr:rowOff>
    </xdr:from>
    <xdr:to>
      <xdr:col>19</xdr:col>
      <xdr:colOff>281609</xdr:colOff>
      <xdr:row>33</xdr:row>
      <xdr:rowOff>282976</xdr:rowOff>
    </xdr:to>
    <xdr:cxnSp macro="">
      <xdr:nvCxnSpPr>
        <xdr:cNvPr id="54" name="Straight Connector 71">
          <a:extLst>
            <a:ext uri="{FF2B5EF4-FFF2-40B4-BE49-F238E27FC236}">
              <a16:creationId xmlns:a16="http://schemas.microsoft.com/office/drawing/2014/main" id="{00000000-0008-0000-0200-000036000000}"/>
            </a:ext>
          </a:extLst>
        </xdr:cNvPr>
        <xdr:cNvCxnSpPr/>
      </xdr:nvCxnSpPr>
      <xdr:spPr>
        <a:xfrm>
          <a:off x="15090140" y="17925415"/>
          <a:ext cx="977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237696</xdr:colOff>
      <xdr:row>38</xdr:row>
      <xdr:rowOff>324213</xdr:rowOff>
    </xdr:from>
    <xdr:to>
      <xdr:col>19</xdr:col>
      <xdr:colOff>328448</xdr:colOff>
      <xdr:row>38</xdr:row>
      <xdr:rowOff>324213</xdr:rowOff>
    </xdr:to>
    <xdr:cxnSp macro="">
      <xdr:nvCxnSpPr>
        <xdr:cNvPr id="55" name="Straight Connector 81">
          <a:extLst>
            <a:ext uri="{FF2B5EF4-FFF2-40B4-BE49-F238E27FC236}">
              <a16:creationId xmlns:a16="http://schemas.microsoft.com/office/drawing/2014/main" id="{00000000-0008-0000-0200-000037000000}"/>
            </a:ext>
          </a:extLst>
        </xdr:cNvPr>
        <xdr:cNvCxnSpPr/>
      </xdr:nvCxnSpPr>
      <xdr:spPr>
        <a:xfrm>
          <a:off x="15144115" y="20309840"/>
          <a:ext cx="908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105104</xdr:colOff>
      <xdr:row>41</xdr:row>
      <xdr:rowOff>294762</xdr:rowOff>
    </xdr:from>
    <xdr:to>
      <xdr:col>19</xdr:col>
      <xdr:colOff>183712</xdr:colOff>
      <xdr:row>41</xdr:row>
      <xdr:rowOff>294762</xdr:rowOff>
    </xdr:to>
    <xdr:cxnSp macro="">
      <xdr:nvCxnSpPr>
        <xdr:cNvPr id="56" name="Straight Connector 90">
          <a:extLst>
            <a:ext uri="{FF2B5EF4-FFF2-40B4-BE49-F238E27FC236}">
              <a16:creationId xmlns:a16="http://schemas.microsoft.com/office/drawing/2014/main" id="{00000000-0008-0000-0200-000038000000}"/>
            </a:ext>
          </a:extLst>
        </xdr:cNvPr>
        <xdr:cNvCxnSpPr/>
      </xdr:nvCxnSpPr>
      <xdr:spPr>
        <a:xfrm>
          <a:off x="15011400" y="21480780"/>
          <a:ext cx="787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241158</xdr:colOff>
      <xdr:row>42</xdr:row>
      <xdr:rowOff>275055</xdr:rowOff>
    </xdr:from>
    <xdr:to>
      <xdr:col>19</xdr:col>
      <xdr:colOff>383205</xdr:colOff>
      <xdr:row>42</xdr:row>
      <xdr:rowOff>275055</xdr:rowOff>
    </xdr:to>
    <xdr:cxnSp macro="">
      <xdr:nvCxnSpPr>
        <xdr:cNvPr id="57" name="Straight Connector 101">
          <a:extLst>
            <a:ext uri="{FF2B5EF4-FFF2-40B4-BE49-F238E27FC236}">
              <a16:creationId xmlns:a16="http://schemas.microsoft.com/office/drawing/2014/main" id="{00000000-0008-0000-0200-000039000000}"/>
            </a:ext>
          </a:extLst>
        </xdr:cNvPr>
        <xdr:cNvCxnSpPr/>
      </xdr:nvCxnSpPr>
      <xdr:spPr>
        <a:xfrm>
          <a:off x="15147290" y="22032595"/>
          <a:ext cx="1422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479535</xdr:colOff>
      <xdr:row>48</xdr:row>
      <xdr:rowOff>333957</xdr:rowOff>
    </xdr:from>
    <xdr:to>
      <xdr:col>19</xdr:col>
      <xdr:colOff>597831</xdr:colOff>
      <xdr:row>48</xdr:row>
      <xdr:rowOff>333957</xdr:rowOff>
    </xdr:to>
    <xdr:cxnSp macro="">
      <xdr:nvCxnSpPr>
        <xdr:cNvPr id="58" name="Straight Connector 102">
          <a:extLst>
            <a:ext uri="{FF2B5EF4-FFF2-40B4-BE49-F238E27FC236}">
              <a16:creationId xmlns:a16="http://schemas.microsoft.com/office/drawing/2014/main" id="{00000000-0008-0000-0200-00003A000000}"/>
            </a:ext>
          </a:extLst>
        </xdr:cNvPr>
        <xdr:cNvCxnSpPr/>
      </xdr:nvCxnSpPr>
      <xdr:spPr>
        <a:xfrm>
          <a:off x="15386050" y="25005665"/>
          <a:ext cx="1181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47483</xdr:colOff>
      <xdr:row>53</xdr:row>
      <xdr:rowOff>317426</xdr:rowOff>
    </xdr:from>
    <xdr:to>
      <xdr:col>20</xdr:col>
      <xdr:colOff>111672</xdr:colOff>
      <xdr:row>53</xdr:row>
      <xdr:rowOff>317426</xdr:rowOff>
    </xdr:to>
    <xdr:cxnSp macro="">
      <xdr:nvCxnSpPr>
        <xdr:cNvPr id="59" name="Straight Connector 106">
          <a:extLst>
            <a:ext uri="{FF2B5EF4-FFF2-40B4-BE49-F238E27FC236}">
              <a16:creationId xmlns:a16="http://schemas.microsoft.com/office/drawing/2014/main" id="{00000000-0008-0000-0200-00003B000000}"/>
            </a:ext>
          </a:extLst>
        </xdr:cNvPr>
        <xdr:cNvCxnSpPr/>
      </xdr:nvCxnSpPr>
      <xdr:spPr>
        <a:xfrm>
          <a:off x="15648940" y="27332305"/>
          <a:ext cx="641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413845</xdr:colOff>
      <xdr:row>67</xdr:row>
      <xdr:rowOff>240961</xdr:rowOff>
    </xdr:from>
    <xdr:to>
      <xdr:col>21</xdr:col>
      <xdr:colOff>627748</xdr:colOff>
      <xdr:row>67</xdr:row>
      <xdr:rowOff>240961</xdr:rowOff>
    </xdr:to>
    <xdr:cxnSp macro="">
      <xdr:nvCxnSpPr>
        <xdr:cNvPr id="60" name="Straight Connector 2">
          <a:extLst>
            <a:ext uri="{FF2B5EF4-FFF2-40B4-BE49-F238E27FC236}">
              <a16:creationId xmlns:a16="http://schemas.microsoft.com/office/drawing/2014/main" id="{00000000-0008-0000-0200-00003C000000}"/>
            </a:ext>
          </a:extLst>
        </xdr:cNvPr>
        <xdr:cNvCxnSpPr/>
      </xdr:nvCxnSpPr>
      <xdr:spPr>
        <a:xfrm>
          <a:off x="16015335" y="31570930"/>
          <a:ext cx="9093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274551</xdr:colOff>
      <xdr:row>69</xdr:row>
      <xdr:rowOff>244136</xdr:rowOff>
    </xdr:from>
    <xdr:to>
      <xdr:col>18</xdr:col>
      <xdr:colOff>128411</xdr:colOff>
      <xdr:row>69</xdr:row>
      <xdr:rowOff>244136</xdr:rowOff>
    </xdr:to>
    <xdr:cxnSp macro="">
      <xdr:nvCxnSpPr>
        <xdr:cNvPr id="61" name="Straight Connector 2">
          <a:extLst>
            <a:ext uri="{FF2B5EF4-FFF2-40B4-BE49-F238E27FC236}">
              <a16:creationId xmlns:a16="http://schemas.microsoft.com/office/drawing/2014/main" id="{00000000-0008-0000-0200-00003D000000}"/>
            </a:ext>
          </a:extLst>
        </xdr:cNvPr>
        <xdr:cNvCxnSpPr/>
      </xdr:nvCxnSpPr>
      <xdr:spPr>
        <a:xfrm>
          <a:off x="13790295" y="32212280"/>
          <a:ext cx="5492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115271</xdr:colOff>
      <xdr:row>45</xdr:row>
      <xdr:rowOff>294238</xdr:rowOff>
    </xdr:from>
    <xdr:to>
      <xdr:col>19</xdr:col>
      <xdr:colOff>300024</xdr:colOff>
      <xdr:row>45</xdr:row>
      <xdr:rowOff>294238</xdr:rowOff>
    </xdr:to>
    <xdr:cxnSp macro="">
      <xdr:nvCxnSpPr>
        <xdr:cNvPr id="62" name="Straight Connector 202">
          <a:extLst>
            <a:ext uri="{FF2B5EF4-FFF2-40B4-BE49-F238E27FC236}">
              <a16:creationId xmlns:a16="http://schemas.microsoft.com/office/drawing/2014/main" id="{00000000-0008-0000-0200-00003E000000}"/>
            </a:ext>
          </a:extLst>
        </xdr:cNvPr>
        <xdr:cNvCxnSpPr/>
      </xdr:nvCxnSpPr>
      <xdr:spPr>
        <a:xfrm>
          <a:off x="15021560" y="23251795"/>
          <a:ext cx="1847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165205</xdr:colOff>
      <xdr:row>6</xdr:row>
      <xdr:rowOff>258711</xdr:rowOff>
    </xdr:from>
    <xdr:to>
      <xdr:col>18</xdr:col>
      <xdr:colOff>281161</xdr:colOff>
      <xdr:row>6</xdr:row>
      <xdr:rowOff>360035</xdr:rowOff>
    </xdr:to>
    <xdr:sp macro="" textlink="">
      <xdr:nvSpPr>
        <xdr:cNvPr id="63" name="Diamond 62">
          <a:extLst>
            <a:ext uri="{FF2B5EF4-FFF2-40B4-BE49-F238E27FC236}">
              <a16:creationId xmlns:a16="http://schemas.microsoft.com/office/drawing/2014/main" id="{00000000-0008-0000-0200-00003F000000}"/>
            </a:ext>
          </a:extLst>
        </xdr:cNvPr>
        <xdr:cNvSpPr/>
      </xdr:nvSpPr>
      <xdr:spPr>
        <a:xfrm>
          <a:off x="14376400" y="2614930"/>
          <a:ext cx="115570" cy="1009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273963</xdr:colOff>
      <xdr:row>58</xdr:row>
      <xdr:rowOff>0</xdr:rowOff>
    </xdr:from>
    <xdr:to>
      <xdr:col>18</xdr:col>
      <xdr:colOff>468820</xdr:colOff>
      <xdr:row>65</xdr:row>
      <xdr:rowOff>140805</xdr:rowOff>
    </xdr:to>
    <xdr:sp macro="" textlink="">
      <xdr:nvSpPr>
        <xdr:cNvPr id="64" name="TextBox 13">
          <a:extLst>
            <a:ext uri="{FF2B5EF4-FFF2-40B4-BE49-F238E27FC236}">
              <a16:creationId xmlns:a16="http://schemas.microsoft.com/office/drawing/2014/main" id="{00000000-0008-0000-0200-000040000000}"/>
            </a:ext>
          </a:extLst>
        </xdr:cNvPr>
        <xdr:cNvSpPr txBox="1"/>
      </xdr:nvSpPr>
      <xdr:spPr>
        <a:xfrm rot="16200000">
          <a:off x="13982065" y="30137100"/>
          <a:ext cx="12001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20</xdr:col>
      <xdr:colOff>220170</xdr:colOff>
      <xdr:row>59</xdr:row>
      <xdr:rowOff>526602</xdr:rowOff>
    </xdr:from>
    <xdr:to>
      <xdr:col>20</xdr:col>
      <xdr:colOff>315310</xdr:colOff>
      <xdr:row>59</xdr:row>
      <xdr:rowOff>526602</xdr:rowOff>
    </xdr:to>
    <xdr:cxnSp macro="">
      <xdr:nvCxnSpPr>
        <xdr:cNvPr id="65" name="Straight Connector 2">
          <a:extLst>
            <a:ext uri="{FF2B5EF4-FFF2-40B4-BE49-F238E27FC236}">
              <a16:creationId xmlns:a16="http://schemas.microsoft.com/office/drawing/2014/main" id="{00000000-0008-0000-0200-000041000000}"/>
            </a:ext>
          </a:extLst>
        </xdr:cNvPr>
        <xdr:cNvCxnSpPr/>
      </xdr:nvCxnSpPr>
      <xdr:spPr>
        <a:xfrm>
          <a:off x="15821660" y="30218380"/>
          <a:ext cx="952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131379</xdr:colOff>
      <xdr:row>63</xdr:row>
      <xdr:rowOff>199903</xdr:rowOff>
    </xdr:from>
    <xdr:to>
      <xdr:col>20</xdr:col>
      <xdr:colOff>200463</xdr:colOff>
      <xdr:row>63</xdr:row>
      <xdr:rowOff>199903</xdr:rowOff>
    </xdr:to>
    <xdr:cxnSp macro="">
      <xdr:nvCxnSpPr>
        <xdr:cNvPr id="66" name="Straight Connector 19">
          <a:extLst>
            <a:ext uri="{FF2B5EF4-FFF2-40B4-BE49-F238E27FC236}">
              <a16:creationId xmlns:a16="http://schemas.microsoft.com/office/drawing/2014/main" id="{00000000-0008-0000-0200-000042000000}"/>
            </a:ext>
          </a:extLst>
        </xdr:cNvPr>
        <xdr:cNvCxnSpPr/>
      </xdr:nvCxnSpPr>
      <xdr:spPr>
        <a:xfrm>
          <a:off x="15732760" y="30834965"/>
          <a:ext cx="692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464749</xdr:colOff>
      <xdr:row>31</xdr:row>
      <xdr:rowOff>250786</xdr:rowOff>
    </xdr:from>
    <xdr:to>
      <xdr:col>18</xdr:col>
      <xdr:colOff>563217</xdr:colOff>
      <xdr:row>31</xdr:row>
      <xdr:rowOff>250786</xdr:rowOff>
    </xdr:to>
    <xdr:cxnSp macro="">
      <xdr:nvCxnSpPr>
        <xdr:cNvPr id="67" name="Straight Connector 37">
          <a:extLst>
            <a:ext uri="{FF2B5EF4-FFF2-40B4-BE49-F238E27FC236}">
              <a16:creationId xmlns:a16="http://schemas.microsoft.com/office/drawing/2014/main" id="{00000000-0008-0000-0200-000043000000}"/>
            </a:ext>
          </a:extLst>
        </xdr:cNvPr>
        <xdr:cNvCxnSpPr/>
      </xdr:nvCxnSpPr>
      <xdr:spPr>
        <a:xfrm>
          <a:off x="14675485" y="16750030"/>
          <a:ext cx="984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474187</xdr:colOff>
      <xdr:row>35</xdr:row>
      <xdr:rowOff>314396</xdr:rowOff>
    </xdr:from>
    <xdr:to>
      <xdr:col>18</xdr:col>
      <xdr:colOff>588065</xdr:colOff>
      <xdr:row>35</xdr:row>
      <xdr:rowOff>314396</xdr:rowOff>
    </xdr:to>
    <xdr:cxnSp macro="">
      <xdr:nvCxnSpPr>
        <xdr:cNvPr id="68" name="Straight Connector 22">
          <a:extLst>
            <a:ext uri="{FF2B5EF4-FFF2-40B4-BE49-F238E27FC236}">
              <a16:creationId xmlns:a16="http://schemas.microsoft.com/office/drawing/2014/main" id="{00000000-0008-0000-0200-000044000000}"/>
            </a:ext>
          </a:extLst>
        </xdr:cNvPr>
        <xdr:cNvCxnSpPr/>
      </xdr:nvCxnSpPr>
      <xdr:spPr>
        <a:xfrm>
          <a:off x="14685010" y="18585815"/>
          <a:ext cx="114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105</xdr:row>
      <xdr:rowOff>191267</xdr:rowOff>
    </xdr:from>
    <xdr:to>
      <xdr:col>22</xdr:col>
      <xdr:colOff>821</xdr:colOff>
      <xdr:row>105</xdr:row>
      <xdr:rowOff>191267</xdr:rowOff>
    </xdr:to>
    <xdr:cxnSp macro="">
      <xdr:nvCxnSpPr>
        <xdr:cNvPr id="69" name="Straight Connector 19">
          <a:extLst>
            <a:ext uri="{FF2B5EF4-FFF2-40B4-BE49-F238E27FC236}">
              <a16:creationId xmlns:a16="http://schemas.microsoft.com/office/drawing/2014/main" id="{00000000-0008-0000-0200-000045000000}"/>
            </a:ext>
          </a:extLst>
        </xdr:cNvPr>
        <xdr:cNvCxnSpPr/>
      </xdr:nvCxnSpPr>
      <xdr:spPr>
        <a:xfrm>
          <a:off x="15812135" y="4800917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292429</xdr:colOff>
      <xdr:row>58</xdr:row>
      <xdr:rowOff>0</xdr:rowOff>
    </xdr:from>
    <xdr:to>
      <xdr:col>20</xdr:col>
      <xdr:colOff>400707</xdr:colOff>
      <xdr:row>58</xdr:row>
      <xdr:rowOff>0</xdr:rowOff>
    </xdr:to>
    <xdr:cxnSp macro="">
      <xdr:nvCxnSpPr>
        <xdr:cNvPr id="70" name="Straight Connector 2">
          <a:extLst>
            <a:ext uri="{FF2B5EF4-FFF2-40B4-BE49-F238E27FC236}">
              <a16:creationId xmlns:a16="http://schemas.microsoft.com/office/drawing/2014/main" id="{00000000-0008-0000-0200-000046000000}"/>
            </a:ext>
          </a:extLst>
        </xdr:cNvPr>
        <xdr:cNvCxnSpPr/>
      </xdr:nvCxnSpPr>
      <xdr:spPr>
        <a:xfrm>
          <a:off x="15894050" y="29634815"/>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73</xdr:row>
      <xdr:rowOff>206627</xdr:rowOff>
    </xdr:from>
    <xdr:to>
      <xdr:col>22</xdr:col>
      <xdr:colOff>5040</xdr:colOff>
      <xdr:row>73</xdr:row>
      <xdr:rowOff>206627</xdr:rowOff>
    </xdr:to>
    <xdr:cxnSp macro="">
      <xdr:nvCxnSpPr>
        <xdr:cNvPr id="71" name="Straight Connector 19">
          <a:extLst>
            <a:ext uri="{FF2B5EF4-FFF2-40B4-BE49-F238E27FC236}">
              <a16:creationId xmlns:a16="http://schemas.microsoft.com/office/drawing/2014/main" id="{00000000-0008-0000-0200-000047000000}"/>
            </a:ext>
          </a:extLst>
        </xdr:cNvPr>
        <xdr:cNvCxnSpPr/>
      </xdr:nvCxnSpPr>
      <xdr:spPr>
        <a:xfrm>
          <a:off x="16710025" y="3417506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72</xdr:row>
      <xdr:rowOff>191267</xdr:rowOff>
    </xdr:from>
    <xdr:to>
      <xdr:col>22</xdr:col>
      <xdr:colOff>821</xdr:colOff>
      <xdr:row>72</xdr:row>
      <xdr:rowOff>191267</xdr:rowOff>
    </xdr:to>
    <xdr:cxnSp macro="">
      <xdr:nvCxnSpPr>
        <xdr:cNvPr id="72" name="Straight Connector 19">
          <a:extLst>
            <a:ext uri="{FF2B5EF4-FFF2-40B4-BE49-F238E27FC236}">
              <a16:creationId xmlns:a16="http://schemas.microsoft.com/office/drawing/2014/main" id="{00000000-0008-0000-0200-000048000000}"/>
            </a:ext>
          </a:extLst>
        </xdr:cNvPr>
        <xdr:cNvCxnSpPr/>
      </xdr:nvCxnSpPr>
      <xdr:spPr>
        <a:xfrm>
          <a:off x="15812135" y="3351212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76</xdr:row>
      <xdr:rowOff>206627</xdr:rowOff>
    </xdr:from>
    <xdr:to>
      <xdr:col>22</xdr:col>
      <xdr:colOff>5040</xdr:colOff>
      <xdr:row>76</xdr:row>
      <xdr:rowOff>206627</xdr:rowOff>
    </xdr:to>
    <xdr:cxnSp macro="">
      <xdr:nvCxnSpPr>
        <xdr:cNvPr id="73" name="Straight Connector 19">
          <a:extLst>
            <a:ext uri="{FF2B5EF4-FFF2-40B4-BE49-F238E27FC236}">
              <a16:creationId xmlns:a16="http://schemas.microsoft.com/office/drawing/2014/main" id="{00000000-0008-0000-0200-000049000000}"/>
            </a:ext>
          </a:extLst>
        </xdr:cNvPr>
        <xdr:cNvCxnSpPr/>
      </xdr:nvCxnSpPr>
      <xdr:spPr>
        <a:xfrm>
          <a:off x="16710025" y="3542284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118</xdr:row>
      <xdr:rowOff>0</xdr:rowOff>
    </xdr:from>
    <xdr:to>
      <xdr:col>17</xdr:col>
      <xdr:colOff>468820</xdr:colOff>
      <xdr:row>120</xdr:row>
      <xdr:rowOff>0</xdr:rowOff>
    </xdr:to>
    <xdr:sp macro="" textlink="">
      <xdr:nvSpPr>
        <xdr:cNvPr id="74" name="TextBox 13">
          <a:extLst>
            <a:ext uri="{FF2B5EF4-FFF2-40B4-BE49-F238E27FC236}">
              <a16:creationId xmlns:a16="http://schemas.microsoft.com/office/drawing/2014/main" id="{00000000-0008-0000-0200-00004A000000}"/>
            </a:ext>
          </a:extLst>
        </xdr:cNvPr>
        <xdr:cNvSpPr txBox="1"/>
      </xdr:nvSpPr>
      <xdr:spPr>
        <a:xfrm rot="16200000">
          <a:off x="12686665" y="54688105"/>
          <a:ext cx="24003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118</xdr:row>
      <xdr:rowOff>218498</xdr:rowOff>
    </xdr:from>
    <xdr:to>
      <xdr:col>17</xdr:col>
      <xdr:colOff>484371</xdr:colOff>
      <xdr:row>118</xdr:row>
      <xdr:rowOff>218498</xdr:rowOff>
    </xdr:to>
    <xdr:cxnSp macro="">
      <xdr:nvCxnSpPr>
        <xdr:cNvPr id="75" name="Straight Connector 2">
          <a:extLst>
            <a:ext uri="{FF2B5EF4-FFF2-40B4-BE49-F238E27FC236}">
              <a16:creationId xmlns:a16="http://schemas.microsoft.com/office/drawing/2014/main" id="{00000000-0008-0000-0200-00004B000000}"/>
            </a:ext>
          </a:extLst>
        </xdr:cNvPr>
        <xdr:cNvCxnSpPr/>
      </xdr:nvCxnSpPr>
      <xdr:spPr>
        <a:xfrm>
          <a:off x="12831445" y="5380418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118</xdr:row>
      <xdr:rowOff>221006</xdr:rowOff>
    </xdr:from>
    <xdr:to>
      <xdr:col>18</xdr:col>
      <xdr:colOff>287962</xdr:colOff>
      <xdr:row>118</xdr:row>
      <xdr:rowOff>221006</xdr:rowOff>
    </xdr:to>
    <xdr:cxnSp macro="">
      <xdr:nvCxnSpPr>
        <xdr:cNvPr id="76" name="Straight Connector 19">
          <a:extLst>
            <a:ext uri="{FF2B5EF4-FFF2-40B4-BE49-F238E27FC236}">
              <a16:creationId xmlns:a16="http://schemas.microsoft.com/office/drawing/2014/main" id="{00000000-0008-0000-0200-00004C000000}"/>
            </a:ext>
          </a:extLst>
        </xdr:cNvPr>
        <xdr:cNvCxnSpPr/>
      </xdr:nvCxnSpPr>
      <xdr:spPr>
        <a:xfrm>
          <a:off x="14003655" y="5380672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118</xdr:row>
      <xdr:rowOff>16510</xdr:rowOff>
    </xdr:from>
    <xdr:to>
      <xdr:col>17</xdr:col>
      <xdr:colOff>467995</xdr:colOff>
      <xdr:row>121</xdr:row>
      <xdr:rowOff>6985</xdr:rowOff>
    </xdr:to>
    <xdr:sp macro="" textlink="">
      <xdr:nvSpPr>
        <xdr:cNvPr id="77" name="TextBox 13">
          <a:extLst>
            <a:ext uri="{FF2B5EF4-FFF2-40B4-BE49-F238E27FC236}">
              <a16:creationId xmlns:a16="http://schemas.microsoft.com/office/drawing/2014/main" id="{00000000-0008-0000-0200-00004D000000}"/>
            </a:ext>
          </a:extLst>
        </xdr:cNvPr>
        <xdr:cNvSpPr txBox="1"/>
      </xdr:nvSpPr>
      <xdr:spPr>
        <a:xfrm rot="16200000">
          <a:off x="12491085" y="54900195"/>
          <a:ext cx="27908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19</xdr:col>
      <xdr:colOff>477887</xdr:colOff>
      <xdr:row>107</xdr:row>
      <xdr:rowOff>201943</xdr:rowOff>
    </xdr:from>
    <xdr:to>
      <xdr:col>19</xdr:col>
      <xdr:colOff>600061</xdr:colOff>
      <xdr:row>107</xdr:row>
      <xdr:rowOff>201943</xdr:rowOff>
    </xdr:to>
    <xdr:cxnSp macro="">
      <xdr:nvCxnSpPr>
        <xdr:cNvPr id="78" name="Straight Connector 19">
          <a:extLst>
            <a:ext uri="{FF2B5EF4-FFF2-40B4-BE49-F238E27FC236}">
              <a16:creationId xmlns:a16="http://schemas.microsoft.com/office/drawing/2014/main" id="{00000000-0008-0000-0200-00004E000000}"/>
            </a:ext>
          </a:extLst>
        </xdr:cNvPr>
        <xdr:cNvCxnSpPr/>
      </xdr:nvCxnSpPr>
      <xdr:spPr>
        <a:xfrm>
          <a:off x="15384145" y="4964874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106</xdr:row>
      <xdr:rowOff>0</xdr:rowOff>
    </xdr:from>
    <xdr:to>
      <xdr:col>18</xdr:col>
      <xdr:colOff>468820</xdr:colOff>
      <xdr:row>107</xdr:row>
      <xdr:rowOff>367030</xdr:rowOff>
    </xdr:to>
    <xdr:sp macro="" textlink="">
      <xdr:nvSpPr>
        <xdr:cNvPr id="82" name="TextBox 13">
          <a:extLst>
            <a:ext uri="{FF2B5EF4-FFF2-40B4-BE49-F238E27FC236}">
              <a16:creationId xmlns:a16="http://schemas.microsoft.com/office/drawing/2014/main" id="{00000000-0008-0000-0200-000052000000}"/>
            </a:ext>
          </a:extLst>
        </xdr:cNvPr>
        <xdr:cNvSpPr txBox="1"/>
      </xdr:nvSpPr>
      <xdr:spPr>
        <a:xfrm rot="16200000">
          <a:off x="14208125" y="49342040"/>
          <a:ext cx="74803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3122</xdr:colOff>
      <xdr:row>1</xdr:row>
      <xdr:rowOff>15240</xdr:rowOff>
    </xdr:from>
    <xdr:to>
      <xdr:col>20</xdr:col>
      <xdr:colOff>3122</xdr:colOff>
      <xdr:row>115</xdr:row>
      <xdr:rowOff>356152</xdr:rowOff>
    </xdr:to>
    <xdr:cxnSp macro="">
      <xdr:nvCxnSpPr>
        <xdr:cNvPr id="2" name="Straight Connector 27">
          <a:extLst>
            <a:ext uri="{FF2B5EF4-FFF2-40B4-BE49-F238E27FC236}">
              <a16:creationId xmlns:a16="http://schemas.microsoft.com/office/drawing/2014/main" id="{00000000-0008-0000-0400-000002000000}"/>
            </a:ext>
          </a:extLst>
        </xdr:cNvPr>
        <xdr:cNvCxnSpPr/>
      </xdr:nvCxnSpPr>
      <xdr:spPr>
        <a:xfrm>
          <a:off x="14785340" y="205740"/>
          <a:ext cx="0" cy="61600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230000</xdr:colOff>
      <xdr:row>59</xdr:row>
      <xdr:rowOff>215000</xdr:rowOff>
    </xdr:from>
    <xdr:to>
      <xdr:col>17</xdr:col>
      <xdr:colOff>484371</xdr:colOff>
      <xdr:row>59</xdr:row>
      <xdr:rowOff>218498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12926695" y="34804350"/>
          <a:ext cx="25400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59</xdr:row>
      <xdr:rowOff>220000</xdr:rowOff>
    </xdr:from>
    <xdr:to>
      <xdr:col>19</xdr:col>
      <xdr:colOff>595000</xdr:colOff>
      <xdr:row>59</xdr:row>
      <xdr:rowOff>221006</xdr:rowOff>
    </xdr:to>
    <xdr:cxnSp macro="">
      <xdr:nvCxnSpPr>
        <xdr:cNvPr id="4" name="Straight Connector 19">
          <a:extLst>
            <a:ext uri="{FF2B5EF4-FFF2-40B4-BE49-F238E27FC236}">
              <a16:creationId xmlns:a16="http://schemas.microsoft.com/office/drawing/2014/main" id="{00000000-0008-0000-0400-000004000000}"/>
            </a:ext>
          </a:extLst>
        </xdr:cNvPr>
        <xdr:cNvCxnSpPr/>
      </xdr:nvCxnSpPr>
      <xdr:spPr>
        <a:xfrm flipV="1">
          <a:off x="13184505" y="34809430"/>
          <a:ext cx="149796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336826</xdr:colOff>
      <xdr:row>2</xdr:row>
      <xdr:rowOff>287131</xdr:rowOff>
    </xdr:from>
    <xdr:to>
      <xdr:col>15</xdr:col>
      <xdr:colOff>585304</xdr:colOff>
      <xdr:row>2</xdr:row>
      <xdr:rowOff>292652</xdr:rowOff>
    </xdr:to>
    <xdr:cxnSp macro="">
      <xdr:nvCxnSpPr>
        <xdr:cNvPr id="5" name="Straight Connector 1">
          <a:extLst>
            <a:ext uri="{FF2B5EF4-FFF2-40B4-BE49-F238E27FC236}">
              <a16:creationId xmlns:a16="http://schemas.microsoft.com/office/drawing/2014/main" id="{00000000-0008-0000-0400-000005000000}"/>
            </a:ext>
          </a:extLst>
        </xdr:cNvPr>
        <xdr:cNvCxnSpPr/>
      </xdr:nvCxnSpPr>
      <xdr:spPr>
        <a:xfrm>
          <a:off x="11642725" y="1067435"/>
          <a:ext cx="2482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273618</xdr:colOff>
      <xdr:row>57</xdr:row>
      <xdr:rowOff>294269</xdr:rowOff>
    </xdr:from>
    <xdr:to>
      <xdr:col>17</xdr:col>
      <xdr:colOff>495610</xdr:colOff>
      <xdr:row>57</xdr:row>
      <xdr:rowOff>297760</xdr:rowOff>
    </xdr:to>
    <xdr:cxnSp macro="">
      <xdr:nvCxnSpPr>
        <xdr:cNvPr id="6" name="Straight Connector 2">
          <a:extLst>
            <a:ext uri="{FF2B5EF4-FFF2-40B4-BE49-F238E27FC236}">
              <a16:creationId xmlns:a16="http://schemas.microsoft.com/office/drawing/2014/main" id="{00000000-0008-0000-0400-000006000000}"/>
            </a:ext>
          </a:extLst>
        </xdr:cNvPr>
        <xdr:cNvCxnSpPr/>
      </xdr:nvCxnSpPr>
      <xdr:spPr>
        <a:xfrm>
          <a:off x="12969875" y="33425765"/>
          <a:ext cx="22225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42951</xdr:colOff>
      <xdr:row>0</xdr:row>
      <xdr:rowOff>41413</xdr:rowOff>
    </xdr:from>
    <xdr:to>
      <xdr:col>13</xdr:col>
      <xdr:colOff>42951</xdr:colOff>
      <xdr:row>73</xdr:row>
      <xdr:rowOff>0</xdr:rowOff>
    </xdr:to>
    <xdr:cxnSp macro="">
      <xdr:nvCxnSpPr>
        <xdr:cNvPr id="7" name="Straight Connector 5">
          <a:extLst>
            <a:ext uri="{FF2B5EF4-FFF2-40B4-BE49-F238E27FC236}">
              <a16:creationId xmlns:a16="http://schemas.microsoft.com/office/drawing/2014/main" id="{00000000-0008-0000-0400-000007000000}"/>
            </a:ext>
          </a:extLst>
        </xdr:cNvPr>
        <xdr:cNvCxnSpPr/>
      </xdr:nvCxnSpPr>
      <xdr:spPr>
        <a:xfrm>
          <a:off x="10610850" y="41275"/>
          <a:ext cx="0" cy="428555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xdr:row>
      <xdr:rowOff>15421</xdr:rowOff>
    </xdr:from>
    <xdr:to>
      <xdr:col>15</xdr:col>
      <xdr:colOff>0</xdr:colOff>
      <xdr:row>115</xdr:row>
      <xdr:rowOff>356152</xdr:rowOff>
    </xdr:to>
    <xdr:cxnSp macro="">
      <xdr:nvCxnSpPr>
        <xdr:cNvPr id="8" name="Straight Connector 6">
          <a:extLst>
            <a:ext uri="{FF2B5EF4-FFF2-40B4-BE49-F238E27FC236}">
              <a16:creationId xmlns:a16="http://schemas.microsoft.com/office/drawing/2014/main" id="{00000000-0008-0000-0400-000008000000}"/>
            </a:ext>
          </a:extLst>
        </xdr:cNvPr>
        <xdr:cNvCxnSpPr/>
      </xdr:nvCxnSpPr>
      <xdr:spPr>
        <a:xfrm>
          <a:off x="11306175" y="205740"/>
          <a:ext cx="0" cy="61600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554935</xdr:colOff>
      <xdr:row>1</xdr:row>
      <xdr:rowOff>15240</xdr:rowOff>
    </xdr:from>
    <xdr:to>
      <xdr:col>15</xdr:col>
      <xdr:colOff>605790</xdr:colOff>
      <xdr:row>115</xdr:row>
      <xdr:rowOff>364434</xdr:rowOff>
    </xdr:to>
    <xdr:cxnSp macro="">
      <xdr:nvCxnSpPr>
        <xdr:cNvPr id="9" name="Straight Connector 7">
          <a:extLst>
            <a:ext uri="{FF2B5EF4-FFF2-40B4-BE49-F238E27FC236}">
              <a16:creationId xmlns:a16="http://schemas.microsoft.com/office/drawing/2014/main" id="{00000000-0008-0000-0400-000009000000}"/>
            </a:ext>
          </a:extLst>
        </xdr:cNvPr>
        <xdr:cNvCxnSpPr/>
      </xdr:nvCxnSpPr>
      <xdr:spPr>
        <a:xfrm flipH="1">
          <a:off x="11860530" y="205740"/>
          <a:ext cx="51435" cy="616089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3842</xdr:colOff>
      <xdr:row>1</xdr:row>
      <xdr:rowOff>19050</xdr:rowOff>
    </xdr:from>
    <xdr:to>
      <xdr:col>17</xdr:col>
      <xdr:colOff>3842</xdr:colOff>
      <xdr:row>115</xdr:row>
      <xdr:rowOff>347869</xdr:rowOff>
    </xdr:to>
    <xdr:cxnSp macro="">
      <xdr:nvCxnSpPr>
        <xdr:cNvPr id="10" name="Straight Connector 8">
          <a:extLst>
            <a:ext uri="{FF2B5EF4-FFF2-40B4-BE49-F238E27FC236}">
              <a16:creationId xmlns:a16="http://schemas.microsoft.com/office/drawing/2014/main" id="{00000000-0008-0000-0400-00000A000000}"/>
            </a:ext>
          </a:extLst>
        </xdr:cNvPr>
        <xdr:cNvCxnSpPr/>
      </xdr:nvCxnSpPr>
      <xdr:spPr>
        <a:xfrm>
          <a:off x="12700635" y="209550"/>
          <a:ext cx="0" cy="615886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115</xdr:row>
      <xdr:rowOff>339587</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14087475" y="209550"/>
          <a:ext cx="0" cy="615803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479102</xdr:colOff>
      <xdr:row>1</xdr:row>
      <xdr:rowOff>0</xdr:rowOff>
    </xdr:from>
    <xdr:to>
      <xdr:col>17</xdr:col>
      <xdr:colOff>479102</xdr:colOff>
      <xdr:row>113</xdr:row>
      <xdr:rowOff>339586</xdr:rowOff>
    </xdr:to>
    <xdr:cxnSp macro="">
      <xdr:nvCxnSpPr>
        <xdr:cNvPr id="12" name="Straight Connector 10">
          <a:extLst>
            <a:ext uri="{FF2B5EF4-FFF2-40B4-BE49-F238E27FC236}">
              <a16:creationId xmlns:a16="http://schemas.microsoft.com/office/drawing/2014/main" id="{00000000-0008-0000-0400-00000C000000}"/>
            </a:ext>
          </a:extLst>
        </xdr:cNvPr>
        <xdr:cNvCxnSpPr/>
      </xdr:nvCxnSpPr>
      <xdr:spPr>
        <a:xfrm>
          <a:off x="13175615" y="190500"/>
          <a:ext cx="0" cy="60555505"/>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259582</xdr:colOff>
      <xdr:row>64</xdr:row>
      <xdr:rowOff>314529</xdr:rowOff>
    </xdr:from>
    <xdr:to>
      <xdr:col>17</xdr:col>
      <xdr:colOff>454439</xdr:colOff>
      <xdr:row>107</xdr:row>
      <xdr:rowOff>78460</xdr:rowOff>
    </xdr:to>
    <xdr:sp macro="" textlink="">
      <xdr:nvSpPr>
        <xdr:cNvPr id="13" name="TextBox 13">
          <a:extLst>
            <a:ext uri="{FF2B5EF4-FFF2-40B4-BE49-F238E27FC236}">
              <a16:creationId xmlns:a16="http://schemas.microsoft.com/office/drawing/2014/main" id="{00000000-0008-0000-0400-00000D000000}"/>
            </a:ext>
          </a:extLst>
        </xdr:cNvPr>
        <xdr:cNvSpPr txBox="1"/>
      </xdr:nvSpPr>
      <xdr:spPr>
        <a:xfrm rot="16200000">
          <a:off x="3387725" y="47395765"/>
          <a:ext cx="1933130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17</xdr:col>
      <xdr:colOff>77564</xdr:colOff>
      <xdr:row>12</xdr:row>
      <xdr:rowOff>280183</xdr:rowOff>
    </xdr:from>
    <xdr:to>
      <xdr:col>17</xdr:col>
      <xdr:colOff>188148</xdr:colOff>
      <xdr:row>12</xdr:row>
      <xdr:rowOff>282222</xdr:rowOff>
    </xdr:to>
    <xdr:cxnSp macro="">
      <xdr:nvCxnSpPr>
        <xdr:cNvPr id="14" name="Straight Connector 17">
          <a:extLst>
            <a:ext uri="{FF2B5EF4-FFF2-40B4-BE49-F238E27FC236}">
              <a16:creationId xmlns:a16="http://schemas.microsoft.com/office/drawing/2014/main" id="{00000000-0008-0000-0400-00000E000000}"/>
            </a:ext>
          </a:extLst>
        </xdr:cNvPr>
        <xdr:cNvCxnSpPr/>
      </xdr:nvCxnSpPr>
      <xdr:spPr>
        <a:xfrm>
          <a:off x="12774295" y="6694805"/>
          <a:ext cx="11049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96983</xdr:colOff>
      <xdr:row>17</xdr:row>
      <xdr:rowOff>289403</xdr:rowOff>
    </xdr:from>
    <xdr:to>
      <xdr:col>17</xdr:col>
      <xdr:colOff>236017</xdr:colOff>
      <xdr:row>17</xdr:row>
      <xdr:rowOff>291786</xdr:rowOff>
    </xdr:to>
    <xdr:cxnSp macro="">
      <xdr:nvCxnSpPr>
        <xdr:cNvPr id="15" name="Straight Connector 18">
          <a:extLst>
            <a:ext uri="{FF2B5EF4-FFF2-40B4-BE49-F238E27FC236}">
              <a16:creationId xmlns:a16="http://schemas.microsoft.com/office/drawing/2014/main" id="{00000000-0008-0000-0400-00000F000000}"/>
            </a:ext>
          </a:extLst>
        </xdr:cNvPr>
        <xdr:cNvCxnSpPr/>
      </xdr:nvCxnSpPr>
      <xdr:spPr>
        <a:xfrm flipV="1">
          <a:off x="12793345" y="9697085"/>
          <a:ext cx="139065" cy="254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205406</xdr:colOff>
      <xdr:row>22</xdr:row>
      <xdr:rowOff>297877</xdr:rowOff>
    </xdr:from>
    <xdr:to>
      <xdr:col>17</xdr:col>
      <xdr:colOff>365923</xdr:colOff>
      <xdr:row>22</xdr:row>
      <xdr:rowOff>297877</xdr:rowOff>
    </xdr:to>
    <xdr:cxnSp macro="">
      <xdr:nvCxnSpPr>
        <xdr:cNvPr id="16" name="Straight Connector 19">
          <a:extLst>
            <a:ext uri="{FF2B5EF4-FFF2-40B4-BE49-F238E27FC236}">
              <a16:creationId xmlns:a16="http://schemas.microsoft.com/office/drawing/2014/main" id="{00000000-0008-0000-0400-000010000000}"/>
            </a:ext>
          </a:extLst>
        </xdr:cNvPr>
        <xdr:cNvCxnSpPr/>
      </xdr:nvCxnSpPr>
      <xdr:spPr>
        <a:xfrm>
          <a:off x="12901930" y="1269936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338089</xdr:colOff>
      <xdr:row>27</xdr:row>
      <xdr:rowOff>305294</xdr:rowOff>
    </xdr:from>
    <xdr:to>
      <xdr:col>17</xdr:col>
      <xdr:colOff>473126</xdr:colOff>
      <xdr:row>27</xdr:row>
      <xdr:rowOff>305580</xdr:rowOff>
    </xdr:to>
    <xdr:cxnSp macro="">
      <xdr:nvCxnSpPr>
        <xdr:cNvPr id="17" name="Straight Connector 20">
          <a:extLst>
            <a:ext uri="{FF2B5EF4-FFF2-40B4-BE49-F238E27FC236}">
              <a16:creationId xmlns:a16="http://schemas.microsoft.com/office/drawing/2014/main" id="{00000000-0008-0000-0400-000011000000}"/>
            </a:ext>
          </a:extLst>
        </xdr:cNvPr>
        <xdr:cNvCxnSpPr/>
      </xdr:nvCxnSpPr>
      <xdr:spPr>
        <a:xfrm flipV="1">
          <a:off x="13034645" y="15699740"/>
          <a:ext cx="13525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5669</xdr:colOff>
      <xdr:row>32</xdr:row>
      <xdr:rowOff>298947</xdr:rowOff>
    </xdr:from>
    <xdr:to>
      <xdr:col>17</xdr:col>
      <xdr:colOff>173140</xdr:colOff>
      <xdr:row>32</xdr:row>
      <xdr:rowOff>298947</xdr:rowOff>
    </xdr:to>
    <xdr:cxnSp macro="">
      <xdr:nvCxnSpPr>
        <xdr:cNvPr id="18" name="Straight Connector 21">
          <a:extLst>
            <a:ext uri="{FF2B5EF4-FFF2-40B4-BE49-F238E27FC236}">
              <a16:creationId xmlns:a16="http://schemas.microsoft.com/office/drawing/2014/main" id="{00000000-0008-0000-0400-000012000000}"/>
            </a:ext>
          </a:extLst>
        </xdr:cNvPr>
        <xdr:cNvCxnSpPr/>
      </xdr:nvCxnSpPr>
      <xdr:spPr>
        <a:xfrm>
          <a:off x="12701905" y="18686780"/>
          <a:ext cx="1676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102416</xdr:colOff>
      <xdr:row>62</xdr:row>
      <xdr:rowOff>184321</xdr:rowOff>
    </xdr:from>
    <xdr:to>
      <xdr:col>20</xdr:col>
      <xdr:colOff>224590</xdr:colOff>
      <xdr:row>62</xdr:row>
      <xdr:rowOff>184321</xdr:rowOff>
    </xdr:to>
    <xdr:cxnSp macro="">
      <xdr:nvCxnSpPr>
        <xdr:cNvPr id="19" name="Straight Connector 19">
          <a:extLst>
            <a:ext uri="{FF2B5EF4-FFF2-40B4-BE49-F238E27FC236}">
              <a16:creationId xmlns:a16="http://schemas.microsoft.com/office/drawing/2014/main" id="{00000000-0008-0000-0400-000013000000}"/>
            </a:ext>
          </a:extLst>
        </xdr:cNvPr>
        <xdr:cNvCxnSpPr/>
      </xdr:nvCxnSpPr>
      <xdr:spPr>
        <a:xfrm>
          <a:off x="14885035" y="3663061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165743</xdr:colOff>
      <xdr:row>63</xdr:row>
      <xdr:rowOff>186245</xdr:rowOff>
    </xdr:from>
    <xdr:to>
      <xdr:col>20</xdr:col>
      <xdr:colOff>287917</xdr:colOff>
      <xdr:row>63</xdr:row>
      <xdr:rowOff>186245</xdr:rowOff>
    </xdr:to>
    <xdr:cxnSp macro="">
      <xdr:nvCxnSpPr>
        <xdr:cNvPr id="20" name="Straight Connector 19">
          <a:extLst>
            <a:ext uri="{FF2B5EF4-FFF2-40B4-BE49-F238E27FC236}">
              <a16:creationId xmlns:a16="http://schemas.microsoft.com/office/drawing/2014/main" id="{00000000-0008-0000-0400-000014000000}"/>
            </a:ext>
          </a:extLst>
        </xdr:cNvPr>
        <xdr:cNvCxnSpPr/>
      </xdr:nvCxnSpPr>
      <xdr:spPr>
        <a:xfrm>
          <a:off x="14948535" y="3716591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269040</xdr:colOff>
      <xdr:row>9</xdr:row>
      <xdr:rowOff>288818</xdr:rowOff>
    </xdr:from>
    <xdr:to>
      <xdr:col>17</xdr:col>
      <xdr:colOff>407245</xdr:colOff>
      <xdr:row>9</xdr:row>
      <xdr:rowOff>288818</xdr:rowOff>
    </xdr:to>
    <xdr:cxnSp macro="">
      <xdr:nvCxnSpPr>
        <xdr:cNvPr id="21" name="Straight Connector 32">
          <a:extLst>
            <a:ext uri="{FF2B5EF4-FFF2-40B4-BE49-F238E27FC236}">
              <a16:creationId xmlns:a16="http://schemas.microsoft.com/office/drawing/2014/main" id="{00000000-0008-0000-0400-000015000000}"/>
            </a:ext>
          </a:extLst>
        </xdr:cNvPr>
        <xdr:cNvCxnSpPr/>
      </xdr:nvCxnSpPr>
      <xdr:spPr>
        <a:xfrm>
          <a:off x="12965430" y="5101590"/>
          <a:ext cx="1384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368115</xdr:colOff>
      <xdr:row>18</xdr:row>
      <xdr:rowOff>253079</xdr:rowOff>
    </xdr:from>
    <xdr:to>
      <xdr:col>17</xdr:col>
      <xdr:colOff>470673</xdr:colOff>
      <xdr:row>18</xdr:row>
      <xdr:rowOff>253129</xdr:rowOff>
    </xdr:to>
    <xdr:cxnSp macro="">
      <xdr:nvCxnSpPr>
        <xdr:cNvPr id="22" name="Straight Connector 34">
          <a:extLst>
            <a:ext uri="{FF2B5EF4-FFF2-40B4-BE49-F238E27FC236}">
              <a16:creationId xmlns:a16="http://schemas.microsoft.com/office/drawing/2014/main" id="{00000000-0008-0000-0400-000016000000}"/>
            </a:ext>
          </a:extLst>
        </xdr:cNvPr>
        <xdr:cNvCxnSpPr/>
      </xdr:nvCxnSpPr>
      <xdr:spPr>
        <a:xfrm>
          <a:off x="13064490" y="10356850"/>
          <a:ext cx="1028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123963</xdr:colOff>
      <xdr:row>33</xdr:row>
      <xdr:rowOff>298314</xdr:rowOff>
    </xdr:from>
    <xdr:to>
      <xdr:col>17</xdr:col>
      <xdr:colOff>269185</xdr:colOff>
      <xdr:row>33</xdr:row>
      <xdr:rowOff>298314</xdr:rowOff>
    </xdr:to>
    <xdr:cxnSp macro="">
      <xdr:nvCxnSpPr>
        <xdr:cNvPr id="23" name="Straight Connector 37">
          <a:extLst>
            <a:ext uri="{FF2B5EF4-FFF2-40B4-BE49-F238E27FC236}">
              <a16:creationId xmlns:a16="http://schemas.microsoft.com/office/drawing/2014/main" id="{00000000-0008-0000-0400-000017000000}"/>
            </a:ext>
          </a:extLst>
        </xdr:cNvPr>
        <xdr:cNvCxnSpPr/>
      </xdr:nvCxnSpPr>
      <xdr:spPr>
        <a:xfrm>
          <a:off x="12820650" y="19382105"/>
          <a:ext cx="1447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404487</xdr:colOff>
      <xdr:row>14</xdr:row>
      <xdr:rowOff>284880</xdr:rowOff>
    </xdr:from>
    <xdr:to>
      <xdr:col>17</xdr:col>
      <xdr:colOff>471773</xdr:colOff>
      <xdr:row>14</xdr:row>
      <xdr:rowOff>285762</xdr:rowOff>
    </xdr:to>
    <xdr:cxnSp macro="">
      <xdr:nvCxnSpPr>
        <xdr:cNvPr id="24" name="Straight Connector 40">
          <a:extLst>
            <a:ext uri="{FF2B5EF4-FFF2-40B4-BE49-F238E27FC236}">
              <a16:creationId xmlns:a16="http://schemas.microsoft.com/office/drawing/2014/main" id="{00000000-0008-0000-0400-000018000000}"/>
            </a:ext>
          </a:extLst>
        </xdr:cNvPr>
        <xdr:cNvCxnSpPr/>
      </xdr:nvCxnSpPr>
      <xdr:spPr>
        <a:xfrm>
          <a:off x="13100685" y="8091170"/>
          <a:ext cx="6731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340139</xdr:colOff>
      <xdr:row>4</xdr:row>
      <xdr:rowOff>284922</xdr:rowOff>
    </xdr:from>
    <xdr:to>
      <xdr:col>17</xdr:col>
      <xdr:colOff>106680</xdr:colOff>
      <xdr:row>4</xdr:row>
      <xdr:rowOff>289560</xdr:rowOff>
    </xdr:to>
    <xdr:cxnSp macro="">
      <xdr:nvCxnSpPr>
        <xdr:cNvPr id="25" name="Straight Connector 1">
          <a:extLst>
            <a:ext uri="{FF2B5EF4-FFF2-40B4-BE49-F238E27FC236}">
              <a16:creationId xmlns:a16="http://schemas.microsoft.com/office/drawing/2014/main" id="{00000000-0008-0000-0400-000019000000}"/>
            </a:ext>
          </a:extLst>
        </xdr:cNvPr>
        <xdr:cNvCxnSpPr/>
      </xdr:nvCxnSpPr>
      <xdr:spPr>
        <a:xfrm>
          <a:off x="11645900" y="1551940"/>
          <a:ext cx="1157605"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207479</xdr:colOff>
      <xdr:row>5</xdr:row>
      <xdr:rowOff>267668</xdr:rowOff>
    </xdr:from>
    <xdr:to>
      <xdr:col>17</xdr:col>
      <xdr:colOff>50800</xdr:colOff>
      <xdr:row>5</xdr:row>
      <xdr:rowOff>279400</xdr:rowOff>
    </xdr:to>
    <xdr:cxnSp macro="">
      <xdr:nvCxnSpPr>
        <xdr:cNvPr id="26" name="Straight Connector 1">
          <a:extLst>
            <a:ext uri="{FF2B5EF4-FFF2-40B4-BE49-F238E27FC236}">
              <a16:creationId xmlns:a16="http://schemas.microsoft.com/office/drawing/2014/main" id="{00000000-0008-0000-0400-00001A000000}"/>
            </a:ext>
          </a:extLst>
        </xdr:cNvPr>
        <xdr:cNvCxnSpPr/>
      </xdr:nvCxnSpPr>
      <xdr:spPr>
        <a:xfrm>
          <a:off x="12208510" y="2230755"/>
          <a:ext cx="539115" cy="1206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419361</xdr:colOff>
      <xdr:row>10</xdr:row>
      <xdr:rowOff>275394</xdr:rowOff>
    </xdr:from>
    <xdr:to>
      <xdr:col>17</xdr:col>
      <xdr:colOff>490524</xdr:colOff>
      <xdr:row>10</xdr:row>
      <xdr:rowOff>279377</xdr:rowOff>
    </xdr:to>
    <xdr:cxnSp macro="">
      <xdr:nvCxnSpPr>
        <xdr:cNvPr id="27" name="Straight Connector 64">
          <a:extLst>
            <a:ext uri="{FF2B5EF4-FFF2-40B4-BE49-F238E27FC236}">
              <a16:creationId xmlns:a16="http://schemas.microsoft.com/office/drawing/2014/main" id="{00000000-0008-0000-0400-00001B000000}"/>
            </a:ext>
          </a:extLst>
        </xdr:cNvPr>
        <xdr:cNvCxnSpPr/>
      </xdr:nvCxnSpPr>
      <xdr:spPr>
        <a:xfrm>
          <a:off x="13115925" y="5784215"/>
          <a:ext cx="7112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170430</xdr:colOff>
      <xdr:row>24</xdr:row>
      <xdr:rowOff>309217</xdr:rowOff>
    </xdr:from>
    <xdr:to>
      <xdr:col>18</xdr:col>
      <xdr:colOff>425174</xdr:colOff>
      <xdr:row>24</xdr:row>
      <xdr:rowOff>310365</xdr:rowOff>
    </xdr:to>
    <xdr:cxnSp macro="">
      <xdr:nvCxnSpPr>
        <xdr:cNvPr id="28" name="Straight Connector 19">
          <a:extLst>
            <a:ext uri="{FF2B5EF4-FFF2-40B4-BE49-F238E27FC236}">
              <a16:creationId xmlns:a16="http://schemas.microsoft.com/office/drawing/2014/main" id="{00000000-0008-0000-0400-00001C000000}"/>
            </a:ext>
          </a:extLst>
        </xdr:cNvPr>
        <xdr:cNvCxnSpPr/>
      </xdr:nvCxnSpPr>
      <xdr:spPr>
        <a:xfrm flipV="1">
          <a:off x="13562330" y="14102080"/>
          <a:ext cx="25463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345730</xdr:colOff>
      <xdr:row>25</xdr:row>
      <xdr:rowOff>260353</xdr:rowOff>
    </xdr:from>
    <xdr:to>
      <xdr:col>18</xdr:col>
      <xdr:colOff>421831</xdr:colOff>
      <xdr:row>25</xdr:row>
      <xdr:rowOff>261316</xdr:rowOff>
    </xdr:to>
    <xdr:cxnSp macro="">
      <xdr:nvCxnSpPr>
        <xdr:cNvPr id="29" name="Straight Connector 19">
          <a:extLst>
            <a:ext uri="{FF2B5EF4-FFF2-40B4-BE49-F238E27FC236}">
              <a16:creationId xmlns:a16="http://schemas.microsoft.com/office/drawing/2014/main" id="{00000000-0008-0000-0400-00001D000000}"/>
            </a:ext>
          </a:extLst>
        </xdr:cNvPr>
        <xdr:cNvCxnSpPr/>
      </xdr:nvCxnSpPr>
      <xdr:spPr>
        <a:xfrm flipV="1">
          <a:off x="13737590" y="14749780"/>
          <a:ext cx="7620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308080</xdr:colOff>
      <xdr:row>29</xdr:row>
      <xdr:rowOff>315602</xdr:rowOff>
    </xdr:from>
    <xdr:to>
      <xdr:col>18</xdr:col>
      <xdr:colOff>536118</xdr:colOff>
      <xdr:row>29</xdr:row>
      <xdr:rowOff>320193</xdr:rowOff>
    </xdr:to>
    <xdr:cxnSp macro="">
      <xdr:nvCxnSpPr>
        <xdr:cNvPr id="30" name="Straight Connector 19">
          <a:extLst>
            <a:ext uri="{FF2B5EF4-FFF2-40B4-BE49-F238E27FC236}">
              <a16:creationId xmlns:a16="http://schemas.microsoft.com/office/drawing/2014/main" id="{00000000-0008-0000-0400-00001E000000}"/>
            </a:ext>
          </a:extLst>
        </xdr:cNvPr>
        <xdr:cNvCxnSpPr/>
      </xdr:nvCxnSpPr>
      <xdr:spPr>
        <a:xfrm>
          <a:off x="13700125" y="17102455"/>
          <a:ext cx="22796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531911</xdr:colOff>
      <xdr:row>30</xdr:row>
      <xdr:rowOff>289210</xdr:rowOff>
    </xdr:from>
    <xdr:to>
      <xdr:col>19</xdr:col>
      <xdr:colOff>7522</xdr:colOff>
      <xdr:row>30</xdr:row>
      <xdr:rowOff>289235</xdr:rowOff>
    </xdr:to>
    <xdr:cxnSp macro="">
      <xdr:nvCxnSpPr>
        <xdr:cNvPr id="31" name="Straight Connector 19">
          <a:extLst>
            <a:ext uri="{FF2B5EF4-FFF2-40B4-BE49-F238E27FC236}">
              <a16:creationId xmlns:a16="http://schemas.microsoft.com/office/drawing/2014/main" id="{00000000-0008-0000-0400-00001F000000}"/>
            </a:ext>
          </a:extLst>
        </xdr:cNvPr>
        <xdr:cNvCxnSpPr/>
      </xdr:nvCxnSpPr>
      <xdr:spPr>
        <a:xfrm flipV="1">
          <a:off x="13923645" y="17771745"/>
          <a:ext cx="1708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579035</xdr:colOff>
      <xdr:row>34</xdr:row>
      <xdr:rowOff>270987</xdr:rowOff>
    </xdr:from>
    <xdr:to>
      <xdr:col>19</xdr:col>
      <xdr:colOff>190096</xdr:colOff>
      <xdr:row>34</xdr:row>
      <xdr:rowOff>276852</xdr:rowOff>
    </xdr:to>
    <xdr:cxnSp macro="">
      <xdr:nvCxnSpPr>
        <xdr:cNvPr id="32" name="Straight Connector 19">
          <a:extLst>
            <a:ext uri="{FF2B5EF4-FFF2-40B4-BE49-F238E27FC236}">
              <a16:creationId xmlns:a16="http://schemas.microsoft.com/office/drawing/2014/main" id="{00000000-0008-0000-0400-000020000000}"/>
            </a:ext>
          </a:extLst>
        </xdr:cNvPr>
        <xdr:cNvCxnSpPr/>
      </xdr:nvCxnSpPr>
      <xdr:spPr>
        <a:xfrm flipV="1">
          <a:off x="13970635" y="20050760"/>
          <a:ext cx="306705" cy="571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148309</xdr:colOff>
      <xdr:row>35</xdr:row>
      <xdr:rowOff>278690</xdr:rowOff>
    </xdr:from>
    <xdr:to>
      <xdr:col>19</xdr:col>
      <xdr:colOff>258920</xdr:colOff>
      <xdr:row>35</xdr:row>
      <xdr:rowOff>278715</xdr:rowOff>
    </xdr:to>
    <xdr:cxnSp macro="">
      <xdr:nvCxnSpPr>
        <xdr:cNvPr id="33" name="Straight Connector 19">
          <a:extLst>
            <a:ext uri="{FF2B5EF4-FFF2-40B4-BE49-F238E27FC236}">
              <a16:creationId xmlns:a16="http://schemas.microsoft.com/office/drawing/2014/main" id="{00000000-0008-0000-0400-000021000000}"/>
            </a:ext>
          </a:extLst>
        </xdr:cNvPr>
        <xdr:cNvCxnSpPr/>
      </xdr:nvCxnSpPr>
      <xdr:spPr>
        <a:xfrm flipV="1">
          <a:off x="14235430" y="20754340"/>
          <a:ext cx="1104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160715</xdr:colOff>
      <xdr:row>39</xdr:row>
      <xdr:rowOff>303707</xdr:rowOff>
    </xdr:from>
    <xdr:to>
      <xdr:col>19</xdr:col>
      <xdr:colOff>306979</xdr:colOff>
      <xdr:row>39</xdr:row>
      <xdr:rowOff>303732</xdr:rowOff>
    </xdr:to>
    <xdr:cxnSp macro="">
      <xdr:nvCxnSpPr>
        <xdr:cNvPr id="34" name="Straight Connector 19">
          <a:extLst>
            <a:ext uri="{FF2B5EF4-FFF2-40B4-BE49-F238E27FC236}">
              <a16:creationId xmlns:a16="http://schemas.microsoft.com/office/drawing/2014/main" id="{00000000-0008-0000-0400-000022000000}"/>
            </a:ext>
          </a:extLst>
        </xdr:cNvPr>
        <xdr:cNvCxnSpPr/>
      </xdr:nvCxnSpPr>
      <xdr:spPr>
        <a:xfrm flipV="1">
          <a:off x="14248130" y="23077170"/>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300515</xdr:colOff>
      <xdr:row>40</xdr:row>
      <xdr:rowOff>252647</xdr:rowOff>
    </xdr:from>
    <xdr:to>
      <xdr:col>19</xdr:col>
      <xdr:colOff>392268</xdr:colOff>
      <xdr:row>40</xdr:row>
      <xdr:rowOff>253646</xdr:rowOff>
    </xdr:to>
    <xdr:cxnSp macro="">
      <xdr:nvCxnSpPr>
        <xdr:cNvPr id="35" name="Straight Connector 19">
          <a:extLst>
            <a:ext uri="{FF2B5EF4-FFF2-40B4-BE49-F238E27FC236}">
              <a16:creationId xmlns:a16="http://schemas.microsoft.com/office/drawing/2014/main" id="{00000000-0008-0000-0400-000023000000}"/>
            </a:ext>
          </a:extLst>
        </xdr:cNvPr>
        <xdr:cNvCxnSpPr/>
      </xdr:nvCxnSpPr>
      <xdr:spPr>
        <a:xfrm flipV="1">
          <a:off x="14387830" y="23721695"/>
          <a:ext cx="9144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256284</xdr:colOff>
      <xdr:row>42</xdr:row>
      <xdr:rowOff>320873</xdr:rowOff>
    </xdr:from>
    <xdr:to>
      <xdr:col>18</xdr:col>
      <xdr:colOff>531091</xdr:colOff>
      <xdr:row>42</xdr:row>
      <xdr:rowOff>323273</xdr:rowOff>
    </xdr:to>
    <xdr:cxnSp macro="">
      <xdr:nvCxnSpPr>
        <xdr:cNvPr id="36" name="Straight Connector 19">
          <a:extLst>
            <a:ext uri="{FF2B5EF4-FFF2-40B4-BE49-F238E27FC236}">
              <a16:creationId xmlns:a16="http://schemas.microsoft.com/office/drawing/2014/main" id="{00000000-0008-0000-0400-000024000000}"/>
            </a:ext>
          </a:extLst>
        </xdr:cNvPr>
        <xdr:cNvCxnSpPr/>
      </xdr:nvCxnSpPr>
      <xdr:spPr>
        <a:xfrm>
          <a:off x="13648055" y="24695785"/>
          <a:ext cx="2749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283944</xdr:colOff>
      <xdr:row>44</xdr:row>
      <xdr:rowOff>294269</xdr:rowOff>
    </xdr:from>
    <xdr:to>
      <xdr:col>19</xdr:col>
      <xdr:colOff>575730</xdr:colOff>
      <xdr:row>44</xdr:row>
      <xdr:rowOff>300182</xdr:rowOff>
    </xdr:to>
    <xdr:cxnSp macro="">
      <xdr:nvCxnSpPr>
        <xdr:cNvPr id="37" name="Straight Connector 19">
          <a:extLst>
            <a:ext uri="{FF2B5EF4-FFF2-40B4-BE49-F238E27FC236}">
              <a16:creationId xmlns:a16="http://schemas.microsoft.com/office/drawing/2014/main" id="{00000000-0008-0000-0400-000025000000}"/>
            </a:ext>
          </a:extLst>
        </xdr:cNvPr>
        <xdr:cNvCxnSpPr/>
      </xdr:nvCxnSpPr>
      <xdr:spPr>
        <a:xfrm>
          <a:off x="14371320" y="26061035"/>
          <a:ext cx="291465" cy="571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498120</xdr:colOff>
      <xdr:row>45</xdr:row>
      <xdr:rowOff>244203</xdr:rowOff>
    </xdr:from>
    <xdr:to>
      <xdr:col>19</xdr:col>
      <xdr:colOff>587496</xdr:colOff>
      <xdr:row>45</xdr:row>
      <xdr:rowOff>247336</xdr:rowOff>
    </xdr:to>
    <xdr:cxnSp macro="">
      <xdr:nvCxnSpPr>
        <xdr:cNvPr id="38" name="Straight Connector 19">
          <a:extLst>
            <a:ext uri="{FF2B5EF4-FFF2-40B4-BE49-F238E27FC236}">
              <a16:creationId xmlns:a16="http://schemas.microsoft.com/office/drawing/2014/main" id="{00000000-0008-0000-0400-000026000000}"/>
            </a:ext>
          </a:extLst>
        </xdr:cNvPr>
        <xdr:cNvCxnSpPr/>
      </xdr:nvCxnSpPr>
      <xdr:spPr>
        <a:xfrm flipV="1">
          <a:off x="14585315" y="26706830"/>
          <a:ext cx="8953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424927</xdr:colOff>
      <xdr:row>47</xdr:row>
      <xdr:rowOff>267696</xdr:rowOff>
    </xdr:from>
    <xdr:to>
      <xdr:col>18</xdr:col>
      <xdr:colOff>602353</xdr:colOff>
      <xdr:row>47</xdr:row>
      <xdr:rowOff>270809</xdr:rowOff>
    </xdr:to>
    <xdr:cxnSp macro="">
      <xdr:nvCxnSpPr>
        <xdr:cNvPr id="39" name="Straight Connector 19">
          <a:extLst>
            <a:ext uri="{FF2B5EF4-FFF2-40B4-BE49-F238E27FC236}">
              <a16:creationId xmlns:a16="http://schemas.microsoft.com/office/drawing/2014/main" id="{00000000-0008-0000-0400-000027000000}"/>
            </a:ext>
          </a:extLst>
        </xdr:cNvPr>
        <xdr:cNvCxnSpPr/>
      </xdr:nvCxnSpPr>
      <xdr:spPr>
        <a:xfrm flipV="1">
          <a:off x="13816965" y="27635835"/>
          <a:ext cx="17716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1773</xdr:colOff>
      <xdr:row>48</xdr:row>
      <xdr:rowOff>271824</xdr:rowOff>
    </xdr:from>
    <xdr:to>
      <xdr:col>19</xdr:col>
      <xdr:colOff>198000</xdr:colOff>
      <xdr:row>48</xdr:row>
      <xdr:rowOff>275061</xdr:rowOff>
    </xdr:to>
    <xdr:cxnSp macro="">
      <xdr:nvCxnSpPr>
        <xdr:cNvPr id="40" name="Straight Connector 19">
          <a:extLst>
            <a:ext uri="{FF2B5EF4-FFF2-40B4-BE49-F238E27FC236}">
              <a16:creationId xmlns:a16="http://schemas.microsoft.com/office/drawing/2014/main" id="{00000000-0008-0000-0400-000028000000}"/>
            </a:ext>
          </a:extLst>
        </xdr:cNvPr>
        <xdr:cNvCxnSpPr/>
      </xdr:nvCxnSpPr>
      <xdr:spPr>
        <a:xfrm>
          <a:off x="14088745" y="28336240"/>
          <a:ext cx="19621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558623</xdr:colOff>
      <xdr:row>49</xdr:row>
      <xdr:rowOff>289486</xdr:rowOff>
    </xdr:from>
    <xdr:to>
      <xdr:col>20</xdr:col>
      <xdr:colOff>126076</xdr:colOff>
      <xdr:row>49</xdr:row>
      <xdr:rowOff>292723</xdr:rowOff>
    </xdr:to>
    <xdr:cxnSp macro="">
      <xdr:nvCxnSpPr>
        <xdr:cNvPr id="41" name="Straight Connector 19">
          <a:extLst>
            <a:ext uri="{FF2B5EF4-FFF2-40B4-BE49-F238E27FC236}">
              <a16:creationId xmlns:a16="http://schemas.microsoft.com/office/drawing/2014/main" id="{00000000-0008-0000-0400-000029000000}"/>
            </a:ext>
          </a:extLst>
        </xdr:cNvPr>
        <xdr:cNvCxnSpPr/>
      </xdr:nvCxnSpPr>
      <xdr:spPr>
        <a:xfrm>
          <a:off x="14645640" y="29049345"/>
          <a:ext cx="26289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106213</xdr:colOff>
      <xdr:row>50</xdr:row>
      <xdr:rowOff>280147</xdr:rowOff>
    </xdr:from>
    <xdr:to>
      <xdr:col>20</xdr:col>
      <xdr:colOff>195589</xdr:colOff>
      <xdr:row>50</xdr:row>
      <xdr:rowOff>283280</xdr:rowOff>
    </xdr:to>
    <xdr:cxnSp macro="">
      <xdr:nvCxnSpPr>
        <xdr:cNvPr id="42" name="Straight Connector 19">
          <a:extLst>
            <a:ext uri="{FF2B5EF4-FFF2-40B4-BE49-F238E27FC236}">
              <a16:creationId xmlns:a16="http://schemas.microsoft.com/office/drawing/2014/main" id="{00000000-0008-0000-0400-00002A000000}"/>
            </a:ext>
          </a:extLst>
        </xdr:cNvPr>
        <xdr:cNvCxnSpPr/>
      </xdr:nvCxnSpPr>
      <xdr:spPr>
        <a:xfrm flipV="1">
          <a:off x="14888845" y="29736415"/>
          <a:ext cx="8953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602506</xdr:colOff>
      <xdr:row>52</xdr:row>
      <xdr:rowOff>329820</xdr:rowOff>
    </xdr:from>
    <xdr:to>
      <xdr:col>19</xdr:col>
      <xdr:colOff>175529</xdr:colOff>
      <xdr:row>52</xdr:row>
      <xdr:rowOff>330406</xdr:rowOff>
    </xdr:to>
    <xdr:cxnSp macro="">
      <xdr:nvCxnSpPr>
        <xdr:cNvPr id="43" name="Straight Connector 19">
          <a:extLst>
            <a:ext uri="{FF2B5EF4-FFF2-40B4-BE49-F238E27FC236}">
              <a16:creationId xmlns:a16="http://schemas.microsoft.com/office/drawing/2014/main" id="{00000000-0008-0000-0400-00002B000000}"/>
            </a:ext>
          </a:extLst>
        </xdr:cNvPr>
        <xdr:cNvCxnSpPr/>
      </xdr:nvCxnSpPr>
      <xdr:spPr>
        <a:xfrm>
          <a:off x="13994130" y="30579695"/>
          <a:ext cx="2686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174189</xdr:colOff>
      <xdr:row>53</xdr:row>
      <xdr:rowOff>266661</xdr:rowOff>
    </xdr:from>
    <xdr:to>
      <xdr:col>19</xdr:col>
      <xdr:colOff>314262</xdr:colOff>
      <xdr:row>53</xdr:row>
      <xdr:rowOff>269794</xdr:rowOff>
    </xdr:to>
    <xdr:cxnSp macro="">
      <xdr:nvCxnSpPr>
        <xdr:cNvPr id="44" name="Straight Connector 19">
          <a:extLst>
            <a:ext uri="{FF2B5EF4-FFF2-40B4-BE49-F238E27FC236}">
              <a16:creationId xmlns:a16="http://schemas.microsoft.com/office/drawing/2014/main" id="{00000000-0008-0000-0400-00002C000000}"/>
            </a:ext>
          </a:extLst>
        </xdr:cNvPr>
        <xdr:cNvCxnSpPr/>
      </xdr:nvCxnSpPr>
      <xdr:spPr>
        <a:xfrm flipV="1">
          <a:off x="14261465" y="31212155"/>
          <a:ext cx="13970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167004</xdr:colOff>
      <xdr:row>54</xdr:row>
      <xdr:rowOff>290396</xdr:rowOff>
    </xdr:from>
    <xdr:to>
      <xdr:col>20</xdr:col>
      <xdr:colOff>371708</xdr:colOff>
      <xdr:row>54</xdr:row>
      <xdr:rowOff>294268</xdr:rowOff>
    </xdr:to>
    <xdr:cxnSp macro="">
      <xdr:nvCxnSpPr>
        <xdr:cNvPr id="45" name="Straight Connector 19">
          <a:extLst>
            <a:ext uri="{FF2B5EF4-FFF2-40B4-BE49-F238E27FC236}">
              <a16:creationId xmlns:a16="http://schemas.microsoft.com/office/drawing/2014/main" id="{00000000-0008-0000-0400-00002D000000}"/>
            </a:ext>
          </a:extLst>
        </xdr:cNvPr>
        <xdr:cNvCxnSpPr/>
      </xdr:nvCxnSpPr>
      <xdr:spPr>
        <a:xfrm>
          <a:off x="14949170" y="31932245"/>
          <a:ext cx="205105"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385450</xdr:colOff>
      <xdr:row>55</xdr:row>
      <xdr:rowOff>246797</xdr:rowOff>
    </xdr:from>
    <xdr:to>
      <xdr:col>20</xdr:col>
      <xdr:colOff>484808</xdr:colOff>
      <xdr:row>55</xdr:row>
      <xdr:rowOff>247046</xdr:rowOff>
    </xdr:to>
    <xdr:cxnSp macro="">
      <xdr:nvCxnSpPr>
        <xdr:cNvPr id="46" name="Straight Connector 19">
          <a:extLst>
            <a:ext uri="{FF2B5EF4-FFF2-40B4-BE49-F238E27FC236}">
              <a16:creationId xmlns:a16="http://schemas.microsoft.com/office/drawing/2014/main" id="{00000000-0008-0000-0400-00002E000000}"/>
            </a:ext>
          </a:extLst>
        </xdr:cNvPr>
        <xdr:cNvCxnSpPr/>
      </xdr:nvCxnSpPr>
      <xdr:spPr>
        <a:xfrm flipV="1">
          <a:off x="15168245" y="32584390"/>
          <a:ext cx="9906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230054</xdr:colOff>
      <xdr:row>64</xdr:row>
      <xdr:rowOff>163331</xdr:rowOff>
    </xdr:from>
    <xdr:to>
      <xdr:col>20</xdr:col>
      <xdr:colOff>304636</xdr:colOff>
      <xdr:row>64</xdr:row>
      <xdr:rowOff>169681</xdr:rowOff>
    </xdr:to>
    <xdr:cxnSp macro="">
      <xdr:nvCxnSpPr>
        <xdr:cNvPr id="47" name="Straight Connector 19">
          <a:extLst>
            <a:ext uri="{FF2B5EF4-FFF2-40B4-BE49-F238E27FC236}">
              <a16:creationId xmlns:a16="http://schemas.microsoft.com/office/drawing/2014/main" id="{00000000-0008-0000-0400-00002F000000}"/>
            </a:ext>
          </a:extLst>
        </xdr:cNvPr>
        <xdr:cNvCxnSpPr/>
      </xdr:nvCxnSpPr>
      <xdr:spPr>
        <a:xfrm flipV="1">
          <a:off x="15012670" y="37676455"/>
          <a:ext cx="74295" cy="635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285100</xdr:colOff>
      <xdr:row>65</xdr:row>
      <xdr:rowOff>211815</xdr:rowOff>
    </xdr:from>
    <xdr:to>
      <xdr:col>20</xdr:col>
      <xdr:colOff>325317</xdr:colOff>
      <xdr:row>65</xdr:row>
      <xdr:rowOff>212064</xdr:rowOff>
    </xdr:to>
    <xdr:cxnSp macro="">
      <xdr:nvCxnSpPr>
        <xdr:cNvPr id="48" name="Straight Connector 19">
          <a:extLst>
            <a:ext uri="{FF2B5EF4-FFF2-40B4-BE49-F238E27FC236}">
              <a16:creationId xmlns:a16="http://schemas.microsoft.com/office/drawing/2014/main" id="{00000000-0008-0000-0400-000030000000}"/>
            </a:ext>
          </a:extLst>
        </xdr:cNvPr>
        <xdr:cNvCxnSpPr/>
      </xdr:nvCxnSpPr>
      <xdr:spPr>
        <a:xfrm flipV="1">
          <a:off x="15067280" y="38258115"/>
          <a:ext cx="40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310867</xdr:colOff>
      <xdr:row>66</xdr:row>
      <xdr:rowOff>188322</xdr:rowOff>
    </xdr:from>
    <xdr:to>
      <xdr:col>20</xdr:col>
      <xdr:colOff>340349</xdr:colOff>
      <xdr:row>66</xdr:row>
      <xdr:rowOff>190590</xdr:rowOff>
    </xdr:to>
    <xdr:cxnSp macro="">
      <xdr:nvCxnSpPr>
        <xdr:cNvPr id="49" name="Straight Connector 19">
          <a:extLst>
            <a:ext uri="{FF2B5EF4-FFF2-40B4-BE49-F238E27FC236}">
              <a16:creationId xmlns:a16="http://schemas.microsoft.com/office/drawing/2014/main" id="{00000000-0008-0000-0400-000031000000}"/>
            </a:ext>
          </a:extLst>
        </xdr:cNvPr>
        <xdr:cNvCxnSpPr/>
      </xdr:nvCxnSpPr>
      <xdr:spPr>
        <a:xfrm>
          <a:off x="15093315" y="38768020"/>
          <a:ext cx="2921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61</xdr:row>
      <xdr:rowOff>0</xdr:rowOff>
    </xdr:from>
    <xdr:to>
      <xdr:col>17</xdr:col>
      <xdr:colOff>468820</xdr:colOff>
      <xdr:row>63</xdr:row>
      <xdr:rowOff>140805</xdr:rowOff>
    </xdr:to>
    <xdr:sp macro="" textlink="">
      <xdr:nvSpPr>
        <xdr:cNvPr id="50" name="TextBox 13">
          <a:extLst>
            <a:ext uri="{FF2B5EF4-FFF2-40B4-BE49-F238E27FC236}">
              <a16:creationId xmlns:a16="http://schemas.microsoft.com/office/drawing/2014/main" id="{00000000-0008-0000-0400-000032000000}"/>
            </a:ext>
          </a:extLst>
        </xdr:cNvPr>
        <xdr:cNvSpPr txBox="1"/>
      </xdr:nvSpPr>
      <xdr:spPr>
        <a:xfrm rot="16200000">
          <a:off x="12205970" y="36160710"/>
          <a:ext cx="17240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252946</xdr:colOff>
      <xdr:row>66</xdr:row>
      <xdr:rowOff>127889</xdr:rowOff>
    </xdr:from>
    <xdr:to>
      <xdr:col>17</xdr:col>
      <xdr:colOff>447803</xdr:colOff>
      <xdr:row>110</xdr:row>
      <xdr:rowOff>252129</xdr:rowOff>
    </xdr:to>
    <xdr:sp macro="" textlink="">
      <xdr:nvSpPr>
        <xdr:cNvPr id="51" name="TextBox 13">
          <a:extLst>
            <a:ext uri="{FF2B5EF4-FFF2-40B4-BE49-F238E27FC236}">
              <a16:creationId xmlns:a16="http://schemas.microsoft.com/office/drawing/2014/main" id="{00000000-0008-0000-0400-000033000000}"/>
            </a:ext>
          </a:extLst>
        </xdr:cNvPr>
        <xdr:cNvSpPr txBox="1"/>
      </xdr:nvSpPr>
      <xdr:spPr>
        <a:xfrm rot="16200000">
          <a:off x="2854325" y="48802925"/>
          <a:ext cx="2038540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0</xdr:colOff>
      <xdr:row>6</xdr:row>
      <xdr:rowOff>274320</xdr:rowOff>
    </xdr:from>
    <xdr:to>
      <xdr:col>17</xdr:col>
      <xdr:colOff>375920</xdr:colOff>
      <xdr:row>6</xdr:row>
      <xdr:rowOff>279400</xdr:rowOff>
    </xdr:to>
    <xdr:cxnSp macro="">
      <xdr:nvCxnSpPr>
        <xdr:cNvPr id="52" name="Straight Connector 1">
          <a:extLst>
            <a:ext uri="{FF2B5EF4-FFF2-40B4-BE49-F238E27FC236}">
              <a16:creationId xmlns:a16="http://schemas.microsoft.com/office/drawing/2014/main" id="{00000000-0008-0000-0400-000034000000}"/>
            </a:ext>
          </a:extLst>
        </xdr:cNvPr>
        <xdr:cNvCxnSpPr/>
      </xdr:nvCxnSpPr>
      <xdr:spPr>
        <a:xfrm>
          <a:off x="12696825" y="2933700"/>
          <a:ext cx="37592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86360</xdr:colOff>
      <xdr:row>7</xdr:row>
      <xdr:rowOff>279400</xdr:rowOff>
    </xdr:from>
    <xdr:to>
      <xdr:col>17</xdr:col>
      <xdr:colOff>304800</xdr:colOff>
      <xdr:row>7</xdr:row>
      <xdr:rowOff>284480</xdr:rowOff>
    </xdr:to>
    <xdr:cxnSp macro="">
      <xdr:nvCxnSpPr>
        <xdr:cNvPr id="53" name="Straight Connector 1">
          <a:extLst>
            <a:ext uri="{FF2B5EF4-FFF2-40B4-BE49-F238E27FC236}">
              <a16:creationId xmlns:a16="http://schemas.microsoft.com/office/drawing/2014/main" id="{00000000-0008-0000-0400-000035000000}"/>
            </a:ext>
          </a:extLst>
        </xdr:cNvPr>
        <xdr:cNvCxnSpPr/>
      </xdr:nvCxnSpPr>
      <xdr:spPr>
        <a:xfrm flipV="1">
          <a:off x="12783185" y="3634740"/>
          <a:ext cx="21844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604520</xdr:colOff>
      <xdr:row>8</xdr:row>
      <xdr:rowOff>304800</xdr:rowOff>
    </xdr:from>
    <xdr:to>
      <xdr:col>17</xdr:col>
      <xdr:colOff>187960</xdr:colOff>
      <xdr:row>8</xdr:row>
      <xdr:rowOff>314960</xdr:rowOff>
    </xdr:to>
    <xdr:cxnSp macro="">
      <xdr:nvCxnSpPr>
        <xdr:cNvPr id="54" name="Straight Connector 1">
          <a:extLst>
            <a:ext uri="{FF2B5EF4-FFF2-40B4-BE49-F238E27FC236}">
              <a16:creationId xmlns:a16="http://schemas.microsoft.com/office/drawing/2014/main" id="{00000000-0008-0000-0400-000036000000}"/>
            </a:ext>
          </a:extLst>
        </xdr:cNvPr>
        <xdr:cNvCxnSpPr/>
      </xdr:nvCxnSpPr>
      <xdr:spPr>
        <a:xfrm>
          <a:off x="11910695" y="4356100"/>
          <a:ext cx="974090" cy="1016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472440</xdr:colOff>
      <xdr:row>10</xdr:row>
      <xdr:rowOff>274320</xdr:rowOff>
    </xdr:from>
    <xdr:to>
      <xdr:col>17</xdr:col>
      <xdr:colOff>594614</xdr:colOff>
      <xdr:row>10</xdr:row>
      <xdr:rowOff>274320</xdr:rowOff>
    </xdr:to>
    <xdr:cxnSp macro="">
      <xdr:nvCxnSpPr>
        <xdr:cNvPr id="55" name="Straight Connector 19">
          <a:extLst>
            <a:ext uri="{FF2B5EF4-FFF2-40B4-BE49-F238E27FC236}">
              <a16:creationId xmlns:a16="http://schemas.microsoft.com/office/drawing/2014/main" id="{00000000-0008-0000-0400-000037000000}"/>
            </a:ext>
          </a:extLst>
        </xdr:cNvPr>
        <xdr:cNvCxnSpPr/>
      </xdr:nvCxnSpPr>
      <xdr:spPr>
        <a:xfrm>
          <a:off x="13169265" y="578358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259291</xdr:colOff>
      <xdr:row>13</xdr:row>
      <xdr:rowOff>317500</xdr:rowOff>
    </xdr:from>
    <xdr:to>
      <xdr:col>17</xdr:col>
      <xdr:colOff>369875</xdr:colOff>
      <xdr:row>13</xdr:row>
      <xdr:rowOff>319539</xdr:rowOff>
    </xdr:to>
    <xdr:cxnSp macro="">
      <xdr:nvCxnSpPr>
        <xdr:cNvPr id="56" name="Straight Connector 17">
          <a:extLst>
            <a:ext uri="{FF2B5EF4-FFF2-40B4-BE49-F238E27FC236}">
              <a16:creationId xmlns:a16="http://schemas.microsoft.com/office/drawing/2014/main" id="{00000000-0008-0000-0400-000038000000}"/>
            </a:ext>
          </a:extLst>
        </xdr:cNvPr>
        <xdr:cNvCxnSpPr/>
      </xdr:nvCxnSpPr>
      <xdr:spPr>
        <a:xfrm>
          <a:off x="12955905" y="7428230"/>
          <a:ext cx="11049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492532</xdr:colOff>
      <xdr:row>14</xdr:row>
      <xdr:rowOff>284935</xdr:rowOff>
    </xdr:from>
    <xdr:to>
      <xdr:col>17</xdr:col>
      <xdr:colOff>556504</xdr:colOff>
      <xdr:row>14</xdr:row>
      <xdr:rowOff>285378</xdr:rowOff>
    </xdr:to>
    <xdr:cxnSp macro="">
      <xdr:nvCxnSpPr>
        <xdr:cNvPr id="57" name="Straight Connector 19">
          <a:extLst>
            <a:ext uri="{FF2B5EF4-FFF2-40B4-BE49-F238E27FC236}">
              <a16:creationId xmlns:a16="http://schemas.microsoft.com/office/drawing/2014/main" id="{00000000-0008-0000-0400-000039000000}"/>
            </a:ext>
          </a:extLst>
        </xdr:cNvPr>
        <xdr:cNvCxnSpPr/>
      </xdr:nvCxnSpPr>
      <xdr:spPr>
        <a:xfrm flipV="1">
          <a:off x="13188950" y="8091170"/>
          <a:ext cx="6413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588911</xdr:colOff>
      <xdr:row>15</xdr:row>
      <xdr:rowOff>246250</xdr:rowOff>
    </xdr:from>
    <xdr:to>
      <xdr:col>18</xdr:col>
      <xdr:colOff>103822</xdr:colOff>
      <xdr:row>15</xdr:row>
      <xdr:rowOff>246274</xdr:rowOff>
    </xdr:to>
    <xdr:cxnSp macro="">
      <xdr:nvCxnSpPr>
        <xdr:cNvPr id="58" name="Straight Connector 19">
          <a:extLst>
            <a:ext uri="{FF2B5EF4-FFF2-40B4-BE49-F238E27FC236}">
              <a16:creationId xmlns:a16="http://schemas.microsoft.com/office/drawing/2014/main" id="{00000000-0008-0000-0400-00003A000000}"/>
            </a:ext>
          </a:extLst>
        </xdr:cNvPr>
        <xdr:cNvCxnSpPr/>
      </xdr:nvCxnSpPr>
      <xdr:spPr>
        <a:xfrm>
          <a:off x="13285470" y="8748395"/>
          <a:ext cx="2101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474820</xdr:colOff>
      <xdr:row>18</xdr:row>
      <xdr:rowOff>251711</xdr:rowOff>
    </xdr:from>
    <xdr:to>
      <xdr:col>17</xdr:col>
      <xdr:colOff>577793</xdr:colOff>
      <xdr:row>18</xdr:row>
      <xdr:rowOff>251712</xdr:rowOff>
    </xdr:to>
    <xdr:cxnSp macro="">
      <xdr:nvCxnSpPr>
        <xdr:cNvPr id="59" name="Straight Connector 19">
          <a:extLst>
            <a:ext uri="{FF2B5EF4-FFF2-40B4-BE49-F238E27FC236}">
              <a16:creationId xmlns:a16="http://schemas.microsoft.com/office/drawing/2014/main" id="{00000000-0008-0000-0400-00003B000000}"/>
            </a:ext>
          </a:extLst>
        </xdr:cNvPr>
        <xdr:cNvCxnSpPr/>
      </xdr:nvCxnSpPr>
      <xdr:spPr>
        <a:xfrm>
          <a:off x="13171170" y="10355580"/>
          <a:ext cx="1028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600676</xdr:colOff>
      <xdr:row>19</xdr:row>
      <xdr:rowOff>302054</xdr:rowOff>
    </xdr:from>
    <xdr:to>
      <xdr:col>18</xdr:col>
      <xdr:colOff>195648</xdr:colOff>
      <xdr:row>19</xdr:row>
      <xdr:rowOff>305486</xdr:rowOff>
    </xdr:to>
    <xdr:cxnSp macro="">
      <xdr:nvCxnSpPr>
        <xdr:cNvPr id="60" name="Straight Connector 19">
          <a:extLst>
            <a:ext uri="{FF2B5EF4-FFF2-40B4-BE49-F238E27FC236}">
              <a16:creationId xmlns:a16="http://schemas.microsoft.com/office/drawing/2014/main" id="{00000000-0008-0000-0400-00003C000000}"/>
            </a:ext>
          </a:extLst>
        </xdr:cNvPr>
        <xdr:cNvCxnSpPr/>
      </xdr:nvCxnSpPr>
      <xdr:spPr>
        <a:xfrm flipV="1">
          <a:off x="13296900" y="11101705"/>
          <a:ext cx="29083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188784</xdr:colOff>
      <xdr:row>20</xdr:row>
      <xdr:rowOff>260865</xdr:rowOff>
    </xdr:from>
    <xdr:to>
      <xdr:col>18</xdr:col>
      <xdr:colOff>281459</xdr:colOff>
      <xdr:row>20</xdr:row>
      <xdr:rowOff>264299</xdr:rowOff>
    </xdr:to>
    <xdr:cxnSp macro="">
      <xdr:nvCxnSpPr>
        <xdr:cNvPr id="61" name="Straight Connector 19">
          <a:extLst>
            <a:ext uri="{FF2B5EF4-FFF2-40B4-BE49-F238E27FC236}">
              <a16:creationId xmlns:a16="http://schemas.microsoft.com/office/drawing/2014/main" id="{00000000-0008-0000-0400-00003D000000}"/>
            </a:ext>
          </a:extLst>
        </xdr:cNvPr>
        <xdr:cNvCxnSpPr/>
      </xdr:nvCxnSpPr>
      <xdr:spPr>
        <a:xfrm>
          <a:off x="13580745" y="11756390"/>
          <a:ext cx="9271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568739</xdr:colOff>
      <xdr:row>23</xdr:row>
      <xdr:rowOff>309217</xdr:rowOff>
    </xdr:from>
    <xdr:to>
      <xdr:col>18</xdr:col>
      <xdr:colOff>55913</xdr:colOff>
      <xdr:row>23</xdr:row>
      <xdr:rowOff>309217</xdr:rowOff>
    </xdr:to>
    <xdr:cxnSp macro="">
      <xdr:nvCxnSpPr>
        <xdr:cNvPr id="62" name="Straight Connector 19">
          <a:extLst>
            <a:ext uri="{FF2B5EF4-FFF2-40B4-BE49-F238E27FC236}">
              <a16:creationId xmlns:a16="http://schemas.microsoft.com/office/drawing/2014/main" id="{00000000-0008-0000-0400-00003E000000}"/>
            </a:ext>
          </a:extLst>
        </xdr:cNvPr>
        <xdr:cNvCxnSpPr/>
      </xdr:nvCxnSpPr>
      <xdr:spPr>
        <a:xfrm>
          <a:off x="13265150" y="13406120"/>
          <a:ext cx="1828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489479</xdr:colOff>
      <xdr:row>27</xdr:row>
      <xdr:rowOff>300963</xdr:rowOff>
    </xdr:from>
    <xdr:to>
      <xdr:col>17</xdr:col>
      <xdr:colOff>581025</xdr:colOff>
      <xdr:row>27</xdr:row>
      <xdr:rowOff>301625</xdr:rowOff>
    </xdr:to>
    <xdr:cxnSp macro="">
      <xdr:nvCxnSpPr>
        <xdr:cNvPr id="63" name="Straight Connector 19">
          <a:extLst>
            <a:ext uri="{FF2B5EF4-FFF2-40B4-BE49-F238E27FC236}">
              <a16:creationId xmlns:a16="http://schemas.microsoft.com/office/drawing/2014/main" id="{00000000-0008-0000-0400-00003F000000}"/>
            </a:ext>
          </a:extLst>
        </xdr:cNvPr>
        <xdr:cNvCxnSpPr/>
      </xdr:nvCxnSpPr>
      <xdr:spPr>
        <a:xfrm>
          <a:off x="13185775" y="15695295"/>
          <a:ext cx="9207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57489</xdr:colOff>
      <xdr:row>28</xdr:row>
      <xdr:rowOff>282222</xdr:rowOff>
    </xdr:from>
    <xdr:to>
      <xdr:col>18</xdr:col>
      <xdr:colOff>216893</xdr:colOff>
      <xdr:row>28</xdr:row>
      <xdr:rowOff>282222</xdr:rowOff>
    </xdr:to>
    <xdr:cxnSp macro="">
      <xdr:nvCxnSpPr>
        <xdr:cNvPr id="64" name="Straight Connector 19">
          <a:extLst>
            <a:ext uri="{FF2B5EF4-FFF2-40B4-BE49-F238E27FC236}">
              <a16:creationId xmlns:a16="http://schemas.microsoft.com/office/drawing/2014/main" id="{00000000-0008-0000-0400-000040000000}"/>
            </a:ext>
          </a:extLst>
        </xdr:cNvPr>
        <xdr:cNvCxnSpPr/>
      </xdr:nvCxnSpPr>
      <xdr:spPr>
        <a:xfrm>
          <a:off x="13449300" y="16372840"/>
          <a:ext cx="1593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578376</xdr:colOff>
      <xdr:row>32</xdr:row>
      <xdr:rowOff>270988</xdr:rowOff>
    </xdr:from>
    <xdr:to>
      <xdr:col>18</xdr:col>
      <xdr:colOff>157739</xdr:colOff>
      <xdr:row>32</xdr:row>
      <xdr:rowOff>275057</xdr:rowOff>
    </xdr:to>
    <xdr:cxnSp macro="">
      <xdr:nvCxnSpPr>
        <xdr:cNvPr id="65" name="Straight Connector 19">
          <a:extLst>
            <a:ext uri="{FF2B5EF4-FFF2-40B4-BE49-F238E27FC236}">
              <a16:creationId xmlns:a16="http://schemas.microsoft.com/office/drawing/2014/main" id="{00000000-0008-0000-0400-000041000000}"/>
            </a:ext>
          </a:extLst>
        </xdr:cNvPr>
        <xdr:cNvCxnSpPr/>
      </xdr:nvCxnSpPr>
      <xdr:spPr>
        <a:xfrm flipV="1">
          <a:off x="13274675" y="18658840"/>
          <a:ext cx="27495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93025</xdr:colOff>
      <xdr:row>33</xdr:row>
      <xdr:rowOff>275032</xdr:rowOff>
    </xdr:from>
    <xdr:to>
      <xdr:col>18</xdr:col>
      <xdr:colOff>307388</xdr:colOff>
      <xdr:row>33</xdr:row>
      <xdr:rowOff>279101</xdr:rowOff>
    </xdr:to>
    <xdr:cxnSp macro="">
      <xdr:nvCxnSpPr>
        <xdr:cNvPr id="66" name="Straight Connector 19">
          <a:extLst>
            <a:ext uri="{FF2B5EF4-FFF2-40B4-BE49-F238E27FC236}">
              <a16:creationId xmlns:a16="http://schemas.microsoft.com/office/drawing/2014/main" id="{00000000-0008-0000-0400-000042000000}"/>
            </a:ext>
          </a:extLst>
        </xdr:cNvPr>
        <xdr:cNvCxnSpPr/>
      </xdr:nvCxnSpPr>
      <xdr:spPr>
        <a:xfrm flipV="1">
          <a:off x="13484860" y="19359245"/>
          <a:ext cx="21463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153694</xdr:colOff>
      <xdr:row>37</xdr:row>
      <xdr:rowOff>339745</xdr:rowOff>
    </xdr:from>
    <xdr:to>
      <xdr:col>18</xdr:col>
      <xdr:colOff>299958</xdr:colOff>
      <xdr:row>37</xdr:row>
      <xdr:rowOff>339770</xdr:rowOff>
    </xdr:to>
    <xdr:cxnSp macro="">
      <xdr:nvCxnSpPr>
        <xdr:cNvPr id="67" name="Straight Connector 19">
          <a:extLst>
            <a:ext uri="{FF2B5EF4-FFF2-40B4-BE49-F238E27FC236}">
              <a16:creationId xmlns:a16="http://schemas.microsoft.com/office/drawing/2014/main" id="{00000000-0008-0000-0400-000043000000}"/>
            </a:ext>
          </a:extLst>
        </xdr:cNvPr>
        <xdr:cNvCxnSpPr/>
      </xdr:nvCxnSpPr>
      <xdr:spPr>
        <a:xfrm flipV="1">
          <a:off x="13545820" y="21721445"/>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262899</xdr:colOff>
      <xdr:row>38</xdr:row>
      <xdr:rowOff>279077</xdr:rowOff>
    </xdr:from>
    <xdr:to>
      <xdr:col>18</xdr:col>
      <xdr:colOff>409163</xdr:colOff>
      <xdr:row>38</xdr:row>
      <xdr:rowOff>279102</xdr:rowOff>
    </xdr:to>
    <xdr:cxnSp macro="">
      <xdr:nvCxnSpPr>
        <xdr:cNvPr id="68" name="Straight Connector 19">
          <a:extLst>
            <a:ext uri="{FF2B5EF4-FFF2-40B4-BE49-F238E27FC236}">
              <a16:creationId xmlns:a16="http://schemas.microsoft.com/office/drawing/2014/main" id="{00000000-0008-0000-0400-000044000000}"/>
            </a:ext>
          </a:extLst>
        </xdr:cNvPr>
        <xdr:cNvCxnSpPr/>
      </xdr:nvCxnSpPr>
      <xdr:spPr>
        <a:xfrm flipV="1">
          <a:off x="13655040" y="22356445"/>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288636</xdr:colOff>
      <xdr:row>43</xdr:row>
      <xdr:rowOff>282863</xdr:rowOff>
    </xdr:from>
    <xdr:to>
      <xdr:col>18</xdr:col>
      <xdr:colOff>563443</xdr:colOff>
      <xdr:row>43</xdr:row>
      <xdr:rowOff>285263</xdr:rowOff>
    </xdr:to>
    <xdr:cxnSp macro="">
      <xdr:nvCxnSpPr>
        <xdr:cNvPr id="69" name="Straight Connector 19">
          <a:extLst>
            <a:ext uri="{FF2B5EF4-FFF2-40B4-BE49-F238E27FC236}">
              <a16:creationId xmlns:a16="http://schemas.microsoft.com/office/drawing/2014/main" id="{00000000-0008-0000-0400-000045000000}"/>
            </a:ext>
          </a:extLst>
        </xdr:cNvPr>
        <xdr:cNvCxnSpPr/>
      </xdr:nvCxnSpPr>
      <xdr:spPr>
        <a:xfrm>
          <a:off x="13680440" y="25353645"/>
          <a:ext cx="2749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480122</xdr:colOff>
      <xdr:row>57</xdr:row>
      <xdr:rowOff>304594</xdr:rowOff>
    </xdr:from>
    <xdr:to>
      <xdr:col>18</xdr:col>
      <xdr:colOff>129066</xdr:colOff>
      <xdr:row>57</xdr:row>
      <xdr:rowOff>304594</xdr:rowOff>
    </xdr:to>
    <xdr:cxnSp macro="">
      <xdr:nvCxnSpPr>
        <xdr:cNvPr id="70" name="Straight Connector 19">
          <a:extLst>
            <a:ext uri="{FF2B5EF4-FFF2-40B4-BE49-F238E27FC236}">
              <a16:creationId xmlns:a16="http://schemas.microsoft.com/office/drawing/2014/main" id="{00000000-0008-0000-0400-000046000000}"/>
            </a:ext>
          </a:extLst>
        </xdr:cNvPr>
        <xdr:cNvCxnSpPr/>
      </xdr:nvCxnSpPr>
      <xdr:spPr>
        <a:xfrm>
          <a:off x="13176885" y="33435925"/>
          <a:ext cx="3441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240164</xdr:colOff>
      <xdr:row>58</xdr:row>
      <xdr:rowOff>240165</xdr:rowOff>
    </xdr:from>
    <xdr:to>
      <xdr:col>17</xdr:col>
      <xdr:colOff>462156</xdr:colOff>
      <xdr:row>58</xdr:row>
      <xdr:rowOff>243656</xdr:rowOff>
    </xdr:to>
    <xdr:cxnSp macro="">
      <xdr:nvCxnSpPr>
        <xdr:cNvPr id="71" name="Straight Connector 2">
          <a:extLst>
            <a:ext uri="{FF2B5EF4-FFF2-40B4-BE49-F238E27FC236}">
              <a16:creationId xmlns:a16="http://schemas.microsoft.com/office/drawing/2014/main" id="{00000000-0008-0000-0400-000047000000}"/>
            </a:ext>
          </a:extLst>
        </xdr:cNvPr>
        <xdr:cNvCxnSpPr/>
      </xdr:nvCxnSpPr>
      <xdr:spPr>
        <a:xfrm>
          <a:off x="12936855" y="34143315"/>
          <a:ext cx="221615"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485284</xdr:colOff>
      <xdr:row>58</xdr:row>
      <xdr:rowOff>247805</xdr:rowOff>
    </xdr:from>
    <xdr:to>
      <xdr:col>18</xdr:col>
      <xdr:colOff>134228</xdr:colOff>
      <xdr:row>58</xdr:row>
      <xdr:rowOff>247805</xdr:rowOff>
    </xdr:to>
    <xdr:cxnSp macro="">
      <xdr:nvCxnSpPr>
        <xdr:cNvPr id="72" name="Straight Connector 19">
          <a:extLst>
            <a:ext uri="{FF2B5EF4-FFF2-40B4-BE49-F238E27FC236}">
              <a16:creationId xmlns:a16="http://schemas.microsoft.com/office/drawing/2014/main" id="{00000000-0008-0000-0400-000048000000}"/>
            </a:ext>
          </a:extLst>
        </xdr:cNvPr>
        <xdr:cNvCxnSpPr/>
      </xdr:nvCxnSpPr>
      <xdr:spPr>
        <a:xfrm>
          <a:off x="13181965" y="34150935"/>
          <a:ext cx="3441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337207</xdr:colOff>
      <xdr:row>61</xdr:row>
      <xdr:rowOff>538655</xdr:rowOff>
    </xdr:from>
    <xdr:to>
      <xdr:col>20</xdr:col>
      <xdr:colOff>511933</xdr:colOff>
      <xdr:row>61</xdr:row>
      <xdr:rowOff>543034</xdr:rowOff>
    </xdr:to>
    <xdr:cxnSp macro="">
      <xdr:nvCxnSpPr>
        <xdr:cNvPr id="73" name="Straight Connector 19">
          <a:extLst>
            <a:ext uri="{FF2B5EF4-FFF2-40B4-BE49-F238E27FC236}">
              <a16:creationId xmlns:a16="http://schemas.microsoft.com/office/drawing/2014/main" id="{00000000-0008-0000-0400-000049000000}"/>
            </a:ext>
          </a:extLst>
        </xdr:cNvPr>
        <xdr:cNvCxnSpPr/>
      </xdr:nvCxnSpPr>
      <xdr:spPr>
        <a:xfrm flipV="1">
          <a:off x="15119985" y="36041330"/>
          <a:ext cx="17462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6685</xdr:colOff>
      <xdr:row>68</xdr:row>
      <xdr:rowOff>264583</xdr:rowOff>
    </xdr:from>
    <xdr:to>
      <xdr:col>19</xdr:col>
      <xdr:colOff>211667</xdr:colOff>
      <xdr:row>68</xdr:row>
      <xdr:rowOff>267369</xdr:rowOff>
    </xdr:to>
    <xdr:cxnSp macro="">
      <xdr:nvCxnSpPr>
        <xdr:cNvPr id="74" name="Straight Connector 19">
          <a:extLst>
            <a:ext uri="{FF2B5EF4-FFF2-40B4-BE49-F238E27FC236}">
              <a16:creationId xmlns:a16="http://schemas.microsoft.com/office/drawing/2014/main" id="{00000000-0008-0000-0400-00004A000000}"/>
            </a:ext>
          </a:extLst>
        </xdr:cNvPr>
        <xdr:cNvCxnSpPr/>
      </xdr:nvCxnSpPr>
      <xdr:spPr>
        <a:xfrm flipV="1">
          <a:off x="13398500" y="39577645"/>
          <a:ext cx="90043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111970</xdr:colOff>
      <xdr:row>71</xdr:row>
      <xdr:rowOff>274271</xdr:rowOff>
    </xdr:from>
    <xdr:to>
      <xdr:col>19</xdr:col>
      <xdr:colOff>535302</xdr:colOff>
      <xdr:row>71</xdr:row>
      <xdr:rowOff>276087</xdr:rowOff>
    </xdr:to>
    <xdr:cxnSp macro="">
      <xdr:nvCxnSpPr>
        <xdr:cNvPr id="75" name="Straight Connector 19">
          <a:extLst>
            <a:ext uri="{FF2B5EF4-FFF2-40B4-BE49-F238E27FC236}">
              <a16:creationId xmlns:a16="http://schemas.microsoft.com/office/drawing/2014/main" id="{00000000-0008-0000-0400-00004B000000}"/>
            </a:ext>
          </a:extLst>
        </xdr:cNvPr>
        <xdr:cNvCxnSpPr/>
      </xdr:nvCxnSpPr>
      <xdr:spPr>
        <a:xfrm>
          <a:off x="14199235" y="41045765"/>
          <a:ext cx="422910"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358</xdr:colOff>
      <xdr:row>1</xdr:row>
      <xdr:rowOff>225112</xdr:rowOff>
    </xdr:from>
    <xdr:to>
      <xdr:col>18</xdr:col>
      <xdr:colOff>358</xdr:colOff>
      <xdr:row>116</xdr:row>
      <xdr:rowOff>161072</xdr:rowOff>
    </xdr:to>
    <xdr:cxnSp macro="">
      <xdr:nvCxnSpPr>
        <xdr:cNvPr id="77" name="Straight Connector 10">
          <a:extLst>
            <a:ext uri="{FF2B5EF4-FFF2-40B4-BE49-F238E27FC236}">
              <a16:creationId xmlns:a16="http://schemas.microsoft.com/office/drawing/2014/main" id="{00000000-0008-0000-0400-00004D000000}"/>
            </a:ext>
          </a:extLst>
        </xdr:cNvPr>
        <xdr:cNvCxnSpPr/>
      </xdr:nvCxnSpPr>
      <xdr:spPr>
        <a:xfrm>
          <a:off x="13392150" y="415290"/>
          <a:ext cx="0" cy="6171819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259582</xdr:colOff>
      <xdr:row>66</xdr:row>
      <xdr:rowOff>314529</xdr:rowOff>
    </xdr:from>
    <xdr:to>
      <xdr:col>17</xdr:col>
      <xdr:colOff>454439</xdr:colOff>
      <xdr:row>109</xdr:row>
      <xdr:rowOff>78460</xdr:rowOff>
    </xdr:to>
    <xdr:sp macro="" textlink="">
      <xdr:nvSpPr>
        <xdr:cNvPr id="79" name="TextBox 13">
          <a:extLst>
            <a:ext uri="{FF2B5EF4-FFF2-40B4-BE49-F238E27FC236}">
              <a16:creationId xmlns:a16="http://schemas.microsoft.com/office/drawing/2014/main" id="{00000000-0008-0000-0400-00004F000000}"/>
            </a:ext>
          </a:extLst>
        </xdr:cNvPr>
        <xdr:cNvSpPr txBox="1"/>
      </xdr:nvSpPr>
      <xdr:spPr>
        <a:xfrm rot="16200000">
          <a:off x="3302000" y="48548290"/>
          <a:ext cx="1950275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273963</xdr:colOff>
      <xdr:row>120</xdr:row>
      <xdr:rowOff>0</xdr:rowOff>
    </xdr:from>
    <xdr:to>
      <xdr:col>16</xdr:col>
      <xdr:colOff>468820</xdr:colOff>
      <xdr:row>122</xdr:row>
      <xdr:rowOff>0</xdr:rowOff>
    </xdr:to>
    <xdr:sp macro="" textlink="">
      <xdr:nvSpPr>
        <xdr:cNvPr id="81" name="TextBox 13">
          <a:extLst>
            <a:ext uri="{FF2B5EF4-FFF2-40B4-BE49-F238E27FC236}">
              <a16:creationId xmlns:a16="http://schemas.microsoft.com/office/drawing/2014/main" id="{00000000-0008-0000-0400-000051000000}"/>
            </a:ext>
          </a:extLst>
        </xdr:cNvPr>
        <xdr:cNvSpPr txBox="1"/>
      </xdr:nvSpPr>
      <xdr:spPr>
        <a:xfrm rot="16200000">
          <a:off x="11262995" y="64624585"/>
          <a:ext cx="221932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15</xdr:col>
      <xdr:colOff>10886</xdr:colOff>
      <xdr:row>120</xdr:row>
      <xdr:rowOff>218498</xdr:rowOff>
    </xdr:from>
    <xdr:to>
      <xdr:col>16</xdr:col>
      <xdr:colOff>484371</xdr:colOff>
      <xdr:row>120</xdr:row>
      <xdr:rowOff>218498</xdr:rowOff>
    </xdr:to>
    <xdr:cxnSp macro="">
      <xdr:nvCxnSpPr>
        <xdr:cNvPr id="82" name="Straight Connector 2">
          <a:extLst>
            <a:ext uri="{FF2B5EF4-FFF2-40B4-BE49-F238E27FC236}">
              <a16:creationId xmlns:a16="http://schemas.microsoft.com/office/drawing/2014/main" id="{00000000-0008-0000-0400-000052000000}"/>
            </a:ext>
          </a:extLst>
        </xdr:cNvPr>
        <xdr:cNvCxnSpPr/>
      </xdr:nvCxnSpPr>
      <xdr:spPr>
        <a:xfrm>
          <a:off x="11316970" y="6383083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120</xdr:row>
      <xdr:rowOff>221006</xdr:rowOff>
    </xdr:from>
    <xdr:to>
      <xdr:col>17</xdr:col>
      <xdr:colOff>287962</xdr:colOff>
      <xdr:row>120</xdr:row>
      <xdr:rowOff>221006</xdr:rowOff>
    </xdr:to>
    <xdr:cxnSp macro="">
      <xdr:nvCxnSpPr>
        <xdr:cNvPr id="83" name="Straight Connector 19">
          <a:extLst>
            <a:ext uri="{FF2B5EF4-FFF2-40B4-BE49-F238E27FC236}">
              <a16:creationId xmlns:a16="http://schemas.microsoft.com/office/drawing/2014/main" id="{00000000-0008-0000-0400-000053000000}"/>
            </a:ext>
          </a:extLst>
        </xdr:cNvPr>
        <xdr:cNvCxnSpPr/>
      </xdr:nvCxnSpPr>
      <xdr:spPr>
        <a:xfrm>
          <a:off x="12489180" y="6383337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273050</xdr:colOff>
      <xdr:row>120</xdr:row>
      <xdr:rowOff>16510</xdr:rowOff>
    </xdr:from>
    <xdr:to>
      <xdr:col>16</xdr:col>
      <xdr:colOff>467995</xdr:colOff>
      <xdr:row>123</xdr:row>
      <xdr:rowOff>6985</xdr:rowOff>
    </xdr:to>
    <xdr:sp macro="" textlink="">
      <xdr:nvSpPr>
        <xdr:cNvPr id="84" name="TextBox 13">
          <a:extLst>
            <a:ext uri="{FF2B5EF4-FFF2-40B4-BE49-F238E27FC236}">
              <a16:creationId xmlns:a16="http://schemas.microsoft.com/office/drawing/2014/main" id="{00000000-0008-0000-0400-000054000000}"/>
            </a:ext>
          </a:extLst>
        </xdr:cNvPr>
        <xdr:cNvSpPr txBox="1"/>
      </xdr:nvSpPr>
      <xdr:spPr>
        <a:xfrm rot="16200000">
          <a:off x="10919460" y="64983995"/>
          <a:ext cx="29051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16</xdr:col>
      <xdr:colOff>273963</xdr:colOff>
      <xdr:row>120</xdr:row>
      <xdr:rowOff>16565</xdr:rowOff>
    </xdr:from>
    <xdr:to>
      <xdr:col>16</xdr:col>
      <xdr:colOff>468820</xdr:colOff>
      <xdr:row>127</xdr:row>
      <xdr:rowOff>140805</xdr:rowOff>
    </xdr:to>
    <xdr:sp macro="" textlink="">
      <xdr:nvSpPr>
        <xdr:cNvPr id="85" name="TextBox 13">
          <a:extLst>
            <a:ext uri="{FF2B5EF4-FFF2-40B4-BE49-F238E27FC236}">
              <a16:creationId xmlns:a16="http://schemas.microsoft.com/office/drawing/2014/main" id="{00000000-0008-0000-0400-000055000000}"/>
            </a:ext>
          </a:extLst>
        </xdr:cNvPr>
        <xdr:cNvSpPr txBox="1"/>
      </xdr:nvSpPr>
      <xdr:spPr>
        <a:xfrm rot="16200000">
          <a:off x="10472420" y="65431670"/>
          <a:ext cx="380047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21</xdr:col>
      <xdr:colOff>3122</xdr:colOff>
      <xdr:row>1</xdr:row>
      <xdr:rowOff>15240</xdr:rowOff>
    </xdr:from>
    <xdr:to>
      <xdr:col>21</xdr:col>
      <xdr:colOff>3122</xdr:colOff>
      <xdr:row>122</xdr:row>
      <xdr:rowOff>0</xdr:rowOff>
    </xdr:to>
    <xdr:cxnSp macro="">
      <xdr:nvCxnSpPr>
        <xdr:cNvPr id="2" name="Straight Connector 27">
          <a:extLst>
            <a:ext uri="{FF2B5EF4-FFF2-40B4-BE49-F238E27FC236}">
              <a16:creationId xmlns:a16="http://schemas.microsoft.com/office/drawing/2014/main" id="{00000000-0008-0000-0500-000002000000}"/>
            </a:ext>
          </a:extLst>
        </xdr:cNvPr>
        <xdr:cNvCxnSpPr/>
      </xdr:nvCxnSpPr>
      <xdr:spPr>
        <a:xfrm>
          <a:off x="14709140" y="84455"/>
          <a:ext cx="0" cy="521703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487699</xdr:colOff>
      <xdr:row>59</xdr:row>
      <xdr:rowOff>216647</xdr:rowOff>
    </xdr:from>
    <xdr:to>
      <xdr:col>21</xdr:col>
      <xdr:colOff>93382</xdr:colOff>
      <xdr:row>59</xdr:row>
      <xdr:rowOff>221006</xdr:rowOff>
    </xdr:to>
    <xdr:cxnSp macro="">
      <xdr:nvCxnSpPr>
        <xdr:cNvPr id="3" name="Straight Connector 19">
          <a:extLst>
            <a:ext uri="{FF2B5EF4-FFF2-40B4-BE49-F238E27FC236}">
              <a16:creationId xmlns:a16="http://schemas.microsoft.com/office/drawing/2014/main" id="{00000000-0008-0000-0500-000003000000}"/>
            </a:ext>
          </a:extLst>
        </xdr:cNvPr>
        <xdr:cNvCxnSpPr/>
      </xdr:nvCxnSpPr>
      <xdr:spPr>
        <a:xfrm flipV="1">
          <a:off x="13108305" y="27051635"/>
          <a:ext cx="1691640"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74369</xdr:colOff>
      <xdr:row>2</xdr:row>
      <xdr:rowOff>280316</xdr:rowOff>
    </xdr:from>
    <xdr:to>
      <xdr:col>16</xdr:col>
      <xdr:colOff>505811</xdr:colOff>
      <xdr:row>2</xdr:row>
      <xdr:rowOff>282841</xdr:rowOff>
    </xdr:to>
    <xdr:cxnSp macro="">
      <xdr:nvCxnSpPr>
        <xdr:cNvPr id="4" name="Straight Connector 1">
          <a:extLst>
            <a:ext uri="{FF2B5EF4-FFF2-40B4-BE49-F238E27FC236}">
              <a16:creationId xmlns:a16="http://schemas.microsoft.com/office/drawing/2014/main" id="{00000000-0008-0000-0500-000004000000}"/>
            </a:ext>
          </a:extLst>
        </xdr:cNvPr>
        <xdr:cNvCxnSpPr/>
      </xdr:nvCxnSpPr>
      <xdr:spPr>
        <a:xfrm>
          <a:off x="11304270" y="374015"/>
          <a:ext cx="4311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369794</xdr:colOff>
      <xdr:row>57</xdr:row>
      <xdr:rowOff>295088</xdr:rowOff>
    </xdr:from>
    <xdr:to>
      <xdr:col>18</xdr:col>
      <xdr:colOff>495255</xdr:colOff>
      <xdr:row>57</xdr:row>
      <xdr:rowOff>298316</xdr:rowOff>
    </xdr:to>
    <xdr:cxnSp macro="">
      <xdr:nvCxnSpPr>
        <xdr:cNvPr id="5" name="Straight Connector 2">
          <a:extLst>
            <a:ext uri="{FF2B5EF4-FFF2-40B4-BE49-F238E27FC236}">
              <a16:creationId xmlns:a16="http://schemas.microsoft.com/office/drawing/2014/main" id="{00000000-0008-0000-0500-000005000000}"/>
            </a:ext>
          </a:extLst>
        </xdr:cNvPr>
        <xdr:cNvCxnSpPr/>
      </xdr:nvCxnSpPr>
      <xdr:spPr>
        <a:xfrm>
          <a:off x="12990195" y="25871805"/>
          <a:ext cx="125095"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624417</xdr:colOff>
      <xdr:row>1</xdr:row>
      <xdr:rowOff>47171</xdr:rowOff>
    </xdr:from>
    <xdr:to>
      <xdr:col>15</xdr:col>
      <xdr:colOff>624417</xdr:colOff>
      <xdr:row>122</xdr:row>
      <xdr:rowOff>0</xdr:rowOff>
    </xdr:to>
    <xdr:cxnSp macro="">
      <xdr:nvCxnSpPr>
        <xdr:cNvPr id="6" name="Straight Connector 6">
          <a:extLst>
            <a:ext uri="{FF2B5EF4-FFF2-40B4-BE49-F238E27FC236}">
              <a16:creationId xmlns:a16="http://schemas.microsoft.com/office/drawing/2014/main" id="{00000000-0008-0000-0500-000006000000}"/>
            </a:ext>
          </a:extLst>
        </xdr:cNvPr>
        <xdr:cNvCxnSpPr/>
      </xdr:nvCxnSpPr>
      <xdr:spPr>
        <a:xfrm>
          <a:off x="11158855" y="116205"/>
          <a:ext cx="0" cy="521385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122</xdr:row>
      <xdr:rowOff>0</xdr:rowOff>
    </xdr:to>
    <xdr:cxnSp macro="">
      <xdr:nvCxnSpPr>
        <xdr:cNvPr id="7" name="Straight Connector 7">
          <a:extLst>
            <a:ext uri="{FF2B5EF4-FFF2-40B4-BE49-F238E27FC236}">
              <a16:creationId xmlns:a16="http://schemas.microsoft.com/office/drawing/2014/main" id="{00000000-0008-0000-0500-000007000000}"/>
            </a:ext>
          </a:extLst>
        </xdr:cNvPr>
        <xdr:cNvCxnSpPr/>
      </xdr:nvCxnSpPr>
      <xdr:spPr>
        <a:xfrm>
          <a:off x="11835765" y="84455"/>
          <a:ext cx="0" cy="521703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627636</xdr:colOff>
      <xdr:row>0</xdr:row>
      <xdr:rowOff>52668</xdr:rowOff>
    </xdr:from>
    <xdr:to>
      <xdr:col>17</xdr:col>
      <xdr:colOff>627636</xdr:colOff>
      <xdr:row>122</xdr:row>
      <xdr:rowOff>0</xdr:rowOff>
    </xdr:to>
    <xdr:cxnSp macro="">
      <xdr:nvCxnSpPr>
        <xdr:cNvPr id="8" name="Straight Connector 8">
          <a:extLst>
            <a:ext uri="{FF2B5EF4-FFF2-40B4-BE49-F238E27FC236}">
              <a16:creationId xmlns:a16="http://schemas.microsoft.com/office/drawing/2014/main" id="{00000000-0008-0000-0500-000008000000}"/>
            </a:ext>
          </a:extLst>
        </xdr:cNvPr>
        <xdr:cNvCxnSpPr/>
      </xdr:nvCxnSpPr>
      <xdr:spPr>
        <a:xfrm>
          <a:off x="12552680" y="52070"/>
          <a:ext cx="0" cy="52202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635000</xdr:colOff>
      <xdr:row>1</xdr:row>
      <xdr:rowOff>19050</xdr:rowOff>
    </xdr:from>
    <xdr:to>
      <xdr:col>18</xdr:col>
      <xdr:colOff>635000</xdr:colOff>
      <xdr:row>122</xdr:row>
      <xdr:rowOff>0</xdr:rowOff>
    </xdr:to>
    <xdr:cxnSp macro="">
      <xdr:nvCxnSpPr>
        <xdr:cNvPr id="9" name="Straight Connector 9">
          <a:extLst>
            <a:ext uri="{FF2B5EF4-FFF2-40B4-BE49-F238E27FC236}">
              <a16:creationId xmlns:a16="http://schemas.microsoft.com/office/drawing/2014/main" id="{00000000-0008-0000-0500-000009000000}"/>
            </a:ext>
          </a:extLst>
        </xdr:cNvPr>
        <xdr:cNvCxnSpPr/>
      </xdr:nvCxnSpPr>
      <xdr:spPr>
        <a:xfrm>
          <a:off x="13255625" y="88265"/>
          <a:ext cx="0" cy="5216652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122</xdr:row>
      <xdr:rowOff>0</xdr:rowOff>
    </xdr:to>
    <xdr:cxnSp macro="">
      <xdr:nvCxnSpPr>
        <xdr:cNvPr id="10" name="Straight Connector 10">
          <a:extLst>
            <a:ext uri="{FF2B5EF4-FFF2-40B4-BE49-F238E27FC236}">
              <a16:creationId xmlns:a16="http://schemas.microsoft.com/office/drawing/2014/main" id="{00000000-0008-0000-0500-00000A000000}"/>
            </a:ext>
          </a:extLst>
        </xdr:cNvPr>
        <xdr:cNvCxnSpPr/>
      </xdr:nvCxnSpPr>
      <xdr:spPr>
        <a:xfrm>
          <a:off x="14011275" y="88265"/>
          <a:ext cx="0" cy="5216652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487741</xdr:colOff>
      <xdr:row>1</xdr:row>
      <xdr:rowOff>57978</xdr:rowOff>
    </xdr:from>
    <xdr:to>
      <xdr:col>18</xdr:col>
      <xdr:colOff>487741</xdr:colOff>
      <xdr:row>122</xdr:row>
      <xdr:rowOff>0</xdr:rowOff>
    </xdr:to>
    <xdr:cxnSp macro="">
      <xdr:nvCxnSpPr>
        <xdr:cNvPr id="11" name="Straight Connector 10">
          <a:extLst>
            <a:ext uri="{FF2B5EF4-FFF2-40B4-BE49-F238E27FC236}">
              <a16:creationId xmlns:a16="http://schemas.microsoft.com/office/drawing/2014/main" id="{00000000-0008-0000-0500-00000B000000}"/>
            </a:ext>
          </a:extLst>
        </xdr:cNvPr>
        <xdr:cNvCxnSpPr/>
      </xdr:nvCxnSpPr>
      <xdr:spPr>
        <a:xfrm>
          <a:off x="13108305" y="127000"/>
          <a:ext cx="0" cy="52127785"/>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65</xdr:row>
      <xdr:rowOff>16565</xdr:rowOff>
    </xdr:from>
    <xdr:to>
      <xdr:col>18</xdr:col>
      <xdr:colOff>468820</xdr:colOff>
      <xdr:row>116</xdr:row>
      <xdr:rowOff>140805</xdr:rowOff>
    </xdr:to>
    <xdr:sp macro="" textlink="">
      <xdr:nvSpPr>
        <xdr:cNvPr id="12" name="TextBox 13">
          <a:extLst>
            <a:ext uri="{FF2B5EF4-FFF2-40B4-BE49-F238E27FC236}">
              <a16:creationId xmlns:a16="http://schemas.microsoft.com/office/drawing/2014/main" id="{00000000-0008-0000-0500-00000C000000}"/>
            </a:ext>
          </a:extLst>
        </xdr:cNvPr>
        <xdr:cNvSpPr txBox="1"/>
      </xdr:nvSpPr>
      <xdr:spPr>
        <a:xfrm rot="16200000">
          <a:off x="3588385" y="38093650"/>
          <a:ext cx="1880679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16</xdr:col>
      <xdr:colOff>57207</xdr:colOff>
      <xdr:row>4</xdr:row>
      <xdr:rowOff>303199</xdr:rowOff>
    </xdr:from>
    <xdr:to>
      <xdr:col>18</xdr:col>
      <xdr:colOff>171823</xdr:colOff>
      <xdr:row>4</xdr:row>
      <xdr:rowOff>313765</xdr:rowOff>
    </xdr:to>
    <xdr:cxnSp macro="">
      <xdr:nvCxnSpPr>
        <xdr:cNvPr id="13" name="Straight Connector 15">
          <a:extLst>
            <a:ext uri="{FF2B5EF4-FFF2-40B4-BE49-F238E27FC236}">
              <a16:creationId xmlns:a16="http://schemas.microsoft.com/office/drawing/2014/main" id="{00000000-0008-0000-0500-00000D000000}"/>
            </a:ext>
          </a:extLst>
        </xdr:cNvPr>
        <xdr:cNvCxnSpPr/>
      </xdr:nvCxnSpPr>
      <xdr:spPr>
        <a:xfrm>
          <a:off x="11287125" y="734060"/>
          <a:ext cx="1504950" cy="1079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479835</xdr:colOff>
      <xdr:row>12</xdr:row>
      <xdr:rowOff>282737</xdr:rowOff>
    </xdr:from>
    <xdr:to>
      <xdr:col>18</xdr:col>
      <xdr:colOff>203941</xdr:colOff>
      <xdr:row>12</xdr:row>
      <xdr:rowOff>287399</xdr:rowOff>
    </xdr:to>
    <xdr:cxnSp macro="">
      <xdr:nvCxnSpPr>
        <xdr:cNvPr id="14" name="Straight Connector 17">
          <a:extLst>
            <a:ext uri="{FF2B5EF4-FFF2-40B4-BE49-F238E27FC236}">
              <a16:creationId xmlns:a16="http://schemas.microsoft.com/office/drawing/2014/main" id="{00000000-0008-0000-0500-00000E000000}"/>
            </a:ext>
          </a:extLst>
        </xdr:cNvPr>
        <xdr:cNvCxnSpPr/>
      </xdr:nvCxnSpPr>
      <xdr:spPr>
        <a:xfrm flipV="1">
          <a:off x="11709400" y="4771390"/>
          <a:ext cx="111506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173584</xdr:colOff>
      <xdr:row>17</xdr:row>
      <xdr:rowOff>308907</xdr:rowOff>
    </xdr:from>
    <xdr:to>
      <xdr:col>18</xdr:col>
      <xdr:colOff>345531</xdr:colOff>
      <xdr:row>17</xdr:row>
      <xdr:rowOff>308907</xdr:rowOff>
    </xdr:to>
    <xdr:cxnSp macro="">
      <xdr:nvCxnSpPr>
        <xdr:cNvPr id="15" name="Straight Connector 18">
          <a:extLst>
            <a:ext uri="{FF2B5EF4-FFF2-40B4-BE49-F238E27FC236}">
              <a16:creationId xmlns:a16="http://schemas.microsoft.com/office/drawing/2014/main" id="{00000000-0008-0000-0500-00000F000000}"/>
            </a:ext>
          </a:extLst>
        </xdr:cNvPr>
        <xdr:cNvCxnSpPr/>
      </xdr:nvCxnSpPr>
      <xdr:spPr>
        <a:xfrm>
          <a:off x="12793980" y="7140575"/>
          <a:ext cx="1720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273162</xdr:colOff>
      <xdr:row>22</xdr:row>
      <xdr:rowOff>312178</xdr:rowOff>
    </xdr:from>
    <xdr:to>
      <xdr:col>18</xdr:col>
      <xdr:colOff>433679</xdr:colOff>
      <xdr:row>22</xdr:row>
      <xdr:rowOff>312178</xdr:rowOff>
    </xdr:to>
    <xdr:cxnSp macro="">
      <xdr:nvCxnSpPr>
        <xdr:cNvPr id="16" name="Straight Connector 19">
          <a:extLst>
            <a:ext uri="{FF2B5EF4-FFF2-40B4-BE49-F238E27FC236}">
              <a16:creationId xmlns:a16="http://schemas.microsoft.com/office/drawing/2014/main" id="{00000000-0008-0000-0500-000010000000}"/>
            </a:ext>
          </a:extLst>
        </xdr:cNvPr>
        <xdr:cNvCxnSpPr/>
      </xdr:nvCxnSpPr>
      <xdr:spPr>
        <a:xfrm>
          <a:off x="12893675" y="9486900"/>
          <a:ext cx="1600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383359</xdr:colOff>
      <xdr:row>71</xdr:row>
      <xdr:rowOff>222152</xdr:rowOff>
    </xdr:from>
    <xdr:to>
      <xdr:col>18</xdr:col>
      <xdr:colOff>487268</xdr:colOff>
      <xdr:row>71</xdr:row>
      <xdr:rowOff>226270</xdr:rowOff>
    </xdr:to>
    <xdr:cxnSp macro="">
      <xdr:nvCxnSpPr>
        <xdr:cNvPr id="17" name="Straight Connector 2">
          <a:extLst>
            <a:ext uri="{FF2B5EF4-FFF2-40B4-BE49-F238E27FC236}">
              <a16:creationId xmlns:a16="http://schemas.microsoft.com/office/drawing/2014/main" id="{00000000-0008-0000-0500-000011000000}"/>
            </a:ext>
          </a:extLst>
        </xdr:cNvPr>
        <xdr:cNvCxnSpPr/>
      </xdr:nvCxnSpPr>
      <xdr:spPr>
        <a:xfrm>
          <a:off x="13003530" y="30143450"/>
          <a:ext cx="10414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312046</xdr:colOff>
      <xdr:row>62</xdr:row>
      <xdr:rowOff>200413</xdr:rowOff>
    </xdr:from>
    <xdr:to>
      <xdr:col>20</xdr:col>
      <xdr:colOff>434220</xdr:colOff>
      <xdr:row>62</xdr:row>
      <xdr:rowOff>200413</xdr:rowOff>
    </xdr:to>
    <xdr:cxnSp macro="">
      <xdr:nvCxnSpPr>
        <xdr:cNvPr id="18" name="Straight Connector 19">
          <a:extLst>
            <a:ext uri="{FF2B5EF4-FFF2-40B4-BE49-F238E27FC236}">
              <a16:creationId xmlns:a16="http://schemas.microsoft.com/office/drawing/2014/main" id="{00000000-0008-0000-0500-000012000000}"/>
            </a:ext>
          </a:extLst>
        </xdr:cNvPr>
        <xdr:cNvCxnSpPr/>
      </xdr:nvCxnSpPr>
      <xdr:spPr>
        <a:xfrm>
          <a:off x="14323060" y="2878836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436023</xdr:colOff>
      <xdr:row>63</xdr:row>
      <xdr:rowOff>178944</xdr:rowOff>
    </xdr:from>
    <xdr:to>
      <xdr:col>20</xdr:col>
      <xdr:colOff>558197</xdr:colOff>
      <xdr:row>63</xdr:row>
      <xdr:rowOff>178944</xdr:rowOff>
    </xdr:to>
    <xdr:cxnSp macro="">
      <xdr:nvCxnSpPr>
        <xdr:cNvPr id="19" name="Straight Connector 19">
          <a:extLst>
            <a:ext uri="{FF2B5EF4-FFF2-40B4-BE49-F238E27FC236}">
              <a16:creationId xmlns:a16="http://schemas.microsoft.com/office/drawing/2014/main" id="{00000000-0008-0000-0500-000013000000}"/>
            </a:ext>
          </a:extLst>
        </xdr:cNvPr>
        <xdr:cNvCxnSpPr/>
      </xdr:nvCxnSpPr>
      <xdr:spPr>
        <a:xfrm>
          <a:off x="14446885" y="2878836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577430</xdr:colOff>
      <xdr:row>64</xdr:row>
      <xdr:rowOff>175033</xdr:rowOff>
    </xdr:from>
    <xdr:to>
      <xdr:col>21</xdr:col>
      <xdr:colOff>8079</xdr:colOff>
      <xdr:row>64</xdr:row>
      <xdr:rowOff>176828</xdr:rowOff>
    </xdr:to>
    <xdr:cxnSp macro="">
      <xdr:nvCxnSpPr>
        <xdr:cNvPr id="20" name="Straight Connector 19">
          <a:extLst>
            <a:ext uri="{FF2B5EF4-FFF2-40B4-BE49-F238E27FC236}">
              <a16:creationId xmlns:a16="http://schemas.microsoft.com/office/drawing/2014/main" id="{00000000-0008-0000-0500-000014000000}"/>
            </a:ext>
          </a:extLst>
        </xdr:cNvPr>
        <xdr:cNvCxnSpPr/>
      </xdr:nvCxnSpPr>
      <xdr:spPr>
        <a:xfrm>
          <a:off x="14588490" y="28788360"/>
          <a:ext cx="1257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336418</xdr:colOff>
      <xdr:row>13</xdr:row>
      <xdr:rowOff>277028</xdr:rowOff>
    </xdr:from>
    <xdr:to>
      <xdr:col>18</xdr:col>
      <xdr:colOff>481640</xdr:colOff>
      <xdr:row>13</xdr:row>
      <xdr:rowOff>277028</xdr:rowOff>
    </xdr:to>
    <xdr:cxnSp macro="">
      <xdr:nvCxnSpPr>
        <xdr:cNvPr id="21" name="Straight Connector 33">
          <a:extLst>
            <a:ext uri="{FF2B5EF4-FFF2-40B4-BE49-F238E27FC236}">
              <a16:creationId xmlns:a16="http://schemas.microsoft.com/office/drawing/2014/main" id="{00000000-0008-0000-0500-000015000000}"/>
            </a:ext>
          </a:extLst>
        </xdr:cNvPr>
        <xdr:cNvCxnSpPr/>
      </xdr:nvCxnSpPr>
      <xdr:spPr>
        <a:xfrm>
          <a:off x="12956540" y="533717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473462</xdr:colOff>
      <xdr:row>5</xdr:row>
      <xdr:rowOff>299652</xdr:rowOff>
    </xdr:from>
    <xdr:to>
      <xdr:col>18</xdr:col>
      <xdr:colOff>185552</xdr:colOff>
      <xdr:row>5</xdr:row>
      <xdr:rowOff>303213</xdr:rowOff>
    </xdr:to>
    <xdr:cxnSp macro="">
      <xdr:nvCxnSpPr>
        <xdr:cNvPr id="22" name="Straight Connector 57">
          <a:extLst>
            <a:ext uri="{FF2B5EF4-FFF2-40B4-BE49-F238E27FC236}">
              <a16:creationId xmlns:a16="http://schemas.microsoft.com/office/drawing/2014/main" id="{00000000-0008-0000-0500-000016000000}"/>
            </a:ext>
          </a:extLst>
        </xdr:cNvPr>
        <xdr:cNvCxnSpPr/>
      </xdr:nvCxnSpPr>
      <xdr:spPr>
        <a:xfrm>
          <a:off x="12398375" y="1301750"/>
          <a:ext cx="40767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475646</xdr:colOff>
      <xdr:row>8</xdr:row>
      <xdr:rowOff>292148</xdr:rowOff>
    </xdr:from>
    <xdr:to>
      <xdr:col>17</xdr:col>
      <xdr:colOff>564855</xdr:colOff>
      <xdr:row>8</xdr:row>
      <xdr:rowOff>295349</xdr:rowOff>
    </xdr:to>
    <xdr:cxnSp macro="">
      <xdr:nvCxnSpPr>
        <xdr:cNvPr id="23" name="Straight Connector 63">
          <a:extLst>
            <a:ext uri="{FF2B5EF4-FFF2-40B4-BE49-F238E27FC236}">
              <a16:creationId xmlns:a16="http://schemas.microsoft.com/office/drawing/2014/main" id="{00000000-0008-0000-0500-000017000000}"/>
            </a:ext>
          </a:extLst>
        </xdr:cNvPr>
        <xdr:cNvCxnSpPr/>
      </xdr:nvCxnSpPr>
      <xdr:spPr>
        <a:xfrm>
          <a:off x="12400915" y="3009265"/>
          <a:ext cx="8890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340113</xdr:colOff>
      <xdr:row>30</xdr:row>
      <xdr:rowOff>266505</xdr:rowOff>
    </xdr:from>
    <xdr:to>
      <xdr:col>19</xdr:col>
      <xdr:colOff>388343</xdr:colOff>
      <xdr:row>30</xdr:row>
      <xdr:rowOff>268817</xdr:rowOff>
    </xdr:to>
    <xdr:cxnSp macro="">
      <xdr:nvCxnSpPr>
        <xdr:cNvPr id="24" name="Straight Connector 19">
          <a:extLst>
            <a:ext uri="{FF2B5EF4-FFF2-40B4-BE49-F238E27FC236}">
              <a16:creationId xmlns:a16="http://schemas.microsoft.com/office/drawing/2014/main" id="{00000000-0008-0000-0500-000018000000}"/>
            </a:ext>
          </a:extLst>
        </xdr:cNvPr>
        <xdr:cNvCxnSpPr/>
      </xdr:nvCxnSpPr>
      <xdr:spPr>
        <a:xfrm flipV="1">
          <a:off x="13655675" y="13498830"/>
          <a:ext cx="4826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575171</xdr:colOff>
      <xdr:row>35</xdr:row>
      <xdr:rowOff>279014</xdr:rowOff>
    </xdr:from>
    <xdr:to>
      <xdr:col>20</xdr:col>
      <xdr:colOff>446</xdr:colOff>
      <xdr:row>35</xdr:row>
      <xdr:rowOff>279951</xdr:rowOff>
    </xdr:to>
    <xdr:cxnSp macro="">
      <xdr:nvCxnSpPr>
        <xdr:cNvPr id="25" name="Straight Connector 19">
          <a:extLst>
            <a:ext uri="{FF2B5EF4-FFF2-40B4-BE49-F238E27FC236}">
              <a16:creationId xmlns:a16="http://schemas.microsoft.com/office/drawing/2014/main" id="{00000000-0008-0000-0500-000019000000}"/>
            </a:ext>
          </a:extLst>
        </xdr:cNvPr>
        <xdr:cNvCxnSpPr/>
      </xdr:nvCxnSpPr>
      <xdr:spPr>
        <a:xfrm flipV="1">
          <a:off x="13890625" y="15854680"/>
          <a:ext cx="12065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581768</xdr:colOff>
      <xdr:row>39</xdr:row>
      <xdr:rowOff>290096</xdr:rowOff>
    </xdr:from>
    <xdr:to>
      <xdr:col>20</xdr:col>
      <xdr:colOff>102683</xdr:colOff>
      <xdr:row>39</xdr:row>
      <xdr:rowOff>291033</xdr:rowOff>
    </xdr:to>
    <xdr:cxnSp macro="">
      <xdr:nvCxnSpPr>
        <xdr:cNvPr id="26" name="Straight Connector 19">
          <a:extLst>
            <a:ext uri="{FF2B5EF4-FFF2-40B4-BE49-F238E27FC236}">
              <a16:creationId xmlns:a16="http://schemas.microsoft.com/office/drawing/2014/main" id="{00000000-0008-0000-0500-00001A000000}"/>
            </a:ext>
          </a:extLst>
        </xdr:cNvPr>
        <xdr:cNvCxnSpPr/>
      </xdr:nvCxnSpPr>
      <xdr:spPr>
        <a:xfrm flipV="1">
          <a:off x="13897610" y="17637125"/>
          <a:ext cx="21590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163474</xdr:colOff>
      <xdr:row>40</xdr:row>
      <xdr:rowOff>298286</xdr:rowOff>
    </xdr:from>
    <xdr:to>
      <xdr:col>20</xdr:col>
      <xdr:colOff>231510</xdr:colOff>
      <xdr:row>40</xdr:row>
      <xdr:rowOff>301120</xdr:rowOff>
    </xdr:to>
    <xdr:cxnSp macro="">
      <xdr:nvCxnSpPr>
        <xdr:cNvPr id="27" name="Straight Connector 19">
          <a:extLst>
            <a:ext uri="{FF2B5EF4-FFF2-40B4-BE49-F238E27FC236}">
              <a16:creationId xmlns:a16="http://schemas.microsoft.com/office/drawing/2014/main" id="{00000000-0008-0000-0500-00001B000000}"/>
            </a:ext>
          </a:extLst>
        </xdr:cNvPr>
        <xdr:cNvCxnSpPr/>
      </xdr:nvCxnSpPr>
      <xdr:spPr>
        <a:xfrm>
          <a:off x="14174470" y="18216880"/>
          <a:ext cx="6794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81455</xdr:colOff>
      <xdr:row>44</xdr:row>
      <xdr:rowOff>290286</xdr:rowOff>
    </xdr:from>
    <xdr:to>
      <xdr:col>20</xdr:col>
      <xdr:colOff>233254</xdr:colOff>
      <xdr:row>44</xdr:row>
      <xdr:rowOff>292139</xdr:rowOff>
    </xdr:to>
    <xdr:cxnSp macro="">
      <xdr:nvCxnSpPr>
        <xdr:cNvPr id="28" name="Straight Connector 19">
          <a:extLst>
            <a:ext uri="{FF2B5EF4-FFF2-40B4-BE49-F238E27FC236}">
              <a16:creationId xmlns:a16="http://schemas.microsoft.com/office/drawing/2014/main" id="{00000000-0008-0000-0500-00001C000000}"/>
            </a:ext>
          </a:extLst>
        </xdr:cNvPr>
        <xdr:cNvCxnSpPr/>
      </xdr:nvCxnSpPr>
      <xdr:spPr>
        <a:xfrm flipV="1">
          <a:off x="14092555" y="19980910"/>
          <a:ext cx="15176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299086</xdr:colOff>
      <xdr:row>45</xdr:row>
      <xdr:rowOff>283329</xdr:rowOff>
    </xdr:from>
    <xdr:to>
      <xdr:col>20</xdr:col>
      <xdr:colOff>360945</xdr:colOff>
      <xdr:row>45</xdr:row>
      <xdr:rowOff>285224</xdr:rowOff>
    </xdr:to>
    <xdr:cxnSp macro="">
      <xdr:nvCxnSpPr>
        <xdr:cNvPr id="29" name="Straight Connector 19">
          <a:extLst>
            <a:ext uri="{FF2B5EF4-FFF2-40B4-BE49-F238E27FC236}">
              <a16:creationId xmlns:a16="http://schemas.microsoft.com/office/drawing/2014/main" id="{00000000-0008-0000-0500-00001D000000}"/>
            </a:ext>
          </a:extLst>
        </xdr:cNvPr>
        <xdr:cNvCxnSpPr/>
      </xdr:nvCxnSpPr>
      <xdr:spPr>
        <a:xfrm>
          <a:off x="14310360" y="20545425"/>
          <a:ext cx="6159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517328</xdr:colOff>
      <xdr:row>47</xdr:row>
      <xdr:rowOff>269991</xdr:rowOff>
    </xdr:from>
    <xdr:to>
      <xdr:col>20</xdr:col>
      <xdr:colOff>81034</xdr:colOff>
      <xdr:row>47</xdr:row>
      <xdr:rowOff>272528</xdr:rowOff>
    </xdr:to>
    <xdr:cxnSp macro="">
      <xdr:nvCxnSpPr>
        <xdr:cNvPr id="30" name="Straight Connector 19">
          <a:extLst>
            <a:ext uri="{FF2B5EF4-FFF2-40B4-BE49-F238E27FC236}">
              <a16:creationId xmlns:a16="http://schemas.microsoft.com/office/drawing/2014/main" id="{00000000-0008-0000-0500-00001E000000}"/>
            </a:ext>
          </a:extLst>
        </xdr:cNvPr>
        <xdr:cNvCxnSpPr/>
      </xdr:nvCxnSpPr>
      <xdr:spPr>
        <a:xfrm flipV="1">
          <a:off x="13832840" y="21160740"/>
          <a:ext cx="25908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72317</xdr:colOff>
      <xdr:row>48</xdr:row>
      <xdr:rowOff>268199</xdr:rowOff>
    </xdr:from>
    <xdr:to>
      <xdr:col>20</xdr:col>
      <xdr:colOff>220870</xdr:colOff>
      <xdr:row>48</xdr:row>
      <xdr:rowOff>270411</xdr:rowOff>
    </xdr:to>
    <xdr:cxnSp macro="">
      <xdr:nvCxnSpPr>
        <xdr:cNvPr id="31" name="Straight Connector 19">
          <a:extLst>
            <a:ext uri="{FF2B5EF4-FFF2-40B4-BE49-F238E27FC236}">
              <a16:creationId xmlns:a16="http://schemas.microsoft.com/office/drawing/2014/main" id="{00000000-0008-0000-0500-00001F000000}"/>
            </a:ext>
          </a:extLst>
        </xdr:cNvPr>
        <xdr:cNvCxnSpPr/>
      </xdr:nvCxnSpPr>
      <xdr:spPr>
        <a:xfrm flipV="1">
          <a:off x="14083030" y="21730335"/>
          <a:ext cx="148590"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266298</xdr:colOff>
      <xdr:row>49</xdr:row>
      <xdr:rowOff>310533</xdr:rowOff>
    </xdr:from>
    <xdr:to>
      <xdr:col>20</xdr:col>
      <xdr:colOff>362199</xdr:colOff>
      <xdr:row>49</xdr:row>
      <xdr:rowOff>312077</xdr:rowOff>
    </xdr:to>
    <xdr:cxnSp macro="">
      <xdr:nvCxnSpPr>
        <xdr:cNvPr id="32" name="Straight Connector 19">
          <a:extLst>
            <a:ext uri="{FF2B5EF4-FFF2-40B4-BE49-F238E27FC236}">
              <a16:creationId xmlns:a16="http://schemas.microsoft.com/office/drawing/2014/main" id="{00000000-0008-0000-0500-000020000000}"/>
            </a:ext>
          </a:extLst>
        </xdr:cNvPr>
        <xdr:cNvCxnSpPr/>
      </xdr:nvCxnSpPr>
      <xdr:spPr>
        <a:xfrm>
          <a:off x="14277340" y="22344380"/>
          <a:ext cx="9588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329855</xdr:colOff>
      <xdr:row>50</xdr:row>
      <xdr:rowOff>271392</xdr:rowOff>
    </xdr:from>
    <xdr:to>
      <xdr:col>20</xdr:col>
      <xdr:colOff>396894</xdr:colOff>
      <xdr:row>50</xdr:row>
      <xdr:rowOff>271809</xdr:rowOff>
    </xdr:to>
    <xdr:cxnSp macro="">
      <xdr:nvCxnSpPr>
        <xdr:cNvPr id="33" name="Straight Connector 19">
          <a:extLst>
            <a:ext uri="{FF2B5EF4-FFF2-40B4-BE49-F238E27FC236}">
              <a16:creationId xmlns:a16="http://schemas.microsoft.com/office/drawing/2014/main" id="{00000000-0008-0000-0500-000021000000}"/>
            </a:ext>
          </a:extLst>
        </xdr:cNvPr>
        <xdr:cNvCxnSpPr/>
      </xdr:nvCxnSpPr>
      <xdr:spPr>
        <a:xfrm>
          <a:off x="14340840" y="22876510"/>
          <a:ext cx="6731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64862</xdr:colOff>
      <xdr:row>52</xdr:row>
      <xdr:rowOff>259303</xdr:rowOff>
    </xdr:from>
    <xdr:to>
      <xdr:col>20</xdr:col>
      <xdr:colOff>214016</xdr:colOff>
      <xdr:row>52</xdr:row>
      <xdr:rowOff>260350</xdr:rowOff>
    </xdr:to>
    <xdr:cxnSp macro="">
      <xdr:nvCxnSpPr>
        <xdr:cNvPr id="34" name="Straight Connector 19">
          <a:extLst>
            <a:ext uri="{FF2B5EF4-FFF2-40B4-BE49-F238E27FC236}">
              <a16:creationId xmlns:a16="http://schemas.microsoft.com/office/drawing/2014/main" id="{00000000-0008-0000-0500-000022000000}"/>
            </a:ext>
          </a:extLst>
        </xdr:cNvPr>
        <xdr:cNvCxnSpPr/>
      </xdr:nvCxnSpPr>
      <xdr:spPr>
        <a:xfrm>
          <a:off x="14076045" y="23493095"/>
          <a:ext cx="14922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219327</xdr:colOff>
      <xdr:row>53</xdr:row>
      <xdr:rowOff>274428</xdr:rowOff>
    </xdr:from>
    <xdr:to>
      <xdr:col>20</xdr:col>
      <xdr:colOff>368481</xdr:colOff>
      <xdr:row>53</xdr:row>
      <xdr:rowOff>275475</xdr:rowOff>
    </xdr:to>
    <xdr:cxnSp macro="">
      <xdr:nvCxnSpPr>
        <xdr:cNvPr id="35" name="Straight Connector 19">
          <a:extLst>
            <a:ext uri="{FF2B5EF4-FFF2-40B4-BE49-F238E27FC236}">
              <a16:creationId xmlns:a16="http://schemas.microsoft.com/office/drawing/2014/main" id="{00000000-0008-0000-0500-000023000000}"/>
            </a:ext>
          </a:extLst>
        </xdr:cNvPr>
        <xdr:cNvCxnSpPr/>
      </xdr:nvCxnSpPr>
      <xdr:spPr>
        <a:xfrm>
          <a:off x="14230350" y="24079835"/>
          <a:ext cx="1492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383324</xdr:colOff>
      <xdr:row>54</xdr:row>
      <xdr:rowOff>307096</xdr:rowOff>
    </xdr:from>
    <xdr:to>
      <xdr:col>20</xdr:col>
      <xdr:colOff>492665</xdr:colOff>
      <xdr:row>54</xdr:row>
      <xdr:rowOff>307243</xdr:rowOff>
    </xdr:to>
    <xdr:cxnSp macro="">
      <xdr:nvCxnSpPr>
        <xdr:cNvPr id="36" name="Straight Connector 19">
          <a:extLst>
            <a:ext uri="{FF2B5EF4-FFF2-40B4-BE49-F238E27FC236}">
              <a16:creationId xmlns:a16="http://schemas.microsoft.com/office/drawing/2014/main" id="{00000000-0008-0000-0500-000024000000}"/>
            </a:ext>
          </a:extLst>
        </xdr:cNvPr>
        <xdr:cNvCxnSpPr/>
      </xdr:nvCxnSpPr>
      <xdr:spPr>
        <a:xfrm>
          <a:off x="14394180" y="24683720"/>
          <a:ext cx="1092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492827</xdr:colOff>
      <xdr:row>55</xdr:row>
      <xdr:rowOff>314081</xdr:rowOff>
    </xdr:from>
    <xdr:to>
      <xdr:col>20</xdr:col>
      <xdr:colOff>563799</xdr:colOff>
      <xdr:row>55</xdr:row>
      <xdr:rowOff>315939</xdr:rowOff>
    </xdr:to>
    <xdr:cxnSp macro="">
      <xdr:nvCxnSpPr>
        <xdr:cNvPr id="37" name="Straight Connector 19">
          <a:extLst>
            <a:ext uri="{FF2B5EF4-FFF2-40B4-BE49-F238E27FC236}">
              <a16:creationId xmlns:a16="http://schemas.microsoft.com/office/drawing/2014/main" id="{00000000-0008-0000-0500-000025000000}"/>
            </a:ext>
          </a:extLst>
        </xdr:cNvPr>
        <xdr:cNvCxnSpPr/>
      </xdr:nvCxnSpPr>
      <xdr:spPr>
        <a:xfrm>
          <a:off x="14504035" y="25262205"/>
          <a:ext cx="7048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5061</xdr:colOff>
      <xdr:row>65</xdr:row>
      <xdr:rowOff>185787</xdr:rowOff>
    </xdr:from>
    <xdr:to>
      <xdr:col>21</xdr:col>
      <xdr:colOff>53397</xdr:colOff>
      <xdr:row>65</xdr:row>
      <xdr:rowOff>187325</xdr:rowOff>
    </xdr:to>
    <xdr:cxnSp macro="">
      <xdr:nvCxnSpPr>
        <xdr:cNvPr id="38" name="Straight Connector 19">
          <a:extLst>
            <a:ext uri="{FF2B5EF4-FFF2-40B4-BE49-F238E27FC236}">
              <a16:creationId xmlns:a16="http://schemas.microsoft.com/office/drawing/2014/main" id="{00000000-0008-0000-0500-000026000000}"/>
            </a:ext>
          </a:extLst>
        </xdr:cNvPr>
        <xdr:cNvCxnSpPr/>
      </xdr:nvCxnSpPr>
      <xdr:spPr>
        <a:xfrm>
          <a:off x="14711045" y="28788360"/>
          <a:ext cx="488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631426</xdr:colOff>
      <xdr:row>66</xdr:row>
      <xdr:rowOff>191751</xdr:rowOff>
    </xdr:from>
    <xdr:to>
      <xdr:col>21</xdr:col>
      <xdr:colOff>44762</xdr:colOff>
      <xdr:row>66</xdr:row>
      <xdr:rowOff>193289</xdr:rowOff>
    </xdr:to>
    <xdr:cxnSp macro="">
      <xdr:nvCxnSpPr>
        <xdr:cNvPr id="39" name="Straight Connector 19">
          <a:extLst>
            <a:ext uri="{FF2B5EF4-FFF2-40B4-BE49-F238E27FC236}">
              <a16:creationId xmlns:a16="http://schemas.microsoft.com/office/drawing/2014/main" id="{00000000-0008-0000-0500-000027000000}"/>
            </a:ext>
          </a:extLst>
        </xdr:cNvPr>
        <xdr:cNvCxnSpPr/>
      </xdr:nvCxnSpPr>
      <xdr:spPr>
        <a:xfrm>
          <a:off x="14642465" y="28788360"/>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292081</xdr:colOff>
      <xdr:row>69</xdr:row>
      <xdr:rowOff>304570</xdr:rowOff>
    </xdr:from>
    <xdr:to>
      <xdr:col>22</xdr:col>
      <xdr:colOff>18676</xdr:colOff>
      <xdr:row>69</xdr:row>
      <xdr:rowOff>304570</xdr:rowOff>
    </xdr:to>
    <xdr:cxnSp macro="">
      <xdr:nvCxnSpPr>
        <xdr:cNvPr id="40" name="Straight Connector 19">
          <a:extLst>
            <a:ext uri="{FF2B5EF4-FFF2-40B4-BE49-F238E27FC236}">
              <a16:creationId xmlns:a16="http://schemas.microsoft.com/office/drawing/2014/main" id="{00000000-0008-0000-0500-000028000000}"/>
            </a:ext>
          </a:extLst>
        </xdr:cNvPr>
        <xdr:cNvCxnSpPr/>
      </xdr:nvCxnSpPr>
      <xdr:spPr>
        <a:xfrm>
          <a:off x="14998065" y="29587825"/>
          <a:ext cx="4222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60</xdr:row>
      <xdr:rowOff>0</xdr:rowOff>
    </xdr:from>
    <xdr:to>
      <xdr:col>18</xdr:col>
      <xdr:colOff>468820</xdr:colOff>
      <xdr:row>63</xdr:row>
      <xdr:rowOff>140805</xdr:rowOff>
    </xdr:to>
    <xdr:sp macro="" textlink="">
      <xdr:nvSpPr>
        <xdr:cNvPr id="41" name="TextBox 13">
          <a:extLst>
            <a:ext uri="{FF2B5EF4-FFF2-40B4-BE49-F238E27FC236}">
              <a16:creationId xmlns:a16="http://schemas.microsoft.com/office/drawing/2014/main" id="{00000000-0008-0000-0500-000029000000}"/>
            </a:ext>
          </a:extLst>
        </xdr:cNvPr>
        <xdr:cNvSpPr txBox="1"/>
      </xdr:nvSpPr>
      <xdr:spPr>
        <a:xfrm rot="16200000">
          <a:off x="12391390" y="28090495"/>
          <a:ext cx="12001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273963</xdr:colOff>
      <xdr:row>64</xdr:row>
      <xdr:rowOff>16565</xdr:rowOff>
    </xdr:from>
    <xdr:to>
      <xdr:col>18</xdr:col>
      <xdr:colOff>468820</xdr:colOff>
      <xdr:row>116</xdr:row>
      <xdr:rowOff>140805</xdr:rowOff>
    </xdr:to>
    <xdr:sp macro="" textlink="">
      <xdr:nvSpPr>
        <xdr:cNvPr id="42" name="TextBox 13">
          <a:extLst>
            <a:ext uri="{FF2B5EF4-FFF2-40B4-BE49-F238E27FC236}">
              <a16:creationId xmlns:a16="http://schemas.microsoft.com/office/drawing/2014/main" id="{00000000-0008-0000-0500-00002A000000}"/>
            </a:ext>
          </a:extLst>
        </xdr:cNvPr>
        <xdr:cNvSpPr txBox="1"/>
      </xdr:nvSpPr>
      <xdr:spPr>
        <a:xfrm rot="16200000">
          <a:off x="3588385" y="38093650"/>
          <a:ext cx="1880679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127000</xdr:colOff>
      <xdr:row>6</xdr:row>
      <xdr:rowOff>351118</xdr:rowOff>
    </xdr:from>
    <xdr:to>
      <xdr:col>18</xdr:col>
      <xdr:colOff>474090</xdr:colOff>
      <xdr:row>6</xdr:row>
      <xdr:rowOff>354679</xdr:rowOff>
    </xdr:to>
    <xdr:cxnSp macro="">
      <xdr:nvCxnSpPr>
        <xdr:cNvPr id="43" name="Straight Connector 57">
          <a:extLst>
            <a:ext uri="{FF2B5EF4-FFF2-40B4-BE49-F238E27FC236}">
              <a16:creationId xmlns:a16="http://schemas.microsoft.com/office/drawing/2014/main" id="{00000000-0008-0000-0500-00002B000000}"/>
            </a:ext>
          </a:extLst>
        </xdr:cNvPr>
        <xdr:cNvCxnSpPr/>
      </xdr:nvCxnSpPr>
      <xdr:spPr>
        <a:xfrm>
          <a:off x="12747625" y="1924685"/>
          <a:ext cx="34671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160421</xdr:colOff>
      <xdr:row>7</xdr:row>
      <xdr:rowOff>280736</xdr:rowOff>
    </xdr:from>
    <xdr:to>
      <xdr:col>18</xdr:col>
      <xdr:colOff>429267</xdr:colOff>
      <xdr:row>7</xdr:row>
      <xdr:rowOff>287443</xdr:rowOff>
    </xdr:to>
    <xdr:cxnSp macro="">
      <xdr:nvCxnSpPr>
        <xdr:cNvPr id="44" name="Straight Connector 57">
          <a:extLst>
            <a:ext uri="{FF2B5EF4-FFF2-40B4-BE49-F238E27FC236}">
              <a16:creationId xmlns:a16="http://schemas.microsoft.com/office/drawing/2014/main" id="{00000000-0008-0000-0500-00002C000000}"/>
            </a:ext>
          </a:extLst>
        </xdr:cNvPr>
        <xdr:cNvCxnSpPr/>
      </xdr:nvCxnSpPr>
      <xdr:spPr>
        <a:xfrm>
          <a:off x="12780645" y="2426335"/>
          <a:ext cx="269240" cy="635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541193</xdr:colOff>
      <xdr:row>9</xdr:row>
      <xdr:rowOff>328324</xdr:rowOff>
    </xdr:from>
    <xdr:to>
      <xdr:col>18</xdr:col>
      <xdr:colOff>591705</xdr:colOff>
      <xdr:row>9</xdr:row>
      <xdr:rowOff>329260</xdr:rowOff>
    </xdr:to>
    <xdr:cxnSp macro="">
      <xdr:nvCxnSpPr>
        <xdr:cNvPr id="45" name="Straight Connector 19">
          <a:extLst>
            <a:ext uri="{FF2B5EF4-FFF2-40B4-BE49-F238E27FC236}">
              <a16:creationId xmlns:a16="http://schemas.microsoft.com/office/drawing/2014/main" id="{00000000-0008-0000-0500-00002D000000}"/>
            </a:ext>
          </a:extLst>
        </xdr:cNvPr>
        <xdr:cNvCxnSpPr/>
      </xdr:nvCxnSpPr>
      <xdr:spPr>
        <a:xfrm flipV="1">
          <a:off x="13161645" y="3616960"/>
          <a:ext cx="5016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554252</xdr:colOff>
      <xdr:row>10</xdr:row>
      <xdr:rowOff>298107</xdr:rowOff>
    </xdr:from>
    <xdr:to>
      <xdr:col>18</xdr:col>
      <xdr:colOff>604764</xdr:colOff>
      <xdr:row>10</xdr:row>
      <xdr:rowOff>299043</xdr:rowOff>
    </xdr:to>
    <xdr:cxnSp macro="">
      <xdr:nvCxnSpPr>
        <xdr:cNvPr id="46" name="Straight Connector 19">
          <a:extLst>
            <a:ext uri="{FF2B5EF4-FFF2-40B4-BE49-F238E27FC236}">
              <a16:creationId xmlns:a16="http://schemas.microsoft.com/office/drawing/2014/main" id="{00000000-0008-0000-0500-00002E000000}"/>
            </a:ext>
          </a:extLst>
        </xdr:cNvPr>
        <xdr:cNvCxnSpPr/>
      </xdr:nvCxnSpPr>
      <xdr:spPr>
        <a:xfrm flipV="1">
          <a:off x="13174345" y="4157980"/>
          <a:ext cx="5080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492355</xdr:colOff>
      <xdr:row>13</xdr:row>
      <xdr:rowOff>273786</xdr:rowOff>
    </xdr:from>
    <xdr:to>
      <xdr:col>18</xdr:col>
      <xdr:colOff>559076</xdr:colOff>
      <xdr:row>13</xdr:row>
      <xdr:rowOff>276087</xdr:rowOff>
    </xdr:to>
    <xdr:cxnSp macro="">
      <xdr:nvCxnSpPr>
        <xdr:cNvPr id="47" name="Straight Connector 19">
          <a:extLst>
            <a:ext uri="{FF2B5EF4-FFF2-40B4-BE49-F238E27FC236}">
              <a16:creationId xmlns:a16="http://schemas.microsoft.com/office/drawing/2014/main" id="{00000000-0008-0000-0500-00002F000000}"/>
            </a:ext>
          </a:extLst>
        </xdr:cNvPr>
        <xdr:cNvCxnSpPr/>
      </xdr:nvCxnSpPr>
      <xdr:spPr>
        <a:xfrm>
          <a:off x="13112750" y="5334000"/>
          <a:ext cx="6667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543866</xdr:colOff>
      <xdr:row>14</xdr:row>
      <xdr:rowOff>311621</xdr:rowOff>
    </xdr:from>
    <xdr:to>
      <xdr:col>18</xdr:col>
      <xdr:colOff>610587</xdr:colOff>
      <xdr:row>14</xdr:row>
      <xdr:rowOff>313922</xdr:rowOff>
    </xdr:to>
    <xdr:cxnSp macro="">
      <xdr:nvCxnSpPr>
        <xdr:cNvPr id="48" name="Straight Connector 19">
          <a:extLst>
            <a:ext uri="{FF2B5EF4-FFF2-40B4-BE49-F238E27FC236}">
              <a16:creationId xmlns:a16="http://schemas.microsoft.com/office/drawing/2014/main" id="{00000000-0008-0000-0500-000030000000}"/>
            </a:ext>
          </a:extLst>
        </xdr:cNvPr>
        <xdr:cNvCxnSpPr/>
      </xdr:nvCxnSpPr>
      <xdr:spPr>
        <a:xfrm>
          <a:off x="13164185" y="594296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58697</xdr:colOff>
      <xdr:row>15</xdr:row>
      <xdr:rowOff>250798</xdr:rowOff>
    </xdr:from>
    <xdr:to>
      <xdr:col>19</xdr:col>
      <xdr:colOff>125418</xdr:colOff>
      <xdr:row>15</xdr:row>
      <xdr:rowOff>253099</xdr:rowOff>
    </xdr:to>
    <xdr:cxnSp macro="">
      <xdr:nvCxnSpPr>
        <xdr:cNvPr id="49" name="Straight Connector 19">
          <a:extLst>
            <a:ext uri="{FF2B5EF4-FFF2-40B4-BE49-F238E27FC236}">
              <a16:creationId xmlns:a16="http://schemas.microsoft.com/office/drawing/2014/main" id="{00000000-0008-0000-0500-000031000000}"/>
            </a:ext>
          </a:extLst>
        </xdr:cNvPr>
        <xdr:cNvCxnSpPr/>
      </xdr:nvCxnSpPr>
      <xdr:spPr>
        <a:xfrm>
          <a:off x="13374370" y="645350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531202</xdr:colOff>
      <xdr:row>18</xdr:row>
      <xdr:rowOff>259495</xdr:rowOff>
    </xdr:from>
    <xdr:to>
      <xdr:col>18</xdr:col>
      <xdr:colOff>597923</xdr:colOff>
      <xdr:row>18</xdr:row>
      <xdr:rowOff>261796</xdr:rowOff>
    </xdr:to>
    <xdr:cxnSp macro="">
      <xdr:nvCxnSpPr>
        <xdr:cNvPr id="50" name="Straight Connector 19">
          <a:extLst>
            <a:ext uri="{FF2B5EF4-FFF2-40B4-BE49-F238E27FC236}">
              <a16:creationId xmlns:a16="http://schemas.microsoft.com/office/drawing/2014/main" id="{00000000-0008-0000-0500-000032000000}"/>
            </a:ext>
          </a:extLst>
        </xdr:cNvPr>
        <xdr:cNvCxnSpPr/>
      </xdr:nvCxnSpPr>
      <xdr:spPr>
        <a:xfrm>
          <a:off x="13151485" y="766254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58058</xdr:colOff>
      <xdr:row>19</xdr:row>
      <xdr:rowOff>240206</xdr:rowOff>
    </xdr:from>
    <xdr:to>
      <xdr:col>19</xdr:col>
      <xdr:colOff>214045</xdr:colOff>
      <xdr:row>19</xdr:row>
      <xdr:rowOff>243214</xdr:rowOff>
    </xdr:to>
    <xdr:cxnSp macro="">
      <xdr:nvCxnSpPr>
        <xdr:cNvPr id="51" name="Straight Connector 19">
          <a:extLst>
            <a:ext uri="{FF2B5EF4-FFF2-40B4-BE49-F238E27FC236}">
              <a16:creationId xmlns:a16="http://schemas.microsoft.com/office/drawing/2014/main" id="{00000000-0008-0000-0500-000033000000}"/>
            </a:ext>
          </a:extLst>
        </xdr:cNvPr>
        <xdr:cNvCxnSpPr/>
      </xdr:nvCxnSpPr>
      <xdr:spPr>
        <a:xfrm flipV="1">
          <a:off x="13373735" y="8214995"/>
          <a:ext cx="15621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195146</xdr:colOff>
      <xdr:row>20</xdr:row>
      <xdr:rowOff>309756</xdr:rowOff>
    </xdr:from>
    <xdr:to>
      <xdr:col>19</xdr:col>
      <xdr:colOff>261867</xdr:colOff>
      <xdr:row>20</xdr:row>
      <xdr:rowOff>312057</xdr:rowOff>
    </xdr:to>
    <xdr:cxnSp macro="">
      <xdr:nvCxnSpPr>
        <xdr:cNvPr id="52" name="Straight Connector 19">
          <a:extLst>
            <a:ext uri="{FF2B5EF4-FFF2-40B4-BE49-F238E27FC236}">
              <a16:creationId xmlns:a16="http://schemas.microsoft.com/office/drawing/2014/main" id="{00000000-0008-0000-0500-000034000000}"/>
            </a:ext>
          </a:extLst>
        </xdr:cNvPr>
        <xdr:cNvCxnSpPr/>
      </xdr:nvCxnSpPr>
      <xdr:spPr>
        <a:xfrm>
          <a:off x="13510895" y="8855710"/>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593066</xdr:colOff>
      <xdr:row>23</xdr:row>
      <xdr:rowOff>281556</xdr:rowOff>
    </xdr:from>
    <xdr:to>
      <xdr:col>19</xdr:col>
      <xdr:colOff>155755</xdr:colOff>
      <xdr:row>23</xdr:row>
      <xdr:rowOff>281557</xdr:rowOff>
    </xdr:to>
    <xdr:cxnSp macro="">
      <xdr:nvCxnSpPr>
        <xdr:cNvPr id="53" name="Straight Connector 19">
          <a:extLst>
            <a:ext uri="{FF2B5EF4-FFF2-40B4-BE49-F238E27FC236}">
              <a16:creationId xmlns:a16="http://schemas.microsoft.com/office/drawing/2014/main" id="{00000000-0008-0000-0500-000035000000}"/>
            </a:ext>
          </a:extLst>
        </xdr:cNvPr>
        <xdr:cNvCxnSpPr/>
      </xdr:nvCxnSpPr>
      <xdr:spPr>
        <a:xfrm>
          <a:off x="13213080" y="10027920"/>
          <a:ext cx="2584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163742</xdr:colOff>
      <xdr:row>24</xdr:row>
      <xdr:rowOff>299528</xdr:rowOff>
    </xdr:from>
    <xdr:to>
      <xdr:col>19</xdr:col>
      <xdr:colOff>319729</xdr:colOff>
      <xdr:row>24</xdr:row>
      <xdr:rowOff>302536</xdr:rowOff>
    </xdr:to>
    <xdr:cxnSp macro="">
      <xdr:nvCxnSpPr>
        <xdr:cNvPr id="54" name="Straight Connector 19">
          <a:extLst>
            <a:ext uri="{FF2B5EF4-FFF2-40B4-BE49-F238E27FC236}">
              <a16:creationId xmlns:a16="http://schemas.microsoft.com/office/drawing/2014/main" id="{00000000-0008-0000-0500-000036000000}"/>
            </a:ext>
          </a:extLst>
        </xdr:cNvPr>
        <xdr:cNvCxnSpPr/>
      </xdr:nvCxnSpPr>
      <xdr:spPr>
        <a:xfrm flipV="1">
          <a:off x="13479145" y="10617200"/>
          <a:ext cx="15621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294268</xdr:colOff>
      <xdr:row>25</xdr:row>
      <xdr:rowOff>305884</xdr:rowOff>
    </xdr:from>
    <xdr:to>
      <xdr:col>19</xdr:col>
      <xdr:colOff>360989</xdr:colOff>
      <xdr:row>25</xdr:row>
      <xdr:rowOff>308185</xdr:rowOff>
    </xdr:to>
    <xdr:cxnSp macro="">
      <xdr:nvCxnSpPr>
        <xdr:cNvPr id="55" name="Straight Connector 19">
          <a:extLst>
            <a:ext uri="{FF2B5EF4-FFF2-40B4-BE49-F238E27FC236}">
              <a16:creationId xmlns:a16="http://schemas.microsoft.com/office/drawing/2014/main" id="{00000000-0008-0000-0500-000037000000}"/>
            </a:ext>
          </a:extLst>
        </xdr:cNvPr>
        <xdr:cNvCxnSpPr/>
      </xdr:nvCxnSpPr>
      <xdr:spPr>
        <a:xfrm>
          <a:off x="13609955" y="11195050"/>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564006</xdr:colOff>
      <xdr:row>27</xdr:row>
      <xdr:rowOff>299751</xdr:rowOff>
    </xdr:from>
    <xdr:to>
      <xdr:col>19</xdr:col>
      <xdr:colOff>51273</xdr:colOff>
      <xdr:row>27</xdr:row>
      <xdr:rowOff>299751</xdr:rowOff>
    </xdr:to>
    <xdr:cxnSp macro="">
      <xdr:nvCxnSpPr>
        <xdr:cNvPr id="56" name="Straight Connector 19">
          <a:extLst>
            <a:ext uri="{FF2B5EF4-FFF2-40B4-BE49-F238E27FC236}">
              <a16:creationId xmlns:a16="http://schemas.microsoft.com/office/drawing/2014/main" id="{00000000-0008-0000-0500-000038000000}"/>
            </a:ext>
          </a:extLst>
        </xdr:cNvPr>
        <xdr:cNvCxnSpPr/>
      </xdr:nvCxnSpPr>
      <xdr:spPr>
        <a:xfrm>
          <a:off x="13184505" y="11817985"/>
          <a:ext cx="1822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103961</xdr:colOff>
      <xdr:row>28</xdr:row>
      <xdr:rowOff>261305</xdr:rowOff>
    </xdr:from>
    <xdr:to>
      <xdr:col>19</xdr:col>
      <xdr:colOff>226228</xdr:colOff>
      <xdr:row>28</xdr:row>
      <xdr:rowOff>261305</xdr:rowOff>
    </xdr:to>
    <xdr:cxnSp macro="">
      <xdr:nvCxnSpPr>
        <xdr:cNvPr id="57" name="Straight Connector 19">
          <a:extLst>
            <a:ext uri="{FF2B5EF4-FFF2-40B4-BE49-F238E27FC236}">
              <a16:creationId xmlns:a16="http://schemas.microsoft.com/office/drawing/2014/main" id="{00000000-0008-0000-0500-000039000000}"/>
            </a:ext>
          </a:extLst>
        </xdr:cNvPr>
        <xdr:cNvCxnSpPr/>
      </xdr:nvCxnSpPr>
      <xdr:spPr>
        <a:xfrm>
          <a:off x="13419455" y="1235075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245463</xdr:colOff>
      <xdr:row>29</xdr:row>
      <xdr:rowOff>272143</xdr:rowOff>
    </xdr:from>
    <xdr:to>
      <xdr:col>19</xdr:col>
      <xdr:colOff>367730</xdr:colOff>
      <xdr:row>29</xdr:row>
      <xdr:rowOff>272143</xdr:rowOff>
    </xdr:to>
    <xdr:cxnSp macro="">
      <xdr:nvCxnSpPr>
        <xdr:cNvPr id="58" name="Straight Connector 19">
          <a:extLst>
            <a:ext uri="{FF2B5EF4-FFF2-40B4-BE49-F238E27FC236}">
              <a16:creationId xmlns:a16="http://schemas.microsoft.com/office/drawing/2014/main" id="{00000000-0008-0000-0500-00003A000000}"/>
            </a:ext>
          </a:extLst>
        </xdr:cNvPr>
        <xdr:cNvCxnSpPr/>
      </xdr:nvCxnSpPr>
      <xdr:spPr>
        <a:xfrm>
          <a:off x="13561060" y="1293304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125905</xdr:colOff>
      <xdr:row>32</xdr:row>
      <xdr:rowOff>229914</xdr:rowOff>
    </xdr:from>
    <xdr:to>
      <xdr:col>19</xdr:col>
      <xdr:colOff>248172</xdr:colOff>
      <xdr:row>32</xdr:row>
      <xdr:rowOff>229914</xdr:rowOff>
    </xdr:to>
    <xdr:cxnSp macro="">
      <xdr:nvCxnSpPr>
        <xdr:cNvPr id="59" name="Straight Connector 19">
          <a:extLst>
            <a:ext uri="{FF2B5EF4-FFF2-40B4-BE49-F238E27FC236}">
              <a16:creationId xmlns:a16="http://schemas.microsoft.com/office/drawing/2014/main" id="{00000000-0008-0000-0500-00003B000000}"/>
            </a:ext>
          </a:extLst>
        </xdr:cNvPr>
        <xdr:cNvCxnSpPr/>
      </xdr:nvCxnSpPr>
      <xdr:spPr>
        <a:xfrm>
          <a:off x="13441680" y="1409128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202543</xdr:colOff>
      <xdr:row>33</xdr:row>
      <xdr:rowOff>251810</xdr:rowOff>
    </xdr:from>
    <xdr:to>
      <xdr:col>19</xdr:col>
      <xdr:colOff>324810</xdr:colOff>
      <xdr:row>33</xdr:row>
      <xdr:rowOff>251810</xdr:rowOff>
    </xdr:to>
    <xdr:cxnSp macro="">
      <xdr:nvCxnSpPr>
        <xdr:cNvPr id="60" name="Straight Connector 19">
          <a:extLst>
            <a:ext uri="{FF2B5EF4-FFF2-40B4-BE49-F238E27FC236}">
              <a16:creationId xmlns:a16="http://schemas.microsoft.com/office/drawing/2014/main" id="{00000000-0008-0000-0500-00003C000000}"/>
            </a:ext>
          </a:extLst>
        </xdr:cNvPr>
        <xdr:cNvCxnSpPr/>
      </xdr:nvCxnSpPr>
      <xdr:spPr>
        <a:xfrm>
          <a:off x="13517880" y="1468437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383190</xdr:colOff>
      <xdr:row>34</xdr:row>
      <xdr:rowOff>273707</xdr:rowOff>
    </xdr:from>
    <xdr:to>
      <xdr:col>19</xdr:col>
      <xdr:colOff>505457</xdr:colOff>
      <xdr:row>34</xdr:row>
      <xdr:rowOff>273707</xdr:rowOff>
    </xdr:to>
    <xdr:cxnSp macro="">
      <xdr:nvCxnSpPr>
        <xdr:cNvPr id="61" name="Straight Connector 19">
          <a:extLst>
            <a:ext uri="{FF2B5EF4-FFF2-40B4-BE49-F238E27FC236}">
              <a16:creationId xmlns:a16="http://schemas.microsoft.com/office/drawing/2014/main" id="{00000000-0008-0000-0500-00003D000000}"/>
            </a:ext>
          </a:extLst>
        </xdr:cNvPr>
        <xdr:cNvCxnSpPr/>
      </xdr:nvCxnSpPr>
      <xdr:spPr>
        <a:xfrm>
          <a:off x="13698855" y="1527810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176622</xdr:colOff>
      <xdr:row>37</xdr:row>
      <xdr:rowOff>243907</xdr:rowOff>
    </xdr:from>
    <xdr:to>
      <xdr:col>19</xdr:col>
      <xdr:colOff>378477</xdr:colOff>
      <xdr:row>37</xdr:row>
      <xdr:rowOff>243908</xdr:rowOff>
    </xdr:to>
    <xdr:cxnSp macro="">
      <xdr:nvCxnSpPr>
        <xdr:cNvPr id="62" name="Straight Connector 19">
          <a:extLst>
            <a:ext uri="{FF2B5EF4-FFF2-40B4-BE49-F238E27FC236}">
              <a16:creationId xmlns:a16="http://schemas.microsoft.com/office/drawing/2014/main" id="{00000000-0008-0000-0500-00003E000000}"/>
            </a:ext>
          </a:extLst>
        </xdr:cNvPr>
        <xdr:cNvCxnSpPr/>
      </xdr:nvCxnSpPr>
      <xdr:spPr>
        <a:xfrm flipV="1">
          <a:off x="13492480" y="16448405"/>
          <a:ext cx="2019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259366</xdr:colOff>
      <xdr:row>38</xdr:row>
      <xdr:rowOff>295141</xdr:rowOff>
    </xdr:from>
    <xdr:to>
      <xdr:col>19</xdr:col>
      <xdr:colOff>461221</xdr:colOff>
      <xdr:row>38</xdr:row>
      <xdr:rowOff>295142</xdr:rowOff>
    </xdr:to>
    <xdr:cxnSp macro="">
      <xdr:nvCxnSpPr>
        <xdr:cNvPr id="63" name="Straight Connector 19">
          <a:extLst>
            <a:ext uri="{FF2B5EF4-FFF2-40B4-BE49-F238E27FC236}">
              <a16:creationId xmlns:a16="http://schemas.microsoft.com/office/drawing/2014/main" id="{00000000-0008-0000-0500-00003F000000}"/>
            </a:ext>
          </a:extLst>
        </xdr:cNvPr>
        <xdr:cNvCxnSpPr/>
      </xdr:nvCxnSpPr>
      <xdr:spPr>
        <a:xfrm flipV="1">
          <a:off x="13575030" y="17070705"/>
          <a:ext cx="2019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327742</xdr:colOff>
      <xdr:row>42</xdr:row>
      <xdr:rowOff>317500</xdr:rowOff>
    </xdr:from>
    <xdr:to>
      <xdr:col>19</xdr:col>
      <xdr:colOff>526448</xdr:colOff>
      <xdr:row>42</xdr:row>
      <xdr:rowOff>320037</xdr:rowOff>
    </xdr:to>
    <xdr:cxnSp macro="">
      <xdr:nvCxnSpPr>
        <xdr:cNvPr id="64" name="Straight Connector 19">
          <a:extLst>
            <a:ext uri="{FF2B5EF4-FFF2-40B4-BE49-F238E27FC236}">
              <a16:creationId xmlns:a16="http://schemas.microsoft.com/office/drawing/2014/main" id="{00000000-0008-0000-0500-000040000000}"/>
            </a:ext>
          </a:extLst>
        </xdr:cNvPr>
        <xdr:cNvCxnSpPr/>
      </xdr:nvCxnSpPr>
      <xdr:spPr>
        <a:xfrm flipV="1">
          <a:off x="13643610" y="18865215"/>
          <a:ext cx="19875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476250</xdr:colOff>
      <xdr:row>43</xdr:row>
      <xdr:rowOff>285750</xdr:rowOff>
    </xdr:from>
    <xdr:to>
      <xdr:col>19</xdr:col>
      <xdr:colOff>628049</xdr:colOff>
      <xdr:row>43</xdr:row>
      <xdr:rowOff>287603</xdr:rowOff>
    </xdr:to>
    <xdr:cxnSp macro="">
      <xdr:nvCxnSpPr>
        <xdr:cNvPr id="65" name="Straight Connector 19">
          <a:extLst>
            <a:ext uri="{FF2B5EF4-FFF2-40B4-BE49-F238E27FC236}">
              <a16:creationId xmlns:a16="http://schemas.microsoft.com/office/drawing/2014/main" id="{00000000-0008-0000-0500-000041000000}"/>
            </a:ext>
          </a:extLst>
        </xdr:cNvPr>
        <xdr:cNvCxnSpPr/>
      </xdr:nvCxnSpPr>
      <xdr:spPr>
        <a:xfrm flipV="1">
          <a:off x="13792200" y="19404965"/>
          <a:ext cx="15176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485588</xdr:colOff>
      <xdr:row>57</xdr:row>
      <xdr:rowOff>298824</xdr:rowOff>
    </xdr:from>
    <xdr:to>
      <xdr:col>19</xdr:col>
      <xdr:colOff>127000</xdr:colOff>
      <xdr:row>57</xdr:row>
      <xdr:rowOff>306294</xdr:rowOff>
    </xdr:to>
    <xdr:cxnSp macro="">
      <xdr:nvCxnSpPr>
        <xdr:cNvPr id="66" name="Straight Connector 19">
          <a:extLst>
            <a:ext uri="{FF2B5EF4-FFF2-40B4-BE49-F238E27FC236}">
              <a16:creationId xmlns:a16="http://schemas.microsoft.com/office/drawing/2014/main" id="{00000000-0008-0000-0500-000042000000}"/>
            </a:ext>
          </a:extLst>
        </xdr:cNvPr>
        <xdr:cNvCxnSpPr/>
      </xdr:nvCxnSpPr>
      <xdr:spPr>
        <a:xfrm>
          <a:off x="13105765" y="25875615"/>
          <a:ext cx="337185" cy="762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362324</xdr:colOff>
      <xdr:row>58</xdr:row>
      <xdr:rowOff>272677</xdr:rowOff>
    </xdr:from>
    <xdr:to>
      <xdr:col>18</xdr:col>
      <xdr:colOff>487785</xdr:colOff>
      <xdr:row>58</xdr:row>
      <xdr:rowOff>275905</xdr:rowOff>
    </xdr:to>
    <xdr:cxnSp macro="">
      <xdr:nvCxnSpPr>
        <xdr:cNvPr id="67" name="Straight Connector 2">
          <a:extLst>
            <a:ext uri="{FF2B5EF4-FFF2-40B4-BE49-F238E27FC236}">
              <a16:creationId xmlns:a16="http://schemas.microsoft.com/office/drawing/2014/main" id="{00000000-0008-0000-0500-000043000000}"/>
            </a:ext>
          </a:extLst>
        </xdr:cNvPr>
        <xdr:cNvCxnSpPr/>
      </xdr:nvCxnSpPr>
      <xdr:spPr>
        <a:xfrm>
          <a:off x="12982575" y="26421080"/>
          <a:ext cx="12573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481852</xdr:colOff>
      <xdr:row>58</xdr:row>
      <xdr:rowOff>276412</xdr:rowOff>
    </xdr:from>
    <xdr:to>
      <xdr:col>19</xdr:col>
      <xdr:colOff>123264</xdr:colOff>
      <xdr:row>58</xdr:row>
      <xdr:rowOff>283882</xdr:rowOff>
    </xdr:to>
    <xdr:cxnSp macro="">
      <xdr:nvCxnSpPr>
        <xdr:cNvPr id="68" name="Straight Connector 19">
          <a:extLst>
            <a:ext uri="{FF2B5EF4-FFF2-40B4-BE49-F238E27FC236}">
              <a16:creationId xmlns:a16="http://schemas.microsoft.com/office/drawing/2014/main" id="{00000000-0008-0000-0500-000044000000}"/>
            </a:ext>
          </a:extLst>
        </xdr:cNvPr>
        <xdr:cNvCxnSpPr/>
      </xdr:nvCxnSpPr>
      <xdr:spPr>
        <a:xfrm>
          <a:off x="13101955" y="26424890"/>
          <a:ext cx="337185" cy="762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366059</xdr:colOff>
      <xdr:row>59</xdr:row>
      <xdr:rowOff>216647</xdr:rowOff>
    </xdr:from>
    <xdr:to>
      <xdr:col>18</xdr:col>
      <xdr:colOff>491520</xdr:colOff>
      <xdr:row>59</xdr:row>
      <xdr:rowOff>219875</xdr:rowOff>
    </xdr:to>
    <xdr:cxnSp macro="">
      <xdr:nvCxnSpPr>
        <xdr:cNvPr id="69" name="Straight Connector 2">
          <a:extLst>
            <a:ext uri="{FF2B5EF4-FFF2-40B4-BE49-F238E27FC236}">
              <a16:creationId xmlns:a16="http://schemas.microsoft.com/office/drawing/2014/main" id="{00000000-0008-0000-0500-000045000000}"/>
            </a:ext>
          </a:extLst>
        </xdr:cNvPr>
        <xdr:cNvCxnSpPr/>
      </xdr:nvCxnSpPr>
      <xdr:spPr>
        <a:xfrm>
          <a:off x="12986385" y="27051635"/>
          <a:ext cx="12573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91065</xdr:colOff>
      <xdr:row>61</xdr:row>
      <xdr:rowOff>467636</xdr:rowOff>
    </xdr:from>
    <xdr:to>
      <xdr:col>21</xdr:col>
      <xdr:colOff>213239</xdr:colOff>
      <xdr:row>61</xdr:row>
      <xdr:rowOff>467636</xdr:rowOff>
    </xdr:to>
    <xdr:cxnSp macro="">
      <xdr:nvCxnSpPr>
        <xdr:cNvPr id="70" name="Straight Connector 19">
          <a:extLst>
            <a:ext uri="{FF2B5EF4-FFF2-40B4-BE49-F238E27FC236}">
              <a16:creationId xmlns:a16="http://schemas.microsoft.com/office/drawing/2014/main" id="{00000000-0008-0000-0500-000046000000}"/>
            </a:ext>
          </a:extLst>
        </xdr:cNvPr>
        <xdr:cNvCxnSpPr/>
      </xdr:nvCxnSpPr>
      <xdr:spPr>
        <a:xfrm>
          <a:off x="14797405" y="2811272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7938</xdr:colOff>
      <xdr:row>68</xdr:row>
      <xdr:rowOff>230188</xdr:rowOff>
    </xdr:from>
    <xdr:to>
      <xdr:col>20</xdr:col>
      <xdr:colOff>276606</xdr:colOff>
      <xdr:row>68</xdr:row>
      <xdr:rowOff>240562</xdr:rowOff>
    </xdr:to>
    <xdr:cxnSp macro="">
      <xdr:nvCxnSpPr>
        <xdr:cNvPr id="71" name="Straight Connector 19">
          <a:extLst>
            <a:ext uri="{FF2B5EF4-FFF2-40B4-BE49-F238E27FC236}">
              <a16:creationId xmlns:a16="http://schemas.microsoft.com/office/drawing/2014/main" id="{00000000-0008-0000-0500-000047000000}"/>
            </a:ext>
          </a:extLst>
        </xdr:cNvPr>
        <xdr:cNvCxnSpPr/>
      </xdr:nvCxnSpPr>
      <xdr:spPr>
        <a:xfrm flipV="1">
          <a:off x="13323570" y="29075380"/>
          <a:ext cx="963930" cy="1016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480919</xdr:colOff>
      <xdr:row>71</xdr:row>
      <xdr:rowOff>224117</xdr:rowOff>
    </xdr:from>
    <xdr:to>
      <xdr:col>19</xdr:col>
      <xdr:colOff>207514</xdr:colOff>
      <xdr:row>71</xdr:row>
      <xdr:rowOff>224117</xdr:rowOff>
    </xdr:to>
    <xdr:cxnSp macro="">
      <xdr:nvCxnSpPr>
        <xdr:cNvPr id="72" name="Straight Connector 19">
          <a:extLst>
            <a:ext uri="{FF2B5EF4-FFF2-40B4-BE49-F238E27FC236}">
              <a16:creationId xmlns:a16="http://schemas.microsoft.com/office/drawing/2014/main" id="{00000000-0008-0000-0500-000048000000}"/>
            </a:ext>
          </a:extLst>
        </xdr:cNvPr>
        <xdr:cNvCxnSpPr/>
      </xdr:nvCxnSpPr>
      <xdr:spPr>
        <a:xfrm>
          <a:off x="13101320" y="30145355"/>
          <a:ext cx="421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135405</xdr:colOff>
      <xdr:row>72</xdr:row>
      <xdr:rowOff>210111</xdr:rowOff>
    </xdr:from>
    <xdr:to>
      <xdr:col>19</xdr:col>
      <xdr:colOff>497000</xdr:colOff>
      <xdr:row>72</xdr:row>
      <xdr:rowOff>210111</xdr:rowOff>
    </xdr:to>
    <xdr:cxnSp macro="">
      <xdr:nvCxnSpPr>
        <xdr:cNvPr id="73" name="Straight Connector 19">
          <a:extLst>
            <a:ext uri="{FF2B5EF4-FFF2-40B4-BE49-F238E27FC236}">
              <a16:creationId xmlns:a16="http://schemas.microsoft.com/office/drawing/2014/main" id="{00000000-0008-0000-0500-000049000000}"/>
            </a:ext>
          </a:extLst>
        </xdr:cNvPr>
        <xdr:cNvCxnSpPr/>
      </xdr:nvCxnSpPr>
      <xdr:spPr>
        <a:xfrm>
          <a:off x="13451205" y="31455360"/>
          <a:ext cx="3613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572745</xdr:colOff>
      <xdr:row>112</xdr:row>
      <xdr:rowOff>174314</xdr:rowOff>
    </xdr:from>
    <xdr:to>
      <xdr:col>22</xdr:col>
      <xdr:colOff>0</xdr:colOff>
      <xdr:row>112</xdr:row>
      <xdr:rowOff>174314</xdr:rowOff>
    </xdr:to>
    <xdr:cxnSp macro="">
      <xdr:nvCxnSpPr>
        <xdr:cNvPr id="74" name="Straight Connector 19">
          <a:extLst>
            <a:ext uri="{FF2B5EF4-FFF2-40B4-BE49-F238E27FC236}">
              <a16:creationId xmlns:a16="http://schemas.microsoft.com/office/drawing/2014/main" id="{00000000-0008-0000-0500-00004A000000}"/>
            </a:ext>
          </a:extLst>
        </xdr:cNvPr>
        <xdr:cNvCxnSpPr/>
      </xdr:nvCxnSpPr>
      <xdr:spPr>
        <a:xfrm>
          <a:off x="14583410" y="45799375"/>
          <a:ext cx="8185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273922</xdr:colOff>
      <xdr:row>113</xdr:row>
      <xdr:rowOff>168089</xdr:rowOff>
    </xdr:from>
    <xdr:to>
      <xdr:col>22</xdr:col>
      <xdr:colOff>0</xdr:colOff>
      <xdr:row>113</xdr:row>
      <xdr:rowOff>168089</xdr:rowOff>
    </xdr:to>
    <xdr:cxnSp macro="">
      <xdr:nvCxnSpPr>
        <xdr:cNvPr id="75" name="Straight Connector 19">
          <a:extLst>
            <a:ext uri="{FF2B5EF4-FFF2-40B4-BE49-F238E27FC236}">
              <a16:creationId xmlns:a16="http://schemas.microsoft.com/office/drawing/2014/main" id="{00000000-0008-0000-0500-00004B000000}"/>
            </a:ext>
          </a:extLst>
        </xdr:cNvPr>
        <xdr:cNvCxnSpPr/>
      </xdr:nvCxnSpPr>
      <xdr:spPr>
        <a:xfrm>
          <a:off x="14980285" y="46250225"/>
          <a:ext cx="421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429559</xdr:colOff>
      <xdr:row>115</xdr:row>
      <xdr:rowOff>180540</xdr:rowOff>
    </xdr:from>
    <xdr:to>
      <xdr:col>22</xdr:col>
      <xdr:colOff>0</xdr:colOff>
      <xdr:row>115</xdr:row>
      <xdr:rowOff>180540</xdr:rowOff>
    </xdr:to>
    <xdr:cxnSp macro="">
      <xdr:nvCxnSpPr>
        <xdr:cNvPr id="76" name="Straight Connector 19">
          <a:extLst>
            <a:ext uri="{FF2B5EF4-FFF2-40B4-BE49-F238E27FC236}">
              <a16:creationId xmlns:a16="http://schemas.microsoft.com/office/drawing/2014/main" id="{00000000-0008-0000-0500-00004C000000}"/>
            </a:ext>
          </a:extLst>
        </xdr:cNvPr>
        <xdr:cNvCxnSpPr/>
      </xdr:nvCxnSpPr>
      <xdr:spPr>
        <a:xfrm>
          <a:off x="15135860" y="47177325"/>
          <a:ext cx="2660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111</xdr:row>
      <xdr:rowOff>191267</xdr:rowOff>
    </xdr:from>
    <xdr:to>
      <xdr:col>22</xdr:col>
      <xdr:colOff>821</xdr:colOff>
      <xdr:row>111</xdr:row>
      <xdr:rowOff>191267</xdr:rowOff>
    </xdr:to>
    <xdr:cxnSp macro="">
      <xdr:nvCxnSpPr>
        <xdr:cNvPr id="77" name="Straight Connector 19">
          <a:extLst>
            <a:ext uri="{FF2B5EF4-FFF2-40B4-BE49-F238E27FC236}">
              <a16:creationId xmlns:a16="http://schemas.microsoft.com/office/drawing/2014/main" id="{00000000-0008-0000-0500-00004D000000}"/>
            </a:ext>
          </a:extLst>
        </xdr:cNvPr>
        <xdr:cNvCxnSpPr/>
      </xdr:nvCxnSpPr>
      <xdr:spPr>
        <a:xfrm>
          <a:off x="14221460" y="45359320"/>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6569</xdr:colOff>
      <xdr:row>115</xdr:row>
      <xdr:rowOff>198929</xdr:rowOff>
    </xdr:from>
    <xdr:to>
      <xdr:col>22</xdr:col>
      <xdr:colOff>1915</xdr:colOff>
      <xdr:row>115</xdr:row>
      <xdr:rowOff>198929</xdr:rowOff>
    </xdr:to>
    <xdr:cxnSp macro="">
      <xdr:nvCxnSpPr>
        <xdr:cNvPr id="78" name="Straight Connector 19">
          <a:extLst>
            <a:ext uri="{FF2B5EF4-FFF2-40B4-BE49-F238E27FC236}">
              <a16:creationId xmlns:a16="http://schemas.microsoft.com/office/drawing/2014/main" id="{00000000-0008-0000-0500-00004E000000}"/>
            </a:ext>
          </a:extLst>
        </xdr:cNvPr>
        <xdr:cNvCxnSpPr/>
      </xdr:nvCxnSpPr>
      <xdr:spPr>
        <a:xfrm>
          <a:off x="14712950" y="47195740"/>
          <a:ext cx="6908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75</xdr:row>
      <xdr:rowOff>206627</xdr:rowOff>
    </xdr:from>
    <xdr:to>
      <xdr:col>22</xdr:col>
      <xdr:colOff>5040</xdr:colOff>
      <xdr:row>75</xdr:row>
      <xdr:rowOff>206627</xdr:rowOff>
    </xdr:to>
    <xdr:cxnSp macro="">
      <xdr:nvCxnSpPr>
        <xdr:cNvPr id="79" name="Straight Connector 19">
          <a:extLst>
            <a:ext uri="{FF2B5EF4-FFF2-40B4-BE49-F238E27FC236}">
              <a16:creationId xmlns:a16="http://schemas.microsoft.com/office/drawing/2014/main" id="{00000000-0008-0000-0500-00004F000000}"/>
            </a:ext>
          </a:extLst>
        </xdr:cNvPr>
        <xdr:cNvCxnSpPr/>
      </xdr:nvCxnSpPr>
      <xdr:spPr>
        <a:xfrm>
          <a:off x="15119350" y="3246818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74</xdr:row>
      <xdr:rowOff>191267</xdr:rowOff>
    </xdr:from>
    <xdr:to>
      <xdr:col>22</xdr:col>
      <xdr:colOff>821</xdr:colOff>
      <xdr:row>74</xdr:row>
      <xdr:rowOff>191267</xdr:rowOff>
    </xdr:to>
    <xdr:cxnSp macro="">
      <xdr:nvCxnSpPr>
        <xdr:cNvPr id="80" name="Straight Connector 19">
          <a:extLst>
            <a:ext uri="{FF2B5EF4-FFF2-40B4-BE49-F238E27FC236}">
              <a16:creationId xmlns:a16="http://schemas.microsoft.com/office/drawing/2014/main" id="{00000000-0008-0000-0500-000050000000}"/>
            </a:ext>
          </a:extLst>
        </xdr:cNvPr>
        <xdr:cNvCxnSpPr/>
      </xdr:nvCxnSpPr>
      <xdr:spPr>
        <a:xfrm>
          <a:off x="14221460" y="3199574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78</xdr:row>
      <xdr:rowOff>206627</xdr:rowOff>
    </xdr:from>
    <xdr:to>
      <xdr:col>22</xdr:col>
      <xdr:colOff>5040</xdr:colOff>
      <xdr:row>78</xdr:row>
      <xdr:rowOff>206627</xdr:rowOff>
    </xdr:to>
    <xdr:cxnSp macro="">
      <xdr:nvCxnSpPr>
        <xdr:cNvPr id="81" name="Straight Connector 19">
          <a:extLst>
            <a:ext uri="{FF2B5EF4-FFF2-40B4-BE49-F238E27FC236}">
              <a16:creationId xmlns:a16="http://schemas.microsoft.com/office/drawing/2014/main" id="{00000000-0008-0000-0500-000051000000}"/>
            </a:ext>
          </a:extLst>
        </xdr:cNvPr>
        <xdr:cNvCxnSpPr/>
      </xdr:nvCxnSpPr>
      <xdr:spPr>
        <a:xfrm>
          <a:off x="15119350" y="3338258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120</xdr:row>
      <xdr:rowOff>0</xdr:rowOff>
    </xdr:from>
    <xdr:to>
      <xdr:col>17</xdr:col>
      <xdr:colOff>468820</xdr:colOff>
      <xdr:row>122</xdr:row>
      <xdr:rowOff>0</xdr:rowOff>
    </xdr:to>
    <xdr:sp macro="" textlink="">
      <xdr:nvSpPr>
        <xdr:cNvPr id="82" name="TextBox 13">
          <a:extLst>
            <a:ext uri="{FF2B5EF4-FFF2-40B4-BE49-F238E27FC236}">
              <a16:creationId xmlns:a16="http://schemas.microsoft.com/office/drawing/2014/main" id="{00000000-0008-0000-0500-000052000000}"/>
            </a:ext>
          </a:extLst>
        </xdr:cNvPr>
        <xdr:cNvSpPr txBox="1"/>
      </xdr:nvSpPr>
      <xdr:spPr>
        <a:xfrm rot="16200000">
          <a:off x="10810240" y="50671095"/>
          <a:ext cx="29718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120</xdr:row>
      <xdr:rowOff>218498</xdr:rowOff>
    </xdr:from>
    <xdr:to>
      <xdr:col>17</xdr:col>
      <xdr:colOff>484371</xdr:colOff>
      <xdr:row>120</xdr:row>
      <xdr:rowOff>218498</xdr:rowOff>
    </xdr:to>
    <xdr:cxnSp macro="">
      <xdr:nvCxnSpPr>
        <xdr:cNvPr id="83" name="Straight Connector 2">
          <a:extLst>
            <a:ext uri="{FF2B5EF4-FFF2-40B4-BE49-F238E27FC236}">
              <a16:creationId xmlns:a16="http://schemas.microsoft.com/office/drawing/2014/main" id="{00000000-0008-0000-0500-000053000000}"/>
            </a:ext>
          </a:extLst>
        </xdr:cNvPr>
        <xdr:cNvCxnSpPr/>
      </xdr:nvCxnSpPr>
      <xdr:spPr>
        <a:xfrm>
          <a:off x="11240770" y="4950142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120</xdr:row>
      <xdr:rowOff>221006</xdr:rowOff>
    </xdr:from>
    <xdr:to>
      <xdr:col>18</xdr:col>
      <xdr:colOff>287962</xdr:colOff>
      <xdr:row>120</xdr:row>
      <xdr:rowOff>221006</xdr:rowOff>
    </xdr:to>
    <xdr:cxnSp macro="">
      <xdr:nvCxnSpPr>
        <xdr:cNvPr id="84" name="Straight Connector 19">
          <a:extLst>
            <a:ext uri="{FF2B5EF4-FFF2-40B4-BE49-F238E27FC236}">
              <a16:creationId xmlns:a16="http://schemas.microsoft.com/office/drawing/2014/main" id="{00000000-0008-0000-0500-000054000000}"/>
            </a:ext>
          </a:extLst>
        </xdr:cNvPr>
        <xdr:cNvCxnSpPr/>
      </xdr:nvCxnSpPr>
      <xdr:spPr>
        <a:xfrm>
          <a:off x="12412980" y="4950396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120</xdr:row>
      <xdr:rowOff>16510</xdr:rowOff>
    </xdr:from>
    <xdr:to>
      <xdr:col>17</xdr:col>
      <xdr:colOff>467995</xdr:colOff>
      <xdr:row>123</xdr:row>
      <xdr:rowOff>6985</xdr:rowOff>
    </xdr:to>
    <xdr:sp macro="" textlink="">
      <xdr:nvSpPr>
        <xdr:cNvPr id="85" name="TextBox 13">
          <a:extLst>
            <a:ext uri="{FF2B5EF4-FFF2-40B4-BE49-F238E27FC236}">
              <a16:creationId xmlns:a16="http://schemas.microsoft.com/office/drawing/2014/main" id="{00000000-0008-0000-0500-000055000000}"/>
            </a:ext>
          </a:extLst>
        </xdr:cNvPr>
        <xdr:cNvSpPr txBox="1"/>
      </xdr:nvSpPr>
      <xdr:spPr>
        <a:xfrm rot="16200000">
          <a:off x="10504805" y="50992405"/>
          <a:ext cx="35814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20Sheet"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ersonal/ahmed_abdelzaher_alfanar_com/Documents/SDCC%20-%20Migration%20,%20E2E%20&amp;%20SAT%20Plan%2020260618%20V1.0.xlsx" TargetMode="External"/><Relationship Id="rId1" Type="http://schemas.openxmlformats.org/officeDocument/2006/relationships/externalLinkPath" Target="/personal/ahmed_abdelzaher_alfanar_com/Documents/SDCC%20-%20Migration%20,%20E2E%20&amp;%20SAT%20Plan%2020260618%20V1.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personal/ahmed_abdelzaher_alfanar_com/Documents/SDCC_Migration_E2E_SAT_Plan_20260630_V1.1(3).xlsx" TargetMode="External"/><Relationship Id="rId1" Type="http://schemas.openxmlformats.org/officeDocument/2006/relationships/externalLinkPath" Target="/personal/ahmed_abdelzaher_alfanar_com/Documents/SDCC_Migration_E2E_SAT_Plan_20260630_V1.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DINAH Migration Plan-"/>
      <sheetName val="Jeddah Migration Plan"/>
      <sheetName val="Makkah Migration Plan"/>
      <sheetName val="ABHA Migration Plan"/>
      <sheetName val="Jizan Migration Plan"/>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DINAH Migration Plan-"/>
      <sheetName val="ABHA Migration Plan"/>
      <sheetName val="Jeddah Migration Plan"/>
      <sheetName val="Jizan Migration Plan"/>
      <sheetName val="Makkah Migration Plan"/>
    </sheetNames>
    <sheetDataSet>
      <sheetData sheetId="0"/>
      <sheetData sheetId="1"/>
      <sheetData sheetId="2"/>
      <sheetData sheetId="3"/>
      <sheetData sheetId="4"/>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10</v>
    <v>2</v>
  </rv>
  <rv s="1">
    <v>10</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L42"/>
  <sheetViews>
    <sheetView showGridLines="0" zoomScale="81" zoomScaleNormal="81" workbookViewId="0">
      <pane ySplit="2" topLeftCell="A3" activePane="bottomLeft" state="frozen"/>
      <selection pane="bottomLeft" activeCell="K17" sqref="K17"/>
    </sheetView>
  </sheetViews>
  <sheetFormatPr defaultColWidth="9" defaultRowHeight="13.5"/>
  <cols>
    <col min="1" max="1" width="0.625" customWidth="1"/>
    <col min="2" max="2" width="5.625" customWidth="1"/>
    <col min="3" max="3" width="32.375" customWidth="1"/>
    <col min="4" max="10" width="9.125" customWidth="1"/>
    <col min="11" max="11" width="42.625" style="217" customWidth="1"/>
  </cols>
  <sheetData>
    <row r="1" spans="2:11" ht="5.45" customHeight="1"/>
    <row r="2" spans="2:11" ht="24" customHeight="1">
      <c r="B2" s="1285" t="s">
        <v>0</v>
      </c>
      <c r="C2" s="218" t="s">
        <v>1</v>
      </c>
      <c r="D2" s="219">
        <v>46113</v>
      </c>
      <c r="E2" s="219">
        <v>46143</v>
      </c>
      <c r="F2" s="219">
        <v>46174</v>
      </c>
      <c r="G2" s="219">
        <v>46204</v>
      </c>
      <c r="H2" s="219">
        <v>46235</v>
      </c>
      <c r="I2" s="219">
        <v>46266</v>
      </c>
      <c r="J2" s="219">
        <v>46296</v>
      </c>
      <c r="K2" s="220" t="s">
        <v>2</v>
      </c>
    </row>
    <row r="3" spans="2:11" ht="45" customHeight="1">
      <c r="B3" s="1286"/>
      <c r="C3" s="1288" t="s">
        <v>3</v>
      </c>
      <c r="D3" s="1289"/>
      <c r="E3" s="1289"/>
      <c r="F3" s="1289"/>
      <c r="G3" s="1289"/>
      <c r="H3" s="1289"/>
      <c r="I3" s="1289"/>
      <c r="J3" s="1289"/>
      <c r="K3" s="221" t="s">
        <v>4</v>
      </c>
    </row>
    <row r="4" spans="2:11" ht="45" customHeight="1">
      <c r="B4" s="1286"/>
      <c r="C4" s="1282" t="s">
        <v>5</v>
      </c>
      <c r="D4" s="1283"/>
      <c r="E4" s="1283"/>
      <c r="F4" s="1283"/>
      <c r="G4" s="1283"/>
      <c r="H4" s="1283"/>
      <c r="I4" s="1283"/>
      <c r="J4" s="1284"/>
      <c r="K4" s="221" t="s">
        <v>6</v>
      </c>
    </row>
    <row r="5" spans="2:11" ht="45" customHeight="1">
      <c r="B5" s="1286"/>
      <c r="C5" s="1282" t="s">
        <v>7</v>
      </c>
      <c r="D5" s="1283"/>
      <c r="E5" s="1283"/>
      <c r="F5" s="1283"/>
      <c r="G5" s="1283"/>
      <c r="H5" s="1283"/>
      <c r="I5" s="1283"/>
      <c r="J5" s="1284"/>
      <c r="K5" s="221" t="s">
        <v>8</v>
      </c>
    </row>
    <row r="6" spans="2:11" ht="45" customHeight="1">
      <c r="B6" s="1286"/>
      <c r="C6" s="424" t="s">
        <v>9</v>
      </c>
      <c r="D6" s="425"/>
      <c r="E6" s="425"/>
      <c r="F6" s="425"/>
      <c r="G6" s="425"/>
      <c r="H6" s="425"/>
      <c r="I6" s="425"/>
      <c r="J6" s="426"/>
      <c r="K6" s="221" t="s">
        <v>10</v>
      </c>
    </row>
    <row r="7" spans="2:11" ht="45" customHeight="1">
      <c r="B7" s="1286"/>
      <c r="C7" s="1282" t="s">
        <v>11</v>
      </c>
      <c r="D7" s="1283"/>
      <c r="E7" s="1283"/>
      <c r="F7" s="1283"/>
      <c r="G7" s="1283"/>
      <c r="H7" s="1283"/>
      <c r="I7" s="1283"/>
      <c r="J7" s="1284"/>
      <c r="K7" s="221" t="s">
        <v>12</v>
      </c>
    </row>
    <row r="8" spans="2:11" ht="45" customHeight="1">
      <c r="B8" s="1286"/>
      <c r="C8" s="1282" t="s">
        <v>13</v>
      </c>
      <c r="D8" s="1283"/>
      <c r="E8" s="1283"/>
      <c r="F8" s="1283"/>
      <c r="G8" s="1283"/>
      <c r="H8" s="1283"/>
      <c r="I8" s="1283"/>
      <c r="J8" s="1284"/>
      <c r="K8" s="221" t="s">
        <v>14</v>
      </c>
    </row>
    <row r="9" spans="2:11" ht="45" customHeight="1">
      <c r="B9" s="1286"/>
      <c r="C9" s="1282" t="s">
        <v>15</v>
      </c>
      <c r="D9" s="1283"/>
      <c r="E9" s="1283"/>
      <c r="F9" s="1283"/>
      <c r="G9" s="1283"/>
      <c r="H9" s="1283"/>
      <c r="I9" s="1283"/>
      <c r="J9" s="1284"/>
      <c r="K9" s="221" t="s">
        <v>14</v>
      </c>
    </row>
    <row r="10" spans="2:11" ht="45" customHeight="1">
      <c r="B10" s="1286"/>
      <c r="C10" s="1282" t="s">
        <v>16</v>
      </c>
      <c r="D10" s="1283"/>
      <c r="E10" s="1283"/>
      <c r="F10" s="1283"/>
      <c r="G10" s="1283"/>
      <c r="H10" s="1283"/>
      <c r="I10" s="1283"/>
      <c r="J10" s="1284"/>
      <c r="K10" s="221" t="s">
        <v>14</v>
      </c>
    </row>
    <row r="11" spans="2:11" ht="45" customHeight="1">
      <c r="B11" s="1286"/>
      <c r="C11" s="1282" t="s">
        <v>17</v>
      </c>
      <c r="D11" s="1283"/>
      <c r="E11" s="1283"/>
      <c r="F11" s="1283"/>
      <c r="G11" s="1283"/>
      <c r="H11" s="1283"/>
      <c r="I11" s="1283"/>
      <c r="J11" s="1284"/>
      <c r="K11" s="221" t="s">
        <v>18</v>
      </c>
    </row>
    <row r="12" spans="2:11" ht="45" customHeight="1">
      <c r="B12" s="1286"/>
      <c r="C12" s="1282" t="s">
        <v>19</v>
      </c>
      <c r="D12" s="1283"/>
      <c r="E12" s="1283"/>
      <c r="F12" s="1283"/>
      <c r="G12" s="1283"/>
      <c r="H12" s="1283"/>
      <c r="I12" s="1283"/>
      <c r="J12" s="1284"/>
      <c r="K12" s="221" t="s">
        <v>18</v>
      </c>
    </row>
    <row r="13" spans="2:11" ht="45" customHeight="1">
      <c r="B13" s="1286"/>
      <c r="C13" s="1282" t="s">
        <v>20</v>
      </c>
      <c r="D13" s="1283"/>
      <c r="E13" s="1283"/>
      <c r="F13" s="1283"/>
      <c r="G13" s="1283"/>
      <c r="H13" s="1283"/>
      <c r="I13" s="1283"/>
      <c r="J13" s="1284"/>
      <c r="K13" s="221" t="s">
        <v>18</v>
      </c>
    </row>
    <row r="14" spans="2:11" ht="45" customHeight="1">
      <c r="B14" s="1286"/>
      <c r="C14" s="1282" t="s">
        <v>21</v>
      </c>
      <c r="D14" s="1283"/>
      <c r="E14" s="1283"/>
      <c r="F14" s="1283"/>
      <c r="G14" s="1283"/>
      <c r="H14" s="1283"/>
      <c r="I14" s="1283"/>
      <c r="J14" s="1284"/>
      <c r="K14" s="221" t="s">
        <v>22</v>
      </c>
    </row>
    <row r="15" spans="2:11" ht="45" customHeight="1">
      <c r="B15" s="1286"/>
      <c r="C15" s="1282" t="s">
        <v>23</v>
      </c>
      <c r="D15" s="1283"/>
      <c r="E15" s="1283"/>
      <c r="F15" s="1283"/>
      <c r="G15" s="1283"/>
      <c r="H15" s="1283"/>
      <c r="I15" s="1283"/>
      <c r="J15" s="1284"/>
      <c r="K15" s="221" t="s">
        <v>24</v>
      </c>
    </row>
    <row r="16" spans="2:11" ht="45" customHeight="1">
      <c r="B16" s="1286"/>
      <c r="C16" s="1282" t="s">
        <v>25</v>
      </c>
      <c r="D16" s="1283"/>
      <c r="E16" s="1283"/>
      <c r="F16" s="1283"/>
      <c r="G16" s="1283"/>
      <c r="H16" s="1283"/>
      <c r="I16" s="1283"/>
      <c r="J16" s="1284"/>
      <c r="K16" s="221" t="s">
        <v>26</v>
      </c>
    </row>
    <row r="17" spans="2:12" ht="45" customHeight="1">
      <c r="B17" s="1286"/>
      <c r="C17" s="424" t="s">
        <v>27</v>
      </c>
      <c r="D17" s="425"/>
      <c r="E17" s="425"/>
      <c r="F17" s="425"/>
      <c r="G17" s="425"/>
      <c r="H17" s="425"/>
      <c r="I17" s="425"/>
      <c r="J17" s="426"/>
      <c r="K17" s="222" t="s">
        <v>28</v>
      </c>
    </row>
    <row r="18" spans="2:12" ht="45" customHeight="1">
      <c r="B18" s="1286"/>
      <c r="C18" s="1288" t="s">
        <v>29</v>
      </c>
      <c r="D18" s="1288"/>
      <c r="E18" s="1288"/>
      <c r="F18" s="1288"/>
      <c r="G18" s="1288"/>
      <c r="H18" s="1288"/>
      <c r="I18" s="1288"/>
      <c r="J18" s="1288"/>
      <c r="K18" s="221" t="s">
        <v>30</v>
      </c>
      <c r="L18" s="1"/>
    </row>
    <row r="19" spans="2:12" ht="43.5" customHeight="1">
      <c r="B19" s="1286"/>
      <c r="C19" s="1288" t="s">
        <v>31</v>
      </c>
      <c r="D19" s="1288"/>
      <c r="E19" s="1288"/>
      <c r="F19" s="1288"/>
      <c r="G19" s="1288"/>
      <c r="H19" s="1288"/>
      <c r="I19" s="1288"/>
      <c r="J19" s="1288"/>
      <c r="K19" s="221" t="s">
        <v>30</v>
      </c>
      <c r="L19" s="1"/>
    </row>
    <row r="20" spans="2:12" ht="36" customHeight="1">
      <c r="B20" s="1286"/>
      <c r="C20" s="1282" t="s">
        <v>32</v>
      </c>
      <c r="D20" s="1283"/>
      <c r="E20" s="1283"/>
      <c r="F20" s="1283"/>
      <c r="G20" s="1283"/>
      <c r="H20" s="1283"/>
      <c r="I20" s="1283"/>
      <c r="J20" s="1284"/>
      <c r="K20" s="221" t="s">
        <v>33</v>
      </c>
      <c r="L20" s="1"/>
    </row>
    <row r="21" spans="2:12" ht="36" customHeight="1">
      <c r="B21" s="1286"/>
      <c r="C21" s="1282" t="s">
        <v>34</v>
      </c>
      <c r="D21" s="1283"/>
      <c r="E21" s="1283"/>
      <c r="F21" s="1283"/>
      <c r="G21" s="1283"/>
      <c r="H21" s="1283"/>
      <c r="I21" s="1283"/>
      <c r="J21" s="1284"/>
      <c r="K21" s="221" t="s">
        <v>35</v>
      </c>
      <c r="L21" s="1"/>
    </row>
    <row r="22" spans="2:12" ht="29.1" customHeight="1">
      <c r="B22" s="1286"/>
      <c r="C22" s="424" t="s">
        <v>36</v>
      </c>
      <c r="D22" s="425"/>
      <c r="E22" s="425"/>
      <c r="F22" s="425"/>
      <c r="G22" s="425"/>
      <c r="H22" s="425"/>
      <c r="I22" s="425"/>
      <c r="J22" s="426"/>
      <c r="K22" s="221" t="s">
        <v>37</v>
      </c>
      <c r="L22" s="1"/>
    </row>
    <row r="23" spans="2:12" ht="29.1" customHeight="1">
      <c r="B23" s="1286"/>
      <c r="C23" s="424" t="s">
        <v>38</v>
      </c>
      <c r="D23" s="425"/>
      <c r="E23" s="425"/>
      <c r="F23" s="425"/>
      <c r="G23" s="425"/>
      <c r="H23" s="425"/>
      <c r="I23" s="425"/>
      <c r="J23" s="426"/>
      <c r="K23" s="221" t="s">
        <v>39</v>
      </c>
      <c r="L23" s="1"/>
    </row>
    <row r="24" spans="2:12" ht="29.1" customHeight="1">
      <c r="B24" s="1286"/>
      <c r="C24" s="424" t="s">
        <v>40</v>
      </c>
      <c r="D24" s="425"/>
      <c r="E24" s="425"/>
      <c r="F24" s="425"/>
      <c r="G24" s="425"/>
      <c r="H24" s="425"/>
      <c r="I24" s="425"/>
      <c r="J24" s="426"/>
      <c r="K24" s="221" t="s">
        <v>37</v>
      </c>
      <c r="L24" s="1"/>
    </row>
    <row r="25" spans="2:12" ht="29.1" customHeight="1">
      <c r="B25" s="1286"/>
      <c r="C25" s="424" t="s">
        <v>41</v>
      </c>
      <c r="D25" s="425"/>
      <c r="E25" s="425"/>
      <c r="F25" s="425"/>
      <c r="G25" s="425"/>
      <c r="H25" s="425"/>
      <c r="I25" s="425"/>
      <c r="J25" s="426"/>
      <c r="K25" s="221" t="s">
        <v>42</v>
      </c>
      <c r="L25" s="1"/>
    </row>
    <row r="26" spans="2:12" ht="29.1" customHeight="1">
      <c r="B26" s="1286"/>
      <c r="C26" s="424" t="s">
        <v>43</v>
      </c>
      <c r="D26" s="425"/>
      <c r="E26" s="425"/>
      <c r="F26" s="425"/>
      <c r="G26" s="425"/>
      <c r="H26" s="425"/>
      <c r="I26" s="425"/>
      <c r="J26" s="426"/>
      <c r="K26" s="221" t="s">
        <v>42</v>
      </c>
      <c r="L26" s="1"/>
    </row>
    <row r="27" spans="2:12" ht="29.1" customHeight="1">
      <c r="B27" s="1286"/>
      <c r="C27" s="424" t="s">
        <v>44</v>
      </c>
      <c r="D27" s="425"/>
      <c r="E27" s="425"/>
      <c r="F27" s="425"/>
      <c r="G27" s="425"/>
      <c r="H27" s="425"/>
      <c r="I27" s="425"/>
      <c r="J27" s="426"/>
      <c r="K27" s="221" t="s">
        <v>45</v>
      </c>
      <c r="L27" s="1"/>
    </row>
    <row r="28" spans="2:12" ht="29.1" customHeight="1">
      <c r="B28" s="1286"/>
      <c r="C28" s="424" t="s">
        <v>46</v>
      </c>
      <c r="D28" s="425"/>
      <c r="E28" s="425"/>
      <c r="F28" s="425"/>
      <c r="G28" s="425"/>
      <c r="H28" s="425"/>
      <c r="I28" s="425"/>
      <c r="J28" s="426"/>
      <c r="K28" s="221" t="s">
        <v>45</v>
      </c>
      <c r="L28" s="1"/>
    </row>
    <row r="29" spans="2:12" ht="29.1" customHeight="1">
      <c r="B29" s="1286"/>
      <c r="C29" s="223" t="s">
        <v>47</v>
      </c>
      <c r="D29" s="425"/>
      <c r="E29" s="425"/>
      <c r="F29" s="425"/>
      <c r="G29" s="425"/>
      <c r="H29" s="425"/>
      <c r="I29" s="425"/>
      <c r="J29" s="426"/>
      <c r="K29" s="221"/>
      <c r="L29" s="1"/>
    </row>
    <row r="30" spans="2:12" ht="29.1" customHeight="1">
      <c r="B30" s="1286"/>
      <c r="C30" s="223" t="s">
        <v>48</v>
      </c>
      <c r="D30" s="425"/>
      <c r="E30" s="425"/>
      <c r="F30" s="425"/>
      <c r="G30" s="425"/>
      <c r="H30" s="425"/>
      <c r="I30" s="425"/>
      <c r="J30" s="426"/>
      <c r="K30" s="221"/>
      <c r="L30" s="1"/>
    </row>
    <row r="31" spans="2:12" ht="36" customHeight="1">
      <c r="B31" s="1286"/>
      <c r="C31" s="1282" t="s">
        <v>49</v>
      </c>
      <c r="D31" s="1283"/>
      <c r="E31" s="1283"/>
      <c r="F31" s="1283"/>
      <c r="G31" s="1283"/>
      <c r="H31" s="1283"/>
      <c r="I31" s="1283"/>
      <c r="J31" s="1284"/>
      <c r="K31" s="221" t="s">
        <v>50</v>
      </c>
      <c r="L31" s="1"/>
    </row>
    <row r="32" spans="2:12" ht="36" customHeight="1">
      <c r="B32" s="1287"/>
      <c r="C32" s="1282" t="s">
        <v>51</v>
      </c>
      <c r="D32" s="1283"/>
      <c r="E32" s="1283"/>
      <c r="F32" s="1283"/>
      <c r="G32" s="1283"/>
      <c r="H32" s="1283"/>
      <c r="I32" s="1283"/>
      <c r="J32" s="1284"/>
      <c r="K32" s="221"/>
      <c r="L32" s="1"/>
    </row>
    <row r="33" spans="4:11">
      <c r="D33" s="1"/>
      <c r="E33" s="1"/>
      <c r="F33" s="1"/>
      <c r="G33" s="1"/>
      <c r="H33" s="1"/>
      <c r="I33" s="1"/>
      <c r="J33" s="1"/>
      <c r="K33" s="224"/>
    </row>
    <row r="34" spans="4:11">
      <c r="D34" s="1"/>
      <c r="E34" s="1"/>
      <c r="F34" s="1"/>
      <c r="G34" s="1"/>
      <c r="H34" s="1"/>
      <c r="I34" s="1"/>
      <c r="J34" s="1"/>
      <c r="K34" s="224"/>
    </row>
    <row r="35" spans="4:11">
      <c r="D35" s="1"/>
      <c r="E35" s="1"/>
      <c r="F35" s="1"/>
      <c r="G35" s="1"/>
      <c r="H35" s="1"/>
      <c r="J35" s="1"/>
      <c r="K35" s="224"/>
    </row>
    <row r="36" spans="4:11">
      <c r="D36" s="1"/>
      <c r="E36" s="1"/>
      <c r="F36" s="1"/>
      <c r="G36" s="1"/>
      <c r="H36" s="1"/>
      <c r="I36" s="1"/>
      <c r="J36" s="1"/>
      <c r="K36" s="224"/>
    </row>
    <row r="37" spans="4:11">
      <c r="D37" s="1"/>
      <c r="E37" s="1"/>
      <c r="F37" s="1"/>
      <c r="G37" s="1"/>
      <c r="H37" s="1"/>
      <c r="I37" s="1"/>
      <c r="J37" s="1"/>
      <c r="K37" s="224"/>
    </row>
    <row r="38" spans="4:11">
      <c r="D38" s="1"/>
      <c r="E38" s="1"/>
      <c r="F38" s="1"/>
      <c r="G38" s="1"/>
      <c r="H38" s="1"/>
      <c r="I38" s="1"/>
      <c r="J38" s="1"/>
      <c r="K38" s="224"/>
    </row>
    <row r="39" spans="4:11">
      <c r="D39" s="1"/>
      <c r="E39" s="1"/>
      <c r="F39" s="1"/>
      <c r="G39" s="1"/>
      <c r="H39" s="1"/>
      <c r="I39" s="1"/>
      <c r="J39" s="1"/>
      <c r="K39" s="224"/>
    </row>
    <row r="42" spans="4:11">
      <c r="D42" s="1"/>
      <c r="E42" s="1"/>
      <c r="F42" s="1"/>
      <c r="G42" s="1"/>
      <c r="H42" s="1"/>
      <c r="I42" s="1"/>
      <c r="J42" s="1"/>
      <c r="K42" s="224"/>
    </row>
  </sheetData>
  <sheetProtection formatCells="0" formatColumns="0" formatRows="0" insertColumns="0" insertRows="0" insertHyperlinks="0" deleteColumns="0" deleteRows="0" sort="0" autoFilter="0" pivotTables="0"/>
  <mergeCells count="20">
    <mergeCell ref="C7:J7"/>
    <mergeCell ref="C8:J8"/>
    <mergeCell ref="C20:J20"/>
    <mergeCell ref="C21:J21"/>
    <mergeCell ref="C31:J31"/>
    <mergeCell ref="C32:J32"/>
    <mergeCell ref="B2:B32"/>
    <mergeCell ref="C14:J14"/>
    <mergeCell ref="C15:J15"/>
    <mergeCell ref="C16:J16"/>
    <mergeCell ref="C18:J18"/>
    <mergeCell ref="C19:J19"/>
    <mergeCell ref="C9:J9"/>
    <mergeCell ref="C10:J10"/>
    <mergeCell ref="C11:J11"/>
    <mergeCell ref="C12:J12"/>
    <mergeCell ref="C13:J13"/>
    <mergeCell ref="C3:J3"/>
    <mergeCell ref="C4:J4"/>
    <mergeCell ref="C5:J5"/>
  </mergeCells>
  <phoneticPr fontId="29"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A832-4052-4D4B-83DA-2EBC620EEE3B}">
  <sheetPr>
    <pageSetUpPr fitToPage="1"/>
  </sheetPr>
  <dimension ref="A1:AC27"/>
  <sheetViews>
    <sheetView workbookViewId="0">
      <selection activeCell="C15" sqref="C15"/>
    </sheetView>
  </sheetViews>
  <sheetFormatPr defaultRowHeight="13.5"/>
  <cols>
    <col min="1" max="1" width="9.625" style="1107" customWidth="1"/>
    <col min="2" max="2" width="0" style="1107" hidden="1" customWidth="1"/>
    <col min="3" max="3" width="13.25" style="1107" customWidth="1"/>
    <col min="4" max="8" width="4.75" style="1107" customWidth="1"/>
    <col min="9" max="9" width="3" style="1107" customWidth="1"/>
    <col min="10" max="10" width="11.75" style="1107" customWidth="1"/>
    <col min="11" max="11" width="0" style="1107" hidden="1" customWidth="1"/>
    <col min="12" max="12" width="14.75" style="1107" customWidth="1"/>
    <col min="13" max="17" width="4.75" style="1107" customWidth="1"/>
    <col min="18" max="18" width="3" style="1107" customWidth="1"/>
    <col min="19" max="19" width="11.75" style="1107" customWidth="1"/>
    <col min="20" max="20" width="0" style="1107" hidden="1" customWidth="1"/>
    <col min="21" max="21" width="14.75" style="1107" customWidth="1"/>
    <col min="22" max="26" width="4.75" style="1107" customWidth="1"/>
    <col min="27" max="27" width="1.25" style="1107" customWidth="1"/>
    <col min="28" max="28" width="9" style="1107" bestFit="1" customWidth="1"/>
    <col min="29" max="29" width="10.875" style="1107" customWidth="1"/>
    <col min="30" max="30" width="1.375" style="1107" customWidth="1"/>
    <col min="31" max="16384" width="9" style="1107"/>
  </cols>
  <sheetData>
    <row r="1" spans="1:29" ht="13.5" customHeight="1">
      <c r="A1" s="1109">
        <v>0</v>
      </c>
      <c r="B1" s="1110" t="s">
        <v>52</v>
      </c>
      <c r="C1" s="1111" t="s">
        <v>52</v>
      </c>
      <c r="D1" s="1304" t="s">
        <v>53</v>
      </c>
      <c r="E1" s="1305"/>
      <c r="F1" s="1305"/>
      <c r="G1" s="1305"/>
      <c r="H1" s="1305"/>
      <c r="I1" s="1305"/>
      <c r="J1" s="1305"/>
      <c r="K1" s="1305"/>
      <c r="L1" s="1305"/>
      <c r="M1" s="1305"/>
      <c r="N1" s="1305"/>
      <c r="O1" s="1305"/>
      <c r="P1" s="1305"/>
      <c r="Q1" s="1305"/>
      <c r="R1" s="1305"/>
      <c r="S1" s="1305"/>
      <c r="T1" s="1305"/>
      <c r="U1" s="1305"/>
      <c r="V1" s="1305"/>
      <c r="W1" s="1305"/>
      <c r="X1" s="1305"/>
      <c r="Y1" s="1305"/>
      <c r="Z1" s="1306"/>
    </row>
    <row r="2" spans="1:29" ht="13.5" customHeight="1">
      <c r="A2" s="1109">
        <v>0.5</v>
      </c>
      <c r="B2" s="1110" t="s">
        <v>54</v>
      </c>
      <c r="C2" s="1111" t="s">
        <v>54</v>
      </c>
      <c r="D2" s="1307"/>
      <c r="E2" s="1308"/>
      <c r="F2" s="1308"/>
      <c r="G2" s="1308"/>
      <c r="H2" s="1308"/>
      <c r="I2" s="1308"/>
      <c r="J2" s="1308"/>
      <c r="K2" s="1308"/>
      <c r="L2" s="1308"/>
      <c r="M2" s="1308"/>
      <c r="N2" s="1308"/>
      <c r="O2" s="1308"/>
      <c r="P2" s="1308"/>
      <c r="Q2" s="1308"/>
      <c r="R2" s="1308"/>
      <c r="S2" s="1308"/>
      <c r="T2" s="1308"/>
      <c r="U2" s="1308"/>
      <c r="V2" s="1308"/>
      <c r="W2" s="1308"/>
      <c r="X2" s="1308"/>
      <c r="Y2" s="1308"/>
      <c r="Z2" s="1309"/>
    </row>
    <row r="3" spans="1:29" ht="13.5" customHeight="1">
      <c r="A3" s="1109">
        <v>1</v>
      </c>
      <c r="B3" s="1110" t="s">
        <v>55</v>
      </c>
      <c r="C3" s="1111" t="s">
        <v>55</v>
      </c>
      <c r="D3" s="1307"/>
      <c r="E3" s="1308"/>
      <c r="F3" s="1308"/>
      <c r="G3" s="1308"/>
      <c r="H3" s="1308"/>
      <c r="I3" s="1308"/>
      <c r="J3" s="1308"/>
      <c r="K3" s="1308"/>
      <c r="L3" s="1308"/>
      <c r="M3" s="1308"/>
      <c r="N3" s="1308"/>
      <c r="O3" s="1308"/>
      <c r="P3" s="1308"/>
      <c r="Q3" s="1308"/>
      <c r="R3" s="1308"/>
      <c r="S3" s="1308"/>
      <c r="T3" s="1308"/>
      <c r="U3" s="1308"/>
      <c r="V3" s="1308"/>
      <c r="W3" s="1308"/>
      <c r="X3" s="1308"/>
      <c r="Y3" s="1308"/>
      <c r="Z3" s="1309"/>
    </row>
    <row r="4" spans="1:29" ht="30.75" customHeight="1">
      <c r="A4" s="1112"/>
      <c r="B4" s="1113"/>
      <c r="C4" s="1114"/>
      <c r="D4" s="1310"/>
      <c r="E4" s="1310"/>
      <c r="F4" s="1310"/>
      <c r="G4" s="1310"/>
      <c r="H4" s="1310"/>
      <c r="I4" s="1310"/>
      <c r="J4" s="1310"/>
      <c r="K4" s="1310"/>
      <c r="L4" s="1310"/>
      <c r="M4" s="1310"/>
      <c r="N4" s="1310"/>
      <c r="O4" s="1310"/>
      <c r="P4" s="1310"/>
      <c r="Q4" s="1310"/>
      <c r="R4" s="1310"/>
      <c r="S4" s="1310"/>
      <c r="T4" s="1310"/>
      <c r="U4" s="1310"/>
      <c r="V4" s="1310"/>
      <c r="W4" s="1310"/>
      <c r="X4" s="1310"/>
      <c r="Y4" s="1310"/>
      <c r="Z4" s="1311"/>
    </row>
    <row r="5" spans="1:29" ht="24" customHeight="1">
      <c r="A5" s="1294" t="s">
        <v>56</v>
      </c>
      <c r="B5" s="1294"/>
      <c r="C5" s="1294"/>
      <c r="D5" s="1294"/>
      <c r="E5" s="1294"/>
      <c r="F5" s="1294"/>
      <c r="G5" s="1294"/>
      <c r="H5" s="1294"/>
      <c r="I5" s="1312"/>
      <c r="J5" s="1294" t="s">
        <v>57</v>
      </c>
      <c r="K5" s="1294"/>
      <c r="L5" s="1294"/>
      <c r="M5" s="1294"/>
      <c r="N5" s="1294"/>
      <c r="O5" s="1294"/>
      <c r="P5" s="1294"/>
      <c r="Q5" s="1294"/>
      <c r="R5" s="1312"/>
      <c r="S5" s="1294" t="s">
        <v>58</v>
      </c>
      <c r="T5" s="1294"/>
      <c r="U5" s="1294"/>
      <c r="V5" s="1294"/>
      <c r="W5" s="1294"/>
      <c r="X5" s="1294"/>
      <c r="Y5" s="1294"/>
      <c r="Z5" s="1294"/>
    </row>
    <row r="6" spans="1:29" s="1108" customFormat="1" ht="123">
      <c r="A6" s="1115" t="s">
        <v>59</v>
      </c>
      <c r="B6" s="1116" t="s">
        <v>60</v>
      </c>
      <c r="C6" s="1117" t="s">
        <v>61</v>
      </c>
      <c r="D6" s="1118" t="s">
        <v>62</v>
      </c>
      <c r="E6" s="1118" t="s">
        <v>63</v>
      </c>
      <c r="F6" s="1118" t="s">
        <v>64</v>
      </c>
      <c r="G6" s="1118" t="s">
        <v>65</v>
      </c>
      <c r="H6" s="1118" t="s">
        <v>66</v>
      </c>
      <c r="I6" s="1313"/>
      <c r="J6" s="1115" t="s">
        <v>59</v>
      </c>
      <c r="K6" s="1116" t="s">
        <v>60</v>
      </c>
      <c r="L6" s="1117" t="s">
        <v>61</v>
      </c>
      <c r="M6" s="1118" t="s">
        <v>62</v>
      </c>
      <c r="N6" s="1118" t="s">
        <v>63</v>
      </c>
      <c r="O6" s="1118" t="s">
        <v>64</v>
      </c>
      <c r="P6" s="1118" t="s">
        <v>65</v>
      </c>
      <c r="Q6" s="1118" t="s">
        <v>66</v>
      </c>
      <c r="R6" s="1313"/>
      <c r="S6" s="1115" t="s">
        <v>59</v>
      </c>
      <c r="T6" s="1116" t="s">
        <v>60</v>
      </c>
      <c r="U6" s="1117" t="s">
        <v>61</v>
      </c>
      <c r="V6" s="1118" t="s">
        <v>62</v>
      </c>
      <c r="W6" s="1118" t="s">
        <v>63</v>
      </c>
      <c r="X6" s="1118" t="s">
        <v>64</v>
      </c>
      <c r="Y6" s="1118" t="s">
        <v>65</v>
      </c>
      <c r="Z6" s="1118" t="s">
        <v>66</v>
      </c>
      <c r="AC6" s="1108" t="s">
        <v>67</v>
      </c>
    </row>
    <row r="7" spans="1:29" ht="14.25" customHeight="1">
      <c r="A7" s="1119" t="s">
        <v>68</v>
      </c>
      <c r="B7" s="1120" cm="1">
        <f t="array" aca="1" ref="B7"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Plan-'!$AA$2:$AA$205=$A7)*('[2]MADINAH Migration Plan-'!$F$2:$F$205&lt;&gt;"")*('[2]MADINAH Migration Plan-'!$G$2:$G$205&lt;&gt;""))),0)</f>
        <v>0</v>
      </c>
      <c r="C7" s="1121">
        <f t="shared" ref="C7:C16" si="0">AVERAGE(D7:H7)</f>
        <v>0</v>
      </c>
      <c r="D7" s="1122" cm="1">
        <f t="array" ref="D7">IFERROR(INDEX('[2]MADINAH Migration Plan-'!$L:$L,MATCH(1,('[2]MADINAH Migration Plan-'!$AA:$AA=$A7)*('[2]MADINAH Migration Plan-'!$Z:$Z=D$6),0)),0)</f>
        <v>0</v>
      </c>
      <c r="E7" s="1122" cm="1">
        <f t="array" ref="E7">IFERROR(INDEX('[2]MADINAH Migration Plan-'!$L:$L,MATCH(1,('[2]MADINAH Migration Plan-'!$AA:$AA=$A7)*('[2]MADINAH Migration Plan-'!$Z:$Z=E$6),0)),0)</f>
        <v>0</v>
      </c>
      <c r="F7" s="1122" cm="1">
        <f t="array" ref="F7">IFERROR(INDEX('[2]MADINAH Migration Plan-'!$L:$L,MATCH(1,('[2]MADINAH Migration Plan-'!$AA:$AA=$A7)*('[2]MADINAH Migration Plan-'!$Z:$Z=F$6),0)),0)</f>
        <v>0</v>
      </c>
      <c r="G7" s="1122" cm="1">
        <f t="array" ref="G7">IFERROR(INDEX('[2]MADINAH Migration Plan-'!$L:$L,MATCH(1,('[2]MADINAH Migration Plan-'!$AA:$AA=$A7)*('[2]MADINAH Migration Plan-'!$Z:$Z=G$6),0)),0)</f>
        <v>0</v>
      </c>
      <c r="H7" s="1122" cm="1">
        <f t="array" ref="H7">IFERROR(INDEX('[2]MADINAH Migration Plan-'!$L:$L,MATCH(1,('[2]MADINAH Migration Plan-'!$AA:$AA=$A7)*('[2]MADINAH Migration Plan-'!$Z:$Z=H$6),0)),0)</f>
        <v>0</v>
      </c>
      <c r="I7" s="1313"/>
      <c r="J7" s="1119" t="s">
        <v>68</v>
      </c>
      <c r="K7" s="1123" cm="1">
        <f t="array" aca="1" ref="K7" ca="1">IFERROR(AVERAGE(_xlfn._xlws.FILTER(IF(TODAY()&lt;'[2]Jeddah Migration Plan'!$F$2:$F$207,0,IF(TODAY()&gt;='[2]Jeddah Migration Plan'!$G$2:$G$207,1,NETWORKDAYS.INTL('[2]Jeddah Migration Plan'!$F$2:$F$207,TODAY(),"0000011")/NETWORKDAYS.INTL('[2]Jeddah Migration Plan'!$F$2:$F$207,'[2]Jeddah Migration Plan'!$G$2:$G$207,"0000011"))),('[2]Jeddah Migration Plan'!$AA$2:$AA$207=$J7)*('[2]Jeddah Migration Plan'!$F$2:$F$207&lt;&gt;"")*('[2]Jeddah Migration Plan'!$G$2:$G$207&lt;&gt;""))),0)</f>
        <v>0</v>
      </c>
      <c r="L7" s="1121">
        <f t="shared" ref="L7:L16" si="1">AVERAGE(M7:Q7)</f>
        <v>0</v>
      </c>
      <c r="M7" s="1122" cm="1">
        <f t="array" ref="M7">IFERROR(INDEX('[2]Jeddah Migration Plan'!$L:$L,MATCH(1,('[2]Jeddah Migration Plan'!$AA:$AA=$J7)*('[2]Jeddah Migration Plan'!$Z:$Z=M$6),0)),0)</f>
        <v>0</v>
      </c>
      <c r="N7" s="1122" cm="1">
        <f t="array" ref="N7">IFERROR(INDEX('[2]Jeddah Migration Plan'!$L:$L,MATCH(1,('[2]Jeddah Migration Plan'!$AA:$AA=$J7)*('[2]Jeddah Migration Plan'!$Z:$Z=N$6),0)),0)</f>
        <v>0</v>
      </c>
      <c r="O7" s="1122" cm="1">
        <f t="array" ref="O7">IFERROR(INDEX('[2]Jeddah Migration Plan'!$L:$L,MATCH(1,('[2]Jeddah Migration Plan'!$AA:$AA=$J7)*('[2]Jeddah Migration Plan'!$Z:$Z=O$6),0)),0)</f>
        <v>0</v>
      </c>
      <c r="P7" s="1122" cm="1">
        <f t="array" ref="P7">IFERROR(INDEX('[2]Jeddah Migration Plan'!$L:$L,MATCH(1,('[2]Jeddah Migration Plan'!$AA:$AA=$J7)*('[2]Jeddah Migration Plan'!$Z:$Z=P$6),0)),0)</f>
        <v>0</v>
      </c>
      <c r="Q7" s="1122" cm="1">
        <f t="array" ref="Q7">IFERROR(INDEX('[2]Jeddah Migration Plan'!$L:$L,MATCH(1,('[2]Jeddah Migration Plan'!$AA:$AA=$J7)*('[2]Jeddah Migration Plan'!$Z:$Z=Q$6),0)),0)</f>
        <v>0</v>
      </c>
      <c r="R7" s="1313"/>
      <c r="S7" s="1119" t="s">
        <v>68</v>
      </c>
      <c r="T7" s="1123" cm="1">
        <f t="array" aca="1" ref="T7" ca="1">IFERROR(AVERAGE(_xlfn._xlws.FILTER(IF(TODAY()&lt;'[2]Makkah Migration Plan'!$F$2:$F$204,0,IF(TODAY()&gt;='[2]Makkah Migration Plan'!$G$2:$G$204,1,NETWORKDAYS.INTL('[2]Makkah Migration Plan'!$F$2:$F$204,TODAY(),"0000011")/NETWORKDAYS.INTL('[2]Makkah Migration Plan'!$F$2:$F$204,'[2]Makkah Migration Plan'!$G$2:$G$204,"0000011"))),('[2]Makkah Migration Plan'!$AA$2:$AA$204=$S7)*('[2]Makkah Migration Plan'!$F$2:$F$204&lt;&gt;"")*('[2]Makkah Migration Plan'!$G$2:$G$204&lt;&gt;""))),0)</f>
        <v>0</v>
      </c>
      <c r="U7" s="1121">
        <f t="shared" ref="U7:U16" si="2">AVERAGE(V7:Z7)</f>
        <v>0</v>
      </c>
      <c r="V7" s="1122" cm="1">
        <f t="array" ref="V7">IFERROR(INDEX('[2]Makkah Migration Plan'!$L:$L,MATCH(1,('[2]Makkah Migration Plan'!$AA:$AA=$S20)*('[2]Makkah Migration Plan'!$Z:$Z=V$19),0)),0)</f>
        <v>0</v>
      </c>
      <c r="W7" s="1122" cm="1">
        <f t="array" ref="W7">IFERROR(INDEX('[2]Makkah Migration Plan'!$L:$L,MATCH(1,('[2]Makkah Migration Plan'!$AA:$AA=$S20)*('[2]Makkah Migration Plan'!$Z:$Z=W$19),0)),0)</f>
        <v>0</v>
      </c>
      <c r="X7" s="1122" cm="1">
        <f t="array" ref="X7">IFERROR(INDEX('[2]Makkah Migration Plan'!$L:$L,MATCH(1,('[2]Makkah Migration Plan'!$AA:$AA=$S20)*('[2]Makkah Migration Plan'!$Z:$Z=X$19),0)),0)</f>
        <v>0</v>
      </c>
      <c r="Y7" s="1122" cm="1">
        <f t="array" ref="Y7">IFERROR(INDEX('[2]Makkah Migration Plan'!$L:$L,MATCH(1,('[2]Makkah Migration Plan'!$AA:$AA=$S20)*('[2]Makkah Migration Plan'!$Z:$Z=Y$19),0)),0)</f>
        <v>0</v>
      </c>
      <c r="Z7" s="1122" cm="1">
        <f t="array" ref="Z7">IFERROR(INDEX('[2]Makkah Migration Plan'!$L:$L,MATCH(1,('[2]Makkah Migration Plan'!$AA:$AA=$S20)*('[2]Makkah Migration Plan'!$Z:$Z=Z$19),0)),0)</f>
        <v>0</v>
      </c>
    </row>
    <row r="8" spans="1:29" ht="14.25" customHeight="1">
      <c r="A8" s="1119" t="s">
        <v>69</v>
      </c>
      <c r="B8" s="1120" cm="1">
        <f t="array" aca="1" ref="B8"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Plan-'!$AA$2:$AA$205=$A8)*('[2]MADINAH Migration Plan-'!$F$2:$F$205&lt;&gt;"")*('[2]MADINAH Migration Plan-'!$G$2:$G$205&lt;&gt;""))),0)</f>
        <v>0</v>
      </c>
      <c r="C8" s="1121">
        <f t="shared" si="0"/>
        <v>0</v>
      </c>
      <c r="D8" s="1122" cm="1">
        <f t="array" ref="D8">IFERROR(INDEX('[2]MADINAH Migration Plan-'!$L:$L,MATCH(1,('[2]MADINAH Migration Plan-'!$AA:$AA=$A8)*('[2]MADINAH Migration Plan-'!$Z:$Z=D$6),0)),0)</f>
        <v>0</v>
      </c>
      <c r="E8" s="1122" cm="1">
        <f t="array" ref="E8">IFERROR(INDEX('[2]MADINAH Migration Plan-'!$L:$L,MATCH(1,('[2]MADINAH Migration Plan-'!$AA:$AA=$A8)*('[2]MADINAH Migration Plan-'!$Z:$Z=E$6),0)),0)</f>
        <v>0</v>
      </c>
      <c r="F8" s="1122" cm="1">
        <f t="array" ref="F8">IFERROR(INDEX('[2]MADINAH Migration Plan-'!$L:$L,MATCH(1,('[2]MADINAH Migration Plan-'!$AA:$AA=$A8)*('[2]MADINAH Migration Plan-'!$Z:$Z=F$6),0)),0)</f>
        <v>0</v>
      </c>
      <c r="G8" s="1122" cm="1">
        <f t="array" ref="G8">IFERROR(INDEX('[2]MADINAH Migration Plan-'!$L:$L,MATCH(1,('[2]MADINAH Migration Plan-'!$AA:$AA=$A8)*('[2]MADINAH Migration Plan-'!$Z:$Z=G$6),0)),0)</f>
        <v>0</v>
      </c>
      <c r="H8" s="1122" cm="1">
        <f t="array" ref="H8">IFERROR(INDEX('[2]MADINAH Migration Plan-'!$L:$L,MATCH(1,('[2]MADINAH Migration Plan-'!$AA:$AA=$A8)*('[2]MADINAH Migration Plan-'!$Z:$Z=H$6),0)),0)</f>
        <v>0</v>
      </c>
      <c r="I8" s="1313"/>
      <c r="J8" s="1119" t="s">
        <v>69</v>
      </c>
      <c r="K8" s="1123" cm="1">
        <f t="array" aca="1" ref="K8" ca="1">IFERROR(AVERAGE(_xlfn._xlws.FILTER(IF(TODAY()&lt;'[2]Jeddah Migration Plan'!$F$2:$F$207,0,IF(TODAY()&gt;='[2]Jeddah Migration Plan'!$G$2:$G$207,1,NETWORKDAYS.INTL('[2]Jeddah Migration Plan'!$F$2:$F$207,TODAY(),"0000011")/NETWORKDAYS.INTL('[2]Jeddah Migration Plan'!$F$2:$F$207,'[2]Jeddah Migration Plan'!$G$2:$G$207,"0000011"))),('[2]Jeddah Migration Plan'!$AA$2:$AA$207=$J8)*('[2]Jeddah Migration Plan'!$F$2:$F$207&lt;&gt;"")*('[2]Jeddah Migration Plan'!$G$2:$G$207&lt;&gt;""))),0)</f>
        <v>0</v>
      </c>
      <c r="L8" s="1121">
        <f t="shared" si="1"/>
        <v>0</v>
      </c>
      <c r="M8" s="1122" cm="1">
        <f t="array" ref="M8">IFERROR(INDEX('[2]Jeddah Migration Plan'!$L:$L,MATCH(1,('[2]Jeddah Migration Plan'!$AA:$AA=$J8)*('[2]Jeddah Migration Plan'!$Z:$Z=M$6),0)),0)</f>
        <v>0</v>
      </c>
      <c r="N8" s="1122" cm="1">
        <f t="array" ref="N8">IFERROR(INDEX('[2]Jeddah Migration Plan'!$L:$L,MATCH(1,('[2]Jeddah Migration Plan'!$AA:$AA=$J8)*('[2]Jeddah Migration Plan'!$Z:$Z=N$6),0)),0)</f>
        <v>0</v>
      </c>
      <c r="O8" s="1122" cm="1">
        <f t="array" ref="O8">IFERROR(INDEX('[2]Jeddah Migration Plan'!$L:$L,MATCH(1,('[2]Jeddah Migration Plan'!$AA:$AA=$J8)*('[2]Jeddah Migration Plan'!$Z:$Z=O$6),0)),0)</f>
        <v>0</v>
      </c>
      <c r="P8" s="1122" cm="1">
        <f t="array" ref="P8">IFERROR(INDEX('[2]Jeddah Migration Plan'!$L:$L,MATCH(1,('[2]Jeddah Migration Plan'!$AA:$AA=$J8)*('[2]Jeddah Migration Plan'!$Z:$Z=P$6),0)),0)</f>
        <v>0</v>
      </c>
      <c r="Q8" s="1122" cm="1">
        <f t="array" ref="Q8">IFERROR(INDEX('[2]Jeddah Migration Plan'!$L:$L,MATCH(1,('[2]Jeddah Migration Plan'!$AA:$AA=$J8)*('[2]Jeddah Migration Plan'!$Z:$Z=Q$6),0)),0)</f>
        <v>0</v>
      </c>
      <c r="R8" s="1313"/>
      <c r="S8" s="1119" t="s">
        <v>69</v>
      </c>
      <c r="T8" s="1123" cm="1">
        <f t="array" aca="1" ref="T8" ca="1">IFERROR(AVERAGE(_xlfn._xlws.FILTER(IF(TODAY()&lt;'[2]Makkah Migration Plan'!$F$2:$F$204,0,IF(TODAY()&gt;='[2]Makkah Migration Plan'!$G$2:$G$204,1,NETWORKDAYS.INTL('[2]Makkah Migration Plan'!$F$2:$F$204,TODAY(),"0000011")/NETWORKDAYS.INTL('[2]Makkah Migration Plan'!$F$2:$F$204,'[2]Makkah Migration Plan'!$G$2:$G$204,"0000011"))),('[2]Makkah Migration Plan'!$AA$2:$AA$204=$S8)*('[2]Makkah Migration Plan'!$F$2:$F$204&lt;&gt;"")*('[2]Makkah Migration Plan'!$G$2:$G$204&lt;&gt;""))),0)</f>
        <v>0</v>
      </c>
      <c r="U8" s="1121">
        <f t="shared" si="2"/>
        <v>0</v>
      </c>
      <c r="V8" s="1122" cm="1">
        <f t="array" ref="V8">IFERROR(INDEX('[2]Makkah Migration Plan'!$L:$L,MATCH(1,('[2]Makkah Migration Plan'!$AA:$AA=$S21)*('[2]Makkah Migration Plan'!$Z:$Z=V$19),0)),0)</f>
        <v>0</v>
      </c>
      <c r="W8" s="1122" cm="1">
        <f t="array" ref="W8">IFERROR(INDEX('[2]Makkah Migration Plan'!$L:$L,MATCH(1,('[2]Makkah Migration Plan'!$AA:$AA=$S21)*('[2]Makkah Migration Plan'!$Z:$Z=W$19),0)),0)</f>
        <v>0</v>
      </c>
      <c r="X8" s="1122" cm="1">
        <f t="array" ref="X8">IFERROR(INDEX('[2]Makkah Migration Plan'!$L:$L,MATCH(1,('[2]Makkah Migration Plan'!$AA:$AA=$S21)*('[2]Makkah Migration Plan'!$Z:$Z=X$19),0)),0)</f>
        <v>0</v>
      </c>
      <c r="Y8" s="1122" cm="1">
        <f t="array" ref="Y8">IFERROR(INDEX('[2]Makkah Migration Plan'!$L:$L,MATCH(1,('[2]Makkah Migration Plan'!$AA:$AA=$S21)*('[2]Makkah Migration Plan'!$Z:$Z=Y$19),0)),0)</f>
        <v>0</v>
      </c>
      <c r="Z8" s="1122" cm="1">
        <f t="array" ref="Z8">IFERROR(INDEX('[2]Makkah Migration Plan'!$L:$L,MATCH(1,('[2]Makkah Migration Plan'!$AA:$AA=$S21)*('[2]Makkah Migration Plan'!$Z:$Z=Z$19),0)),0)</f>
        <v>0</v>
      </c>
    </row>
    <row r="9" spans="1:29" ht="14.25" customHeight="1">
      <c r="A9" s="1119" t="s">
        <v>70</v>
      </c>
      <c r="B9" s="1124" cm="1">
        <f t="array" aca="1" ref="B9"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Plan-'!$AA$2:$AA$205=$A9)*('[2]MADINAH Migration Plan-'!$F$2:$F$205&lt;&gt;"")*('[2]MADINAH Migration Plan-'!$G$2:$G$205&lt;&gt;""))),0)</f>
        <v>0</v>
      </c>
      <c r="C9" s="1125">
        <f t="shared" si="0"/>
        <v>0</v>
      </c>
      <c r="D9" s="1122" cm="1">
        <f t="array" ref="D9">IFERROR(INDEX('[2]MADINAH Migration Plan-'!$L:$L,MATCH(1,('[2]MADINAH Migration Plan-'!$AA:$AA=$A9)*('[2]MADINAH Migration Plan-'!$Z:$Z=D$6),0)),0)</f>
        <v>0</v>
      </c>
      <c r="E9" s="1122" cm="1">
        <f t="array" ref="E9">IFERROR(INDEX('[2]MADINAH Migration Plan-'!$L:$L,MATCH(1,('[2]MADINAH Migration Plan-'!$AA:$AA=$A9)*('[2]MADINAH Migration Plan-'!$Z:$Z=E$6),0)),0)</f>
        <v>0</v>
      </c>
      <c r="F9" s="1122" cm="1">
        <f t="array" ref="F9">IFERROR(INDEX('[2]MADINAH Migration Plan-'!$L:$L,MATCH(1,('[2]MADINAH Migration Plan-'!$AA:$AA=$A9)*('[2]MADINAH Migration Plan-'!$Z:$Z=F$6),0)),0)</f>
        <v>0</v>
      </c>
      <c r="G9" s="1122" cm="1">
        <f t="array" ref="G9">IFERROR(INDEX('[2]MADINAH Migration Plan-'!$L:$L,MATCH(1,('[2]MADINAH Migration Plan-'!$AA:$AA=$A9)*('[2]MADINAH Migration Plan-'!$Z:$Z=G$6),0)),0)</f>
        <v>0</v>
      </c>
      <c r="H9" s="1122" cm="1">
        <f t="array" ref="H9">IFERROR(INDEX('[2]MADINAH Migration Plan-'!$L:$L,MATCH(1,('[2]MADINAH Migration Plan-'!$AA:$AA=$A9)*('[2]MADINAH Migration Plan-'!$Z:$Z=H$6),0)),0)</f>
        <v>0</v>
      </c>
      <c r="I9" s="1313"/>
      <c r="J9" s="1119" t="s">
        <v>70</v>
      </c>
      <c r="K9" s="1123" cm="1">
        <f t="array" aca="1" ref="K9" ca="1">IFERROR(AVERAGE(_xlfn._xlws.FILTER(IF(TODAY()&lt;'[2]Jeddah Migration Plan'!$F$2:$F$207,0,IF(TODAY()&gt;='[2]Jeddah Migration Plan'!$G$2:$G$207,1,NETWORKDAYS.INTL('[2]Jeddah Migration Plan'!$F$2:$F$207,TODAY(),"0000011")/NETWORKDAYS.INTL('[2]Jeddah Migration Plan'!$F$2:$F$207,'[2]Jeddah Migration Plan'!$G$2:$G$207,"0000011"))),('[2]Jeddah Migration Plan'!$AA$2:$AA$207=$J9)*('[2]Jeddah Migration Plan'!$F$2:$F$207&lt;&gt;"")*('[2]Jeddah Migration Plan'!$G$2:$G$207&lt;&gt;""))),0)</f>
        <v>0</v>
      </c>
      <c r="L9" s="1125">
        <f t="shared" si="1"/>
        <v>0</v>
      </c>
      <c r="M9" s="1122" cm="1">
        <f t="array" ref="M9">IFERROR(INDEX('[2]Jeddah Migration Plan'!$L:$L,MATCH(1,('[2]Jeddah Migration Plan'!$AA:$AA=$J9)*('[2]Jeddah Migration Plan'!$Z:$Z=M$6),0)),0)</f>
        <v>0</v>
      </c>
      <c r="N9" s="1122" cm="1">
        <f t="array" ref="N9">IFERROR(INDEX('[2]Jeddah Migration Plan'!$L:$L,MATCH(1,('[2]Jeddah Migration Plan'!$AA:$AA=$J9)*('[2]Jeddah Migration Plan'!$Z:$Z=N$6),0)),0)</f>
        <v>0</v>
      </c>
      <c r="O9" s="1122" cm="1">
        <f t="array" ref="O9">IFERROR(INDEX('[2]Jeddah Migration Plan'!$L:$L,MATCH(1,('[2]Jeddah Migration Plan'!$AA:$AA=$J9)*('[2]Jeddah Migration Plan'!$Z:$Z=O$6),0)),0)</f>
        <v>0</v>
      </c>
      <c r="P9" s="1122" cm="1">
        <f t="array" ref="P9">IFERROR(INDEX('[2]Jeddah Migration Plan'!$L:$L,MATCH(1,('[2]Jeddah Migration Plan'!$AA:$AA=$J9)*('[2]Jeddah Migration Plan'!$Z:$Z=P$6),0)),0)</f>
        <v>0</v>
      </c>
      <c r="Q9" s="1122" cm="1">
        <f t="array" ref="Q9">IFERROR(INDEX('[2]Jeddah Migration Plan'!$L:$L,MATCH(1,('[2]Jeddah Migration Plan'!$AA:$AA=$J9)*('[2]Jeddah Migration Plan'!$Z:$Z=Q$6),0)),0)</f>
        <v>0</v>
      </c>
      <c r="R9" s="1313"/>
      <c r="S9" s="1119" t="s">
        <v>70</v>
      </c>
      <c r="T9" s="1123" cm="1">
        <f t="array" aca="1" ref="T9" ca="1">IFERROR(AVERAGE(_xlfn._xlws.FILTER(IF(TODAY()&lt;'[2]Makkah Migration Plan'!$F$2:$F$204,0,IF(TODAY()&gt;='[2]Makkah Migration Plan'!$G$2:$G$204,1,NETWORKDAYS.INTL('[2]Makkah Migration Plan'!$F$2:$F$204,TODAY(),"0000011")/NETWORKDAYS.INTL('[2]Makkah Migration Plan'!$F$2:$F$204,'[2]Makkah Migration Plan'!$G$2:$G$204,"0000011"))),('[2]Makkah Migration Plan'!$AA$2:$AA$204=$S9)*('[2]Makkah Migration Plan'!$F$2:$F$204&lt;&gt;"")*('[2]Makkah Migration Plan'!$G$2:$G$204&lt;&gt;""))),0)</f>
        <v>0</v>
      </c>
      <c r="U9" s="1125">
        <f t="shared" si="2"/>
        <v>0</v>
      </c>
      <c r="V9" s="1122" cm="1">
        <f t="array" ref="V9">IFERROR(INDEX('[2]Makkah Migration Plan'!$L:$L,MATCH(1,('[2]Makkah Migration Plan'!$AA:$AA=$S22)*('[2]Makkah Migration Plan'!$Z:$Z=V$19),0)),0)</f>
        <v>0</v>
      </c>
      <c r="W9" s="1122" cm="1">
        <f t="array" ref="W9">IFERROR(INDEX('[2]Makkah Migration Plan'!$L:$L,MATCH(1,('[2]Makkah Migration Plan'!$AA:$AA=$S22)*('[2]Makkah Migration Plan'!$Z:$Z=W$19),0)),0)</f>
        <v>0</v>
      </c>
      <c r="X9" s="1122" cm="1">
        <f t="array" ref="X9">IFERROR(INDEX('[2]Makkah Migration Plan'!$L:$L,MATCH(1,('[2]Makkah Migration Plan'!$AA:$AA=$S22)*('[2]Makkah Migration Plan'!$Z:$Z=X$19),0)),0)</f>
        <v>0</v>
      </c>
      <c r="Y9" s="1122" cm="1">
        <f t="array" ref="Y9">IFERROR(INDEX('[2]Makkah Migration Plan'!$L:$L,MATCH(1,('[2]Makkah Migration Plan'!$AA:$AA=$S22)*('[2]Makkah Migration Plan'!$Z:$Z=Y$19),0)),0)</f>
        <v>0</v>
      </c>
      <c r="Z9" s="1122" cm="1">
        <f t="array" ref="Z9">IFERROR(INDEX('[2]Makkah Migration Plan'!$L:$L,MATCH(1,('[2]Makkah Migration Plan'!$AA:$AA=$S22)*('[2]Makkah Migration Plan'!$Z:$Z=Z$19),0)),0)</f>
        <v>0</v>
      </c>
    </row>
    <row r="10" spans="1:29" ht="14.25" customHeight="1">
      <c r="A10" s="1119" t="s">
        <v>71</v>
      </c>
      <c r="B10" s="1124" cm="1">
        <f t="array" aca="1" ref="B10"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Plan-'!$AA$2:$AA$205=$A10)*('[2]MADINAH Migration Plan-'!$F$2:$F$205&lt;&gt;"")*('[2]MADINAH Migration Plan-'!$G$2:$G$205&lt;&gt;""))),0)</f>
        <v>0</v>
      </c>
      <c r="C10" s="1121">
        <f t="shared" si="0"/>
        <v>0</v>
      </c>
      <c r="D10" s="1122" cm="1">
        <f t="array" ref="D10">IFERROR(INDEX('[2]MADINAH Migration Plan-'!$L:$L,MATCH(1,('[2]MADINAH Migration Plan-'!$AA:$AA=$A10)*('[2]MADINAH Migration Plan-'!$Z:$Z=D$6),0)),0)</f>
        <v>0</v>
      </c>
      <c r="E10" s="1122" cm="1">
        <f t="array" ref="E10">IFERROR(INDEX('[2]MADINAH Migration Plan-'!$L:$L,MATCH(1,('[2]MADINAH Migration Plan-'!$AA:$AA=$A10)*('[2]MADINAH Migration Plan-'!$Z:$Z=E$6),0)),0)</f>
        <v>0</v>
      </c>
      <c r="F10" s="1122" cm="1">
        <f t="array" ref="F10">IFERROR(INDEX('[2]MADINAH Migration Plan-'!$L:$L,MATCH(1,('[2]MADINAH Migration Plan-'!$AA:$AA=$A10)*('[2]MADINAH Migration Plan-'!$Z:$Z=F$6),0)),0)</f>
        <v>0</v>
      </c>
      <c r="G10" s="1122" cm="1">
        <f t="array" ref="G10">IFERROR(INDEX('[2]MADINAH Migration Plan-'!$L:$L,MATCH(1,('[2]MADINAH Migration Plan-'!$AA:$AA=$A10)*('[2]MADINAH Migration Plan-'!$Z:$Z=G$6),0)),0)</f>
        <v>0</v>
      </c>
      <c r="H10" s="1122" cm="1">
        <f t="array" ref="H10">IFERROR(INDEX('[2]MADINAH Migration Plan-'!$L:$L,MATCH(1,('[2]MADINAH Migration Plan-'!$AA:$AA=$A10)*('[2]MADINAH Migration Plan-'!$Z:$Z=H$6),0)),0)</f>
        <v>0</v>
      </c>
      <c r="I10" s="1313"/>
      <c r="J10" s="1119" t="s">
        <v>71</v>
      </c>
      <c r="K10" s="1123" cm="1">
        <f t="array" aca="1" ref="K10" ca="1">IFERROR(AVERAGE(_xlfn._xlws.FILTER(IF(TODAY()&lt;'[2]Jeddah Migration Plan'!$F$2:$F$207,0,IF(TODAY()&gt;='[2]Jeddah Migration Plan'!$G$2:$G$207,1,NETWORKDAYS.INTL('[2]Jeddah Migration Plan'!$F$2:$F$207,TODAY(),"0000011")/NETWORKDAYS.INTL('[2]Jeddah Migration Plan'!$F$2:$F$207,'[2]Jeddah Migration Plan'!$G$2:$G$207,"0000011"))),('[2]Jeddah Migration Plan'!$AA$2:$AA$207=$J10)*('[2]Jeddah Migration Plan'!$F$2:$F$207&lt;&gt;"")*('[2]Jeddah Migration Plan'!$G$2:$G$207&lt;&gt;""))),0)</f>
        <v>0</v>
      </c>
      <c r="L10" s="1121">
        <f t="shared" si="1"/>
        <v>0</v>
      </c>
      <c r="M10" s="1122" cm="1">
        <f t="array" ref="M10">IFERROR(INDEX('[2]Jeddah Migration Plan'!$L:$L,MATCH(1,('[2]Jeddah Migration Plan'!$AA:$AA=$J10)*('[2]Jeddah Migration Plan'!$Z:$Z=M$6),0)),0)</f>
        <v>0</v>
      </c>
      <c r="N10" s="1122" cm="1">
        <f t="array" ref="N10">IFERROR(INDEX('[2]Jeddah Migration Plan'!$L:$L,MATCH(1,('[2]Jeddah Migration Plan'!$AA:$AA=$J10)*('[2]Jeddah Migration Plan'!$Z:$Z=N$6),0)),0)</f>
        <v>0</v>
      </c>
      <c r="O10" s="1122" cm="1">
        <f t="array" ref="O10">IFERROR(INDEX('[2]Jeddah Migration Plan'!$L:$L,MATCH(1,('[2]Jeddah Migration Plan'!$AA:$AA=$J10)*('[2]Jeddah Migration Plan'!$Z:$Z=O$6),0)),0)</f>
        <v>0</v>
      </c>
      <c r="P10" s="1122" cm="1">
        <f t="array" ref="P10">IFERROR(INDEX('[2]Jeddah Migration Plan'!$L:$L,MATCH(1,('[2]Jeddah Migration Plan'!$AA:$AA=$J10)*('[2]Jeddah Migration Plan'!$Z:$Z=P$6),0)),0)</f>
        <v>0</v>
      </c>
      <c r="Q10" s="1122" cm="1">
        <f t="array" ref="Q10">IFERROR(INDEX('[2]Jeddah Migration Plan'!$L:$L,MATCH(1,('[2]Jeddah Migration Plan'!$AA:$AA=$J10)*('[2]Jeddah Migration Plan'!$Z:$Z=Q$6),0)),0)</f>
        <v>0</v>
      </c>
      <c r="R10" s="1313"/>
      <c r="S10" s="1119" t="s">
        <v>71</v>
      </c>
      <c r="T10" s="1123" cm="1">
        <f t="array" aca="1" ref="T10" ca="1">IFERROR(AVERAGE(_xlfn._xlws.FILTER(IF(TODAY()&lt;'[2]Makkah Migration Plan'!$F$2:$F$204,0,IF(TODAY()&gt;='[2]Makkah Migration Plan'!$G$2:$G$204,1,NETWORKDAYS.INTL('[2]Makkah Migration Plan'!$F$2:$F$204,TODAY(),"0000011")/NETWORKDAYS.INTL('[2]Makkah Migration Plan'!$F$2:$F$204,'[2]Makkah Migration Plan'!$G$2:$G$204,"0000011"))),('[2]Makkah Migration Plan'!$AA$2:$AA$204=$S10)*('[2]Makkah Migration Plan'!$F$2:$F$204&lt;&gt;"")*('[2]Makkah Migration Plan'!$G$2:$G$204&lt;&gt;""))),0)</f>
        <v>0</v>
      </c>
      <c r="U10" s="1121">
        <f t="shared" si="2"/>
        <v>0</v>
      </c>
      <c r="V10" s="1122" cm="1">
        <f t="array" ref="V10">IFERROR(INDEX('[2]Makkah Migration Plan'!$L:$L,MATCH(1,('[2]Makkah Migration Plan'!$AA:$AA=$S23)*('[2]Makkah Migration Plan'!$Z:$Z=V$19),0)),0)</f>
        <v>0</v>
      </c>
      <c r="W10" s="1122" cm="1">
        <f t="array" ref="W10">IFERROR(INDEX('[2]Makkah Migration Plan'!$L:$L,MATCH(1,('[2]Makkah Migration Plan'!$AA:$AA=$S23)*('[2]Makkah Migration Plan'!$Z:$Z=W$19),0)),0)</f>
        <v>0</v>
      </c>
      <c r="X10" s="1122" cm="1">
        <f t="array" ref="X10">IFERROR(INDEX('[2]Makkah Migration Plan'!$L:$L,MATCH(1,('[2]Makkah Migration Plan'!$AA:$AA=$S23)*('[2]Makkah Migration Plan'!$Z:$Z=X$19),0)),0)</f>
        <v>0</v>
      </c>
      <c r="Y10" s="1122" cm="1">
        <f t="array" ref="Y10">IFERROR(INDEX('[2]Makkah Migration Plan'!$L:$L,MATCH(1,('[2]Makkah Migration Plan'!$AA:$AA=$S23)*('[2]Makkah Migration Plan'!$Z:$Z=Y$19),0)),0)</f>
        <v>0</v>
      </c>
      <c r="Z10" s="1122" cm="1">
        <f t="array" ref="Z10">IFERROR(INDEX('[2]Makkah Migration Plan'!$L:$L,MATCH(1,('[2]Makkah Migration Plan'!$AA:$AA=$S23)*('[2]Makkah Migration Plan'!$Z:$Z=Z$19),0)),0)</f>
        <v>0</v>
      </c>
    </row>
    <row r="11" spans="1:29" ht="14.25" customHeight="1">
      <c r="A11" s="1119" t="s">
        <v>72</v>
      </c>
      <c r="B11" s="1124" cm="1">
        <f t="array" aca="1" ref="B11"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Plan-'!$AA$2:$AA$205=$A11)*('[2]MADINAH Migration Plan-'!$F$2:$F$205&lt;&gt;"")*('[2]MADINAH Migration Plan-'!$G$2:$G$205&lt;&gt;""))),0)</f>
        <v>0</v>
      </c>
      <c r="C11" s="1121">
        <f t="shared" si="0"/>
        <v>0</v>
      </c>
      <c r="D11" s="1122" cm="1">
        <f t="array" ref="D11">IFERROR(INDEX('[2]MADINAH Migration Plan-'!$L:$L,MATCH(1,('[2]MADINAH Migration Plan-'!$AA:$AA=$A11)*('[2]MADINAH Migration Plan-'!$Z:$Z=D$6),0)),0)</f>
        <v>0</v>
      </c>
      <c r="E11" s="1122" cm="1">
        <f t="array" ref="E11">IFERROR(INDEX('[2]MADINAH Migration Plan-'!$L:$L,MATCH(1,('[2]MADINAH Migration Plan-'!$AA:$AA=$A11)*('[2]MADINAH Migration Plan-'!$Z:$Z=E$6),0)),0)</f>
        <v>0</v>
      </c>
      <c r="F11" s="1122" cm="1">
        <f t="array" ref="F11">IFERROR(INDEX('[2]MADINAH Migration Plan-'!$L:$L,MATCH(1,('[2]MADINAH Migration Plan-'!$AA:$AA=$A11)*('[2]MADINAH Migration Plan-'!$Z:$Z=F$6),0)),0)</f>
        <v>0</v>
      </c>
      <c r="G11" s="1122" cm="1">
        <f t="array" ref="G11">IFERROR(INDEX('[2]MADINAH Migration Plan-'!$L:$L,MATCH(1,('[2]MADINAH Migration Plan-'!$AA:$AA=$A11)*('[2]MADINAH Migration Plan-'!$Z:$Z=G$6),0)),0)</f>
        <v>0</v>
      </c>
      <c r="H11" s="1122" cm="1">
        <f t="array" ref="H11">IFERROR(INDEX('[2]MADINAH Migration Plan-'!$L:$L,MATCH(1,('[2]MADINAH Migration Plan-'!$AA:$AA=$A11)*('[2]MADINAH Migration Plan-'!$Z:$Z=H$6),0)),0)</f>
        <v>0</v>
      </c>
      <c r="I11" s="1313"/>
      <c r="J11" s="1119" t="s">
        <v>72</v>
      </c>
      <c r="K11" s="1123" cm="1">
        <f t="array" aca="1" ref="K11" ca="1">IFERROR(AVERAGE(_xlfn._xlws.FILTER(IF(TODAY()&lt;'[2]Jeddah Migration Plan'!$F$2:$F$207,0,IF(TODAY()&gt;='[2]Jeddah Migration Plan'!$G$2:$G$207,1,NETWORKDAYS.INTL('[2]Jeddah Migration Plan'!$F$2:$F$207,TODAY(),"0000011")/NETWORKDAYS.INTL('[2]Jeddah Migration Plan'!$F$2:$F$207,'[2]Jeddah Migration Plan'!$G$2:$G$207,"0000011"))),('[2]Jeddah Migration Plan'!$AA$2:$AA$207=$J11)*('[2]Jeddah Migration Plan'!$F$2:$F$207&lt;&gt;"")*('[2]Jeddah Migration Plan'!$G$2:$G$207&lt;&gt;""))),0)</f>
        <v>0</v>
      </c>
      <c r="L11" s="1121">
        <f t="shared" si="1"/>
        <v>0</v>
      </c>
      <c r="M11" s="1122" cm="1">
        <f t="array" ref="M11">IFERROR(INDEX('[2]Jeddah Migration Plan'!$L:$L,MATCH(1,('[2]Jeddah Migration Plan'!$AA:$AA=$J11)*('[2]Jeddah Migration Plan'!$Z:$Z=M$6),0)),0)</f>
        <v>0</v>
      </c>
      <c r="N11" s="1122" cm="1">
        <f t="array" ref="N11">IFERROR(INDEX('[2]Jeddah Migration Plan'!$L:$L,MATCH(1,('[2]Jeddah Migration Plan'!$AA:$AA=$J11)*('[2]Jeddah Migration Plan'!$Z:$Z=N$6),0)),0)</f>
        <v>0</v>
      </c>
      <c r="O11" s="1122" cm="1">
        <f t="array" ref="O11">IFERROR(INDEX('[2]Jeddah Migration Plan'!$L:$L,MATCH(1,('[2]Jeddah Migration Plan'!$AA:$AA=$J11)*('[2]Jeddah Migration Plan'!$Z:$Z=O$6),0)),0)</f>
        <v>0</v>
      </c>
      <c r="P11" s="1122" cm="1">
        <f t="array" ref="P11">IFERROR(INDEX('[2]Jeddah Migration Plan'!$L:$L,MATCH(1,('[2]Jeddah Migration Plan'!$AA:$AA=$J11)*('[2]Jeddah Migration Plan'!$Z:$Z=P$6),0)),0)</f>
        <v>0</v>
      </c>
      <c r="Q11" s="1122" cm="1">
        <f t="array" ref="Q11">IFERROR(INDEX('[2]Jeddah Migration Plan'!$L:$L,MATCH(1,('[2]Jeddah Migration Plan'!$AA:$AA=$J11)*('[2]Jeddah Migration Plan'!$Z:$Z=Q$6),0)),0)</f>
        <v>0</v>
      </c>
      <c r="R11" s="1313"/>
      <c r="S11" s="1119" t="s">
        <v>72</v>
      </c>
      <c r="T11" s="1123" cm="1">
        <f t="array" aca="1" ref="T11" ca="1">IFERROR(AVERAGE(_xlfn._xlws.FILTER(IF(TODAY()&lt;'[2]Makkah Migration Plan'!$F$2:$F$204,0,IF(TODAY()&gt;='[2]Makkah Migration Plan'!$G$2:$G$204,1,NETWORKDAYS.INTL('[2]Makkah Migration Plan'!$F$2:$F$204,TODAY(),"0000011")/NETWORKDAYS.INTL('[2]Makkah Migration Plan'!$F$2:$F$204,'[2]Makkah Migration Plan'!$G$2:$G$204,"0000011"))),('[2]Makkah Migration Plan'!$AA$2:$AA$204=$S11)*('[2]Makkah Migration Plan'!$F$2:$F$204&lt;&gt;"")*('[2]Makkah Migration Plan'!$G$2:$G$204&lt;&gt;""))),0)</f>
        <v>0</v>
      </c>
      <c r="U11" s="1121">
        <f t="shared" si="2"/>
        <v>0</v>
      </c>
      <c r="V11" s="1122" cm="1">
        <f t="array" ref="V11">IFERROR(INDEX('[2]Makkah Migration Plan'!$L:$L,MATCH(1,('[2]Makkah Migration Plan'!$AA:$AA=$S24)*('[2]Makkah Migration Plan'!$Z:$Z=V$19),0)),0)</f>
        <v>0</v>
      </c>
      <c r="W11" s="1122" cm="1">
        <f t="array" ref="W11">IFERROR(INDEX('[2]Makkah Migration Plan'!$L:$L,MATCH(1,('[2]Makkah Migration Plan'!$AA:$AA=$S24)*('[2]Makkah Migration Plan'!$Z:$Z=W$19),0)),0)</f>
        <v>0</v>
      </c>
      <c r="X11" s="1122" cm="1">
        <f t="array" ref="X11">IFERROR(INDEX('[2]Makkah Migration Plan'!$L:$L,MATCH(1,('[2]Makkah Migration Plan'!$AA:$AA=$S24)*('[2]Makkah Migration Plan'!$Z:$Z=X$19),0)),0)</f>
        <v>0</v>
      </c>
      <c r="Y11" s="1122" cm="1">
        <f t="array" ref="Y11">IFERROR(INDEX('[2]Makkah Migration Plan'!$L:$L,MATCH(1,('[2]Makkah Migration Plan'!$AA:$AA=$S24)*('[2]Makkah Migration Plan'!$Z:$Z=Y$19),0)),0)</f>
        <v>0</v>
      </c>
      <c r="Z11" s="1122" cm="1">
        <f t="array" ref="Z11">IFERROR(INDEX('[2]Makkah Migration Plan'!$L:$L,MATCH(1,('[2]Makkah Migration Plan'!$AA:$AA=$S24)*('[2]Makkah Migration Plan'!$Z:$Z=Z$19),0)),0)</f>
        <v>0</v>
      </c>
    </row>
    <row r="12" spans="1:29" ht="14.25" customHeight="1">
      <c r="A12" s="1119" t="s">
        <v>73</v>
      </c>
      <c r="B12" s="1124" cm="1">
        <f t="array" aca="1" ref="B12"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Plan-'!$AA$2:$AA$205=$A12)*('[2]MADINAH Migration Plan-'!$F$2:$F$205&lt;&gt;"")*('[2]MADINAH Migration Plan-'!$G$2:$G$205&lt;&gt;""))),0)</f>
        <v>0</v>
      </c>
      <c r="C12" s="1121">
        <f t="shared" si="0"/>
        <v>0</v>
      </c>
      <c r="D12" s="1122" cm="1">
        <f t="array" ref="D12">IFERROR(INDEX('[2]MADINAH Migration Plan-'!$L:$L,MATCH(1,('[2]MADINAH Migration Plan-'!$AA:$AA=$A12)*('[2]MADINAH Migration Plan-'!$Z:$Z=D$6),0)),0)</f>
        <v>0</v>
      </c>
      <c r="E12" s="1122" cm="1">
        <f t="array" ref="E12">IFERROR(INDEX('[2]MADINAH Migration Plan-'!$L:$L,MATCH(1,('[2]MADINAH Migration Plan-'!$AA:$AA=$A12)*('[2]MADINAH Migration Plan-'!$Z:$Z=E$6),0)),0)</f>
        <v>0</v>
      </c>
      <c r="F12" s="1122" cm="1">
        <f t="array" ref="F12">IFERROR(INDEX('[2]MADINAH Migration Plan-'!$L:$L,MATCH(1,('[2]MADINAH Migration Plan-'!$AA:$AA=$A12)*('[2]MADINAH Migration Plan-'!$Z:$Z=F$6),0)),0)</f>
        <v>0</v>
      </c>
      <c r="G12" s="1122" cm="1">
        <f t="array" ref="G12">IFERROR(INDEX('[2]MADINAH Migration Plan-'!$L:$L,MATCH(1,('[2]MADINAH Migration Plan-'!$AA:$AA=$A12)*('[2]MADINAH Migration Plan-'!$Z:$Z=G$6),0)),0)</f>
        <v>0</v>
      </c>
      <c r="H12" s="1122" cm="1">
        <f t="array" ref="H12">IFERROR(INDEX('[2]MADINAH Migration Plan-'!$L:$L,MATCH(1,('[2]MADINAH Migration Plan-'!$AA:$AA=$A12)*('[2]MADINAH Migration Plan-'!$Z:$Z=H$6),0)),0)</f>
        <v>0</v>
      </c>
      <c r="I12" s="1313"/>
      <c r="J12" s="1119" t="s">
        <v>73</v>
      </c>
      <c r="K12" s="1123" cm="1">
        <f t="array" aca="1" ref="K12" ca="1">IFERROR(AVERAGE(_xlfn._xlws.FILTER(IF(TODAY()&lt;'[2]Jeddah Migration Plan'!$F$2:$F$207,0,IF(TODAY()&gt;='[2]Jeddah Migration Plan'!$G$2:$G$207,1,NETWORKDAYS.INTL('[2]Jeddah Migration Plan'!$F$2:$F$207,TODAY(),"0000011")/NETWORKDAYS.INTL('[2]Jeddah Migration Plan'!$F$2:$F$207,'[2]Jeddah Migration Plan'!$G$2:$G$207,"0000011"))),('[2]Jeddah Migration Plan'!$AA$2:$AA$207=$J12)*('[2]Jeddah Migration Plan'!$F$2:$F$207&lt;&gt;"")*('[2]Jeddah Migration Plan'!$G$2:$G$207&lt;&gt;""))),0)</f>
        <v>0</v>
      </c>
      <c r="L12" s="1121">
        <f t="shared" si="1"/>
        <v>0</v>
      </c>
      <c r="M12" s="1122" cm="1">
        <f t="array" ref="M12">IFERROR(INDEX('[2]Jeddah Migration Plan'!$L:$L,MATCH(1,('[2]Jeddah Migration Plan'!$AA:$AA=$J12)*('[2]Jeddah Migration Plan'!$Z:$Z=M$6),0)),0)</f>
        <v>0</v>
      </c>
      <c r="N12" s="1122" cm="1">
        <f t="array" ref="N12">IFERROR(INDEX('[2]Jeddah Migration Plan'!$L:$L,MATCH(1,('[2]Jeddah Migration Plan'!$AA:$AA=$J12)*('[2]Jeddah Migration Plan'!$Z:$Z=N$6),0)),0)</f>
        <v>0</v>
      </c>
      <c r="O12" s="1122" cm="1">
        <f t="array" ref="O12">IFERROR(INDEX('[2]Jeddah Migration Plan'!$L:$L,MATCH(1,('[2]Jeddah Migration Plan'!$AA:$AA=$J12)*('[2]Jeddah Migration Plan'!$Z:$Z=O$6),0)),0)</f>
        <v>0</v>
      </c>
      <c r="P12" s="1122" cm="1">
        <f t="array" ref="P12">IFERROR(INDEX('[2]Jeddah Migration Plan'!$L:$L,MATCH(1,('[2]Jeddah Migration Plan'!$AA:$AA=$J12)*('[2]Jeddah Migration Plan'!$Z:$Z=P$6),0)),0)</f>
        <v>0</v>
      </c>
      <c r="Q12" s="1122" cm="1">
        <f t="array" ref="Q12">IFERROR(INDEX('[2]Jeddah Migration Plan'!$L:$L,MATCH(1,('[2]Jeddah Migration Plan'!$AA:$AA=$J12)*('[2]Jeddah Migration Plan'!$Z:$Z=Q$6),0)),0)</f>
        <v>0</v>
      </c>
      <c r="R12" s="1313"/>
      <c r="S12" s="1119" t="s">
        <v>73</v>
      </c>
      <c r="T12" s="1123" cm="1">
        <f t="array" aca="1" ref="T12" ca="1">IFERROR(AVERAGE(_xlfn._xlws.FILTER(IF(TODAY()&lt;'[2]Makkah Migration Plan'!$F$2:$F$204,0,IF(TODAY()&gt;='[2]Makkah Migration Plan'!$G$2:$G$204,1,NETWORKDAYS.INTL('[2]Makkah Migration Plan'!$F$2:$F$204,TODAY(),"0000011")/NETWORKDAYS.INTL('[2]Makkah Migration Plan'!$F$2:$F$204,'[2]Makkah Migration Plan'!$G$2:$G$204,"0000011"))),('[2]Makkah Migration Plan'!$AA$2:$AA$204=$S12)*('[2]Makkah Migration Plan'!$F$2:$F$204&lt;&gt;"")*('[2]Makkah Migration Plan'!$G$2:$G$204&lt;&gt;""))),0)</f>
        <v>0</v>
      </c>
      <c r="U12" s="1121">
        <f t="shared" si="2"/>
        <v>0</v>
      </c>
      <c r="V12" s="1122" cm="1">
        <f t="array" ref="V12">IFERROR(INDEX('[2]Makkah Migration Plan'!$L:$L,MATCH(1,('[2]Makkah Migration Plan'!$AA:$AA=$S25)*('[2]Makkah Migration Plan'!$Z:$Z=V$19),0)),0)</f>
        <v>0</v>
      </c>
      <c r="W12" s="1122" cm="1">
        <f t="array" ref="W12">IFERROR(INDEX('[2]Makkah Migration Plan'!$L:$L,MATCH(1,('[2]Makkah Migration Plan'!$AA:$AA=$S25)*('[2]Makkah Migration Plan'!$Z:$Z=W$19),0)),0)</f>
        <v>0</v>
      </c>
      <c r="X12" s="1122" cm="1">
        <f t="array" ref="X12">IFERROR(INDEX('[2]Makkah Migration Plan'!$L:$L,MATCH(1,('[2]Makkah Migration Plan'!$AA:$AA=$S25)*('[2]Makkah Migration Plan'!$Z:$Z=X$19),0)),0)</f>
        <v>0</v>
      </c>
      <c r="Y12" s="1122" cm="1">
        <f t="array" ref="Y12">IFERROR(INDEX('[2]Makkah Migration Plan'!$L:$L,MATCH(1,('[2]Makkah Migration Plan'!$AA:$AA=$S25)*('[2]Makkah Migration Plan'!$Z:$Z=Y$19),0)),0)</f>
        <v>0</v>
      </c>
      <c r="Z12" s="1122" cm="1">
        <f t="array" ref="Z12">IFERROR(INDEX('[2]Makkah Migration Plan'!$L:$L,MATCH(1,('[2]Makkah Migration Plan'!$AA:$AA=$S25)*('[2]Makkah Migration Plan'!$Z:$Z=Z$19),0)),0)</f>
        <v>0</v>
      </c>
    </row>
    <row r="13" spans="1:29" ht="14.25" customHeight="1">
      <c r="A13" s="1119" t="s">
        <v>74</v>
      </c>
      <c r="B13" s="1124" cm="1">
        <f t="array" aca="1" ref="B13"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Plan-'!$AA$2:$AA$205=$A13)*('[2]MADINAH Migration Plan-'!$F$2:$F$205&lt;&gt;"")*('[2]MADINAH Migration Plan-'!$G$2:$G$205&lt;&gt;""))),0)</f>
        <v>0</v>
      </c>
      <c r="C13" s="1121">
        <f t="shared" si="0"/>
        <v>0</v>
      </c>
      <c r="D13" s="1122" cm="1">
        <f t="array" ref="D13">IFERROR(INDEX('[2]MADINAH Migration Plan-'!$L:$L,MATCH(1,('[2]MADINAH Migration Plan-'!$AA:$AA=$A13)*('[2]MADINAH Migration Plan-'!$Z:$Z=D$6),0)),0)</f>
        <v>0</v>
      </c>
      <c r="E13" s="1122" cm="1">
        <f t="array" ref="E13">IFERROR(INDEX('[2]MADINAH Migration Plan-'!$L:$L,MATCH(1,('[2]MADINAH Migration Plan-'!$AA:$AA=$A13)*('[2]MADINAH Migration Plan-'!$Z:$Z=E$6),0)),0)</f>
        <v>0</v>
      </c>
      <c r="F13" s="1122" cm="1">
        <f t="array" ref="F13">IFERROR(INDEX('[2]MADINAH Migration Plan-'!$L:$L,MATCH(1,('[2]MADINAH Migration Plan-'!$AA:$AA=$A13)*('[2]MADINAH Migration Plan-'!$Z:$Z=F$6),0)),0)</f>
        <v>0</v>
      </c>
      <c r="G13" s="1122" cm="1">
        <f t="array" ref="G13">IFERROR(INDEX('[2]MADINAH Migration Plan-'!$L:$L,MATCH(1,('[2]MADINAH Migration Plan-'!$AA:$AA=$A13)*('[2]MADINAH Migration Plan-'!$Z:$Z=G$6),0)),0)</f>
        <v>0</v>
      </c>
      <c r="H13" s="1122" cm="1">
        <f t="array" ref="H13">IFERROR(INDEX('[2]MADINAH Migration Plan-'!$L:$L,MATCH(1,('[2]MADINAH Migration Plan-'!$AA:$AA=$A13)*('[2]MADINAH Migration Plan-'!$Z:$Z=H$6),0)),0)</f>
        <v>0</v>
      </c>
      <c r="I13" s="1313"/>
      <c r="J13" s="1119" t="s">
        <v>74</v>
      </c>
      <c r="K13" s="1123" cm="1">
        <f t="array" aca="1" ref="K13" ca="1">IFERROR(AVERAGE(_xlfn._xlws.FILTER(IF(TODAY()&lt;'[2]Jeddah Migration Plan'!$F$2:$F$207,0,IF(TODAY()&gt;='[2]Jeddah Migration Plan'!$G$2:$G$207,1,NETWORKDAYS.INTL('[2]Jeddah Migration Plan'!$F$2:$F$207,TODAY(),"0000011")/NETWORKDAYS.INTL('[2]Jeddah Migration Plan'!$F$2:$F$207,'[2]Jeddah Migration Plan'!$G$2:$G$207,"0000011"))),('[2]Jeddah Migration Plan'!$AA$2:$AA$207=$J13)*('[2]Jeddah Migration Plan'!$F$2:$F$207&lt;&gt;"")*('[2]Jeddah Migration Plan'!$G$2:$G$207&lt;&gt;""))),0)</f>
        <v>0</v>
      </c>
      <c r="L13" s="1121">
        <f t="shared" si="1"/>
        <v>0</v>
      </c>
      <c r="M13" s="1122" cm="1">
        <f t="array" ref="M13">IFERROR(INDEX('[2]Jeddah Migration Plan'!$L:$L,MATCH(1,('[2]Jeddah Migration Plan'!$AA:$AA=$J13)*('[2]Jeddah Migration Plan'!$Z:$Z=M$6),0)),0)</f>
        <v>0</v>
      </c>
      <c r="N13" s="1122" cm="1">
        <f t="array" ref="N13">IFERROR(INDEX('[2]Jeddah Migration Plan'!$L:$L,MATCH(1,('[2]Jeddah Migration Plan'!$AA:$AA=$J13)*('[2]Jeddah Migration Plan'!$Z:$Z=N$6),0)),0)</f>
        <v>0</v>
      </c>
      <c r="O13" s="1122" cm="1">
        <f t="array" ref="O13">IFERROR(INDEX('[2]Jeddah Migration Plan'!$L:$L,MATCH(1,('[2]Jeddah Migration Plan'!$AA:$AA=$J13)*('[2]Jeddah Migration Plan'!$Z:$Z=O$6),0)),0)</f>
        <v>0</v>
      </c>
      <c r="P13" s="1122" cm="1">
        <f t="array" ref="P13">IFERROR(INDEX('[2]Jeddah Migration Plan'!$L:$L,MATCH(1,('[2]Jeddah Migration Plan'!$AA:$AA=$J13)*('[2]Jeddah Migration Plan'!$Z:$Z=P$6),0)),0)</f>
        <v>0</v>
      </c>
      <c r="Q13" s="1122" cm="1">
        <f t="array" ref="Q13">IFERROR(INDEX('[2]Jeddah Migration Plan'!$L:$L,MATCH(1,('[2]Jeddah Migration Plan'!$AA:$AA=$J13)*('[2]Jeddah Migration Plan'!$Z:$Z=Q$6),0)),0)</f>
        <v>0</v>
      </c>
      <c r="R13" s="1313"/>
      <c r="S13" s="1119" t="s">
        <v>74</v>
      </c>
      <c r="T13" s="1123" cm="1">
        <f t="array" aca="1" ref="T13" ca="1">IFERROR(AVERAGE(_xlfn._xlws.FILTER(IF(TODAY()&lt;'[2]Makkah Migration Plan'!$F$2:$F$204,0,IF(TODAY()&gt;='[2]Makkah Migration Plan'!$G$2:$G$204,1,NETWORKDAYS.INTL('[2]Makkah Migration Plan'!$F$2:$F$204,TODAY(),"0000011")/NETWORKDAYS.INTL('[2]Makkah Migration Plan'!$F$2:$F$204,'[2]Makkah Migration Plan'!$G$2:$G$204,"0000011"))),('[2]Makkah Migration Plan'!$AA$2:$AA$204=$S13)*('[2]Makkah Migration Plan'!$F$2:$F$204&lt;&gt;"")*('[2]Makkah Migration Plan'!$G$2:$G$204&lt;&gt;""))),0)</f>
        <v>0</v>
      </c>
      <c r="U13" s="1121">
        <f t="shared" si="2"/>
        <v>0</v>
      </c>
      <c r="V13" s="1122" cm="1">
        <f t="array" ref="V13">IFERROR(INDEX('[2]Makkah Migration Plan'!$L:$L,MATCH(1,('[2]Makkah Migration Plan'!$AA:$AA=$S26)*('[2]Makkah Migration Plan'!$Z:$Z=V$19),0)),0)</f>
        <v>0</v>
      </c>
      <c r="W13" s="1122" cm="1">
        <f t="array" ref="W13">IFERROR(INDEX('[2]Makkah Migration Plan'!$L:$L,MATCH(1,('[2]Makkah Migration Plan'!$AA:$AA=$S26)*('[2]Makkah Migration Plan'!$Z:$Z=W$19),0)),0)</f>
        <v>0</v>
      </c>
      <c r="X13" s="1122" cm="1">
        <f t="array" ref="X13">IFERROR(INDEX('[2]Makkah Migration Plan'!$L:$L,MATCH(1,('[2]Makkah Migration Plan'!$AA:$AA=$S26)*('[2]Makkah Migration Plan'!$Z:$Z=X$19),0)),0)</f>
        <v>0</v>
      </c>
      <c r="Y13" s="1122" cm="1">
        <f t="array" ref="Y13">IFERROR(INDEX('[2]Makkah Migration Plan'!$L:$L,MATCH(1,('[2]Makkah Migration Plan'!$AA:$AA=$S26)*('[2]Makkah Migration Plan'!$Z:$Z=Y$19),0)),0)</f>
        <v>0</v>
      </c>
      <c r="Z13" s="1122" cm="1">
        <f t="array" ref="Z13">IFERROR(INDEX('[2]Makkah Migration Plan'!$L:$L,MATCH(1,('[2]Makkah Migration Plan'!$AA:$AA=$S26)*('[2]Makkah Migration Plan'!$Z:$Z=Z$19),0)),0)</f>
        <v>0</v>
      </c>
    </row>
    <row r="14" spans="1:29" ht="14.25" customHeight="1">
      <c r="A14" s="1119" t="s">
        <v>75</v>
      </c>
      <c r="B14" s="1124" cm="1">
        <f t="array" aca="1" ref="B14"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Plan-'!$AA$2:$AA$205=$A14)*('[2]MADINAH Migration Plan-'!$F$2:$F$205&lt;&gt;"")*('[2]MADINAH Migration Plan-'!$G$2:$G$205&lt;&gt;""))),0)</f>
        <v>0</v>
      </c>
      <c r="C14" s="1121">
        <f t="shared" si="0"/>
        <v>0</v>
      </c>
      <c r="D14" s="1122" cm="1">
        <f t="array" ref="D14">IFERROR(INDEX('[2]MADINAH Migration Plan-'!$L:$L,MATCH(1,('[2]MADINAH Migration Plan-'!$AA:$AA=$A14)*('[2]MADINAH Migration Plan-'!$Z:$Z=D$6),0)),0)</f>
        <v>0</v>
      </c>
      <c r="E14" s="1122" cm="1">
        <f t="array" ref="E14">IFERROR(INDEX('[2]MADINAH Migration Plan-'!$L:$L,MATCH(1,('[2]MADINAH Migration Plan-'!$AA:$AA=$A14)*('[2]MADINAH Migration Plan-'!$Z:$Z=E$6),0)),0)</f>
        <v>0</v>
      </c>
      <c r="F14" s="1122" cm="1">
        <f t="array" ref="F14">IFERROR(INDEX('[2]MADINAH Migration Plan-'!$L:$L,MATCH(1,('[2]MADINAH Migration Plan-'!$AA:$AA=$A14)*('[2]MADINAH Migration Plan-'!$Z:$Z=F$6),0)),0)</f>
        <v>0</v>
      </c>
      <c r="G14" s="1122" cm="1">
        <f t="array" ref="G14">IFERROR(INDEX('[2]MADINAH Migration Plan-'!$L:$L,MATCH(1,('[2]MADINAH Migration Plan-'!$AA:$AA=$A14)*('[2]MADINAH Migration Plan-'!$Z:$Z=G$6),0)),0)</f>
        <v>0</v>
      </c>
      <c r="H14" s="1122" cm="1">
        <f t="array" ref="H14">IFERROR(INDEX('[2]MADINAH Migration Plan-'!$L:$L,MATCH(1,('[2]MADINAH Migration Plan-'!$AA:$AA=$A14)*('[2]MADINAH Migration Plan-'!$Z:$Z=H$6),0)),0)</f>
        <v>0</v>
      </c>
      <c r="I14" s="1313"/>
      <c r="J14" s="1119" t="s">
        <v>75</v>
      </c>
      <c r="K14" s="1123" cm="1">
        <f t="array" aca="1" ref="K14" ca="1">IFERROR(AVERAGE(_xlfn._xlws.FILTER(IF(TODAY()&lt;'[2]Jeddah Migration Plan'!$F$2:$F$207,0,IF(TODAY()&gt;='[2]Jeddah Migration Plan'!$G$2:$G$207,1,NETWORKDAYS.INTL('[2]Jeddah Migration Plan'!$F$2:$F$207,TODAY(),"0000011")/NETWORKDAYS.INTL('[2]Jeddah Migration Plan'!$F$2:$F$207,'[2]Jeddah Migration Plan'!$G$2:$G$207,"0000011"))),('[2]Jeddah Migration Plan'!$AA$2:$AA$207=$J14)*('[2]Jeddah Migration Plan'!$F$2:$F$207&lt;&gt;"")*('[2]Jeddah Migration Plan'!$G$2:$G$207&lt;&gt;""))),0)</f>
        <v>0</v>
      </c>
      <c r="L14" s="1121">
        <f t="shared" si="1"/>
        <v>0</v>
      </c>
      <c r="M14" s="1122" cm="1">
        <f t="array" ref="M14">IFERROR(INDEX('[2]Jeddah Migration Plan'!$L:$L,MATCH(1,('[2]Jeddah Migration Plan'!$AA:$AA=$J14)*('[2]Jeddah Migration Plan'!$Z:$Z=M$6),0)),0)</f>
        <v>0</v>
      </c>
      <c r="N14" s="1122" cm="1">
        <f t="array" ref="N14">IFERROR(INDEX('[2]Jeddah Migration Plan'!$L:$L,MATCH(1,('[2]Jeddah Migration Plan'!$AA:$AA=$J14)*('[2]Jeddah Migration Plan'!$Z:$Z=N$6),0)),0)</f>
        <v>0</v>
      </c>
      <c r="O14" s="1122" cm="1">
        <f t="array" ref="O14">IFERROR(INDEX('[2]Jeddah Migration Plan'!$L:$L,MATCH(1,('[2]Jeddah Migration Plan'!$AA:$AA=$J14)*('[2]Jeddah Migration Plan'!$Z:$Z=O$6),0)),0)</f>
        <v>0</v>
      </c>
      <c r="P14" s="1122" cm="1">
        <f t="array" ref="P14">IFERROR(INDEX('[2]Jeddah Migration Plan'!$L:$L,MATCH(1,('[2]Jeddah Migration Plan'!$AA:$AA=$J14)*('[2]Jeddah Migration Plan'!$Z:$Z=P$6),0)),0)</f>
        <v>0</v>
      </c>
      <c r="Q14" s="1122" cm="1">
        <f t="array" ref="Q14">IFERROR(INDEX('[2]Jeddah Migration Plan'!$L:$L,MATCH(1,('[2]Jeddah Migration Plan'!$AA:$AA=$J14)*('[2]Jeddah Migration Plan'!$Z:$Z=Q$6),0)),0)</f>
        <v>0</v>
      </c>
      <c r="R14" s="1313"/>
      <c r="S14" s="1119" t="s">
        <v>75</v>
      </c>
      <c r="T14" s="1123" cm="1">
        <f t="array" aca="1" ref="T14" ca="1">IFERROR(AVERAGE(_xlfn._xlws.FILTER(IF(TODAY()&lt;'[2]Makkah Migration Plan'!$F$2:$F$204,0,IF(TODAY()&gt;='[2]Makkah Migration Plan'!$G$2:$G$204,1,NETWORKDAYS.INTL('[2]Makkah Migration Plan'!$F$2:$F$204,TODAY(),"0000011")/NETWORKDAYS.INTL('[2]Makkah Migration Plan'!$F$2:$F$204,'[2]Makkah Migration Plan'!$G$2:$G$204,"0000011"))),('[2]Makkah Migration Plan'!$AA$2:$AA$204=$S14)*('[2]Makkah Migration Plan'!$F$2:$F$204&lt;&gt;"")*('[2]Makkah Migration Plan'!$G$2:$G$204&lt;&gt;""))),0)</f>
        <v>0</v>
      </c>
      <c r="U14" s="1121">
        <f t="shared" si="2"/>
        <v>0</v>
      </c>
      <c r="V14" s="1122" cm="1">
        <f t="array" ref="V14">IFERROR(INDEX('[2]Makkah Migration Plan'!$L:$L,MATCH(1,('[2]Makkah Migration Plan'!$AA:$AA=$S27)*('[2]Makkah Migration Plan'!$Z:$Z=V$19),0)),0)</f>
        <v>0</v>
      </c>
      <c r="W14" s="1122" cm="1">
        <f t="array" ref="W14">IFERROR(INDEX('[2]Makkah Migration Plan'!$L:$L,MATCH(1,('[2]Makkah Migration Plan'!$AA:$AA=$S27)*('[2]Makkah Migration Plan'!$Z:$Z=W$19),0)),0)</f>
        <v>0</v>
      </c>
      <c r="X14" s="1122" cm="1">
        <f t="array" ref="X14">IFERROR(INDEX('[2]Makkah Migration Plan'!$L:$L,MATCH(1,('[2]Makkah Migration Plan'!$AA:$AA=$S27)*('[2]Makkah Migration Plan'!$Z:$Z=X$19),0)),0)</f>
        <v>0</v>
      </c>
      <c r="Y14" s="1122" cm="1">
        <f t="array" ref="Y14">IFERROR(INDEX('[2]Makkah Migration Plan'!$L:$L,MATCH(1,('[2]Makkah Migration Plan'!$AA:$AA=$S27)*('[2]Makkah Migration Plan'!$Z:$Z=Y$19),0)),0)</f>
        <v>0</v>
      </c>
      <c r="Z14" s="1122" cm="1">
        <f t="array" ref="Z14">IFERROR(INDEX('[2]Makkah Migration Plan'!$L:$L,MATCH(1,('[2]Makkah Migration Plan'!$AA:$AA=$S27)*('[2]Makkah Migration Plan'!$Z:$Z=Z$19),0)),0)</f>
        <v>0</v>
      </c>
    </row>
    <row r="15" spans="1:29" ht="14.25" customHeight="1">
      <c r="A15" s="1119" t="s">
        <v>76</v>
      </c>
      <c r="B15" s="1124" cm="1">
        <f t="array" aca="1" ref="B15"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Plan-'!$AA$2:$AA$205=$A15)*('[2]MADINAH Migration Plan-'!$F$2:$F$205&lt;&gt;"")*('[2]MADINAH Migration Plan-'!$G$2:$G$205&lt;&gt;""))),0)</f>
        <v>0</v>
      </c>
      <c r="C15" s="1121">
        <f t="shared" si="0"/>
        <v>0</v>
      </c>
      <c r="D15" s="1122" cm="1">
        <f t="array" ref="D15">IFERROR(INDEX('[2]MADINAH Migration Plan-'!$L:$L,MATCH(1,('[2]MADINAH Migration Plan-'!$AA:$AA=$A15)*('[2]MADINAH Migration Plan-'!$Z:$Z=D$6),0)),0)</f>
        <v>0</v>
      </c>
      <c r="E15" s="1122" cm="1">
        <f t="array" ref="E15">IFERROR(INDEX('[2]MADINAH Migration Plan-'!$L:$L,MATCH(1,('[2]MADINAH Migration Plan-'!$AA:$AA=$A15)*('[2]MADINAH Migration Plan-'!$Z:$Z=E$6),0)),0)</f>
        <v>0</v>
      </c>
      <c r="F15" s="1122" cm="1">
        <f t="array" ref="F15">IFERROR(INDEX('[2]MADINAH Migration Plan-'!$L:$L,MATCH(1,('[2]MADINAH Migration Plan-'!$AA:$AA=$A15)*('[2]MADINAH Migration Plan-'!$Z:$Z=F$6),0)),0)</f>
        <v>0</v>
      </c>
      <c r="G15" s="1122" cm="1">
        <f t="array" ref="G15">IFERROR(INDEX('[2]MADINAH Migration Plan-'!$L:$L,MATCH(1,('[2]MADINAH Migration Plan-'!$AA:$AA=$A15)*('[2]MADINAH Migration Plan-'!$Z:$Z=G$6),0)),0)</f>
        <v>0</v>
      </c>
      <c r="H15" s="1122" cm="1">
        <f t="array" ref="H15">IFERROR(INDEX('[2]MADINAH Migration Plan-'!$L:$L,MATCH(1,('[2]MADINAH Migration Plan-'!$AA:$AA=$A15)*('[2]MADINAH Migration Plan-'!$Z:$Z=H$6),0)),0)</f>
        <v>0</v>
      </c>
      <c r="I15" s="1313"/>
      <c r="J15" s="1119" t="s">
        <v>76</v>
      </c>
      <c r="K15" s="1123" cm="1">
        <f t="array" aca="1" ref="K15" ca="1">IFERROR(AVERAGE(_xlfn._xlws.FILTER(IF(TODAY()&lt;'[2]Jeddah Migration Plan'!$F$2:$F$207,0,IF(TODAY()&gt;='[2]Jeddah Migration Plan'!$G$2:$G$207,1,NETWORKDAYS.INTL('[2]Jeddah Migration Plan'!$F$2:$F$207,TODAY(),"0000011")/NETWORKDAYS.INTL('[2]Jeddah Migration Plan'!$F$2:$F$207,'[2]Jeddah Migration Plan'!$G$2:$G$207,"0000011"))),('[2]Jeddah Migration Plan'!$AA$2:$AA$207=$J15)*('[2]Jeddah Migration Plan'!$F$2:$F$207&lt;&gt;"")*('[2]Jeddah Migration Plan'!$G$2:$G$207&lt;&gt;""))),0)</f>
        <v>0</v>
      </c>
      <c r="L15" s="1121">
        <f t="shared" si="1"/>
        <v>0</v>
      </c>
      <c r="M15" s="1122" cm="1">
        <f t="array" ref="M15">IFERROR(INDEX('[2]Jeddah Migration Plan'!$L:$L,MATCH(1,('[2]Jeddah Migration Plan'!$AA:$AA=$J15)*('[2]Jeddah Migration Plan'!$Z:$Z=M$6),0)),0)</f>
        <v>0</v>
      </c>
      <c r="N15" s="1122" cm="1">
        <f t="array" ref="N15">IFERROR(INDEX('[2]Jeddah Migration Plan'!$L:$L,MATCH(1,('[2]Jeddah Migration Plan'!$AA:$AA=$J15)*('[2]Jeddah Migration Plan'!$Z:$Z=N$6),0)),0)</f>
        <v>0</v>
      </c>
      <c r="O15" s="1122" cm="1">
        <f t="array" ref="O15">IFERROR(INDEX('[2]Jeddah Migration Plan'!$L:$L,MATCH(1,('[2]Jeddah Migration Plan'!$AA:$AA=$J15)*('[2]Jeddah Migration Plan'!$Z:$Z=O$6),0)),0)</f>
        <v>0</v>
      </c>
      <c r="P15" s="1122" cm="1">
        <f t="array" ref="P15">IFERROR(INDEX('[2]Jeddah Migration Plan'!$L:$L,MATCH(1,('[2]Jeddah Migration Plan'!$AA:$AA=$J15)*('[2]Jeddah Migration Plan'!$Z:$Z=P$6),0)),0)</f>
        <v>0</v>
      </c>
      <c r="Q15" s="1122" cm="1">
        <f t="array" ref="Q15">IFERROR(INDEX('[2]Jeddah Migration Plan'!$L:$L,MATCH(1,('[2]Jeddah Migration Plan'!$AA:$AA=$J15)*('[2]Jeddah Migration Plan'!$Z:$Z=Q$6),0)),0)</f>
        <v>0</v>
      </c>
      <c r="R15" s="1313"/>
      <c r="S15" s="1119" t="s">
        <v>76</v>
      </c>
      <c r="T15" s="1123" cm="1">
        <f t="array" aca="1" ref="T15" ca="1">IFERROR(AVERAGE(_xlfn._xlws.FILTER(IF(TODAY()&lt;'[2]Makkah Migration Plan'!$F$2:$F$204,0,IF(TODAY()&gt;='[2]Makkah Migration Plan'!$G$2:$G$204,1,NETWORKDAYS.INTL('[2]Makkah Migration Plan'!$F$2:$F$204,TODAY(),"0000011")/NETWORKDAYS.INTL('[2]Makkah Migration Plan'!$F$2:$F$204,'[2]Makkah Migration Plan'!$G$2:$G$204,"0000011"))),('[2]Makkah Migration Plan'!$AA$2:$AA$204=$S15)*('[2]Makkah Migration Plan'!$F$2:$F$204&lt;&gt;"")*('[2]Makkah Migration Plan'!$G$2:$G$204&lt;&gt;""))),0)</f>
        <v>0</v>
      </c>
      <c r="U15" s="1121">
        <f t="shared" si="2"/>
        <v>0</v>
      </c>
      <c r="V15" s="1122" cm="1">
        <f t="array" ref="V15">IFERROR(INDEX('[2]Makkah Migration Plan'!$L:$L,MATCH(1,('[2]Makkah Migration Plan'!$AA:$AA=$S28)*('[2]Makkah Migration Plan'!$Z:$Z=V$19),0)),0)</f>
        <v>0</v>
      </c>
      <c r="W15" s="1122" cm="1">
        <f t="array" ref="W15">IFERROR(INDEX('[2]Makkah Migration Plan'!$L:$L,MATCH(1,('[2]Makkah Migration Plan'!$AA:$AA=$S28)*('[2]Makkah Migration Plan'!$Z:$Z=W$19),0)),0)</f>
        <v>0</v>
      </c>
      <c r="X15" s="1122" cm="1">
        <f t="array" ref="X15">IFERROR(INDEX('[2]Makkah Migration Plan'!$L:$L,MATCH(1,('[2]Makkah Migration Plan'!$AA:$AA=$S28)*('[2]Makkah Migration Plan'!$Z:$Z=X$19),0)),0)</f>
        <v>0</v>
      </c>
      <c r="Y15" s="1122" cm="1">
        <f t="array" ref="Y15">IFERROR(INDEX('[2]Makkah Migration Plan'!$L:$L,MATCH(1,('[2]Makkah Migration Plan'!$AA:$AA=$S28)*('[2]Makkah Migration Plan'!$Z:$Z=Y$19),0)),0)</f>
        <v>0</v>
      </c>
      <c r="Z15" s="1122" cm="1">
        <f t="array" ref="Z15">IFERROR(INDEX('[2]Makkah Migration Plan'!$L:$L,MATCH(1,('[2]Makkah Migration Plan'!$AA:$AA=$S28)*('[2]Makkah Migration Plan'!$Z:$Z=Z$19),0)),0)</f>
        <v>0</v>
      </c>
    </row>
    <row r="16" spans="1:29" ht="14.25" customHeight="1">
      <c r="A16" s="1119" t="s">
        <v>77</v>
      </c>
      <c r="B16" s="1124" cm="1">
        <f t="array" aca="1" ref="B16"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Plan-'!$AA$2:$AA$205=$A16)*('[2]MADINAH Migration Plan-'!$F$2:$F$205&lt;&gt;"")*('[2]MADINAH Migration Plan-'!$G$2:$G$205&lt;&gt;""))),0)</f>
        <v>0</v>
      </c>
      <c r="C16" s="1121">
        <f t="shared" si="0"/>
        <v>0</v>
      </c>
      <c r="D16" s="1122" cm="1">
        <f t="array" ref="D16">IFERROR(INDEX('[2]MADINAH Migration Plan-'!$L:$L,MATCH(1,('[2]MADINAH Migration Plan-'!$AA:$AA=$A16)*('[2]MADINAH Migration Plan-'!$Z:$Z=D$6),0)),0)</f>
        <v>0</v>
      </c>
      <c r="E16" s="1122" cm="1">
        <f t="array" ref="E16">IFERROR(INDEX('[2]MADINAH Migration Plan-'!$L:$L,MATCH(1,('[2]MADINAH Migration Plan-'!$AA:$AA=$A16)*('[2]MADINAH Migration Plan-'!$Z:$Z=E$6),0)),0)</f>
        <v>0</v>
      </c>
      <c r="F16" s="1122" cm="1">
        <f t="array" ref="F16">IFERROR(INDEX('[2]MADINAH Migration Plan-'!$L:$L,MATCH(1,('[2]MADINAH Migration Plan-'!$AA:$AA=$A16)*('[2]MADINAH Migration Plan-'!$Z:$Z=F$6),0)),0)</f>
        <v>0</v>
      </c>
      <c r="G16" s="1122" cm="1">
        <f t="array" ref="G16">IFERROR(INDEX('[2]MADINAH Migration Plan-'!$L:$L,MATCH(1,('[2]MADINAH Migration Plan-'!$AA:$AA=$A16)*('[2]MADINAH Migration Plan-'!$Z:$Z=G$6),0)),0)</f>
        <v>0</v>
      </c>
      <c r="H16" s="1122" cm="1">
        <f t="array" ref="H16">IFERROR(INDEX('[2]MADINAH Migration Plan-'!$L:$L,MATCH(1,('[2]MADINAH Migration Plan-'!$AA:$AA=$A16)*('[2]MADINAH Migration Plan-'!$Z:$Z=H$6),0)),0)</f>
        <v>0</v>
      </c>
      <c r="I16" s="1314"/>
      <c r="J16" s="1119" t="s">
        <v>77</v>
      </c>
      <c r="K16" s="1123" cm="1">
        <f t="array" aca="1" ref="K16" ca="1">IFERROR(AVERAGE(_xlfn._xlws.FILTER(IF(TODAY()&lt;'[2]Jeddah Migration Plan'!$F$2:$F$207,0,IF(TODAY()&gt;='[2]Jeddah Migration Plan'!$G$2:$G$207,1,NETWORKDAYS.INTL('[2]Jeddah Migration Plan'!$F$2:$F$207,TODAY(),"0000011")/NETWORKDAYS.INTL('[2]Jeddah Migration Plan'!$F$2:$F$207,'[2]Jeddah Migration Plan'!$G$2:$G$207,"0000011"))),('[2]Jeddah Migration Plan'!$AA$2:$AA$207=$J16)*('[2]Jeddah Migration Plan'!$F$2:$F$207&lt;&gt;"")*('[2]Jeddah Migration Plan'!$G$2:$G$207&lt;&gt;""))),0)</f>
        <v>0</v>
      </c>
      <c r="L16" s="1121">
        <f t="shared" si="1"/>
        <v>0</v>
      </c>
      <c r="M16" s="1122" cm="1">
        <f t="array" ref="M16">IFERROR(INDEX('[2]Jeddah Migration Plan'!$L:$L,MATCH(1,('[2]Jeddah Migration Plan'!$AA:$AA=$J16)*('[2]Jeddah Migration Plan'!$Z:$Z=M$6),0)),0)</f>
        <v>0</v>
      </c>
      <c r="N16" s="1122" cm="1">
        <f t="array" ref="N16">IFERROR(INDEX('[2]Jeddah Migration Plan'!$L:$L,MATCH(1,('[2]Jeddah Migration Plan'!$AA:$AA=$J16)*('[2]Jeddah Migration Plan'!$Z:$Z=N$6),0)),0)</f>
        <v>0</v>
      </c>
      <c r="O16" s="1122" cm="1">
        <f t="array" ref="O16">IFERROR(INDEX('[2]Jeddah Migration Plan'!$L:$L,MATCH(1,('[2]Jeddah Migration Plan'!$AA:$AA=$J16)*('[2]Jeddah Migration Plan'!$Z:$Z=O$6),0)),0)</f>
        <v>0</v>
      </c>
      <c r="P16" s="1122" cm="1">
        <f t="array" ref="P16">IFERROR(INDEX('[2]Jeddah Migration Plan'!$L:$L,MATCH(1,('[2]Jeddah Migration Plan'!$AA:$AA=$J16)*('[2]Jeddah Migration Plan'!$Z:$Z=P$6),0)),0)</f>
        <v>0</v>
      </c>
      <c r="Q16" s="1122" cm="1">
        <f t="array" ref="Q16">IFERROR(INDEX('[2]Jeddah Migration Plan'!$L:$L,MATCH(1,('[2]Jeddah Migration Plan'!$AA:$AA=$J16)*('[2]Jeddah Migration Plan'!$Z:$Z=Q$6),0)),0)</f>
        <v>0</v>
      </c>
      <c r="R16" s="1314"/>
      <c r="S16" s="1119" t="s">
        <v>77</v>
      </c>
      <c r="T16" s="1123" cm="1">
        <f t="array" aca="1" ref="T16" ca="1">IFERROR(AVERAGE(_xlfn._xlws.FILTER(IF(TODAY()&lt;'[2]Makkah Migration Plan'!$F$2:$F$204,0,IF(TODAY()&gt;='[2]Makkah Migration Plan'!$G$2:$G$204,1,NETWORKDAYS.INTL('[2]Makkah Migration Plan'!$F$2:$F$204,TODAY(),"0000011")/NETWORKDAYS.INTL('[2]Makkah Migration Plan'!$F$2:$F$204,'[2]Makkah Migration Plan'!$G$2:$G$204,"0000011"))),('[2]Makkah Migration Plan'!$AA$2:$AA$204=$S16)*('[2]Makkah Migration Plan'!$F$2:$F$204&lt;&gt;"")*('[2]Makkah Migration Plan'!$G$2:$G$204&lt;&gt;""))),0)</f>
        <v>0</v>
      </c>
      <c r="U16" s="1121">
        <f t="shared" si="2"/>
        <v>0</v>
      </c>
      <c r="V16" s="1122" cm="1">
        <f t="array" ref="V16">IFERROR(INDEX('[2]Makkah Migration Plan'!$L:$L,MATCH(1,('[2]Makkah Migration Plan'!$AA:$AA=$S29)*('[2]Makkah Migration Plan'!$Z:$Z=V$19),0)),0)</f>
        <v>0</v>
      </c>
      <c r="W16" s="1122" cm="1">
        <f t="array" ref="W16">IFERROR(INDEX('[2]Makkah Migration Plan'!$L:$L,MATCH(1,('[2]Makkah Migration Plan'!$AA:$AA=$S29)*('[2]Makkah Migration Plan'!$Z:$Z=W$19),0)),0)</f>
        <v>0</v>
      </c>
      <c r="X16" s="1122" cm="1">
        <f t="array" ref="X16">IFERROR(INDEX('[2]Makkah Migration Plan'!$L:$L,MATCH(1,('[2]Makkah Migration Plan'!$AA:$AA=$S29)*('[2]Makkah Migration Plan'!$Z:$Z=X$19),0)),0)</f>
        <v>0</v>
      </c>
      <c r="Y16" s="1122" cm="1">
        <f t="array" ref="Y16">IFERROR(INDEX('[2]Makkah Migration Plan'!$L:$L,MATCH(1,('[2]Makkah Migration Plan'!$AA:$AA=$S29)*('[2]Makkah Migration Plan'!$Z:$Z=Y$19),0)),0)</f>
        <v>0</v>
      </c>
      <c r="Z16" s="1122" cm="1">
        <f t="array" ref="Z16">IFERROR(INDEX('[2]Makkah Migration Plan'!$L:$L,MATCH(1,('[2]Makkah Migration Plan'!$AA:$AA=$S29)*('[2]Makkah Migration Plan'!$Z:$Z=Z$19),0)),0)</f>
        <v>0</v>
      </c>
    </row>
    <row r="17" spans="1:26">
      <c r="A17" s="1290"/>
      <c r="B17" s="1291"/>
      <c r="C17" s="1291"/>
      <c r="D17" s="1291"/>
      <c r="E17" s="1291"/>
      <c r="F17" s="1291"/>
      <c r="G17" s="1291"/>
      <c r="H17" s="1291"/>
      <c r="I17" s="1292"/>
      <c r="J17" s="1292"/>
      <c r="K17" s="1292"/>
      <c r="L17" s="1292"/>
      <c r="M17" s="1292"/>
      <c r="N17" s="1292"/>
      <c r="O17" s="1292"/>
      <c r="P17" s="1292"/>
      <c r="Q17" s="1292"/>
      <c r="R17" s="1292"/>
      <c r="S17" s="1292"/>
      <c r="T17" s="1292"/>
      <c r="U17" s="1292"/>
      <c r="V17" s="1292"/>
      <c r="W17" s="1292"/>
      <c r="X17" s="1292"/>
      <c r="Y17" s="1292"/>
      <c r="Z17" s="1293"/>
    </row>
    <row r="18" spans="1:26" ht="24" customHeight="1">
      <c r="A18" s="1294" t="s">
        <v>78</v>
      </c>
      <c r="B18" s="1294"/>
      <c r="C18" s="1294"/>
      <c r="D18" s="1294"/>
      <c r="E18" s="1294"/>
      <c r="F18" s="1294"/>
      <c r="G18" s="1294"/>
      <c r="H18" s="1294"/>
      <c r="I18" s="1295"/>
      <c r="J18" s="1296"/>
      <c r="K18" s="1296"/>
      <c r="L18" s="1296"/>
      <c r="M18" s="1296"/>
      <c r="N18" s="1296"/>
      <c r="O18" s="1296"/>
      <c r="P18" s="1296"/>
      <c r="Q18" s="1296"/>
      <c r="R18" s="1297"/>
      <c r="S18" s="1294" t="s">
        <v>79</v>
      </c>
      <c r="T18" s="1294"/>
      <c r="U18" s="1294"/>
      <c r="V18" s="1294"/>
      <c r="W18" s="1294"/>
      <c r="X18" s="1294"/>
      <c r="Y18" s="1294"/>
      <c r="Z18" s="1294"/>
    </row>
    <row r="19" spans="1:26" ht="89.25" customHeight="1">
      <c r="A19" s="1115" t="s">
        <v>59</v>
      </c>
      <c r="B19" s="1116" t="s">
        <v>60</v>
      </c>
      <c r="C19" s="1117" t="s">
        <v>61</v>
      </c>
      <c r="D19" s="1118" t="s">
        <v>62</v>
      </c>
      <c r="E19" s="1118" t="s">
        <v>63</v>
      </c>
      <c r="F19" s="1118" t="s">
        <v>64</v>
      </c>
      <c r="G19" s="1118" t="s">
        <v>65</v>
      </c>
      <c r="H19" s="1118" t="s">
        <v>66</v>
      </c>
      <c r="I19" s="1298"/>
      <c r="J19" s="1299"/>
      <c r="K19" s="1299"/>
      <c r="L19" s="1299"/>
      <c r="M19" s="1299"/>
      <c r="N19" s="1299"/>
      <c r="O19" s="1299"/>
      <c r="P19" s="1299"/>
      <c r="Q19" s="1299"/>
      <c r="R19" s="1300"/>
      <c r="S19" s="1115" t="s">
        <v>59</v>
      </c>
      <c r="T19" s="1116" t="s">
        <v>60</v>
      </c>
      <c r="U19" s="1117" t="s">
        <v>61</v>
      </c>
      <c r="V19" s="1118" t="s">
        <v>62</v>
      </c>
      <c r="W19" s="1118" t="s">
        <v>63</v>
      </c>
      <c r="X19" s="1118" t="s">
        <v>64</v>
      </c>
      <c r="Y19" s="1118" t="s">
        <v>65</v>
      </c>
      <c r="Z19" s="1118" t="s">
        <v>66</v>
      </c>
    </row>
    <row r="20" spans="1:26" ht="14.25" customHeight="1">
      <c r="A20" s="1119" t="s">
        <v>68</v>
      </c>
      <c r="B20" s="1126" cm="1">
        <f t="array" aca="1" ref="B20" ca="1">IFERROR(AVERAGE(_xlfn._xlws.FILTER(IF(TODAY()&lt;'[2]ABHA Migration Plan'!$F$2:$F$205,0,IF(TODAY()&gt;='[2]ABHA Migration Plan'!$G$2:$G$205,1,NETWORKDAYS.INTL('[2]ABHA Migration Plan'!$F$2:$F$205,TODAY(),"0000011")/NETWORKDAYS.INTL('[2]ABHA Migration Plan'!$F$2:$F$205,'[2]ABHA Migration Plan'!$G$2:$G$205,"0000011"))),('[2]ABHA Migration Plan'!$AA$2:$AA$205=$A20)*('[2]ABHA Migration Plan'!$F$2:$F$205&lt;&gt;"")*('[2]ABHA Migration Plan'!$G$2:$G$205&lt;&gt;""))),0)</f>
        <v>0</v>
      </c>
      <c r="C20" s="1121">
        <f t="shared" ref="C20:C27" si="3">AVERAGE(D20:H20)</f>
        <v>0</v>
      </c>
      <c r="D20" s="1122" cm="1">
        <f t="array" ref="D20">IFERROR(INDEX('[2]ABHA Migration Plan'!$L:$L,MATCH(1,('[2]ABHA Migration Plan'!$AA:$AA=$A20)*('[2]ABHA Migration Plan'!$Z:$Z=D$19),0)),0)</f>
        <v>0</v>
      </c>
      <c r="E20" s="1122" cm="1">
        <f t="array" ref="E20">IFERROR(INDEX('[2]ABHA Migration Plan'!$L:$L,MATCH(1,('[2]ABHA Migration Plan'!$AA:$AA=$A20)*('[2]ABHA Migration Plan'!$Z:$Z=E$19),0)),0)</f>
        <v>0</v>
      </c>
      <c r="F20" s="1122" cm="1">
        <f t="array" ref="F20">IFERROR(INDEX('[2]ABHA Migration Plan'!$L:$L,MATCH(1,('[2]ABHA Migration Plan'!$AA:$AA=$A20)*('[2]ABHA Migration Plan'!$Z:$Z=F$19),0)),0)</f>
        <v>0</v>
      </c>
      <c r="G20" s="1122" cm="1">
        <f t="array" ref="G20">IFERROR(INDEX('[2]ABHA Migration Plan'!$L:$L,MATCH(1,('[2]ABHA Migration Plan'!$AA:$AA=$A20)*('[2]ABHA Migration Plan'!$Z:$Z=G$19),0)),0)</f>
        <v>0</v>
      </c>
      <c r="H20" s="1122" cm="1">
        <f t="array" ref="H20">IFERROR(INDEX('[2]ABHA Migration Plan'!$L:$L,MATCH(1,('[2]ABHA Migration Plan'!$AA:$AA=$A20)*('[2]ABHA Migration Plan'!$Z:$Z=H$19),0)),0)</f>
        <v>0</v>
      </c>
      <c r="I20" s="1298"/>
      <c r="J20" s="1299"/>
      <c r="K20" s="1299"/>
      <c r="L20" s="1299"/>
      <c r="M20" s="1299"/>
      <c r="N20" s="1299"/>
      <c r="O20" s="1299"/>
      <c r="P20" s="1299"/>
      <c r="Q20" s="1299"/>
      <c r="R20" s="1300"/>
      <c r="S20" s="1119" t="s">
        <v>68</v>
      </c>
      <c r="T20" s="1126" cm="1">
        <f t="array" aca="1" ref="T20" ca="1">IFERROR(AVERAGE(_xlfn._xlws.FILTER(IF(TODAY()&lt;'[2]Jizan Migration Plan'!$F$2:$F$205,0,IF(TODAY()&gt;='[2]Jizan Migration Plan'!$G$2:$G$205,1,NETWORKDAYS.INTL('[2]Jizan Migration Plan'!$F$2:$F$205,TODAY(),"0000011")/NETWORKDAYS.INTL('[2]Jizan Migration Plan'!$F$2:$F$205,'[2]Jizan Migration Plan'!$G$2:$G$205,"0000011"))),('[2]Jizan Migration Plan'!$AA$2:$AA$205=$S20)*('[2]Jizan Migration Plan'!$F$2:$F$205&lt;&gt;"")*('[2]Jizan Migration Plan'!$G$2:$G$205&lt;&gt;""))),0)</f>
        <v>0</v>
      </c>
      <c r="U20" s="1121">
        <f t="shared" ref="U20:U27" si="4">AVERAGE(V20:Z20)</f>
        <v>0</v>
      </c>
      <c r="V20" s="1122" cm="1">
        <f t="array" ref="V20">IFERROR(INDEX('[2]Jizan Migration Plan'!$L:$L,MATCH(1,('[2]Jizan Migration Plan'!$AA:$AA=$S20)*('[2]Jizan Migration Plan'!$Z:$Z=V$19),0)),0)</f>
        <v>0</v>
      </c>
      <c r="W20" s="1122" cm="1">
        <f t="array" ref="W20">IFERROR(INDEX('[2]Jizan Migration Plan'!$L:$L,MATCH(1,('[2]Jizan Migration Plan'!$AA:$AA=$S20)*('[2]Jizan Migration Plan'!$Z:$Z=W$19),0)),0)</f>
        <v>0</v>
      </c>
      <c r="X20" s="1122" cm="1">
        <f t="array" ref="X20">IFERROR(INDEX('[2]Jizan Migration Plan'!$L:$L,MATCH(1,('[2]Jizan Migration Plan'!$AA:$AA=$S20)*('[2]Jizan Migration Plan'!$Z:$Z=X$19),0)),0)</f>
        <v>0</v>
      </c>
      <c r="Y20" s="1122" cm="1">
        <f t="array" ref="Y20">IFERROR(INDEX('[2]Jizan Migration Plan'!$L:$L,MATCH(1,('[2]Jizan Migration Plan'!$AA:$AA=$S20)*('[2]Jizan Migration Plan'!$Z:$Z=Y$19),0)),0)</f>
        <v>0</v>
      </c>
      <c r="Z20" s="1122" cm="1">
        <f t="array" ref="Z20">IFERROR(INDEX('[2]Jizan Migration Plan'!$L:$L,MATCH(1,('[2]Jizan Migration Plan'!$AA:$AA=$S20)*('[2]Jizan Migration Plan'!$Z:$Z=Z$19),0)),0)</f>
        <v>0</v>
      </c>
    </row>
    <row r="21" spans="1:26" ht="14.25" customHeight="1">
      <c r="A21" s="1119" t="s">
        <v>69</v>
      </c>
      <c r="B21" s="1126" cm="1">
        <f t="array" aca="1" ref="B21" ca="1">IFERROR(AVERAGE(_xlfn._xlws.FILTER(IF(TODAY()&lt;'[2]ABHA Migration Plan'!$F$2:$F$205,0,IF(TODAY()&gt;='[2]ABHA Migration Plan'!$G$2:$G$205,1,NETWORKDAYS.INTL('[2]ABHA Migration Plan'!$F$2:$F$205,TODAY(),"0000011")/NETWORKDAYS.INTL('[2]ABHA Migration Plan'!$F$2:$F$205,'[2]ABHA Migration Plan'!$G$2:$G$205,"0000011"))),('[2]ABHA Migration Plan'!$AA$2:$AA$205=$A21)*('[2]ABHA Migration Plan'!$F$2:$F$205&lt;&gt;"")*('[2]ABHA Migration Plan'!$G$2:$G$205&lt;&gt;""))),0)</f>
        <v>0</v>
      </c>
      <c r="C21" s="1121">
        <f t="shared" si="3"/>
        <v>0</v>
      </c>
      <c r="D21" s="1122" cm="1">
        <f t="array" ref="D21">IFERROR(INDEX('[2]ABHA Migration Plan'!$L:$L,MATCH(1,('[2]ABHA Migration Plan'!$AA:$AA=$A21)*('[2]ABHA Migration Plan'!$Z:$Z=D$19),0)),0)</f>
        <v>0</v>
      </c>
      <c r="E21" s="1122" cm="1">
        <f t="array" ref="E21">IFERROR(INDEX('[2]ABHA Migration Plan'!$L:$L,MATCH(1,('[2]ABHA Migration Plan'!$AA:$AA=$A21)*('[2]ABHA Migration Plan'!$Z:$Z=E$19),0)),0)</f>
        <v>0</v>
      </c>
      <c r="F21" s="1122" cm="1">
        <f t="array" ref="F21">IFERROR(INDEX('[2]ABHA Migration Plan'!$L:$L,MATCH(1,('[2]ABHA Migration Plan'!$AA:$AA=$A21)*('[2]ABHA Migration Plan'!$Z:$Z=F$19),0)),0)</f>
        <v>0</v>
      </c>
      <c r="G21" s="1122" cm="1">
        <f t="array" ref="G21">IFERROR(INDEX('[2]ABHA Migration Plan'!$L:$L,MATCH(1,('[2]ABHA Migration Plan'!$AA:$AA=$A21)*('[2]ABHA Migration Plan'!$Z:$Z=G$19),0)),0)</f>
        <v>0</v>
      </c>
      <c r="H21" s="1122" cm="1">
        <f t="array" ref="H21">IFERROR(INDEX('[2]ABHA Migration Plan'!$L:$L,MATCH(1,('[2]ABHA Migration Plan'!$AA:$AA=$A21)*('[2]ABHA Migration Plan'!$Z:$Z=H$19),0)),0)</f>
        <v>0</v>
      </c>
      <c r="I21" s="1298"/>
      <c r="J21" s="1299"/>
      <c r="K21" s="1299"/>
      <c r="L21" s="1299"/>
      <c r="M21" s="1299"/>
      <c r="N21" s="1299"/>
      <c r="O21" s="1299"/>
      <c r="P21" s="1299"/>
      <c r="Q21" s="1299"/>
      <c r="R21" s="1300"/>
      <c r="S21" s="1119" t="s">
        <v>69</v>
      </c>
      <c r="T21" s="1123" cm="1">
        <f t="array" aca="1" ref="T21" ca="1">IFERROR(AVERAGE(_xlfn._xlws.FILTER(IF(TODAY()&lt;'[2]Jizan Migration Plan'!$F$2:$F$205,0,IF(TODAY()&gt;='[2]Jizan Migration Plan'!$G$2:$G$205,1,NETWORKDAYS.INTL('[2]Jizan Migration Plan'!$F$2:$F$205,TODAY(),"0000011")/NETWORKDAYS.INTL('[2]Jizan Migration Plan'!$F$2:$F$205,'[2]Jizan Migration Plan'!$G$2:$G$205,"0000011"))),('[2]Jizan Migration Plan'!$AA$2:$AA$205=$S21)*('[2]Jizan Migration Plan'!$F$2:$F$205&lt;&gt;"")*('[2]Jizan Migration Plan'!$G$2:$G$205&lt;&gt;""))),0)</f>
        <v>0</v>
      </c>
      <c r="U21" s="1121">
        <f t="shared" si="4"/>
        <v>0</v>
      </c>
      <c r="V21" s="1122" cm="1">
        <f t="array" ref="V21">IFERROR(INDEX('[2]Jizan Migration Plan'!$L:$L,MATCH(1,('[2]Jizan Migration Plan'!$AA:$AA=$S21)*('[2]Jizan Migration Plan'!$Z:$Z=V$19),0)),0)</f>
        <v>0</v>
      </c>
      <c r="W21" s="1122" cm="1">
        <f t="array" ref="W21">IFERROR(INDEX('[2]Jizan Migration Plan'!$L:$L,MATCH(1,('[2]Jizan Migration Plan'!$AA:$AA=$S21)*('[2]Jizan Migration Plan'!$Z:$Z=W$19),0)),0)</f>
        <v>0</v>
      </c>
      <c r="X21" s="1122" cm="1">
        <f t="array" ref="X21">IFERROR(INDEX('[2]Jizan Migration Plan'!$L:$L,MATCH(1,('[2]Jizan Migration Plan'!$AA:$AA=$S21)*('[2]Jizan Migration Plan'!$Z:$Z=X$19),0)),0)</f>
        <v>0</v>
      </c>
      <c r="Y21" s="1122" cm="1">
        <f t="array" ref="Y21">IFERROR(INDEX('[2]Jizan Migration Plan'!$L:$L,MATCH(1,('[2]Jizan Migration Plan'!$AA:$AA=$S21)*('[2]Jizan Migration Plan'!$Z:$Z=Y$19),0)),0)</f>
        <v>0</v>
      </c>
      <c r="Z21" s="1122" cm="1">
        <f t="array" ref="Z21">IFERROR(INDEX('[2]Jizan Migration Plan'!$L:$L,MATCH(1,('[2]Jizan Migration Plan'!$AA:$AA=$S21)*('[2]Jizan Migration Plan'!$Z:$Z=Z$19),0)),0)</f>
        <v>0</v>
      </c>
    </row>
    <row r="22" spans="1:26" ht="14.25" customHeight="1">
      <c r="A22" s="1119" t="s">
        <v>70</v>
      </c>
      <c r="B22" s="1123" cm="1">
        <f t="array" aca="1" ref="B22" ca="1">IFERROR(AVERAGE(_xlfn._xlws.FILTER(IF(TODAY()&lt;'[2]ABHA Migration Plan'!$F$2:$F$205,0,IF(TODAY()&gt;='[2]ABHA Migration Plan'!$G$2:$G$205,1,NETWORKDAYS.INTL('[2]ABHA Migration Plan'!$F$2:$F$205,TODAY(),"0000011")/NETWORKDAYS.INTL('[2]ABHA Migration Plan'!$F$2:$F$205,'[2]ABHA Migration Plan'!$G$2:$G$205,"0000011"))),('[2]ABHA Migration Plan'!$AA$2:$AA$205=$A22)*('[2]ABHA Migration Plan'!$F$2:$F$205&lt;&gt;"")*('[2]ABHA Migration Plan'!$G$2:$G$205&lt;&gt;""))),0)</f>
        <v>0</v>
      </c>
      <c r="C22" s="1125">
        <f t="shared" si="3"/>
        <v>0</v>
      </c>
      <c r="D22" s="1122" cm="1">
        <f t="array" ref="D22">IFERROR(INDEX('[2]ABHA Migration Plan'!$L:$L,MATCH(1,('[2]ABHA Migration Plan'!$AA:$AA=$A22)*('[2]ABHA Migration Plan'!$Z:$Z=D$19),0)),0)</f>
        <v>0</v>
      </c>
      <c r="E22" s="1122" cm="1">
        <f t="array" ref="E22">IFERROR(INDEX('[2]ABHA Migration Plan'!$L:$L,MATCH(1,('[2]ABHA Migration Plan'!$AA:$AA=$A22)*('[2]ABHA Migration Plan'!$Z:$Z=E$19),0)),0)</f>
        <v>0</v>
      </c>
      <c r="F22" s="1122" cm="1">
        <f t="array" ref="F22">IFERROR(INDEX('[2]ABHA Migration Plan'!$L:$L,MATCH(1,('[2]ABHA Migration Plan'!$AA:$AA=$A22)*('[2]ABHA Migration Plan'!$Z:$Z=F$19),0)),0)</f>
        <v>0</v>
      </c>
      <c r="G22" s="1122" cm="1">
        <f t="array" ref="G22">IFERROR(INDEX('[2]ABHA Migration Plan'!$L:$L,MATCH(1,('[2]ABHA Migration Plan'!$AA:$AA=$A22)*('[2]ABHA Migration Plan'!$Z:$Z=G$19),0)),0)</f>
        <v>0</v>
      </c>
      <c r="H22" s="1122" cm="1">
        <f t="array" ref="H22">IFERROR(INDEX('[2]ABHA Migration Plan'!$L:$L,MATCH(1,('[2]ABHA Migration Plan'!$AA:$AA=$A22)*('[2]ABHA Migration Plan'!$Z:$Z=H$19),0)),0)</f>
        <v>0</v>
      </c>
      <c r="I22" s="1298"/>
      <c r="J22" s="1299"/>
      <c r="K22" s="1299"/>
      <c r="L22" s="1299"/>
      <c r="M22" s="1299"/>
      <c r="N22" s="1299"/>
      <c r="O22" s="1299"/>
      <c r="P22" s="1299"/>
      <c r="Q22" s="1299"/>
      <c r="R22" s="1300"/>
      <c r="S22" s="1119" t="s">
        <v>70</v>
      </c>
      <c r="T22" s="1123" cm="1">
        <f t="array" aca="1" ref="T22" ca="1">IFERROR(AVERAGE(_xlfn._xlws.FILTER(IF(TODAY()&lt;'[2]Jizan Migration Plan'!$F$2:$F$205,0,IF(TODAY()&gt;='[2]Jizan Migration Plan'!$G$2:$G$205,1,NETWORKDAYS.INTL('[2]Jizan Migration Plan'!$F$2:$F$205,TODAY(),"0000011")/NETWORKDAYS.INTL('[2]Jizan Migration Plan'!$F$2:$F$205,'[2]Jizan Migration Plan'!$G$2:$G$205,"0000011"))),('[2]Jizan Migration Plan'!$AA$2:$AA$205=$S22)*('[2]Jizan Migration Plan'!$F$2:$F$205&lt;&gt;"")*('[2]Jizan Migration Plan'!$G$2:$G$205&lt;&gt;""))),0)</f>
        <v>0</v>
      </c>
      <c r="U22" s="1125">
        <f t="shared" si="4"/>
        <v>0</v>
      </c>
      <c r="V22" s="1122" cm="1">
        <f t="array" ref="V22">IFERROR(INDEX('[2]Jizan Migration Plan'!$L:$L,MATCH(1,('[2]Jizan Migration Plan'!$AA:$AA=$S22)*('[2]Jizan Migration Plan'!$Z:$Z=V$19),0)),0)</f>
        <v>0</v>
      </c>
      <c r="W22" s="1122" cm="1">
        <f t="array" ref="W22">IFERROR(INDEX('[2]Jizan Migration Plan'!$L:$L,MATCH(1,('[2]Jizan Migration Plan'!$AA:$AA=$S22)*('[2]Jizan Migration Plan'!$Z:$Z=W$19),0)),0)</f>
        <v>0</v>
      </c>
      <c r="X22" s="1122" cm="1">
        <f t="array" ref="X22">IFERROR(INDEX('[2]Jizan Migration Plan'!$L:$L,MATCH(1,('[2]Jizan Migration Plan'!$AA:$AA=$S22)*('[2]Jizan Migration Plan'!$Z:$Z=X$19),0)),0)</f>
        <v>0</v>
      </c>
      <c r="Y22" s="1122" cm="1">
        <f t="array" ref="Y22">IFERROR(INDEX('[2]Jizan Migration Plan'!$L:$L,MATCH(1,('[2]Jizan Migration Plan'!$AA:$AA=$S22)*('[2]Jizan Migration Plan'!$Z:$Z=Y$19),0)),0)</f>
        <v>0</v>
      </c>
      <c r="Z22" s="1122" cm="1">
        <f t="array" ref="Z22">IFERROR(INDEX('[2]Jizan Migration Plan'!$L:$L,MATCH(1,('[2]Jizan Migration Plan'!$AA:$AA=$S22)*('[2]Jizan Migration Plan'!$Z:$Z=Z$19),0)),0)</f>
        <v>0</v>
      </c>
    </row>
    <row r="23" spans="1:26" ht="14.25" customHeight="1">
      <c r="A23" s="1119" t="s">
        <v>71</v>
      </c>
      <c r="B23" s="1123" cm="1">
        <f t="array" aca="1" ref="B23" ca="1">IFERROR(AVERAGE(_xlfn._xlws.FILTER(IF(TODAY()&lt;'[2]ABHA Migration Plan'!$F$2:$F$205,0,IF(TODAY()&gt;='[2]ABHA Migration Plan'!$G$2:$G$205,1,NETWORKDAYS.INTL('[2]ABHA Migration Plan'!$F$2:$F$205,TODAY(),"0000011")/NETWORKDAYS.INTL('[2]ABHA Migration Plan'!$F$2:$F$205,'[2]ABHA Migration Plan'!$G$2:$G$205,"0000011"))),('[2]ABHA Migration Plan'!$AA$2:$AA$205=$A23)*('[2]ABHA Migration Plan'!$F$2:$F$205&lt;&gt;"")*('[2]ABHA Migration Plan'!$G$2:$G$205&lt;&gt;""))),0)</f>
        <v>0</v>
      </c>
      <c r="C23" s="1125">
        <f t="shared" si="3"/>
        <v>0</v>
      </c>
      <c r="D23" s="1122" cm="1">
        <f t="array" ref="D23">IFERROR(INDEX('[2]ABHA Migration Plan'!$L:$L,MATCH(1,('[2]ABHA Migration Plan'!$AA:$AA=$A23)*('[2]ABHA Migration Plan'!$Z:$Z=D$19),0)),0)</f>
        <v>0</v>
      </c>
      <c r="E23" s="1122" cm="1">
        <f t="array" ref="E23">IFERROR(INDEX('[2]ABHA Migration Plan'!$L:$L,MATCH(1,('[2]ABHA Migration Plan'!$AA:$AA=$A23)*('[2]ABHA Migration Plan'!$Z:$Z=E$19),0)),0)</f>
        <v>0</v>
      </c>
      <c r="F23" s="1122" cm="1">
        <f t="array" ref="F23">IFERROR(INDEX('[2]ABHA Migration Plan'!$L:$L,MATCH(1,('[2]ABHA Migration Plan'!$AA:$AA=$A23)*('[2]ABHA Migration Plan'!$Z:$Z=F$19),0)),0)</f>
        <v>0</v>
      </c>
      <c r="G23" s="1122" cm="1">
        <f t="array" ref="G23">IFERROR(INDEX('[2]ABHA Migration Plan'!$L:$L,MATCH(1,('[2]ABHA Migration Plan'!$AA:$AA=$A23)*('[2]ABHA Migration Plan'!$Z:$Z=G$19),0)),0)</f>
        <v>0</v>
      </c>
      <c r="H23" s="1122" cm="1">
        <f t="array" ref="H23">IFERROR(INDEX('[2]ABHA Migration Plan'!$L:$L,MATCH(1,('[2]ABHA Migration Plan'!$AA:$AA=$A23)*('[2]ABHA Migration Plan'!$Z:$Z=H$19),0)),0)</f>
        <v>0</v>
      </c>
      <c r="I23" s="1298"/>
      <c r="J23" s="1299"/>
      <c r="K23" s="1299"/>
      <c r="L23" s="1299"/>
      <c r="M23" s="1299"/>
      <c r="N23" s="1299"/>
      <c r="O23" s="1299"/>
      <c r="P23" s="1299"/>
      <c r="Q23" s="1299"/>
      <c r="R23" s="1300"/>
      <c r="S23" s="1119" t="s">
        <v>71</v>
      </c>
      <c r="T23" s="1123" cm="1">
        <f t="array" aca="1" ref="T23" ca="1">IFERROR(AVERAGE(_xlfn._xlws.FILTER(IF(TODAY()&lt;'[2]Jizan Migration Plan'!$F$2:$F$205,0,IF(TODAY()&gt;='[2]Jizan Migration Plan'!$G$2:$G$205,1,NETWORKDAYS.INTL('[2]Jizan Migration Plan'!$F$2:$F$205,TODAY(),"0000011")/NETWORKDAYS.INTL('[2]Jizan Migration Plan'!$F$2:$F$205,'[2]Jizan Migration Plan'!$G$2:$G$205,"0000011"))),('[2]Jizan Migration Plan'!$AA$2:$AA$205=$S23)*('[2]Jizan Migration Plan'!$F$2:$F$205&lt;&gt;"")*('[2]Jizan Migration Plan'!$G$2:$G$205&lt;&gt;""))),0)</f>
        <v>0</v>
      </c>
      <c r="U23" s="1121">
        <f t="shared" si="4"/>
        <v>0</v>
      </c>
      <c r="V23" s="1122" cm="1">
        <f t="array" ref="V23">IFERROR(INDEX('[2]Jizan Migration Plan'!$L:$L,MATCH(1,('[2]Jizan Migration Plan'!$AA:$AA=$S23)*('[2]Jizan Migration Plan'!$Z:$Z=V$19),0)),0)</f>
        <v>0</v>
      </c>
      <c r="W23" s="1122" cm="1">
        <f t="array" ref="W23">IFERROR(INDEX('[2]Jizan Migration Plan'!$L:$L,MATCH(1,('[2]Jizan Migration Plan'!$AA:$AA=$S23)*('[2]Jizan Migration Plan'!$Z:$Z=W$19),0)),0)</f>
        <v>0</v>
      </c>
      <c r="X23" s="1122" cm="1">
        <f t="array" ref="X23">IFERROR(INDEX('[2]Jizan Migration Plan'!$L:$L,MATCH(1,('[2]Jizan Migration Plan'!$AA:$AA=$S23)*('[2]Jizan Migration Plan'!$Z:$Z=X$19),0)),0)</f>
        <v>0</v>
      </c>
      <c r="Y23" s="1122" cm="1">
        <f t="array" ref="Y23">IFERROR(INDEX('[2]Jizan Migration Plan'!$L:$L,MATCH(1,('[2]Jizan Migration Plan'!$AA:$AA=$S23)*('[2]Jizan Migration Plan'!$Z:$Z=Y$19),0)),0)</f>
        <v>0</v>
      </c>
      <c r="Z23" s="1122" cm="1">
        <f t="array" ref="Z23">IFERROR(INDEX('[2]Jizan Migration Plan'!$L:$L,MATCH(1,('[2]Jizan Migration Plan'!$AA:$AA=$S23)*('[2]Jizan Migration Plan'!$Z:$Z=Z$19),0)),0)</f>
        <v>0</v>
      </c>
    </row>
    <row r="24" spans="1:26" ht="14.25" customHeight="1">
      <c r="A24" s="1119" t="s">
        <v>72</v>
      </c>
      <c r="B24" s="1123" cm="1">
        <f t="array" aca="1" ref="B24" ca="1">IFERROR(AVERAGE(_xlfn._xlws.FILTER(IF(TODAY()&lt;'[2]ABHA Migration Plan'!$F$2:$F$205,0,IF(TODAY()&gt;='[2]ABHA Migration Plan'!$G$2:$G$205,1,NETWORKDAYS.INTL('[2]ABHA Migration Plan'!$F$2:$F$205,TODAY(),"0000011")/NETWORKDAYS.INTL('[2]ABHA Migration Plan'!$F$2:$F$205,'[2]ABHA Migration Plan'!$G$2:$G$205,"0000011"))),('[2]ABHA Migration Plan'!$AA$2:$AA$205=$A24)*('[2]ABHA Migration Plan'!$F$2:$F$205&lt;&gt;"")*('[2]ABHA Migration Plan'!$G$2:$G$205&lt;&gt;""))),0)</f>
        <v>0</v>
      </c>
      <c r="C24" s="1121">
        <f t="shared" si="3"/>
        <v>0</v>
      </c>
      <c r="D24" s="1122" cm="1">
        <f t="array" ref="D24">IFERROR(INDEX('[2]ABHA Migration Plan'!$L:$L,MATCH(1,('[2]ABHA Migration Plan'!$AA:$AA=$A24)*('[2]ABHA Migration Plan'!$Z:$Z=D$19),0)),0)</f>
        <v>0</v>
      </c>
      <c r="E24" s="1122" cm="1">
        <f t="array" ref="E24">IFERROR(INDEX('[2]ABHA Migration Plan'!$L:$L,MATCH(1,('[2]ABHA Migration Plan'!$AA:$AA=$A24)*('[2]ABHA Migration Plan'!$Z:$Z=E$19),0)),0)</f>
        <v>0</v>
      </c>
      <c r="F24" s="1122" cm="1">
        <f t="array" ref="F24">IFERROR(INDEX('[2]ABHA Migration Plan'!$L:$L,MATCH(1,('[2]ABHA Migration Plan'!$AA:$AA=$A24)*('[2]ABHA Migration Plan'!$Z:$Z=F$19),0)),0)</f>
        <v>0</v>
      </c>
      <c r="G24" s="1122" cm="1">
        <f t="array" ref="G24">IFERROR(INDEX('[2]ABHA Migration Plan'!$L:$L,MATCH(1,('[2]ABHA Migration Plan'!$AA:$AA=$A24)*('[2]ABHA Migration Plan'!$Z:$Z=G$19),0)),0)</f>
        <v>0</v>
      </c>
      <c r="H24" s="1122" cm="1">
        <f t="array" ref="H24">IFERROR(INDEX('[2]ABHA Migration Plan'!$L:$L,MATCH(1,('[2]ABHA Migration Plan'!$AA:$AA=$A24)*('[2]ABHA Migration Plan'!$Z:$Z=H$19),0)),0)</f>
        <v>0</v>
      </c>
      <c r="I24" s="1298"/>
      <c r="J24" s="1299"/>
      <c r="K24" s="1299"/>
      <c r="L24" s="1299"/>
      <c r="M24" s="1299"/>
      <c r="N24" s="1299"/>
      <c r="O24" s="1299"/>
      <c r="P24" s="1299"/>
      <c r="Q24" s="1299"/>
      <c r="R24" s="1300"/>
      <c r="S24" s="1119" t="s">
        <v>72</v>
      </c>
      <c r="T24" s="1123" cm="1">
        <f t="array" aca="1" ref="T24" ca="1">IFERROR(AVERAGE(_xlfn._xlws.FILTER(IF(TODAY()&lt;'[2]Jizan Migration Plan'!$F$2:$F$205,0,IF(TODAY()&gt;='[2]Jizan Migration Plan'!$G$2:$G$205,1,NETWORKDAYS.INTL('[2]Jizan Migration Plan'!$F$2:$F$205,TODAY(),"0000011")/NETWORKDAYS.INTL('[2]Jizan Migration Plan'!$F$2:$F$205,'[2]Jizan Migration Plan'!$G$2:$G$205,"0000011"))),('[2]Jizan Migration Plan'!$AA$2:$AA$205=$S24)*('[2]Jizan Migration Plan'!$F$2:$F$205&lt;&gt;"")*('[2]Jizan Migration Plan'!$G$2:$G$205&lt;&gt;""))),0)</f>
        <v>0</v>
      </c>
      <c r="U24" s="1121">
        <f t="shared" si="4"/>
        <v>0</v>
      </c>
      <c r="V24" s="1122" cm="1">
        <f t="array" ref="V24">IFERROR(INDEX('[2]Jizan Migration Plan'!$L:$L,MATCH(1,('[2]Jizan Migration Plan'!$AA:$AA=$S24)*('[2]Jizan Migration Plan'!$Z:$Z=V$19),0)),0)</f>
        <v>0</v>
      </c>
      <c r="W24" s="1122" cm="1">
        <f t="array" ref="W24">IFERROR(INDEX('[2]Jizan Migration Plan'!$L:$L,MATCH(1,('[2]Jizan Migration Plan'!$AA:$AA=$S24)*('[2]Jizan Migration Plan'!$Z:$Z=W$19),0)),0)</f>
        <v>0</v>
      </c>
      <c r="X24" s="1122" cm="1">
        <f t="array" ref="X24">IFERROR(INDEX('[2]Jizan Migration Plan'!$L:$L,MATCH(1,('[2]Jizan Migration Plan'!$AA:$AA=$S24)*('[2]Jizan Migration Plan'!$Z:$Z=X$19),0)),0)</f>
        <v>0</v>
      </c>
      <c r="Y24" s="1122" cm="1">
        <f t="array" ref="Y24">IFERROR(INDEX('[2]Jizan Migration Plan'!$L:$L,MATCH(1,('[2]Jizan Migration Plan'!$AA:$AA=$S24)*('[2]Jizan Migration Plan'!$Z:$Z=Y$19),0)),0)</f>
        <v>0</v>
      </c>
      <c r="Z24" s="1122" cm="1">
        <f t="array" ref="Z24">IFERROR(INDEX('[2]Jizan Migration Plan'!$L:$L,MATCH(1,('[2]Jizan Migration Plan'!$AA:$AA=$S24)*('[2]Jizan Migration Plan'!$Z:$Z=Z$19),0)),0)</f>
        <v>0</v>
      </c>
    </row>
    <row r="25" spans="1:26" ht="14.25" customHeight="1">
      <c r="A25" s="1119" t="s">
        <v>73</v>
      </c>
      <c r="B25" s="1123" cm="1">
        <f t="array" aca="1" ref="B25" ca="1">IFERROR(AVERAGE(_xlfn._xlws.FILTER(IF(TODAY()&lt;'[2]ABHA Migration Plan'!$F$2:$F$205,0,IF(TODAY()&gt;='[2]ABHA Migration Plan'!$G$2:$G$205,1,NETWORKDAYS.INTL('[2]ABHA Migration Plan'!$F$2:$F$205,TODAY(),"0000011")/NETWORKDAYS.INTL('[2]ABHA Migration Plan'!$F$2:$F$205,'[2]ABHA Migration Plan'!$G$2:$G$205,"0000011"))),('[2]ABHA Migration Plan'!$AA$2:$AA$205=$A25)*('[2]ABHA Migration Plan'!$F$2:$F$205&lt;&gt;"")*('[2]ABHA Migration Plan'!$G$2:$G$205&lt;&gt;""))),0)</f>
        <v>0</v>
      </c>
      <c r="C25" s="1121">
        <f t="shared" si="3"/>
        <v>0</v>
      </c>
      <c r="D25" s="1122" cm="1">
        <f t="array" ref="D25">IFERROR(INDEX('[2]ABHA Migration Plan'!$L:$L,MATCH(1,('[2]ABHA Migration Plan'!$AA:$AA=$A25)*('[2]ABHA Migration Plan'!$Z:$Z=D$19),0)),0)</f>
        <v>0</v>
      </c>
      <c r="E25" s="1122" cm="1">
        <f t="array" ref="E25">IFERROR(INDEX('[2]ABHA Migration Plan'!$L:$L,MATCH(1,('[2]ABHA Migration Plan'!$AA:$AA=$A25)*('[2]ABHA Migration Plan'!$Z:$Z=E$19),0)),0)</f>
        <v>0</v>
      </c>
      <c r="F25" s="1122" cm="1">
        <f t="array" ref="F25">IFERROR(INDEX('[2]ABHA Migration Plan'!$L:$L,MATCH(1,('[2]ABHA Migration Plan'!$AA:$AA=$A25)*('[2]ABHA Migration Plan'!$Z:$Z=F$19),0)),0)</f>
        <v>0</v>
      </c>
      <c r="G25" s="1122" cm="1">
        <f t="array" ref="G25">IFERROR(INDEX('[2]ABHA Migration Plan'!$L:$L,MATCH(1,('[2]ABHA Migration Plan'!$AA:$AA=$A25)*('[2]ABHA Migration Plan'!$Z:$Z=G$19),0)),0)</f>
        <v>0</v>
      </c>
      <c r="H25" s="1122" cm="1">
        <f t="array" ref="H25">IFERROR(INDEX('[2]ABHA Migration Plan'!$L:$L,MATCH(1,('[2]ABHA Migration Plan'!$AA:$AA=$A25)*('[2]ABHA Migration Plan'!$Z:$Z=H$19),0)),0)</f>
        <v>0</v>
      </c>
      <c r="I25" s="1298"/>
      <c r="J25" s="1299"/>
      <c r="K25" s="1299"/>
      <c r="L25" s="1299"/>
      <c r="M25" s="1299"/>
      <c r="N25" s="1299"/>
      <c r="O25" s="1299"/>
      <c r="P25" s="1299"/>
      <c r="Q25" s="1299"/>
      <c r="R25" s="1300"/>
      <c r="S25" s="1119" t="s">
        <v>73</v>
      </c>
      <c r="T25" s="1123" cm="1">
        <f t="array" aca="1" ref="T25" ca="1">IFERROR(AVERAGE(_xlfn._xlws.FILTER(IF(TODAY()&lt;'[2]Jizan Migration Plan'!$F$2:$F$205,0,IF(TODAY()&gt;='[2]Jizan Migration Plan'!$G$2:$G$205,1,NETWORKDAYS.INTL('[2]Jizan Migration Plan'!$F$2:$F$205,TODAY(),"0000011")/NETWORKDAYS.INTL('[2]Jizan Migration Plan'!$F$2:$F$205,'[2]Jizan Migration Plan'!$G$2:$G$205,"0000011"))),('[2]Jizan Migration Plan'!$AA$2:$AA$205=$S25)*('[2]Jizan Migration Plan'!$F$2:$F$205&lt;&gt;"")*('[2]Jizan Migration Plan'!$G$2:$G$205&lt;&gt;""))),0)</f>
        <v>0</v>
      </c>
      <c r="U25" s="1121">
        <f t="shared" si="4"/>
        <v>0</v>
      </c>
      <c r="V25" s="1122" cm="1">
        <f t="array" ref="V25">IFERROR(INDEX('[2]Jizan Migration Plan'!$L:$L,MATCH(1,('[2]Jizan Migration Plan'!$AA:$AA=$S25)*('[2]Jizan Migration Plan'!$Z:$Z=V$19),0)),0)</f>
        <v>0</v>
      </c>
      <c r="W25" s="1122" cm="1">
        <f t="array" ref="W25">IFERROR(INDEX('[2]Jizan Migration Plan'!$L:$L,MATCH(1,('[2]Jizan Migration Plan'!$AA:$AA=$S25)*('[2]Jizan Migration Plan'!$Z:$Z=W$19),0)),0)</f>
        <v>0</v>
      </c>
      <c r="X25" s="1122" cm="1">
        <f t="array" ref="X25">IFERROR(INDEX('[2]Jizan Migration Plan'!$L:$L,MATCH(1,('[2]Jizan Migration Plan'!$AA:$AA=$S25)*('[2]Jizan Migration Plan'!$Z:$Z=X$19),0)),0)</f>
        <v>0</v>
      </c>
      <c r="Y25" s="1122" cm="1">
        <f t="array" ref="Y25">IFERROR(INDEX('[2]Jizan Migration Plan'!$L:$L,MATCH(1,('[2]Jizan Migration Plan'!$AA:$AA=$S25)*('[2]Jizan Migration Plan'!$Z:$Z=Y$19),0)),0)</f>
        <v>0</v>
      </c>
      <c r="Z25" s="1122" cm="1">
        <f t="array" ref="Z25">IFERROR(INDEX('[2]Jizan Migration Plan'!$L:$L,MATCH(1,('[2]Jizan Migration Plan'!$AA:$AA=$S25)*('[2]Jizan Migration Plan'!$Z:$Z=Z$19),0)),0)</f>
        <v>0</v>
      </c>
    </row>
    <row r="26" spans="1:26" ht="14.25" customHeight="1">
      <c r="A26" s="1119" t="s">
        <v>74</v>
      </c>
      <c r="B26" s="1123" cm="1">
        <f t="array" aca="1" ref="B26" ca="1">IFERROR(AVERAGE(_xlfn._xlws.FILTER(IF(TODAY()&lt;'[2]ABHA Migration Plan'!$F$2:$F$205,0,IF(TODAY()&gt;='[2]ABHA Migration Plan'!$G$2:$G$205,1,NETWORKDAYS.INTL('[2]ABHA Migration Plan'!$F$2:$F$205,TODAY(),"0000011")/NETWORKDAYS.INTL('[2]ABHA Migration Plan'!$F$2:$F$205,'[2]ABHA Migration Plan'!$G$2:$G$205,"0000011"))),('[2]ABHA Migration Plan'!$AA$2:$AA$205=$A26)*('[2]ABHA Migration Plan'!$F$2:$F$205&lt;&gt;"")*('[2]ABHA Migration Plan'!$G$2:$G$205&lt;&gt;""))),0)</f>
        <v>0</v>
      </c>
      <c r="C26" s="1121">
        <f t="shared" si="3"/>
        <v>0</v>
      </c>
      <c r="D26" s="1122" cm="1">
        <f t="array" ref="D26">IFERROR(INDEX('[2]ABHA Migration Plan'!$L:$L,MATCH(1,('[2]ABHA Migration Plan'!$AA:$AA=$A26)*('[2]ABHA Migration Plan'!$Z:$Z=D$19),0)),0)</f>
        <v>0</v>
      </c>
      <c r="E26" s="1122" cm="1">
        <f t="array" ref="E26">IFERROR(INDEX('[2]ABHA Migration Plan'!$L:$L,MATCH(1,('[2]ABHA Migration Plan'!$AA:$AA=$A26)*('[2]ABHA Migration Plan'!$Z:$Z=E$19),0)),0)</f>
        <v>0</v>
      </c>
      <c r="F26" s="1122" cm="1">
        <f t="array" ref="F26">IFERROR(INDEX('[2]ABHA Migration Plan'!$L:$L,MATCH(1,('[2]ABHA Migration Plan'!$AA:$AA=$A26)*('[2]ABHA Migration Plan'!$Z:$Z=F$19),0)),0)</f>
        <v>0</v>
      </c>
      <c r="G26" s="1122" cm="1">
        <f t="array" ref="G26">IFERROR(INDEX('[2]ABHA Migration Plan'!$L:$L,MATCH(1,('[2]ABHA Migration Plan'!$AA:$AA=$A26)*('[2]ABHA Migration Plan'!$Z:$Z=G$19),0)),0)</f>
        <v>0</v>
      </c>
      <c r="H26" s="1122" cm="1">
        <f t="array" ref="H26">IFERROR(INDEX('[2]ABHA Migration Plan'!$L:$L,MATCH(1,('[2]ABHA Migration Plan'!$AA:$AA=$A26)*('[2]ABHA Migration Plan'!$Z:$Z=H$19),0)),0)</f>
        <v>0</v>
      </c>
      <c r="I26" s="1298"/>
      <c r="J26" s="1299"/>
      <c r="K26" s="1299"/>
      <c r="L26" s="1299"/>
      <c r="M26" s="1299"/>
      <c r="N26" s="1299"/>
      <c r="O26" s="1299"/>
      <c r="P26" s="1299"/>
      <c r="Q26" s="1299"/>
      <c r="R26" s="1300"/>
      <c r="S26" s="1119" t="s">
        <v>74</v>
      </c>
      <c r="T26" s="1123" cm="1">
        <f t="array" aca="1" ref="T26" ca="1">IFERROR(AVERAGE(_xlfn._xlws.FILTER(IF(TODAY()&lt;'[2]Jizan Migration Plan'!$F$2:$F$205,0,IF(TODAY()&gt;='[2]Jizan Migration Plan'!$G$2:$G$205,1,NETWORKDAYS.INTL('[2]Jizan Migration Plan'!$F$2:$F$205,TODAY(),"0000011")/NETWORKDAYS.INTL('[2]Jizan Migration Plan'!$F$2:$F$205,'[2]Jizan Migration Plan'!$G$2:$G$205,"0000011"))),('[2]Jizan Migration Plan'!$AA$2:$AA$205=$S26)*('[2]Jizan Migration Plan'!$F$2:$F$205&lt;&gt;"")*('[2]Jizan Migration Plan'!$G$2:$G$205&lt;&gt;""))),0)</f>
        <v>0</v>
      </c>
      <c r="U26" s="1121">
        <f t="shared" si="4"/>
        <v>0</v>
      </c>
      <c r="V26" s="1122" cm="1">
        <f t="array" ref="V26">IFERROR(INDEX('[2]Jizan Migration Plan'!$L:$L,MATCH(1,('[2]Jizan Migration Plan'!$AA:$AA=$S26)*('[2]Jizan Migration Plan'!$Z:$Z=V$19),0)),0)</f>
        <v>0</v>
      </c>
      <c r="W26" s="1122" cm="1">
        <f t="array" ref="W26">IFERROR(INDEX('[2]Jizan Migration Plan'!$L:$L,MATCH(1,('[2]Jizan Migration Plan'!$AA:$AA=$S26)*('[2]Jizan Migration Plan'!$Z:$Z=W$19),0)),0)</f>
        <v>0</v>
      </c>
      <c r="X26" s="1122" cm="1">
        <f t="array" ref="X26">IFERROR(INDEX('[2]Jizan Migration Plan'!$L:$L,MATCH(1,('[2]Jizan Migration Plan'!$AA:$AA=$S26)*('[2]Jizan Migration Plan'!$Z:$Z=X$19),0)),0)</f>
        <v>0</v>
      </c>
      <c r="Y26" s="1122" cm="1">
        <f t="array" ref="Y26">IFERROR(INDEX('[2]Jizan Migration Plan'!$L:$L,MATCH(1,('[2]Jizan Migration Plan'!$AA:$AA=$S26)*('[2]Jizan Migration Plan'!$Z:$Z=Y$19),0)),0)</f>
        <v>0</v>
      </c>
      <c r="Z26" s="1122" cm="1">
        <f t="array" ref="Z26">IFERROR(INDEX('[2]Jizan Migration Plan'!$L:$L,MATCH(1,('[2]Jizan Migration Plan'!$AA:$AA=$S26)*('[2]Jizan Migration Plan'!$Z:$Z=Z$19),0)),0)</f>
        <v>0</v>
      </c>
    </row>
    <row r="27" spans="1:26" ht="14.25" customHeight="1">
      <c r="A27" s="1119" t="s">
        <v>75</v>
      </c>
      <c r="B27" s="1123" cm="1">
        <f t="array" aca="1" ref="B27" ca="1">IFERROR(AVERAGE(_xlfn._xlws.FILTER(IF(TODAY()&lt;'[2]ABHA Migration Plan'!$F$2:$F$205,0,IF(TODAY()&gt;='[2]ABHA Migration Plan'!$G$2:$G$205,1,NETWORKDAYS.INTL('[2]ABHA Migration Plan'!$F$2:$F$205,TODAY(),"0000011")/NETWORKDAYS.INTL('[2]ABHA Migration Plan'!$F$2:$F$205,'[2]ABHA Migration Plan'!$G$2:$G$205,"0000011"))),('[2]ABHA Migration Plan'!$AA$2:$AA$205=$A27)*('[2]ABHA Migration Plan'!$F$2:$F$205&lt;&gt;"")*('[2]ABHA Migration Plan'!$G$2:$G$205&lt;&gt;""))),0)</f>
        <v>0</v>
      </c>
      <c r="C27" s="1121">
        <f t="shared" si="3"/>
        <v>0</v>
      </c>
      <c r="D27" s="1122" cm="1">
        <f t="array" ref="D27">IFERROR(INDEX('[2]ABHA Migration Plan'!$L:$L,MATCH(1,('[2]ABHA Migration Plan'!$AA:$AA=$A27)*('[2]ABHA Migration Plan'!$Z:$Z=D$19),0)),0)</f>
        <v>0</v>
      </c>
      <c r="E27" s="1122" cm="1">
        <f t="array" ref="E27">IFERROR(INDEX('[2]ABHA Migration Plan'!$L:$L,MATCH(1,('[2]ABHA Migration Plan'!$AA:$AA=$A27)*('[2]ABHA Migration Plan'!$Z:$Z=E$19),0)),0)</f>
        <v>0</v>
      </c>
      <c r="F27" s="1122" cm="1">
        <f t="array" ref="F27">IFERROR(INDEX('[2]ABHA Migration Plan'!$L:$L,MATCH(1,('[2]ABHA Migration Plan'!$AA:$AA=$A27)*('[2]ABHA Migration Plan'!$Z:$Z=F$19),0)),0)</f>
        <v>0</v>
      </c>
      <c r="G27" s="1122" cm="1">
        <f t="array" ref="G27">IFERROR(INDEX('[2]ABHA Migration Plan'!$L:$L,MATCH(1,('[2]ABHA Migration Plan'!$AA:$AA=$A27)*('[2]ABHA Migration Plan'!$Z:$Z=G$19),0)),0)</f>
        <v>0</v>
      </c>
      <c r="H27" s="1122" cm="1">
        <f t="array" ref="H27">IFERROR(INDEX('[2]ABHA Migration Plan'!$L:$L,MATCH(1,('[2]ABHA Migration Plan'!$AA:$AA=$A27)*('[2]ABHA Migration Plan'!$Z:$Z=H$19),0)),0)</f>
        <v>0</v>
      </c>
      <c r="I27" s="1301"/>
      <c r="J27" s="1302"/>
      <c r="K27" s="1302"/>
      <c r="L27" s="1302"/>
      <c r="M27" s="1302"/>
      <c r="N27" s="1302"/>
      <c r="O27" s="1302"/>
      <c r="P27" s="1302"/>
      <c r="Q27" s="1302"/>
      <c r="R27" s="1303"/>
      <c r="S27" s="1119" t="s">
        <v>75</v>
      </c>
      <c r="T27" s="1123" cm="1">
        <f t="array" aca="1" ref="T27" ca="1">IFERROR(AVERAGE(_xlfn._xlws.FILTER(IF(TODAY()&lt;'[2]Jizan Migration Plan'!$F$2:$F$205,0,IF(TODAY()&gt;='[2]Jizan Migration Plan'!$G$2:$G$205,1,NETWORKDAYS.INTL('[2]Jizan Migration Plan'!$F$2:$F$205,TODAY(),"0000011")/NETWORKDAYS.INTL('[2]Jizan Migration Plan'!$F$2:$F$205,'[2]Jizan Migration Plan'!$G$2:$G$205,"0000011"))),('[2]Jizan Migration Plan'!$AA$2:$AA$205=$S27)*('[2]Jizan Migration Plan'!$F$2:$F$205&lt;&gt;"")*('[2]Jizan Migration Plan'!$G$2:$G$205&lt;&gt;""))),0)</f>
        <v>0</v>
      </c>
      <c r="U27" s="1121">
        <f t="shared" si="4"/>
        <v>0</v>
      </c>
      <c r="V27" s="1122" cm="1">
        <f t="array" ref="V27">IFERROR(INDEX('[2]Jizan Migration Plan'!$L:$L,MATCH(1,('[2]Jizan Migration Plan'!$AA:$AA=$S27)*('[2]Jizan Migration Plan'!$Z:$Z=V$19),0)),0)</f>
        <v>0</v>
      </c>
      <c r="W27" s="1122" cm="1">
        <f t="array" ref="W27">IFERROR(INDEX('[2]Jizan Migration Plan'!$L:$L,MATCH(1,('[2]Jizan Migration Plan'!$AA:$AA=$S27)*('[2]Jizan Migration Plan'!$Z:$Z=W$19),0)),0)</f>
        <v>0</v>
      </c>
      <c r="X27" s="1122" cm="1">
        <f t="array" ref="X27">IFERROR(INDEX('[2]Jizan Migration Plan'!$L:$L,MATCH(1,('[2]Jizan Migration Plan'!$AA:$AA=$S27)*('[2]Jizan Migration Plan'!$Z:$Z=X$19),0)),0)</f>
        <v>0</v>
      </c>
      <c r="Y27" s="1122" cm="1">
        <f t="array" ref="Y27">IFERROR(INDEX('[2]Jizan Migration Plan'!$L:$L,MATCH(1,('[2]Jizan Migration Plan'!$AA:$AA=$S27)*('[2]Jizan Migration Plan'!$Z:$Z=Y$19),0)),0)</f>
        <v>0</v>
      </c>
      <c r="Z27" s="1122" cm="1">
        <f t="array" ref="Z27">IFERROR(INDEX('[2]Jizan Migration Plan'!$L:$L,MATCH(1,('[2]Jizan Migration Plan'!$AA:$AA=$S27)*('[2]Jizan Migration Plan'!$Z:$Z=Z$19),0)),0)</f>
        <v>0</v>
      </c>
    </row>
  </sheetData>
  <mergeCells count="10">
    <mergeCell ref="A17:Z17"/>
    <mergeCell ref="A18:H18"/>
    <mergeCell ref="I18:R27"/>
    <mergeCell ref="S18:Z18"/>
    <mergeCell ref="D1:Z4"/>
    <mergeCell ref="A5:H5"/>
    <mergeCell ref="I5:I16"/>
    <mergeCell ref="J5:Q5"/>
    <mergeCell ref="R5:R16"/>
    <mergeCell ref="S5:Z5"/>
  </mergeCells>
  <conditionalFormatting sqref="B1:B3">
    <cfRule type="dataBar" priority="2">
      <dataBar>
        <cfvo type="formula" val="0"/>
        <cfvo type="formula" val="1"/>
        <color rgb="FF63C384"/>
      </dataBar>
      <extLst>
        <ext xmlns:x14="http://schemas.microsoft.com/office/spreadsheetml/2009/9/main" uri="{B025F937-C7B1-47D3-B67F-A62EFF666E3E}">
          <x14:id>{B42DAAE0-F811-4913-8752-227766CB7807}</x14:id>
        </ext>
      </extLst>
    </cfRule>
  </conditionalFormatting>
  <conditionalFormatting sqref="B7:B16">
    <cfRule type="dataBar" priority="17">
      <dataBar>
        <cfvo type="formula" val="0"/>
        <cfvo type="formula" val="1"/>
        <color rgb="FF008AEF"/>
      </dataBar>
      <extLst>
        <ext xmlns:x14="http://schemas.microsoft.com/office/spreadsheetml/2009/9/main" uri="{B025F937-C7B1-47D3-B67F-A62EFF666E3E}">
          <x14:id>{06483217-12A7-4587-8FB1-AE325869191E}</x14:id>
        </ext>
      </extLst>
    </cfRule>
  </conditionalFormatting>
  <conditionalFormatting sqref="B20:B27">
    <cfRule type="dataBar" priority="10">
      <dataBar>
        <cfvo type="formula" val="0"/>
        <cfvo type="formula" val="1"/>
        <color rgb="FF008AEF"/>
      </dataBar>
      <extLst>
        <ext xmlns:x14="http://schemas.microsoft.com/office/spreadsheetml/2009/9/main" uri="{B025F937-C7B1-47D3-B67F-A62EFF666E3E}">
          <x14:id>{4BD4E09F-C303-4313-9888-7AFF3B041740}</x14:id>
        </ext>
      </extLst>
    </cfRule>
  </conditionalFormatting>
  <conditionalFormatting sqref="C1:C3">
    <cfRule type="dataBar" priority="1">
      <dataBar>
        <cfvo type="formula" val="0"/>
        <cfvo type="formula" val="1"/>
        <color rgb="FF63C384"/>
      </dataBar>
      <extLst>
        <ext xmlns:x14="http://schemas.microsoft.com/office/spreadsheetml/2009/9/main" uri="{B025F937-C7B1-47D3-B67F-A62EFF666E3E}">
          <x14:id>{777BCD66-1C1C-4D6F-BB11-C99A0DE00473}</x14:id>
        </ext>
      </extLst>
    </cfRule>
  </conditionalFormatting>
  <conditionalFormatting sqref="C7:C16">
    <cfRule type="dataBar" priority="16">
      <dataBar>
        <cfvo type="formula" val="0"/>
        <cfvo type="formula" val="1"/>
        <color rgb="FF63C384"/>
      </dataBar>
      <extLst>
        <ext xmlns:x14="http://schemas.microsoft.com/office/spreadsheetml/2009/9/main" uri="{B025F937-C7B1-47D3-B67F-A62EFF666E3E}">
          <x14:id>{7B696B50-FE54-455E-9126-A1B5D39641F6}</x14:id>
        </ext>
      </extLst>
    </cfRule>
  </conditionalFormatting>
  <conditionalFormatting sqref="C20:C27">
    <cfRule type="dataBar" priority="5">
      <dataBar>
        <cfvo type="formula" val="0"/>
        <cfvo type="formula" val="1"/>
        <color rgb="FF63C384"/>
      </dataBar>
      <extLst>
        <ext xmlns:x14="http://schemas.microsoft.com/office/spreadsheetml/2009/9/main" uri="{B025F937-C7B1-47D3-B67F-A62EFF666E3E}">
          <x14:id>{0BE547C2-318A-4B72-8BE7-CAFBDEB4979F}</x14:id>
        </ext>
      </extLst>
    </cfRule>
  </conditionalFormatting>
  <conditionalFormatting sqref="K7:K16">
    <cfRule type="dataBar" priority="14">
      <dataBar>
        <cfvo type="formula" val="0"/>
        <cfvo type="formula" val="1"/>
        <color rgb="FF008AEF"/>
      </dataBar>
      <extLst>
        <ext xmlns:x14="http://schemas.microsoft.com/office/spreadsheetml/2009/9/main" uri="{B025F937-C7B1-47D3-B67F-A62EFF666E3E}">
          <x14:id>{99A93840-0050-477F-B00A-B91140A06B62}</x14:id>
        </ext>
      </extLst>
    </cfRule>
  </conditionalFormatting>
  <conditionalFormatting sqref="L7:L16">
    <cfRule type="dataBar" priority="7">
      <dataBar>
        <cfvo type="formula" val="0"/>
        <cfvo type="formula" val="1"/>
        <color rgb="FF63C384"/>
      </dataBar>
      <extLst>
        <ext xmlns:x14="http://schemas.microsoft.com/office/spreadsheetml/2009/9/main" uri="{B025F937-C7B1-47D3-B67F-A62EFF666E3E}">
          <x14:id>{B91325B0-359C-4F2E-9E40-C9563DC2DCDF}</x14:id>
        </ext>
      </extLst>
    </cfRule>
  </conditionalFormatting>
  <conditionalFormatting sqref="T7:T16">
    <cfRule type="dataBar" priority="12">
      <dataBar>
        <cfvo type="formula" val="0"/>
        <cfvo type="formula" val="1"/>
        <color rgb="FF008AEF"/>
      </dataBar>
      <extLst>
        <ext xmlns:x14="http://schemas.microsoft.com/office/spreadsheetml/2009/9/main" uri="{B025F937-C7B1-47D3-B67F-A62EFF666E3E}">
          <x14:id>{25845CEB-4B9E-4546-BB83-135144C7ED3C}</x14:id>
        </ext>
      </extLst>
    </cfRule>
  </conditionalFormatting>
  <conditionalFormatting sqref="T20:T27">
    <cfRule type="dataBar" priority="8">
      <dataBar>
        <cfvo type="formula" val="0"/>
        <cfvo type="formula" val="1"/>
        <color rgb="FF008AEF"/>
      </dataBar>
      <extLst>
        <ext xmlns:x14="http://schemas.microsoft.com/office/spreadsheetml/2009/9/main" uri="{B025F937-C7B1-47D3-B67F-A62EFF666E3E}">
          <x14:id>{DC15FA7D-83A6-4BA7-8F76-5A509C35A778}</x14:id>
        </ext>
      </extLst>
    </cfRule>
  </conditionalFormatting>
  <conditionalFormatting sqref="U7:U16">
    <cfRule type="dataBar" priority="6">
      <dataBar>
        <cfvo type="formula" val="0"/>
        <cfvo type="formula" val="1"/>
        <color rgb="FF63C384"/>
      </dataBar>
      <extLst>
        <ext xmlns:x14="http://schemas.microsoft.com/office/spreadsheetml/2009/9/main" uri="{B025F937-C7B1-47D3-B67F-A62EFF666E3E}">
          <x14:id>{84AB3826-2C91-41CE-BCA0-77E5DFF40F2F}</x14:id>
        </ext>
      </extLst>
    </cfRule>
  </conditionalFormatting>
  <conditionalFormatting sqref="U20:U27">
    <cfRule type="dataBar" priority="4">
      <dataBar>
        <cfvo type="formula" val="0"/>
        <cfvo type="formula" val="1"/>
        <color rgb="FF63C384"/>
      </dataBar>
      <extLst>
        <ext xmlns:x14="http://schemas.microsoft.com/office/spreadsheetml/2009/9/main" uri="{B025F937-C7B1-47D3-B67F-A62EFF666E3E}">
          <x14:id>{A9F1415F-00E1-4768-AB3E-F95C027D9948}</x14:id>
        </ext>
      </extLst>
    </cfRule>
  </conditionalFormatting>
  <printOptions horizontalCentered="1" verticalCentered="1"/>
  <pageMargins left="0.25" right="0.25" top="0.75" bottom="0.75" header="0.3" footer="0.3"/>
  <pageSetup paperSize="8" scale="92" orientation="landscape" r:id="rId1"/>
  <extLst>
    <ext xmlns:x14="http://schemas.microsoft.com/office/spreadsheetml/2009/9/main" uri="{78C0D931-6437-407d-A8EE-F0AAD7539E65}">
      <x14:conditionalFormattings>
        <x14:conditionalFormatting xmlns:xm="http://schemas.microsoft.com/office/excel/2006/main">
          <x14:cfRule type="dataBar" id="{B42DAAE0-F811-4913-8752-227766CB7807}">
            <x14:dataBar minLength="0" maxLength="100" gradient="0" direction="leftToRight">
              <x14:cfvo type="formula">
                <xm:f>0</xm:f>
              </x14:cfvo>
              <x14:cfvo type="formula">
                <xm:f>1</xm:f>
              </x14:cfvo>
              <x14:negativeFillColor rgb="FFFF0000"/>
              <x14:axisColor rgb="FF000000"/>
            </x14:dataBar>
          </x14:cfRule>
          <xm:sqref>B1:B3</xm:sqref>
        </x14:conditionalFormatting>
        <x14:conditionalFormatting xmlns:xm="http://schemas.microsoft.com/office/excel/2006/main">
          <x14:cfRule type="dataBar" id="{06483217-12A7-4587-8FB1-AE325869191E}">
            <x14:dataBar minLength="0" maxLength="100" gradient="0" direction="rightToLeft">
              <x14:cfvo type="formula">
                <xm:f>0</xm:f>
              </x14:cfvo>
              <x14:cfvo type="formula">
                <xm:f>1</xm:f>
              </x14:cfvo>
              <x14:negativeFillColor rgb="FFFF0000"/>
              <x14:axisColor rgb="FF000000"/>
            </x14:dataBar>
          </x14:cfRule>
          <xm:sqref>B7:B16</xm:sqref>
        </x14:conditionalFormatting>
        <x14:conditionalFormatting xmlns:xm="http://schemas.microsoft.com/office/excel/2006/main">
          <x14:cfRule type="dataBar" id="{4BD4E09F-C303-4313-9888-7AFF3B041740}">
            <x14:dataBar minLength="0" maxLength="100" gradient="0" direction="rightToLeft">
              <x14:cfvo type="formula">
                <xm:f>0</xm:f>
              </x14:cfvo>
              <x14:cfvo type="formula">
                <xm:f>1</xm:f>
              </x14:cfvo>
              <x14:negativeFillColor rgb="FFFF0000"/>
              <x14:axisColor rgb="FF000000"/>
            </x14:dataBar>
          </x14:cfRule>
          <xm:sqref>B20:B27</xm:sqref>
        </x14:conditionalFormatting>
        <x14:conditionalFormatting xmlns:xm="http://schemas.microsoft.com/office/excel/2006/main">
          <x14:cfRule type="dataBar" id="{777BCD66-1C1C-4D6F-BB11-C99A0DE00473}">
            <x14:dataBar minLength="0" maxLength="100" gradient="0" direction="leftToRight">
              <x14:cfvo type="formula">
                <xm:f>0</xm:f>
              </x14:cfvo>
              <x14:cfvo type="formula">
                <xm:f>1</xm:f>
              </x14:cfvo>
              <x14:negativeFillColor rgb="FFFF0000"/>
              <x14:axisColor rgb="FF000000"/>
            </x14:dataBar>
          </x14:cfRule>
          <xm:sqref>C1:C3</xm:sqref>
        </x14:conditionalFormatting>
        <x14:conditionalFormatting xmlns:xm="http://schemas.microsoft.com/office/excel/2006/main">
          <x14:cfRule type="dataBar" id="{7B696B50-FE54-455E-9126-A1B5D39641F6}">
            <x14:dataBar minLength="0" maxLength="100" gradient="0" direction="leftToRight">
              <x14:cfvo type="formula">
                <xm:f>0</xm:f>
              </x14:cfvo>
              <x14:cfvo type="formula">
                <xm:f>1</xm:f>
              </x14:cfvo>
              <x14:negativeFillColor rgb="FFFF0000"/>
              <x14:axisColor rgb="FF000000"/>
            </x14:dataBar>
          </x14:cfRule>
          <xm:sqref>C7:C16</xm:sqref>
        </x14:conditionalFormatting>
        <x14:conditionalFormatting xmlns:xm="http://schemas.microsoft.com/office/excel/2006/main">
          <x14:cfRule type="dataBar" id="{0BE547C2-318A-4B72-8BE7-CAFBDEB4979F}">
            <x14:dataBar minLength="0" maxLength="100" gradient="0" direction="leftToRight">
              <x14:cfvo type="formula">
                <xm:f>0</xm:f>
              </x14:cfvo>
              <x14:cfvo type="formula">
                <xm:f>1</xm:f>
              </x14:cfvo>
              <x14:negativeFillColor rgb="FFFF0000"/>
              <x14:axisColor rgb="FF000000"/>
            </x14:dataBar>
          </x14:cfRule>
          <xm:sqref>C20:C27</xm:sqref>
        </x14:conditionalFormatting>
        <x14:conditionalFormatting xmlns:xm="http://schemas.microsoft.com/office/excel/2006/main">
          <x14:cfRule type="dataBar" id="{99A93840-0050-477F-B00A-B91140A06B62}">
            <x14:dataBar minLength="0" maxLength="100" gradient="0" direction="rightToLeft">
              <x14:cfvo type="formula">
                <xm:f>0</xm:f>
              </x14:cfvo>
              <x14:cfvo type="formula">
                <xm:f>1</xm:f>
              </x14:cfvo>
              <x14:negativeFillColor rgb="FFFF0000"/>
              <x14:axisColor rgb="FF000000"/>
            </x14:dataBar>
          </x14:cfRule>
          <xm:sqref>K7:K16</xm:sqref>
        </x14:conditionalFormatting>
        <x14:conditionalFormatting xmlns:xm="http://schemas.microsoft.com/office/excel/2006/main">
          <x14:cfRule type="dataBar" id="{B91325B0-359C-4F2E-9E40-C9563DC2DCDF}">
            <x14:dataBar minLength="0" maxLength="100" gradient="0" direction="leftToRight">
              <x14:cfvo type="formula">
                <xm:f>0</xm:f>
              </x14:cfvo>
              <x14:cfvo type="formula">
                <xm:f>1</xm:f>
              </x14:cfvo>
              <x14:negativeFillColor rgb="FFFF0000"/>
              <x14:axisColor rgb="FF000000"/>
            </x14:dataBar>
          </x14:cfRule>
          <xm:sqref>L7:L16</xm:sqref>
        </x14:conditionalFormatting>
        <x14:conditionalFormatting xmlns:xm="http://schemas.microsoft.com/office/excel/2006/main">
          <x14:cfRule type="dataBar" id="{25845CEB-4B9E-4546-BB83-135144C7ED3C}">
            <x14:dataBar minLength="0" maxLength="100" gradient="0" direction="rightToLeft">
              <x14:cfvo type="formula">
                <xm:f>0</xm:f>
              </x14:cfvo>
              <x14:cfvo type="formula">
                <xm:f>1</xm:f>
              </x14:cfvo>
              <x14:negativeFillColor rgb="FFFF0000"/>
              <x14:axisColor rgb="FF000000"/>
            </x14:dataBar>
          </x14:cfRule>
          <xm:sqref>T7:T16</xm:sqref>
        </x14:conditionalFormatting>
        <x14:conditionalFormatting xmlns:xm="http://schemas.microsoft.com/office/excel/2006/main">
          <x14:cfRule type="dataBar" id="{DC15FA7D-83A6-4BA7-8F76-5A509C35A778}">
            <x14:dataBar minLength="0" maxLength="100" gradient="0" direction="rightToLeft">
              <x14:cfvo type="formula">
                <xm:f>0</xm:f>
              </x14:cfvo>
              <x14:cfvo type="formula">
                <xm:f>1</xm:f>
              </x14:cfvo>
              <x14:negativeFillColor rgb="FFFF0000"/>
              <x14:axisColor rgb="FF000000"/>
            </x14:dataBar>
          </x14:cfRule>
          <xm:sqref>T20:T27</xm:sqref>
        </x14:conditionalFormatting>
        <x14:conditionalFormatting xmlns:xm="http://schemas.microsoft.com/office/excel/2006/main">
          <x14:cfRule type="dataBar" id="{84AB3826-2C91-41CE-BCA0-77E5DFF40F2F}">
            <x14:dataBar minLength="0" maxLength="100" gradient="0" direction="leftToRight">
              <x14:cfvo type="formula">
                <xm:f>0</xm:f>
              </x14:cfvo>
              <x14:cfvo type="formula">
                <xm:f>1</xm:f>
              </x14:cfvo>
              <x14:negativeFillColor rgb="FFFF0000"/>
              <x14:axisColor rgb="FF000000"/>
            </x14:dataBar>
          </x14:cfRule>
          <xm:sqref>U7:U16</xm:sqref>
        </x14:conditionalFormatting>
        <x14:conditionalFormatting xmlns:xm="http://schemas.microsoft.com/office/excel/2006/main">
          <x14:cfRule type="dataBar" id="{A9F1415F-00E1-4768-AB3E-F95C027D9948}">
            <x14:dataBar minLength="0" maxLength="100" gradient="0" direction="leftToRight">
              <x14:cfvo type="formula">
                <xm:f>0</xm:f>
              </x14:cfvo>
              <x14:cfvo type="formula">
                <xm:f>1</xm:f>
              </x14:cfvo>
              <x14:negativeFillColor rgb="FFFF0000"/>
              <x14:axisColor rgb="FF000000"/>
            </x14:dataBar>
          </x14:cfRule>
          <xm:sqref>U20:U27</xm:sqref>
        </x14:conditionalFormatting>
        <x14:conditionalFormatting xmlns:xm="http://schemas.microsoft.com/office/excel/2006/main">
          <x14:cfRule type="iconSet" priority="3" id="{04530137-4FBF-4065-AE68-FDD95C6944D4}">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A1:A3</xm:sqref>
        </x14:conditionalFormatting>
        <x14:conditionalFormatting xmlns:xm="http://schemas.microsoft.com/office/excel/2006/main">
          <x14:cfRule type="iconSet" priority="18" id="{E5F104D6-CB68-41C4-84C5-5DDF7D6A9C50}">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D7:H16</xm:sqref>
        </x14:conditionalFormatting>
        <x14:conditionalFormatting xmlns:xm="http://schemas.microsoft.com/office/excel/2006/main">
          <x14:cfRule type="iconSet" priority="11" id="{1B994C32-62C1-4784-B532-DB989C0337F6}">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D20:H27</xm:sqref>
        </x14:conditionalFormatting>
        <x14:conditionalFormatting xmlns:xm="http://schemas.microsoft.com/office/excel/2006/main">
          <x14:cfRule type="iconSet" priority="15" id="{ECC25E4B-FB72-486B-917D-1EF4A4C6B222}">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M7:Q16</xm:sqref>
        </x14:conditionalFormatting>
        <x14:conditionalFormatting xmlns:xm="http://schemas.microsoft.com/office/excel/2006/main">
          <x14:cfRule type="iconSet" priority="13" id="{EECE231A-C9E9-44FA-9EA0-75C9EBAD5B46}">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V7:Z16</xm:sqref>
        </x14:conditionalFormatting>
        <x14:conditionalFormatting xmlns:xm="http://schemas.microsoft.com/office/excel/2006/main">
          <x14:cfRule type="iconSet" priority="9" id="{5495D5EB-F0E4-4AA9-B845-68EB90094359}">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V20:Z27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BB04-3877-44DE-BE27-C5AC40C96233}">
  <dimension ref="A1:M35"/>
  <sheetViews>
    <sheetView workbookViewId="0">
      <selection activeCell="C15" sqref="C15"/>
    </sheetView>
  </sheetViews>
  <sheetFormatPr defaultRowHeight="13.5"/>
  <cols>
    <col min="1" max="1" width="10.625" style="1107" bestFit="1" customWidth="1"/>
    <col min="2" max="2" width="27.5" style="1107" bestFit="1" customWidth="1"/>
    <col min="3" max="3" width="11.625" style="1108" customWidth="1"/>
    <col min="4" max="4" width="12.875" style="1107" bestFit="1" customWidth="1"/>
    <col min="5" max="5" width="13.75" style="1107" bestFit="1" customWidth="1"/>
    <col min="6" max="6" width="12.75" style="1108" customWidth="1"/>
    <col min="7" max="7" width="2" style="1107" customWidth="1"/>
    <col min="8" max="8" width="10.625" style="1107" bestFit="1" customWidth="1"/>
    <col min="9" max="9" width="27.5" style="1107" bestFit="1" customWidth="1"/>
    <col min="10" max="10" width="11.625" style="1108" customWidth="1"/>
    <col min="11" max="11" width="12.875" style="1107" bestFit="1" customWidth="1"/>
    <col min="12" max="12" width="13.75" style="1107" bestFit="1" customWidth="1"/>
    <col min="13" max="13" width="12.75" style="1108" customWidth="1"/>
    <col min="14" max="16384" width="9" style="1107"/>
  </cols>
  <sheetData>
    <row r="1" spans="1:13" s="1127" customFormat="1" ht="18.75">
      <c r="A1" s="1320" t="s">
        <v>80</v>
      </c>
      <c r="B1" s="1321"/>
      <c r="C1" s="1321"/>
      <c r="D1" s="1321"/>
      <c r="E1" s="1321"/>
      <c r="F1" s="1322"/>
      <c r="H1" s="1320" t="s">
        <v>81</v>
      </c>
      <c r="I1" s="1321"/>
      <c r="J1" s="1321"/>
      <c r="K1" s="1321"/>
      <c r="L1" s="1321"/>
      <c r="M1" s="1322"/>
    </row>
    <row r="2" spans="1:13" s="1128" customFormat="1" ht="14.25" customHeight="1">
      <c r="A2" s="1129"/>
      <c r="B2" s="1130"/>
      <c r="C2" s="1131" t="s">
        <v>82</v>
      </c>
      <c r="D2" s="1130" t="s">
        <v>83</v>
      </c>
      <c r="E2" s="1131" t="s">
        <v>84</v>
      </c>
      <c r="F2" s="1132" t="s">
        <v>85</v>
      </c>
      <c r="H2" s="1129"/>
      <c r="I2" s="1130"/>
      <c r="J2" s="1131" t="s">
        <v>82</v>
      </c>
      <c r="K2" s="1130" t="s">
        <v>83</v>
      </c>
      <c r="L2" s="1131" t="s">
        <v>84</v>
      </c>
      <c r="M2" s="1132" t="s">
        <v>85</v>
      </c>
    </row>
    <row r="3" spans="1:13" ht="15.75">
      <c r="A3" s="1318" t="s">
        <v>86</v>
      </c>
      <c r="B3" s="1133" t="s">
        <v>87</v>
      </c>
      <c r="C3" s="1134" t="e" vm="1">
        <f>AVERAGE('[3]MADINAH Migration Plan-'!$L$5,'[3]MADINAH Migration Plan-'!$L$6,'[3]MADINAH Migration Plan-'!$L$11,'[3]MADINAH Migration Plan-'!$L$12,'[3]MADINAH Migration Plan-'!$L$16,'[3]MADINAH Migration Plan-'!$L$17,'[3]MADINAH Migration Plan-'!$L$21,'[3]MADINAH Migration Plan-'!$L$22,'[3]MADINAH Migration Plan-'!$L$26,'[3]MADINAH Migration Plan-'!$L$27,'[3]MADINAH Migration Plan-'!$L$31,'[3]MADINAH Migration Plan-'!$L$32,'[3]MADINAH Migration Plan-'!$L$36,'[3]MADINAH Migration Plan-'!$L$37,'[3]MADINAH Migration Plan-'!$L$41,'[3]MADINAH Migration Plan-'!$L$42,'[3]MADINAH Migration Plan-'!$L$46,'[3]MADINAH Migration Plan-'!$L$47,'[3]MADINAH Migration Plan-'!$L$51,'[3]MADINAH Migration Plan-'!$L$52)</f>
        <v>#VALUE!</v>
      </c>
      <c r="D3" s="1135" t="e" vm="1">
        <f>MAX('[3]MADINAH Migration Plan-'!$G$5,'[3]MADINAH Migration Plan-'!$G$6,'[3]MADINAH Migration Plan-'!$G$11,'[3]MADINAH Migration Plan-'!$G$12,'[3]MADINAH Migration Plan-'!$G$16,'[3]MADINAH Migration Plan-'!$G$17,'[3]MADINAH Migration Plan-'!$G$21,'[3]MADINAH Migration Plan-'!$G$22,'[3]MADINAH Migration Plan-'!$G$26,'[3]MADINAH Migration Plan-'!$G$27,'[3]MADINAH Migration Plan-'!$G$31,'[3]MADINAH Migration Plan-'!$G$32,'[3]MADINAH Migration Plan-'!G36,'[3]MADINAH Migration Plan-'!$G$37,'[3]MADINAH Migration Plan-'!$G$41,'[3]MADINAH Migration Plan-'!$G$42,'[3]MADINAH Migration Plan-'!$G$46,'[3]MADINAH Migration Plan-'!$G$47,'[3]MADINAH Migration Plan-'!$G$51,'[3]MADINAH Migration Plan-'!$G$52)</f>
        <v>#VALUE!</v>
      </c>
      <c r="E3" s="1136" t="e" vm="1">
        <f>MAX('[3]MADINAH Migration Plan-'!$I$5,'[3]MADINAH Migration Plan-'!$I$6,'[3]MADINAH Migration Plan-'!$I$11,'[3]MADINAH Migration Plan-'!$I$12,'[3]MADINAH Migration Plan-'!$I$16,'[3]MADINAH Migration Plan-'!$I$17,'[3]MADINAH Migration Plan-'!$I$21,'[3]MADINAH Migration Plan-'!$I$22,'[3]MADINAH Migration Plan-'!$I$26,'[3]MADINAH Migration Plan-'!$I$27,'[3]MADINAH Migration Plan-'!$I$31,'[3]MADINAH Migration Plan-'!$I$32,'[3]MADINAH Migration Plan-'!I36,'[3]MADINAH Migration Plan-'!$I$37,'[3]MADINAH Migration Plan-'!$I$41,'[3]MADINAH Migration Plan-'!$I$42,'[3]MADINAH Migration Plan-'!$I$46,'[3]MADINAH Migration Plan-'!$I$47,'[3]MADINAH Migration Plan-'!$I$51,'[3]MADINAH Migration Plan-'!$I$52)</f>
        <v>#VALUE!</v>
      </c>
      <c r="F3" s="1137" t="e" vm="2">
        <f>E3-D3</f>
        <v>#VALUE!</v>
      </c>
      <c r="H3" s="1318" t="s">
        <v>86</v>
      </c>
      <c r="I3" s="1133" t="s">
        <v>87</v>
      </c>
      <c r="J3" s="1134" t="e" vm="1">
        <f>AVERAGE('[3]ABHA Migration Plan'!L4,'[3]ABHA Migration Plan'!L5,'[3]ABHA Migration Plan'!L10,'[3]ABHA Migration Plan'!L11,'[3]ABHA Migration Plan'!L15,'[3]ABHA Migration Plan'!L16,'[3]ABHA Migration Plan'!L20,'[3]ABHA Migration Plan'!L21,'[3]ABHA Migration Plan'!L25,'[3]ABHA Migration Plan'!L26,'[3]ABHA Migration Plan'!L30,'[3]ABHA Migration Plan'!L31,'[3]ABHA Migration Plan'!L35,'[3]ABHA Migration Plan'!L36,'[3]ABHA Migration Plan'!L40,'[3]ABHA Migration Plan'!L41)</f>
        <v>#VALUE!</v>
      </c>
      <c r="K3" s="1135" t="e" vm="1">
        <f>'[3]ABHA Migration Plan'!G41</f>
        <v>#VALUE!</v>
      </c>
      <c r="L3" s="1135" t="e" vm="1">
        <f>'[3]ABHA Migration Plan'!I41</f>
        <v>#VALUE!</v>
      </c>
      <c r="M3" s="1137" t="e" vm="2">
        <f>L3-K3</f>
        <v>#VALUE!</v>
      </c>
    </row>
    <row r="4" spans="1:13" ht="15.75">
      <c r="A4" s="1318"/>
      <c r="B4" s="1133" t="s">
        <v>88</v>
      </c>
      <c r="C4" s="1134" t="e" vm="1">
        <f>AVERAGE('[3]MADINAH Migration Plan-'!$L$8,'[3]MADINAH Migration Plan-'!$L$9,'[3]MADINAH Migration Plan-'!$L$13,'[3]MADINAH Migration Plan-'!$L$14,'[3]MADINAH Migration Plan-'!$L$18,'[3]MADINAH Migration Plan-'!$L$19,'[3]MADINAH Migration Plan-'!$L$23,'[3]MADINAH Migration Plan-'!$L$24,'[3]MADINAH Migration Plan-'!$L$28,'[3]MADINAH Migration Plan-'!$L$29,'[3]MADINAH Migration Plan-'!$L$33,'[3]MADINAH Migration Plan-'!$L$34,'[3]MADINAH Migration Plan-'!$L$38,'[3]MADINAH Migration Plan-'!$L$39,'[3]MADINAH Migration Plan-'!$L$43,'[3]MADINAH Migration Plan-'!$L$44,'[3]MADINAH Migration Plan-'!$L$48,'[3]MADINAH Migration Plan-'!$L$49,'[3]MADINAH Migration Plan-'!$L$53,'[3]MADINAH Migration Plan-'!$L$54)</f>
        <v>#VALUE!</v>
      </c>
      <c r="D4" s="1135" t="e" vm="1">
        <f>MAX('[3]MADINAH Migration Plan-'!$G$9,'[3]MADINAH Migration Plan-'!$G$14,'[3]MADINAH Migration Plan-'!$G$19,'[3]MADINAH Migration Plan-'!$G$24,'[3]MADINAH Migration Plan-'!$G$29,'[3]MADINAH Migration Plan-'!$G$34,'[3]MADINAH Migration Plan-'!$G$39,'[3]MADINAH Migration Plan-'!$G$44,'[3]MADINAH Migration Plan-'!$G$49,'[3]MADINAH Migration Plan-'!$G$54)</f>
        <v>#VALUE!</v>
      </c>
      <c r="E4" s="1136" t="e" vm="1">
        <f>MAX('[3]MADINAH Migration Plan-'!$I$9,'[3]MADINAH Migration Plan-'!$I$14,'[3]MADINAH Migration Plan-'!$I$19,'[3]MADINAH Migration Plan-'!$I$24,'[3]MADINAH Migration Plan-'!$I$29,'[3]MADINAH Migration Plan-'!$I$34,'[3]MADINAH Migration Plan-'!$I$39,'[3]MADINAH Migration Plan-'!$I$44,'[3]MADINAH Migration Plan-'!$I$49,'[3]MADINAH Migration Plan-'!$I$54)</f>
        <v>#VALUE!</v>
      </c>
      <c r="F4" s="1137" t="e" vm="2">
        <f>E4-D4</f>
        <v>#VALUE!</v>
      </c>
      <c r="H4" s="1318"/>
      <c r="I4" s="1133" t="s">
        <v>88</v>
      </c>
      <c r="J4" s="1134" t="e" vm="1">
        <f>AVERAGE('[3]ABHA Migration Plan'!L7,'[3]ABHA Migration Plan'!L8,'[3]ABHA Migration Plan'!L12,'[3]ABHA Migration Plan'!L13,'[3]ABHA Migration Plan'!L17,'[3]ABHA Migration Plan'!L18,'[3]ABHA Migration Plan'!L22,'[3]ABHA Migration Plan'!L23,'[3]ABHA Migration Plan'!L27,'[3]ABHA Migration Plan'!L28,'[3]ABHA Migration Plan'!L32,'[3]ABHA Migration Plan'!L33,'[3]ABHA Migration Plan'!L37,'[3]ABHA Migration Plan'!L38,'[3]ABHA Migration Plan'!L42,'[3]ABHA Migration Plan'!L43)</f>
        <v>#VALUE!</v>
      </c>
      <c r="K4" s="1135" t="e" vm="1">
        <f>'[3]ABHA Migration Plan'!G43</f>
        <v>#VALUE!</v>
      </c>
      <c r="L4" s="1135" t="e" vm="1">
        <f>'[3]ABHA Migration Plan'!I43</f>
        <v>#VALUE!</v>
      </c>
      <c r="M4" s="1137" t="e" vm="2">
        <f>L4-K4</f>
        <v>#VALUE!</v>
      </c>
    </row>
    <row r="5" spans="1:13" ht="15.75">
      <c r="A5" s="1318"/>
      <c r="B5" s="1133" t="s">
        <v>89</v>
      </c>
      <c r="C5" s="1134" t="e" vm="1">
        <f>AVERAGE('[3]MADINAH Migration Plan-'!$L$62:$L$66)</f>
        <v>#VALUE!</v>
      </c>
      <c r="D5" s="1135" t="e" vm="1">
        <f>'[3]MADINAH Migration Plan-'!$G$66</f>
        <v>#VALUE!</v>
      </c>
      <c r="E5" s="1136" t="e" vm="1">
        <f>'[3]MADINAH Migration Plan-'!$I$66</f>
        <v>#VALUE!</v>
      </c>
      <c r="F5" s="1137" t="e" vm="2">
        <f>E5-D5</f>
        <v>#VALUE!</v>
      </c>
      <c r="H5" s="1318"/>
      <c r="I5" s="1133" t="s">
        <v>89</v>
      </c>
      <c r="J5" s="1134" t="e" vm="1">
        <f>AVERAGE('[3]ABHA Migration Plan'!L51:L55)</f>
        <v>#VALUE!</v>
      </c>
      <c r="K5" s="1135" t="e" vm="1">
        <f>'[3]ABHA Migration Plan'!G55</f>
        <v>#VALUE!</v>
      </c>
      <c r="L5" s="1135" t="e" vm="1">
        <f>'[3]ABHA Migration Plan'!I55</f>
        <v>#VALUE!</v>
      </c>
      <c r="M5" s="1137" t="e" vm="2">
        <f>L5-K5</f>
        <v>#VALUE!</v>
      </c>
    </row>
    <row r="6" spans="1:13" ht="15.75">
      <c r="A6" s="1318"/>
      <c r="B6" s="1133" t="s">
        <v>90</v>
      </c>
      <c r="C6" s="1134" t="e" vm="1">
        <f>'[3]MADINAH Migration Plan-'!$L$60</f>
        <v>#VALUE!</v>
      </c>
      <c r="D6" s="1135" t="e" vm="1">
        <f>'[3]MADINAH Migration Plan-'!$G$60</f>
        <v>#VALUE!</v>
      </c>
      <c r="E6" s="1136" t="e" vm="1">
        <f>'[3]MADINAH Migration Plan-'!$I$60</f>
        <v>#VALUE!</v>
      </c>
      <c r="F6" s="1137" t="e" vm="2">
        <f>E6-D6</f>
        <v>#VALUE!</v>
      </c>
      <c r="H6" s="1318"/>
      <c r="I6" s="1133" t="s">
        <v>90</v>
      </c>
      <c r="J6" s="1134" t="e" vm="1">
        <f>'[3]ABHA Migration Plan'!L49</f>
        <v>#VALUE!</v>
      </c>
      <c r="K6" s="1135" t="e" vm="1">
        <f>'[3]ABHA Migration Plan'!G49</f>
        <v>#VALUE!</v>
      </c>
      <c r="L6" s="1135" t="e" vm="1">
        <f>'[3]ABHA Migration Plan'!I49</f>
        <v>#VALUE!</v>
      </c>
      <c r="M6" s="1137" t="e" vm="2">
        <f>L6-K6</f>
        <v>#VALUE!</v>
      </c>
    </row>
    <row r="7" spans="1:13" ht="9" customHeight="1">
      <c r="A7" s="1315"/>
      <c r="B7" s="1316"/>
      <c r="C7" s="1316"/>
      <c r="D7" s="1316"/>
      <c r="E7" s="1316"/>
      <c r="F7" s="1317"/>
      <c r="H7" s="1315"/>
      <c r="I7" s="1316"/>
      <c r="J7" s="1316"/>
      <c r="K7" s="1316"/>
      <c r="L7" s="1316"/>
      <c r="M7" s="1317"/>
    </row>
    <row r="8" spans="1:13" ht="15.75">
      <c r="A8" s="1318" t="s">
        <v>91</v>
      </c>
      <c r="B8" s="1133" t="s">
        <v>87</v>
      </c>
      <c r="C8" s="1138" t="e" vm="1">
        <f>AVERAGE('[3]MADINAH Migration Plan-'!$L$75:$L$76)</f>
        <v>#VALUE!</v>
      </c>
      <c r="D8" s="1136" t="e" vm="1">
        <f>'[3]MADINAH Migration Plan-'!$G$76</f>
        <v>#VALUE!</v>
      </c>
      <c r="E8" s="1136" t="e" vm="1">
        <f>'[3]MADINAH Migration Plan-'!$I$76</f>
        <v>#VALUE!</v>
      </c>
      <c r="F8" s="1137" t="e" vm="2">
        <f>E8-D8</f>
        <v>#VALUE!</v>
      </c>
      <c r="H8" s="1318" t="s">
        <v>91</v>
      </c>
      <c r="I8" s="1133" t="s">
        <v>87</v>
      </c>
      <c r="J8" s="1138" t="e" vm="1">
        <f>AVERAGE('[3]ABHA Migration Plan'!L64:L65)</f>
        <v>#VALUE!</v>
      </c>
      <c r="K8" s="1136" t="e" vm="1">
        <f>'[3]ABHA Migration Plan'!G65</f>
        <v>#VALUE!</v>
      </c>
      <c r="L8" s="1136" t="e" vm="1">
        <f>'[3]ABHA Migration Plan'!I65</f>
        <v>#VALUE!</v>
      </c>
      <c r="M8" s="1137" t="e" vm="2">
        <f>L8-K8</f>
        <v>#VALUE!</v>
      </c>
    </row>
    <row r="9" spans="1:13" ht="15.75">
      <c r="A9" s="1318"/>
      <c r="B9" s="1133" t="s">
        <v>88</v>
      </c>
      <c r="C9" s="1134" t="e" vm="1">
        <f>'[3]MADINAH Migration Plan-'!$L$77</f>
        <v>#VALUE!</v>
      </c>
      <c r="D9" s="1136" t="e" vm="1">
        <f>'[3]MADINAH Migration Plan-'!$G$77</f>
        <v>#VALUE!</v>
      </c>
      <c r="E9" s="1136" t="e" vm="1">
        <f>'[3]MADINAH Migration Plan-'!$I$77</f>
        <v>#VALUE!</v>
      </c>
      <c r="F9" s="1137" t="e" vm="2">
        <f>E9-D9</f>
        <v>#VALUE!</v>
      </c>
      <c r="H9" s="1318"/>
      <c r="I9" s="1133" t="s">
        <v>88</v>
      </c>
      <c r="J9" s="1134" t="e" vm="1">
        <f>'[3]ABHA Migration Plan'!L66</f>
        <v>#VALUE!</v>
      </c>
      <c r="K9" s="1136" t="e" vm="1">
        <f>'[3]ABHA Migration Plan'!G66</f>
        <v>#VALUE!</v>
      </c>
      <c r="L9" s="1136" t="e" vm="1">
        <f>'[3]ABHA Migration Plan'!I66</f>
        <v>#VALUE!</v>
      </c>
      <c r="M9" s="1137" t="e" vm="2">
        <f>L9-K9</f>
        <v>#VALUE!</v>
      </c>
    </row>
    <row r="10" spans="1:13" ht="15.75">
      <c r="A10" s="1318"/>
      <c r="B10" s="1133" t="s">
        <v>89</v>
      </c>
      <c r="C10" s="1134" t="e" vm="1">
        <f>AVERAGE('[3]MADINAH Migration Plan-'!$L$80:$L$85)</f>
        <v>#VALUE!</v>
      </c>
      <c r="D10" s="1136" t="e" vm="1">
        <f>'[3]MADINAH Migration Plan-'!$G$85</f>
        <v>#VALUE!</v>
      </c>
      <c r="E10" s="1136" t="e" vm="1">
        <f>'[3]MADINAH Migration Plan-'!$I$85</f>
        <v>#VALUE!</v>
      </c>
      <c r="F10" s="1137" t="e" vm="2">
        <f>E10-D10</f>
        <v>#VALUE!</v>
      </c>
      <c r="H10" s="1318"/>
      <c r="I10" s="1133" t="s">
        <v>89</v>
      </c>
      <c r="J10" s="1134" t="e" vm="1">
        <f>AVERAGE('[3]ABHA Migration Plan'!L69:L74)</f>
        <v>#VALUE!</v>
      </c>
      <c r="K10" s="1136" t="e" vm="1">
        <f>'[3]ABHA Migration Plan'!G74</f>
        <v>#VALUE!</v>
      </c>
      <c r="L10" s="1136" t="e" vm="1">
        <f>'[3]ABHA Migration Plan'!I74</f>
        <v>#VALUE!</v>
      </c>
      <c r="M10" s="1137" t="e" vm="2">
        <f>L10-K10</f>
        <v>#VALUE!</v>
      </c>
    </row>
    <row r="11" spans="1:13" ht="15.75">
      <c r="A11" s="1319"/>
      <c r="B11" s="1133" t="s">
        <v>90</v>
      </c>
      <c r="C11" s="1139" t="e" vm="1">
        <f>'[3]MADINAH Migration Plan-'!$L$78</f>
        <v>#VALUE!</v>
      </c>
      <c r="D11" s="1140" t="e" vm="1">
        <f>'[3]MADINAH Migration Plan-'!$G$78</f>
        <v>#VALUE!</v>
      </c>
      <c r="E11" s="1140" t="e" vm="1">
        <f>'[3]MADINAH Migration Plan-'!$I$78</f>
        <v>#VALUE!</v>
      </c>
      <c r="F11" s="1141" t="e" vm="2">
        <f>E11-D11</f>
        <v>#VALUE!</v>
      </c>
      <c r="H11" s="1319"/>
      <c r="I11" s="1133" t="s">
        <v>90</v>
      </c>
      <c r="J11" s="1139" t="e" vm="1">
        <f>'[3]ABHA Migration Plan'!L67</f>
        <v>#VALUE!</v>
      </c>
      <c r="K11" s="1140" t="e" vm="1">
        <f>'[3]ABHA Migration Plan'!G67</f>
        <v>#VALUE!</v>
      </c>
      <c r="L11" s="1140" t="e" vm="1">
        <f>'[3]ABHA Migration Plan'!I67</f>
        <v>#VALUE!</v>
      </c>
      <c r="M11" s="1141" t="e" vm="2">
        <f>L11-K11</f>
        <v>#VALUE!</v>
      </c>
    </row>
    <row r="13" spans="1:13" ht="18.75">
      <c r="A13" s="1320" t="s">
        <v>92</v>
      </c>
      <c r="B13" s="1321"/>
      <c r="C13" s="1321"/>
      <c r="D13" s="1321"/>
      <c r="E13" s="1321"/>
      <c r="F13" s="1322"/>
      <c r="H13" s="1320" t="s">
        <v>93</v>
      </c>
      <c r="I13" s="1321"/>
      <c r="J13" s="1321"/>
      <c r="K13" s="1321"/>
      <c r="L13" s="1321"/>
      <c r="M13" s="1322"/>
    </row>
    <row r="14" spans="1:13" ht="14.25">
      <c r="A14" s="1129"/>
      <c r="B14" s="1130"/>
      <c r="C14" s="1131" t="s">
        <v>82</v>
      </c>
      <c r="D14" s="1130" t="s">
        <v>83</v>
      </c>
      <c r="E14" s="1131" t="s">
        <v>84</v>
      </c>
      <c r="F14" s="1132" t="s">
        <v>85</v>
      </c>
      <c r="H14" s="1129"/>
      <c r="I14" s="1130"/>
      <c r="J14" s="1131" t="s">
        <v>82</v>
      </c>
      <c r="K14" s="1130" t="s">
        <v>83</v>
      </c>
      <c r="L14" s="1131" t="s">
        <v>84</v>
      </c>
      <c r="M14" s="1132" t="s">
        <v>85</v>
      </c>
    </row>
    <row r="15" spans="1:13" ht="15.75">
      <c r="A15" s="1318" t="s">
        <v>86</v>
      </c>
      <c r="B15" s="1133" t="s">
        <v>87</v>
      </c>
      <c r="C15" s="1134" t="e" vm="1">
        <f>AVERAGE('[3]Jeddah Migration Plan'!L5,'[3]Jeddah Migration Plan'!L8,'[3]Jeddah Migration Plan'!L13,'[3]Jeddah Migration Plan'!L14,'[3]Jeddah Migration Plan'!L18,'[3]Jeddah Migration Plan'!L19,'[3]Jeddah Migration Plan'!L23,'[3]Jeddah Migration Plan'!L24,'[3]Jeddah Migration Plan'!L28,'[3]Jeddah Migration Plan'!L29,'[3]Jeddah Migration Plan'!L33,'[3]Jeddah Migration Plan'!L34,'[3]Jeddah Migration Plan'!L38,'[3]Jeddah Migration Plan'!L39,'[3]Jeddah Migration Plan'!L43,'[3]Jeddah Migration Plan'!L44,'[3]Jeddah Migration Plan'!L48,'[3]Jeddah Migration Plan'!L49,'[3]Jeddah Migration Plan'!L53,'[3]Jeddah Migration Plan'!L54)</f>
        <v>#VALUE!</v>
      </c>
      <c r="D15" s="1135" t="e" vm="1">
        <f>'[3]Jeddah Migration Plan'!G53</f>
        <v>#VALUE!</v>
      </c>
      <c r="E15" s="1136" t="e" vm="1">
        <f>'[3]Jeddah Migration Plan'!I53</f>
        <v>#VALUE!</v>
      </c>
      <c r="F15" s="1137" t="e" vm="2">
        <f>E15-D15</f>
        <v>#VALUE!</v>
      </c>
      <c r="H15" s="1318" t="s">
        <v>86</v>
      </c>
      <c r="I15" s="1133" t="s">
        <v>87</v>
      </c>
      <c r="J15" s="1134" t="e" vm="1">
        <f>AVERAGE('[3]Jizan Migration Plan'!L5,'[3]Jizan Migration Plan'!L6,'[3]Jizan Migration Plan'!L11,'[3]Jizan Migration Plan'!L12,'[3]Jizan Migration Plan'!L16,'[3]Jizan Migration Plan'!L17,'[3]Jizan Migration Plan'!L21,'[3]Jizan Migration Plan'!L22,'[3]Jizan Migration Plan'!L26,'[3]Jizan Migration Plan'!L27,'[3]Jizan Migration Plan'!L31,'[3]Jizan Migration Plan'!L32,'[3]Jizan Migration Plan'!L36,'[3]Jizan Migration Plan'!L37,'[3]Jizan Migration Plan'!L41,'[3]Jizan Migration Plan'!L42)</f>
        <v>#VALUE!</v>
      </c>
      <c r="K15" s="1135" t="e" vm="1">
        <f>'[3]Jizan Migration Plan'!G42</f>
        <v>#VALUE!</v>
      </c>
      <c r="L15" s="1135" t="e" vm="1">
        <f>'[3]Jizan Migration Plan'!I42</f>
        <v>#VALUE!</v>
      </c>
      <c r="M15" s="1137" t="e" vm="2">
        <f>L15-K15</f>
        <v>#VALUE!</v>
      </c>
    </row>
    <row r="16" spans="1:13" ht="15.75">
      <c r="A16" s="1318"/>
      <c r="B16" s="1133" t="s">
        <v>88</v>
      </c>
      <c r="C16" s="1134" t="e" vm="1">
        <f>AVERAGE('[3]Jeddah Migration Plan'!L10,'[3]Jeddah Migration Plan'!L11,'[3]Jeddah Migration Plan'!L15,'[3]Jeddah Migration Plan'!L16,'[3]Jeddah Migration Plan'!L20,'[3]Jeddah Migration Plan'!L21,'[3]Jeddah Migration Plan'!L25,'[3]Jeddah Migration Plan'!L26,'[3]Jeddah Migration Plan'!L30,'[3]Jeddah Migration Plan'!L31,'[3]Jeddah Migration Plan'!L35,'[3]Jeddah Migration Plan'!L36,'[3]Jeddah Migration Plan'!L40,'[3]Jeddah Migration Plan'!L41,'[3]Jeddah Migration Plan'!L45,'[3]Jeddah Migration Plan'!L46,'[3]Jeddah Migration Plan'!L50,'[3]Jeddah Migration Plan'!L51,'[3]Jeddah Migration Plan'!L55,'[3]Jeddah Migration Plan'!L56)</f>
        <v>#VALUE!</v>
      </c>
      <c r="D16" s="1135" t="e" vm="1">
        <f>'[3]Jeddah Migration Plan'!G56</f>
        <v>#VALUE!</v>
      </c>
      <c r="E16" s="1136" t="e" vm="1">
        <f>'[3]Jeddah Migration Plan'!I56</f>
        <v>#VALUE!</v>
      </c>
      <c r="F16" s="1137" t="e" vm="2">
        <f>E16-D16</f>
        <v>#VALUE!</v>
      </c>
      <c r="H16" s="1318"/>
      <c r="I16" s="1133" t="s">
        <v>88</v>
      </c>
      <c r="J16" s="1134" t="e" vm="1">
        <f>AVERAGE('[3]Jizan Migration Plan'!L8,'[3]Jizan Migration Plan'!L9,'[3]Jizan Migration Plan'!L13,'[3]Jizan Migration Plan'!L14,'[3]Jizan Migration Plan'!L18,'[3]Jizan Migration Plan'!L19,'[3]Jizan Migration Plan'!L23,'[3]Jizan Migration Plan'!L24,'[3]Jizan Migration Plan'!L28,'[3]Jizan Migration Plan'!L29,'[3]Jizan Migration Plan'!L33,'[3]Jizan Migration Plan'!L34,'[3]Jizan Migration Plan'!L38,'[3]Jizan Migration Plan'!L39,'[3]Jizan Migration Plan'!L43,'[3]Jizan Migration Plan'!L44)</f>
        <v>#VALUE!</v>
      </c>
      <c r="K16" s="1135" t="e" vm="1">
        <f>'[3]Jizan Migration Plan'!G44</f>
        <v>#VALUE!</v>
      </c>
      <c r="L16" s="1135" t="e" vm="1">
        <f>'[3]Jizan Migration Plan'!I44</f>
        <v>#VALUE!</v>
      </c>
      <c r="M16" s="1137" t="e" vm="2">
        <f>L16-K16</f>
        <v>#VALUE!</v>
      </c>
    </row>
    <row r="17" spans="1:13" ht="15.75">
      <c r="A17" s="1318"/>
      <c r="B17" s="1133" t="s">
        <v>89</v>
      </c>
      <c r="C17" s="1134" t="e" vm="1">
        <f>AVERAGE('[3]Jeddah Migration Plan'!L64:L68)</f>
        <v>#VALUE!</v>
      </c>
      <c r="D17" s="1135" t="e" vm="1">
        <f>'[3]Jeddah Migration Plan'!G68</f>
        <v>#VALUE!</v>
      </c>
      <c r="E17" s="1136" t="e" vm="1">
        <f>'[3]Jeddah Migration Plan'!I68</f>
        <v>#VALUE!</v>
      </c>
      <c r="F17" s="1137" t="e" vm="2">
        <f>E17-D17</f>
        <v>#VALUE!</v>
      </c>
      <c r="H17" s="1318"/>
      <c r="I17" s="1133" t="s">
        <v>89</v>
      </c>
      <c r="J17" s="1134" t="e" vm="1">
        <f>AVERAGE('[3]Jizan Migration Plan'!L52:L56)</f>
        <v>#VALUE!</v>
      </c>
      <c r="K17" s="1135" t="e" vm="1">
        <f>'[3]Jizan Migration Plan'!G56</f>
        <v>#VALUE!</v>
      </c>
      <c r="L17" s="1135" t="e" vm="1">
        <f>'[3]Jizan Migration Plan'!I56</f>
        <v>#VALUE!</v>
      </c>
      <c r="M17" s="1137" t="e" vm="2">
        <f>L17-K17</f>
        <v>#VALUE!</v>
      </c>
    </row>
    <row r="18" spans="1:13" ht="15.75">
      <c r="A18" s="1318"/>
      <c r="B18" s="1133" t="s">
        <v>90</v>
      </c>
      <c r="C18" s="1134" t="e" vm="1">
        <f>'[3]Jeddah Migration Plan'!$L$60</f>
        <v>#VALUE!</v>
      </c>
      <c r="D18" s="1135" t="e" vm="1">
        <f>'[3]Jeddah Migration Plan'!G62</f>
        <v>#VALUE!</v>
      </c>
      <c r="E18" s="1136" t="e" vm="1">
        <f>'[3]Jeddah Migration Plan'!I62</f>
        <v>#VALUE!</v>
      </c>
      <c r="F18" s="1137" t="e" vm="2">
        <f>E18-D18</f>
        <v>#VALUE!</v>
      </c>
      <c r="H18" s="1318"/>
      <c r="I18" s="1133" t="s">
        <v>90</v>
      </c>
      <c r="J18" s="1134" t="e" vm="1">
        <f>'[3]Jizan Migration Plan'!L502</f>
        <v>#VALUE!</v>
      </c>
      <c r="K18" s="1135" t="e" vm="1">
        <f>'[3]Jizan Migration Plan'!G50</f>
        <v>#VALUE!</v>
      </c>
      <c r="L18" s="1135" t="e" vm="1">
        <f>'[3]Jizan Migration Plan'!I50</f>
        <v>#VALUE!</v>
      </c>
      <c r="M18" s="1137" t="e" vm="2">
        <f>L18-K18</f>
        <v>#VALUE!</v>
      </c>
    </row>
    <row r="19" spans="1:13">
      <c r="A19" s="1315"/>
      <c r="B19" s="1316"/>
      <c r="C19" s="1316"/>
      <c r="D19" s="1316"/>
      <c r="E19" s="1316"/>
      <c r="F19" s="1317"/>
      <c r="H19" s="1315"/>
      <c r="I19" s="1316"/>
      <c r="J19" s="1316"/>
      <c r="K19" s="1316"/>
      <c r="L19" s="1316"/>
      <c r="M19" s="1317"/>
    </row>
    <row r="20" spans="1:13" ht="15.75">
      <c r="A20" s="1318" t="s">
        <v>91</v>
      </c>
      <c r="B20" s="1133" t="s">
        <v>87</v>
      </c>
      <c r="C20" s="1138" t="e" vm="1">
        <f>AVERAGE('[3]Jeddah Migration Plan'!L77:L78)</f>
        <v>#VALUE!</v>
      </c>
      <c r="D20" s="1136" t="e" vm="1">
        <f>'[3]Jeddah Migration Plan'!G78</f>
        <v>#VALUE!</v>
      </c>
      <c r="E20" s="1136" t="e" vm="1">
        <f>'[3]Jeddah Migration Plan'!I78</f>
        <v>#VALUE!</v>
      </c>
      <c r="F20" s="1137" t="e" vm="2">
        <f>E20-D20</f>
        <v>#VALUE!</v>
      </c>
      <c r="H20" s="1318" t="s">
        <v>91</v>
      </c>
      <c r="I20" s="1133" t="s">
        <v>87</v>
      </c>
      <c r="J20" s="1138" t="e" vm="1">
        <f>AVERAGE('[3]Jizan Migration Plan'!L65:L66)</f>
        <v>#VALUE!</v>
      </c>
      <c r="K20" s="1136" t="e" vm="1">
        <f>'[3]Jizan Migration Plan'!G66</f>
        <v>#VALUE!</v>
      </c>
      <c r="L20" s="1136" t="e" vm="1">
        <f>'[3]Jizan Migration Plan'!I66</f>
        <v>#VALUE!</v>
      </c>
      <c r="M20" s="1137" t="e" vm="2">
        <f>L20-K20</f>
        <v>#VALUE!</v>
      </c>
    </row>
    <row r="21" spans="1:13" ht="15.75">
      <c r="A21" s="1318"/>
      <c r="B21" s="1133" t="s">
        <v>88</v>
      </c>
      <c r="C21" s="1134" t="e" vm="1">
        <f>'[3]Jeddah Migration Plan'!L79</f>
        <v>#VALUE!</v>
      </c>
      <c r="D21" s="1136" t="e" vm="1">
        <f>'[3]Jeddah Migration Plan'!G79</f>
        <v>#VALUE!</v>
      </c>
      <c r="E21" s="1136" t="e" vm="1">
        <f>'[3]Jeddah Migration Plan'!I79</f>
        <v>#VALUE!</v>
      </c>
      <c r="F21" s="1137" t="e" vm="2">
        <f>E21-D21</f>
        <v>#VALUE!</v>
      </c>
      <c r="H21" s="1318"/>
      <c r="I21" s="1133" t="s">
        <v>88</v>
      </c>
      <c r="J21" s="1134" t="e" vm="1">
        <f>'[3]Jizan Migration Plan'!L67</f>
        <v>#VALUE!</v>
      </c>
      <c r="K21" s="1136" t="e" vm="1">
        <f>'[3]Jizan Migration Plan'!G67</f>
        <v>#VALUE!</v>
      </c>
      <c r="L21" s="1136" t="e" vm="1">
        <f>'[3]Jizan Migration Plan'!I67</f>
        <v>#VALUE!</v>
      </c>
      <c r="M21" s="1137" t="e" vm="2">
        <f>L21-K21</f>
        <v>#VALUE!</v>
      </c>
    </row>
    <row r="22" spans="1:13" ht="15.75">
      <c r="A22" s="1318"/>
      <c r="B22" s="1133" t="s">
        <v>89</v>
      </c>
      <c r="C22" s="1134" t="e" vm="1">
        <f>AVERAGE('[3]Jeddah Migration Plan'!L82:L87)</f>
        <v>#VALUE!</v>
      </c>
      <c r="D22" s="1136" t="e" vm="1">
        <f>'[3]Jeddah Migration Plan'!G87</f>
        <v>#VALUE!</v>
      </c>
      <c r="E22" s="1136" t="e" vm="1">
        <f>'[3]Jeddah Migration Plan'!I87</f>
        <v>#VALUE!</v>
      </c>
      <c r="F22" s="1137" t="e" vm="2">
        <f>E22-D22</f>
        <v>#VALUE!</v>
      </c>
      <c r="H22" s="1318"/>
      <c r="I22" s="1133" t="s">
        <v>89</v>
      </c>
      <c r="J22" s="1134" t="e" vm="1">
        <f>AVERAGE('[3]Jizan Migration Plan'!L70:L75)</f>
        <v>#VALUE!</v>
      </c>
      <c r="K22" s="1136" t="e" vm="1">
        <f>'[3]Jizan Migration Plan'!G75</f>
        <v>#VALUE!</v>
      </c>
      <c r="L22" s="1136" t="e" vm="1">
        <f>'[3]Jizan Migration Plan'!I75</f>
        <v>#VALUE!</v>
      </c>
      <c r="M22" s="1137" t="e" vm="2">
        <f>L22-K22</f>
        <v>#VALUE!</v>
      </c>
    </row>
    <row r="23" spans="1:13" ht="15.75">
      <c r="A23" s="1319"/>
      <c r="B23" s="1133" t="s">
        <v>90</v>
      </c>
      <c r="C23" s="1139" t="e" vm="1">
        <f>'[3]Jeddah Migration Plan'!L80</f>
        <v>#VALUE!</v>
      </c>
      <c r="D23" s="1140" t="e" vm="1">
        <f>'[3]Jeddah Migration Plan'!G80</f>
        <v>#VALUE!</v>
      </c>
      <c r="E23" s="1140" t="e" vm="1">
        <f>'[3]Jeddah Migration Plan'!I80</f>
        <v>#VALUE!</v>
      </c>
      <c r="F23" s="1141" t="e" vm="2">
        <f>E23-D23</f>
        <v>#VALUE!</v>
      </c>
      <c r="H23" s="1319"/>
      <c r="I23" s="1133" t="s">
        <v>90</v>
      </c>
      <c r="J23" s="1139" t="e" vm="1">
        <f>'[3]Jizan Migration Plan'!L68</f>
        <v>#VALUE!</v>
      </c>
      <c r="K23" s="1140" t="e" vm="1">
        <f>'[3]Jizan Migration Plan'!G68</f>
        <v>#VALUE!</v>
      </c>
      <c r="L23" s="1140" t="e" vm="1">
        <f>'[3]Jizan Migration Plan'!I68</f>
        <v>#VALUE!</v>
      </c>
      <c r="M23" s="1141" t="e" vm="2">
        <f>L23-K23</f>
        <v>#VALUE!</v>
      </c>
    </row>
    <row r="25" spans="1:13" ht="18.75">
      <c r="A25" s="1320" t="s">
        <v>94</v>
      </c>
      <c r="B25" s="1321"/>
      <c r="C25" s="1321"/>
      <c r="D25" s="1321"/>
      <c r="E25" s="1321"/>
      <c r="F25" s="1322"/>
      <c r="H25" s="1323"/>
      <c r="I25" s="1324"/>
      <c r="J25" s="1324"/>
      <c r="K25" s="1324"/>
      <c r="L25" s="1324"/>
      <c r="M25" s="1325"/>
    </row>
    <row r="26" spans="1:13" ht="14.25" customHeight="1">
      <c r="A26" s="1129"/>
      <c r="B26" s="1130"/>
      <c r="C26" s="1131" t="s">
        <v>82</v>
      </c>
      <c r="D26" s="1130" t="s">
        <v>83</v>
      </c>
      <c r="E26" s="1131" t="s">
        <v>84</v>
      </c>
      <c r="F26" s="1132" t="s">
        <v>85</v>
      </c>
      <c r="H26" s="1326"/>
      <c r="I26" s="1327"/>
      <c r="J26" s="1327"/>
      <c r="K26" s="1327"/>
      <c r="L26" s="1327"/>
      <c r="M26" s="1328"/>
    </row>
    <row r="27" spans="1:13" ht="15.75" customHeight="1">
      <c r="A27" s="1318" t="s">
        <v>86</v>
      </c>
      <c r="B27" s="1133" t="s">
        <v>87</v>
      </c>
      <c r="C27" s="1134" t="e" vm="1">
        <f>AVERAGE('[3]Makkah Migration Plan'!L5,'[3]Makkah Migration Plan'!L8,'[3]Makkah Migration Plan'!L13,'[3]Makkah Migration Plan'!L14,'[3]Makkah Migration Plan'!L18,'[3]Makkah Migration Plan'!L19,'[3]Makkah Migration Plan'!L23,'[3]Makkah Migration Plan'!L24,'[3]Makkah Migration Plan'!L28,'[3]Makkah Migration Plan'!L29,'[3]Makkah Migration Plan'!L33,'[3]Makkah Migration Plan'!L34,'[3]Makkah Migration Plan'!L38,'[3]Makkah Migration Plan'!L39,'[3]Makkah Migration Plan'!L43,'[3]Makkah Migration Plan'!L44,'[3]Makkah Migration Plan'!L48,'[3]Makkah Migration Plan'!L49,'[3]Makkah Migration Plan'!L53,'[3]Makkah Migration Plan'!L54)</f>
        <v>#VALUE!</v>
      </c>
      <c r="D27" s="1135" t="e" vm="1">
        <f>'[3]Makkah Migration Plan'!$G$54</f>
        <v>#VALUE!</v>
      </c>
      <c r="E27" s="1135" t="e" vm="1">
        <f>'[3]Makkah Migration Plan'!$I$54</f>
        <v>#VALUE!</v>
      </c>
      <c r="F27" s="1137" t="e" vm="2">
        <f>E27-D27</f>
        <v>#VALUE!</v>
      </c>
      <c r="H27" s="1326"/>
      <c r="I27" s="1327"/>
      <c r="J27" s="1327"/>
      <c r="K27" s="1327"/>
      <c r="L27" s="1327"/>
      <c r="M27" s="1328"/>
    </row>
    <row r="28" spans="1:13" ht="15.75" customHeight="1">
      <c r="A28" s="1318"/>
      <c r="B28" s="1133" t="s">
        <v>88</v>
      </c>
      <c r="C28" s="1134" t="e" vm="1">
        <f>AVERAGE('[3]Makkah Migration Plan'!L10,'[3]Makkah Migration Plan'!L11,'[3]Makkah Migration Plan'!L15,'[3]Makkah Migration Plan'!L16,'[3]Makkah Migration Plan'!L20,'[3]Makkah Migration Plan'!L21,'[3]Makkah Migration Plan'!L25,'[3]Makkah Migration Plan'!L26,'[3]Makkah Migration Plan'!L30,'[3]Makkah Migration Plan'!L31,'[3]Makkah Migration Plan'!L35,'[3]Makkah Migration Plan'!L36,'[3]Makkah Migration Plan'!L40,'[3]Makkah Migration Plan'!L41,'[3]Makkah Migration Plan'!L45,'[3]Makkah Migration Plan'!L46,'[3]Makkah Migration Plan'!L50,'[3]Makkah Migration Plan'!L51,'[3]Makkah Migration Plan'!L55,'[3]Makkah Migration Plan'!L56)</f>
        <v>#VALUE!</v>
      </c>
      <c r="D28" s="1135" t="e" vm="1">
        <f>'[3]Makkah Migration Plan'!$G$56</f>
        <v>#VALUE!</v>
      </c>
      <c r="E28" s="1135" t="e" vm="1">
        <f>'[3]Makkah Migration Plan'!$I$56</f>
        <v>#VALUE!</v>
      </c>
      <c r="F28" s="1137" t="e" vm="2">
        <f>E28-D28</f>
        <v>#VALUE!</v>
      </c>
      <c r="H28" s="1326"/>
      <c r="I28" s="1327"/>
      <c r="J28" s="1327"/>
      <c r="K28" s="1327"/>
      <c r="L28" s="1327"/>
      <c r="M28" s="1328"/>
    </row>
    <row r="29" spans="1:13" ht="15.75" customHeight="1">
      <c r="A29" s="1318"/>
      <c r="B29" s="1133" t="s">
        <v>89</v>
      </c>
      <c r="C29" s="1134" t="e" vm="1">
        <f>AVERAGE('[3]Makkah Migration Plan'!L64:L68)</f>
        <v>#VALUE!</v>
      </c>
      <c r="D29" s="1135" t="e" vm="1">
        <f>'[3]Makkah Migration Plan'!$G$68</f>
        <v>#VALUE!</v>
      </c>
      <c r="E29" s="1135" t="e" vm="1">
        <f>'[3]Makkah Migration Plan'!$I$68</f>
        <v>#VALUE!</v>
      </c>
      <c r="F29" s="1137" t="e" vm="2">
        <f>E29-D29</f>
        <v>#VALUE!</v>
      </c>
      <c r="H29" s="1326"/>
      <c r="I29" s="1327"/>
      <c r="J29" s="1327"/>
      <c r="K29" s="1327"/>
      <c r="L29" s="1327"/>
      <c r="M29" s="1328"/>
    </row>
    <row r="30" spans="1:13" ht="15.75" customHeight="1">
      <c r="A30" s="1318"/>
      <c r="B30" s="1133" t="s">
        <v>90</v>
      </c>
      <c r="C30" s="1134" t="e" vm="1">
        <f>'[3]Makkah Migration Plan'!L62</f>
        <v>#VALUE!</v>
      </c>
      <c r="D30" s="1135" t="e" vm="1">
        <f>'[3]Makkah Migration Plan'!$G$62</f>
        <v>#VALUE!</v>
      </c>
      <c r="E30" s="1135" t="e" vm="1">
        <f>'[3]Makkah Migration Plan'!$I$62</f>
        <v>#VALUE!</v>
      </c>
      <c r="F30" s="1137" t="e" vm="2">
        <f>E30-D30</f>
        <v>#VALUE!</v>
      </c>
      <c r="H30" s="1326"/>
      <c r="I30" s="1327"/>
      <c r="J30" s="1327"/>
      <c r="K30" s="1327"/>
      <c r="L30" s="1327"/>
      <c r="M30" s="1328"/>
    </row>
    <row r="31" spans="1:13" ht="13.5" customHeight="1">
      <c r="A31" s="1315"/>
      <c r="B31" s="1316"/>
      <c r="C31" s="1316"/>
      <c r="D31" s="1316"/>
      <c r="E31" s="1316"/>
      <c r="F31" s="1317"/>
      <c r="H31" s="1326"/>
      <c r="I31" s="1327"/>
      <c r="J31" s="1327"/>
      <c r="K31" s="1327"/>
      <c r="L31" s="1327"/>
      <c r="M31" s="1328"/>
    </row>
    <row r="32" spans="1:13" ht="15.75" customHeight="1">
      <c r="A32" s="1318" t="s">
        <v>91</v>
      </c>
      <c r="B32" s="1133" t="s">
        <v>87</v>
      </c>
      <c r="C32" s="1138" t="e" vm="1">
        <f>AVERAGEA('[3]Makkah Migration Plan'!L77:L78)</f>
        <v>#VALUE!</v>
      </c>
      <c r="D32" s="1136" t="e" vm="1">
        <f>'[3]Makkah Migration Plan'!$G$78</f>
        <v>#VALUE!</v>
      </c>
      <c r="E32" s="1136" t="e" vm="1">
        <f>'[3]Makkah Migration Plan'!$I$78</f>
        <v>#VALUE!</v>
      </c>
      <c r="F32" s="1137" t="e" vm="2">
        <f>E32-D32</f>
        <v>#VALUE!</v>
      </c>
      <c r="H32" s="1326"/>
      <c r="I32" s="1327"/>
      <c r="J32" s="1327"/>
      <c r="K32" s="1327"/>
      <c r="L32" s="1327"/>
      <c r="M32" s="1328"/>
    </row>
    <row r="33" spans="1:13" ht="15.75" customHeight="1">
      <c r="A33" s="1318"/>
      <c r="B33" s="1133" t="s">
        <v>88</v>
      </c>
      <c r="C33" s="1134" t="e" vm="1">
        <f>'[3]Makkah Migration Plan'!L79</f>
        <v>#VALUE!</v>
      </c>
      <c r="D33" s="1136" t="e" vm="1">
        <f>'[3]Makkah Migration Plan'!$G$79</f>
        <v>#VALUE!</v>
      </c>
      <c r="E33" s="1136" t="e" vm="1">
        <f>'[3]Makkah Migration Plan'!$I$79</f>
        <v>#VALUE!</v>
      </c>
      <c r="F33" s="1137" t="e" vm="2">
        <f>E33-D33</f>
        <v>#VALUE!</v>
      </c>
      <c r="H33" s="1326"/>
      <c r="I33" s="1327"/>
      <c r="J33" s="1327"/>
      <c r="K33" s="1327"/>
      <c r="L33" s="1327"/>
      <c r="M33" s="1328"/>
    </row>
    <row r="34" spans="1:13" ht="15.75" customHeight="1">
      <c r="A34" s="1318"/>
      <c r="B34" s="1133" t="s">
        <v>89</v>
      </c>
      <c r="C34" s="1134" t="e" vm="1">
        <f>AVERAGE('[3]Makkah Migration Plan'!L82:L87)</f>
        <v>#VALUE!</v>
      </c>
      <c r="D34" s="1136" t="e" vm="1">
        <f>'[3]Makkah Migration Plan'!$G$87</f>
        <v>#VALUE!</v>
      </c>
      <c r="E34" s="1136" t="e" vm="1">
        <f>'[3]Makkah Migration Plan'!$I$87</f>
        <v>#VALUE!</v>
      </c>
      <c r="F34" s="1137" t="e" vm="2">
        <f>E34-D34</f>
        <v>#VALUE!</v>
      </c>
      <c r="H34" s="1326"/>
      <c r="I34" s="1327"/>
      <c r="J34" s="1327"/>
      <c r="K34" s="1327"/>
      <c r="L34" s="1327"/>
      <c r="M34" s="1328"/>
    </row>
    <row r="35" spans="1:13" ht="15.75" customHeight="1">
      <c r="A35" s="1319"/>
      <c r="B35" s="1142" t="s">
        <v>95</v>
      </c>
      <c r="C35" s="1139" t="e" vm="1">
        <f>'[3]Makkah Migration Plan'!L80</f>
        <v>#VALUE!</v>
      </c>
      <c r="D35" s="1140" t="e" vm="1">
        <f>'[3]Makkah Migration Plan'!$G$80</f>
        <v>#VALUE!</v>
      </c>
      <c r="E35" s="1140" t="e" vm="1">
        <f>'[3]Makkah Migration Plan'!$I$80</f>
        <v>#VALUE!</v>
      </c>
      <c r="F35" s="1141" t="e" vm="2">
        <f>E35-D35</f>
        <v>#VALUE!</v>
      </c>
      <c r="H35" s="1329"/>
      <c r="I35" s="1330"/>
      <c r="J35" s="1330"/>
      <c r="K35" s="1330"/>
      <c r="L35" s="1330"/>
      <c r="M35" s="1331"/>
    </row>
  </sheetData>
  <mergeCells count="21">
    <mergeCell ref="A1:F1"/>
    <mergeCell ref="H1:M1"/>
    <mergeCell ref="A3:A6"/>
    <mergeCell ref="H3:H6"/>
    <mergeCell ref="A7:F7"/>
    <mergeCell ref="H7:M7"/>
    <mergeCell ref="A8:A11"/>
    <mergeCell ref="H8:H11"/>
    <mergeCell ref="A13:F13"/>
    <mergeCell ref="H13:M13"/>
    <mergeCell ref="A15:A18"/>
    <mergeCell ref="H15:H18"/>
    <mergeCell ref="A19:F19"/>
    <mergeCell ref="H19:M19"/>
    <mergeCell ref="A20:A23"/>
    <mergeCell ref="H20:H23"/>
    <mergeCell ref="A25:F25"/>
    <mergeCell ref="H25:M35"/>
    <mergeCell ref="A27:A30"/>
    <mergeCell ref="A31:F31"/>
    <mergeCell ref="A32:A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B1:AJ101"/>
  <sheetViews>
    <sheetView showGridLines="0" zoomScale="75" workbookViewId="0">
      <pane ySplit="2" topLeftCell="B59" activePane="bottomLeft" state="frozen"/>
      <selection pane="bottomLeft" activeCell="B59" sqref="B59:B61"/>
    </sheetView>
  </sheetViews>
  <sheetFormatPr defaultColWidth="9" defaultRowHeight="15.75" customHeight="1"/>
  <cols>
    <col min="1" max="1" width="0.625" style="154" customWidth="1"/>
    <col min="2" max="2" width="16" style="154" customWidth="1"/>
    <col min="3" max="3" width="6.25" style="154" bestFit="1" customWidth="1"/>
    <col min="4" max="4" width="32.375" style="263" customWidth="1"/>
    <col min="5" max="5" width="12.125" style="264" bestFit="1" customWidth="1"/>
    <col min="6" max="6" width="12.375" style="260" customWidth="1"/>
    <col min="7" max="8" width="13.25" style="260" bestFit="1" customWidth="1"/>
    <col min="9" max="9" width="14" style="260" bestFit="1" customWidth="1"/>
    <col min="10" max="10" width="22.625" style="260" customWidth="1"/>
    <col min="11" max="11" width="22" style="260" customWidth="1"/>
    <col min="12" max="12" width="10" style="305" bestFit="1" customWidth="1"/>
    <col min="13" max="13" width="14.875" style="305" customWidth="1"/>
    <col min="14" max="14" width="17.875" style="305" bestFit="1" customWidth="1"/>
    <col min="15" max="15" width="1.5" style="154" customWidth="1"/>
    <col min="16" max="22" width="9.125" style="154" hidden="1" customWidth="1"/>
    <col min="23" max="26" width="42.625" style="157" customWidth="1"/>
    <col min="27" max="27" width="37.375" style="157" customWidth="1"/>
    <col min="28" max="28" width="42.625" style="157" customWidth="1"/>
    <col min="29" max="29" width="8.375" style="154" hidden="1" customWidth="1"/>
    <col min="30" max="30" width="9" style="154"/>
    <col min="31" max="31" width="15.125" style="154" hidden="1" customWidth="1"/>
    <col min="32" max="32" width="12.125" style="158" hidden="1" customWidth="1"/>
    <col min="33" max="33" width="10.125" style="158" hidden="1" customWidth="1"/>
    <col min="34" max="35" width="9" style="154"/>
    <col min="36" max="36" width="10.125" style="154" hidden="1" customWidth="1"/>
    <col min="37" max="16384" width="9" style="154"/>
  </cols>
  <sheetData>
    <row r="1" spans="2:36" ht="5.45" customHeight="1" thickBot="1">
      <c r="F1" s="251"/>
      <c r="G1" s="251"/>
      <c r="H1" s="251"/>
      <c r="I1" s="251"/>
      <c r="J1" s="251"/>
      <c r="K1" s="251"/>
      <c r="L1" s="265"/>
      <c r="M1" s="265"/>
      <c r="N1" s="265"/>
      <c r="O1" s="771"/>
    </row>
    <row r="2" spans="2:36" ht="24" customHeight="1" thickBot="1">
      <c r="B2" s="159"/>
      <c r="C2" s="159" t="s">
        <v>96</v>
      </c>
      <c r="D2" s="266" t="s">
        <v>1</v>
      </c>
      <c r="E2" s="266" t="s">
        <v>97</v>
      </c>
      <c r="F2" s="929" t="s">
        <v>98</v>
      </c>
      <c r="G2" s="930" t="s">
        <v>83</v>
      </c>
      <c r="H2" s="930" t="s">
        <v>99</v>
      </c>
      <c r="I2" s="930" t="s">
        <v>84</v>
      </c>
      <c r="J2" s="931" t="s">
        <v>100</v>
      </c>
      <c r="K2" s="931" t="s">
        <v>101</v>
      </c>
      <c r="L2" s="932" t="s">
        <v>82</v>
      </c>
      <c r="M2" s="932" t="s">
        <v>102</v>
      </c>
      <c r="N2" s="933" t="s">
        <v>103</v>
      </c>
      <c r="O2" s="781"/>
      <c r="P2" s="160">
        <v>46113</v>
      </c>
      <c r="Q2" s="161">
        <v>46143</v>
      </c>
      <c r="R2" s="161">
        <v>46174</v>
      </c>
      <c r="S2" s="161">
        <v>46204</v>
      </c>
      <c r="T2" s="161">
        <v>46235</v>
      </c>
      <c r="U2" s="161">
        <v>46266</v>
      </c>
      <c r="V2" s="161">
        <v>46296</v>
      </c>
      <c r="W2" s="162" t="s">
        <v>2</v>
      </c>
      <c r="X2" s="1165" t="s">
        <v>104</v>
      </c>
      <c r="Y2" s="1165" t="s">
        <v>105</v>
      </c>
      <c r="Z2" s="1258" t="s">
        <v>106</v>
      </c>
      <c r="AA2" s="162" t="s">
        <v>107</v>
      </c>
      <c r="AB2" s="162" t="s">
        <v>108</v>
      </c>
    </row>
    <row r="3" spans="2:36" ht="45" hidden="1" customHeight="1">
      <c r="B3" s="163"/>
      <c r="C3" s="163"/>
      <c r="D3" s="269" t="s">
        <v>109</v>
      </c>
      <c r="E3" s="270"/>
      <c r="F3" s="927"/>
      <c r="G3" s="927" t="s">
        <v>55</v>
      </c>
      <c r="H3" s="927"/>
      <c r="I3" s="927" t="s">
        <v>55</v>
      </c>
      <c r="J3" s="927"/>
      <c r="K3" s="927"/>
      <c r="L3" s="928">
        <v>1</v>
      </c>
      <c r="M3" s="928" t="str">
        <f ca="1">IF(OR(L3=100%,K3&lt;&gt;""),"Completed",IF(AND(OR(L3="",L3=0),F3&gt;TODAY()),"Not Started",IF(AND(OR(L3="",L3=0),F3&lt;=TODAY()),"Delayed",IF(AND(L3&gt;0,L3&lt;100%,G3&lt;TODAY()),"Delayed",IF(AND(L3&gt;0,L3&lt;100%),"In Progress","")))))</f>
        <v>Completed</v>
      </c>
      <c r="N3" s="768"/>
      <c r="O3" s="772"/>
      <c r="P3" s="164"/>
      <c r="Q3" s="165"/>
      <c r="R3" s="165"/>
      <c r="S3" s="165"/>
      <c r="T3" s="165"/>
      <c r="U3" s="165"/>
      <c r="V3" s="165"/>
      <c r="W3" s="166" t="s">
        <v>110</v>
      </c>
      <c r="X3" s="234"/>
      <c r="Y3" s="234"/>
      <c r="Z3" s="234"/>
      <c r="AA3" s="234"/>
      <c r="AB3" s="234"/>
    </row>
    <row r="4" spans="2:36" s="153" customFormat="1" ht="4.5" hidden="1" customHeight="1">
      <c r="B4" s="167"/>
      <c r="C4" s="167"/>
      <c r="D4" s="254"/>
      <c r="E4" s="272"/>
      <c r="F4" s="257"/>
      <c r="G4" s="257"/>
      <c r="H4" s="257"/>
      <c r="I4" s="257"/>
      <c r="J4" s="257"/>
      <c r="K4" s="257"/>
      <c r="L4" s="288"/>
      <c r="M4" s="288"/>
      <c r="N4" s="288"/>
      <c r="O4" s="773"/>
      <c r="P4" s="167"/>
      <c r="Q4" s="167"/>
      <c r="R4" s="167"/>
      <c r="S4" s="167"/>
      <c r="T4" s="167"/>
      <c r="U4" s="167"/>
      <c r="V4" s="167"/>
      <c r="W4" s="940"/>
      <c r="X4" s="205"/>
      <c r="Y4" s="205"/>
      <c r="Z4" s="205"/>
      <c r="AA4" s="205"/>
      <c r="AB4" s="205"/>
      <c r="AF4" s="168"/>
      <c r="AG4" s="168"/>
    </row>
    <row r="5" spans="2:36" s="153" customFormat="1" ht="4.5" customHeight="1" thickBot="1">
      <c r="B5" s="181"/>
      <c r="C5" s="181"/>
      <c r="D5" s="257"/>
      <c r="E5" s="287"/>
      <c r="F5" s="257"/>
      <c r="G5" s="257"/>
      <c r="H5" s="257"/>
      <c r="I5" s="257"/>
      <c r="J5" s="257"/>
      <c r="K5" s="257"/>
      <c r="L5" s="288"/>
      <c r="M5" s="288"/>
      <c r="N5" s="288"/>
      <c r="O5" s="774"/>
      <c r="P5" s="181"/>
      <c r="Q5" s="181"/>
      <c r="R5" s="181"/>
      <c r="S5" s="181"/>
      <c r="T5" s="181"/>
      <c r="U5" s="181"/>
      <c r="V5" s="181"/>
      <c r="W5" s="181"/>
      <c r="X5" s="205"/>
      <c r="Y5" s="205"/>
      <c r="Z5" s="205"/>
      <c r="AA5" s="205"/>
      <c r="AB5" s="205"/>
      <c r="AF5" s="168"/>
      <c r="AG5" s="168"/>
    </row>
    <row r="6" spans="2:36" ht="45" customHeight="1" thickBot="1">
      <c r="B6" s="1261" t="s">
        <v>111</v>
      </c>
      <c r="C6" s="421" t="s">
        <v>86</v>
      </c>
      <c r="D6" s="273" t="s">
        <v>112</v>
      </c>
      <c r="E6" s="934">
        <f>NETWORKDAYS.INTL(F6,G6,"0000100",$AJ$6:$AJ$12)</f>
        <v>1</v>
      </c>
      <c r="F6" s="936">
        <v>46153</v>
      </c>
      <c r="G6" s="198">
        <v>46153</v>
      </c>
      <c r="H6" s="198">
        <v>46153</v>
      </c>
      <c r="I6" s="198">
        <v>46153</v>
      </c>
      <c r="J6" s="1143">
        <v>46153</v>
      </c>
      <c r="K6" s="1144">
        <v>46153</v>
      </c>
      <c r="L6" s="275">
        <v>1</v>
      </c>
      <c r="M6" s="275" t="str">
        <f ca="1">IF(L6=100%,"Completed",
IF(AND(L6&lt;100%,G6&lt;TODAY()),"Delayed",
IF(AND(OR(L6="",L6=0),F6&gt;TODAY()),"Not Started",
IF(AND(OR(L6="",L6=0),F6&lt;=TODAY()),"Delayed",
IF(AND(L6&gt;0,L6&lt;100%),"In Progress","")))))</f>
        <v>Completed</v>
      </c>
      <c r="N6" s="782"/>
      <c r="O6" s="815"/>
      <c r="P6" s="211"/>
      <c r="Q6" s="211"/>
      <c r="R6" s="211"/>
      <c r="S6" s="211"/>
      <c r="T6" s="211"/>
      <c r="U6" s="211"/>
      <c r="V6" s="939"/>
      <c r="W6" s="663"/>
      <c r="X6" s="1166"/>
      <c r="Y6" s="1166"/>
      <c r="Z6" s="1166"/>
      <c r="AA6" s="169"/>
      <c r="AB6" s="468"/>
      <c r="AC6" s="154" t="s">
        <v>113</v>
      </c>
      <c r="AE6" s="170" t="s">
        <v>62</v>
      </c>
      <c r="AF6" s="158" t="s">
        <v>68</v>
      </c>
      <c r="AJ6" s="173">
        <v>46166</v>
      </c>
    </row>
    <row r="7" spans="2:36" ht="45" customHeight="1" thickBot="1">
      <c r="B7" s="1261"/>
      <c r="C7" s="422" t="s">
        <v>86</v>
      </c>
      <c r="D7" s="276" t="s">
        <v>114</v>
      </c>
      <c r="E7" s="286">
        <f>NETWORKDAYS.INTL(F7,G7,"0000100",$AJ$6:$AJ$12)</f>
        <v>42</v>
      </c>
      <c r="F7" s="937">
        <v>46154</v>
      </c>
      <c r="G7" s="200">
        <f>WORKDAY.INTL(F7,46,"0000100",$AK$6:$AK$10)</f>
        <v>46208</v>
      </c>
      <c r="H7" s="200">
        <v>46154</v>
      </c>
      <c r="I7" s="200">
        <f>WORKDAY.INTL(H7,46,"0000100",$AK$6:$AK$10)</f>
        <v>46208</v>
      </c>
      <c r="J7" s="1145">
        <v>46154</v>
      </c>
      <c r="K7" s="1146">
        <v>46208</v>
      </c>
      <c r="L7" s="278">
        <v>1</v>
      </c>
      <c r="M7" s="278" t="str">
        <f ca="1">IF(L7=100%,"Completed",
IF(AND(L7&lt;100%,G7&lt;TODAY()),"Delayed",
IF(AND(OR(L7="",L7=0),F7&gt;TODAY()),"Not Started",
IF(AND(OR(L7="",L7=0),F7&lt;=TODAY()),"Delayed",
IF(AND(L7&gt;0,L7&lt;100%),"In Progress","")))))</f>
        <v>Completed</v>
      </c>
      <c r="N7" s="783"/>
      <c r="O7" s="825"/>
      <c r="P7" s="180"/>
      <c r="Q7" s="180"/>
      <c r="R7" s="180"/>
      <c r="S7" s="180"/>
      <c r="T7" s="180"/>
      <c r="U7" s="180"/>
      <c r="V7" s="802"/>
      <c r="W7" s="664"/>
      <c r="X7" s="1167"/>
      <c r="Y7" s="1167"/>
      <c r="Z7" s="1167"/>
      <c r="AA7" s="170"/>
      <c r="AB7" s="469"/>
      <c r="AC7" s="154" t="s">
        <v>113</v>
      </c>
      <c r="AE7" s="170" t="s">
        <v>63</v>
      </c>
      <c r="AF7" s="158" t="s">
        <v>68</v>
      </c>
      <c r="AJ7" s="173">
        <v>46167</v>
      </c>
    </row>
    <row r="8" spans="2:36" ht="135.94999999999999" customHeight="1" thickBot="1">
      <c r="B8" s="1261"/>
      <c r="C8" s="422" t="s">
        <v>86</v>
      </c>
      <c r="D8" s="276" t="s">
        <v>115</v>
      </c>
      <c r="E8" s="286"/>
      <c r="F8" s="937" t="s">
        <v>116</v>
      </c>
      <c r="G8" s="200">
        <v>46233</v>
      </c>
      <c r="H8" s="200" t="s">
        <v>116</v>
      </c>
      <c r="I8" s="200">
        <v>46245</v>
      </c>
      <c r="J8" s="200" t="s">
        <v>117</v>
      </c>
      <c r="K8" s="200"/>
      <c r="L8" s="278">
        <v>0.71</v>
      </c>
      <c r="M8" s="278" t="str">
        <f ca="1">IF(L8=100%,"Completed",
IF(AND(L8&lt;100%,G8&lt;TODAY()),"Delayed",
IF(AND(OR(L8="",L8=0),F8&gt;TODAY()),"Not Started",
IF(AND(OR(L8="",L8=0),F8&lt;=TODAY()),"Delayed",
IF(AND(L8&gt;0,L8&lt;100%),"In Progress","")))))</f>
        <v>In Progress</v>
      </c>
      <c r="N8" s="783" t="s">
        <v>118</v>
      </c>
      <c r="O8" s="825"/>
      <c r="P8" s="180"/>
      <c r="Q8" s="180"/>
      <c r="R8" s="180"/>
      <c r="S8" s="180"/>
      <c r="T8" s="180"/>
      <c r="U8" s="180"/>
      <c r="V8" s="802"/>
      <c r="W8" s="664" t="s">
        <v>119</v>
      </c>
      <c r="X8" s="1167"/>
      <c r="Y8" s="1167"/>
      <c r="Z8" s="1167"/>
      <c r="AA8" s="170"/>
      <c r="AB8" s="469"/>
      <c r="AE8" s="158"/>
      <c r="AJ8" s="173">
        <v>46168</v>
      </c>
    </row>
    <row r="9" spans="2:36" ht="45" customHeight="1" thickBot="1">
      <c r="B9" s="1261"/>
      <c r="C9" s="422" t="s">
        <v>86</v>
      </c>
      <c r="D9" s="279" t="s">
        <v>120</v>
      </c>
      <c r="E9" s="286">
        <f>NETWORKDAYS.INTL(F9,G9,"0000110",$AJ$6:$AJ$12)</f>
        <v>2</v>
      </c>
      <c r="F9" s="937">
        <f>WORKDAY.INTL(G8,1,"0000110",$AJ$6:$AJ$10)</f>
        <v>46236</v>
      </c>
      <c r="G9" s="200">
        <f>WORKDAY.INTL(F9,1,"0000110",$AJ$6:$AJ$11)</f>
        <v>46237</v>
      </c>
      <c r="H9" s="200">
        <f>WORKDAY.INTL(I8,1,"0000110",$AJ$6:$AJ$10)</f>
        <v>46246</v>
      </c>
      <c r="I9" s="200">
        <f>WORKDAY.INTL(H9,1,"0000110",$AJ$6:$AJ$11)</f>
        <v>46247</v>
      </c>
      <c r="J9" s="200"/>
      <c r="K9" s="200"/>
      <c r="L9" s="278"/>
      <c r="M9" s="278" t="str">
        <f ca="1">IF(L9=100%,"Completed",
IF(AND(L9&lt;100%,G9&lt;TODAY()),"Delayed",
IF(AND(OR(L9="",L9=0),F9&gt;TODAY()),"Not Started",
IF(AND(OR(L9="",L9=0),F9&lt;=TODAY()),"Delayed",
IF(AND(L9&gt;0,L9&lt;100%),"In Progress","")))))</f>
        <v>Not Started</v>
      </c>
      <c r="N9" s="783"/>
      <c r="O9" s="825"/>
      <c r="P9" s="199"/>
      <c r="Q9" s="199"/>
      <c r="R9" s="199"/>
      <c r="S9" s="199"/>
      <c r="T9" s="199"/>
      <c r="U9" s="199"/>
      <c r="V9" s="830"/>
      <c r="W9" s="664" t="s">
        <v>121</v>
      </c>
      <c r="X9" s="1167">
        <v>1</v>
      </c>
      <c r="Y9" s="1167"/>
      <c r="Z9" s="1167"/>
      <c r="AA9" s="170" t="s">
        <v>122</v>
      </c>
      <c r="AB9" s="469" t="s">
        <v>123</v>
      </c>
      <c r="AC9" s="154" t="s">
        <v>124</v>
      </c>
      <c r="AE9" s="170" t="s">
        <v>64</v>
      </c>
      <c r="AF9" s="158" t="s">
        <v>68</v>
      </c>
      <c r="AJ9" s="173">
        <v>46169</v>
      </c>
    </row>
    <row r="10" spans="2:36" ht="45" customHeight="1" thickBot="1">
      <c r="B10" s="1261"/>
      <c r="C10" s="423" t="s">
        <v>86</v>
      </c>
      <c r="D10" s="280" t="s">
        <v>125</v>
      </c>
      <c r="E10" s="935">
        <f>NETWORKDAYS.INTL(F10,G10,"0000110",$AJ$6:$AJ$12)</f>
        <v>2</v>
      </c>
      <c r="F10" s="938">
        <f>WORKDAY.INTL(G9,1,"0000110",$AJ$6:$AJ$10)</f>
        <v>46238</v>
      </c>
      <c r="G10" s="255">
        <f>WORKDAY.INTL(F10,1,"0000110",$AJ$6:$AJ$11)</f>
        <v>46239</v>
      </c>
      <c r="H10" s="255">
        <f>WORKDAY.INTL(I9,1,"0000110",$AJ$6:$AJ$10)</f>
        <v>46250</v>
      </c>
      <c r="I10" s="255">
        <f>WORKDAY.INTL(H10,1,"0000110",$AJ$6:$AJ$11)</f>
        <v>46251</v>
      </c>
      <c r="J10" s="255"/>
      <c r="K10" s="255"/>
      <c r="L10" s="282"/>
      <c r="M10" s="282" t="str">
        <f ca="1">IF(L10=100%,"Completed",
IF(AND(L10&lt;100%,G10&lt;TODAY()),"Delayed",
IF(AND(OR(L10="",L10=0),F10&gt;TODAY()),"Not Started",
IF(AND(OR(L10="",L10=0),F10&lt;=TODAY()),"Delayed",
IF(AND(L10&gt;0,L10&lt;100%),"In Progress","")))))</f>
        <v>Not Started</v>
      </c>
      <c r="N10" s="784"/>
      <c r="O10" s="816"/>
      <c r="P10" s="190"/>
      <c r="Q10" s="190"/>
      <c r="R10" s="190"/>
      <c r="S10" s="190"/>
      <c r="T10" s="190"/>
      <c r="U10" s="190"/>
      <c r="V10" s="822"/>
      <c r="W10" s="785" t="s">
        <v>126</v>
      </c>
      <c r="X10" s="1168">
        <v>1</v>
      </c>
      <c r="Y10" s="1168"/>
      <c r="Z10" s="1168"/>
      <c r="AA10" s="189"/>
      <c r="AB10" s="470"/>
      <c r="AC10" s="154" t="s">
        <v>124</v>
      </c>
      <c r="AE10" s="170" t="s">
        <v>65</v>
      </c>
      <c r="AF10" s="158" t="s">
        <v>68</v>
      </c>
      <c r="AJ10" s="173">
        <v>46170</v>
      </c>
    </row>
    <row r="11" spans="2:36" s="153" customFormat="1" ht="4.5" customHeight="1" thickBot="1">
      <c r="B11" s="181"/>
      <c r="C11" s="181"/>
      <c r="D11" s="257"/>
      <c r="E11" s="287"/>
      <c r="F11" s="313"/>
      <c r="G11" s="313"/>
      <c r="H11" s="313"/>
      <c r="I11" s="313"/>
      <c r="J11" s="313"/>
      <c r="K11" s="313"/>
      <c r="L11" s="315"/>
      <c r="M11" s="315"/>
      <c r="N11" s="315"/>
      <c r="O11" s="773"/>
      <c r="P11" s="167"/>
      <c r="Q11" s="167"/>
      <c r="R11" s="167"/>
      <c r="S11" s="167"/>
      <c r="T11" s="167"/>
      <c r="U11" s="167"/>
      <c r="V11" s="167"/>
      <c r="W11" s="205"/>
      <c r="X11" s="205"/>
      <c r="Y11" s="205"/>
      <c r="Z11" s="205"/>
      <c r="AA11" s="205"/>
      <c r="AB11" s="205"/>
      <c r="AE11" s="168"/>
      <c r="AF11" s="168"/>
      <c r="AJ11" s="173">
        <v>46288</v>
      </c>
    </row>
    <row r="12" spans="2:36" ht="45" customHeight="1" thickBot="1">
      <c r="B12" s="1267" t="s">
        <v>127</v>
      </c>
      <c r="C12" s="786" t="s">
        <v>86</v>
      </c>
      <c r="D12" s="787" t="s">
        <v>112</v>
      </c>
      <c r="E12" s="316">
        <f>NETWORKDAYS.INTL(F12,G12,"0000100",$AJ$6:$AJ$12)</f>
        <v>1</v>
      </c>
      <c r="F12" s="258">
        <v>46183</v>
      </c>
      <c r="G12" s="258">
        <v>46183</v>
      </c>
      <c r="H12" s="258">
        <v>46183</v>
      </c>
      <c r="I12" s="258">
        <v>46183</v>
      </c>
      <c r="J12" s="1147">
        <v>46183</v>
      </c>
      <c r="K12" s="1148">
        <v>46183</v>
      </c>
      <c r="L12" s="291">
        <v>1</v>
      </c>
      <c r="M12" s="291" t="str">
        <f ca="1">IF(L12=100%,"Completed",
IF(AND(L12&lt;100%,G12&lt;TODAY()),"Delayed",
IF(AND(OR(L12="",L12=0),F12&gt;TODAY()),"Not Started",
IF(AND(OR(L12="",L12=0),F12&lt;=TODAY()),"Delayed",
IF(AND(L12&gt;0,L12&lt;100%),"In Progress","")))))</f>
        <v>Completed</v>
      </c>
      <c r="N12" s="788"/>
      <c r="O12" s="781"/>
      <c r="P12" s="175"/>
      <c r="Q12" s="175"/>
      <c r="R12" s="175"/>
      <c r="S12" s="175"/>
      <c r="T12" s="175"/>
      <c r="U12" s="175"/>
      <c r="V12" s="175"/>
      <c r="W12" s="798"/>
      <c r="X12" s="1201"/>
      <c r="Y12" s="1201"/>
      <c r="Z12" s="1201"/>
      <c r="AA12" s="92"/>
      <c r="AB12" s="741"/>
      <c r="AE12" s="170" t="s">
        <v>62</v>
      </c>
      <c r="AF12" s="158" t="s">
        <v>69</v>
      </c>
      <c r="AJ12" s="173">
        <v>46288</v>
      </c>
    </row>
    <row r="13" spans="2:36" ht="45" customHeight="1" thickBot="1">
      <c r="B13" s="1267"/>
      <c r="C13" s="789" t="s">
        <v>86</v>
      </c>
      <c r="D13" s="790" t="s">
        <v>114</v>
      </c>
      <c r="E13" s="791">
        <f>NETWORKDAYS.INTL(F13,G13,"0000100",$AJ$6:$AJ$12)</f>
        <v>13</v>
      </c>
      <c r="F13" s="256">
        <v>46194</v>
      </c>
      <c r="G13" s="256">
        <f>WORKDAY.INTL(G12,21,"0000100",$AK$6:$AK$10)</f>
        <v>46208</v>
      </c>
      <c r="H13" s="256">
        <v>46194</v>
      </c>
      <c r="I13" s="256">
        <f>WORKDAY.INTL(I12,21,"0000100",$AK$6:$AK$10)</f>
        <v>46208</v>
      </c>
      <c r="J13" s="1149">
        <v>46194</v>
      </c>
      <c r="K13" s="1148">
        <v>46208</v>
      </c>
      <c r="L13" s="285">
        <v>1</v>
      </c>
      <c r="M13" s="285" t="str">
        <f ca="1">IF(L13=100%,"Completed",
IF(AND(L13&lt;100%,G13&lt;TODAY()),"Delayed",
IF(AND(OR(L13="",L13=0),F13&gt;TODAY()),"Not Started",
IF(AND(OR(L13="",L13=0),F13&lt;=TODAY()),"Delayed",
IF(AND(L13&gt;0,L13&lt;100%),"In Progress","")))))</f>
        <v>Completed</v>
      </c>
      <c r="N13" s="792"/>
      <c r="O13" s="781"/>
      <c r="P13" s="176"/>
      <c r="Q13" s="176"/>
      <c r="R13" s="176"/>
      <c r="S13" s="176"/>
      <c r="T13" s="176"/>
      <c r="U13" s="176"/>
      <c r="V13" s="176"/>
      <c r="W13" s="799" t="s">
        <v>128</v>
      </c>
      <c r="X13" s="1202"/>
      <c r="Y13" s="1202"/>
      <c r="Z13" s="1202"/>
      <c r="AA13" s="97"/>
      <c r="AB13" s="745"/>
      <c r="AE13" s="170" t="s">
        <v>63</v>
      </c>
      <c r="AF13" s="158" t="s">
        <v>69</v>
      </c>
    </row>
    <row r="14" spans="2:36" ht="45" customHeight="1" thickBot="1">
      <c r="B14" s="1267"/>
      <c r="C14" s="789" t="s">
        <v>86</v>
      </c>
      <c r="D14" s="793" t="s">
        <v>120</v>
      </c>
      <c r="E14" s="791">
        <f>NETWORKDAYS.INTL(F14,G14,"0000110",$AJ$6:$AJ$12)</f>
        <v>4</v>
      </c>
      <c r="F14" s="256">
        <f>MAX(WORKDAY.INTL(G9,1,"0000100",$AI$6:$AI$11),G13+1)</f>
        <v>46238</v>
      </c>
      <c r="G14" s="256">
        <f>WORKDAY.INTL(F14,3,"0000110",$AJ$6:$AJ$11)</f>
        <v>46243</v>
      </c>
      <c r="H14" s="256">
        <f>MAX(WORKDAY.INTL(I9,1,"0000100",$AI$6:$AI$11),I13+1)</f>
        <v>46249</v>
      </c>
      <c r="I14" s="256">
        <f>WORKDAY.INTL(H14,3,"0000110",$AJ$6:$AJ$11)</f>
        <v>46252</v>
      </c>
      <c r="J14" s="256"/>
      <c r="K14" s="256"/>
      <c r="L14" s="285"/>
      <c r="M14" s="285" t="str">
        <f ca="1">IF(L14=100%,"Completed",
IF(AND(L14&lt;100%,G14&lt;TODAY()),"Delayed",
IF(AND(OR(L14="",L14=0),F14&gt;TODAY()),"Not Started",
IF(AND(OR(L14="",L14=0),F14&lt;=TODAY()),"Delayed",
IF(AND(L14&gt;0,L14&lt;100%),"In Progress","")))))</f>
        <v>Not Started</v>
      </c>
      <c r="N14" s="792"/>
      <c r="O14" s="781"/>
      <c r="P14" s="177"/>
      <c r="Q14" s="177"/>
      <c r="R14" s="177"/>
      <c r="S14" s="177"/>
      <c r="T14" s="177"/>
      <c r="U14" s="177"/>
      <c r="V14" s="177"/>
      <c r="W14" s="799" t="s">
        <v>129</v>
      </c>
      <c r="X14" s="1202">
        <v>1</v>
      </c>
      <c r="Y14" s="1202"/>
      <c r="Z14" s="1202"/>
      <c r="AA14" s="97" t="s">
        <v>122</v>
      </c>
      <c r="AB14" s="745" t="s">
        <v>123</v>
      </c>
      <c r="AE14" s="170" t="s">
        <v>64</v>
      </c>
      <c r="AF14" s="158" t="s">
        <v>69</v>
      </c>
    </row>
    <row r="15" spans="2:36" ht="45" customHeight="1" thickBot="1">
      <c r="B15" s="1267"/>
      <c r="C15" s="794" t="s">
        <v>86</v>
      </c>
      <c r="D15" s="795" t="s">
        <v>125</v>
      </c>
      <c r="E15" s="796">
        <f>NETWORKDAYS.INTL(F15,G15,"0000110",$AJ$6:$AJ$12)</f>
        <v>2</v>
      </c>
      <c r="F15" s="259">
        <f>WORKDAY.INTL(G14,1,"0000110",$AJ$6:$AJ$10)</f>
        <v>46244</v>
      </c>
      <c r="G15" s="259">
        <f>WORKDAY.INTL(F15,1,"0000110",$AJ$6:$AJ$11)</f>
        <v>46245</v>
      </c>
      <c r="H15" s="259">
        <f>WORKDAY.INTL(I14,1,"0000110",$AJ$6:$AJ$10)</f>
        <v>46253</v>
      </c>
      <c r="I15" s="259">
        <f>WORKDAY.INTL(H15,1,"0000110",$AJ$6:$AJ$11)</f>
        <v>46254</v>
      </c>
      <c r="J15" s="259"/>
      <c r="K15" s="259"/>
      <c r="L15" s="292"/>
      <c r="M15" s="292" t="str">
        <f ca="1">IF(L15=100%,"Completed",
IF(AND(L15&lt;100%,G15&lt;TODAY()),"Delayed",
IF(AND(OR(L15="",L15=0),F15&gt;TODAY()),"Not Started",
IF(AND(OR(L15="",L15=0),F15&lt;=TODAY()),"Delayed",
IF(AND(L15&gt;0,L15&lt;100%),"In Progress","")))))</f>
        <v>Not Started</v>
      </c>
      <c r="N15" s="797"/>
      <c r="O15" s="781"/>
      <c r="P15" s="177"/>
      <c r="Q15" s="177"/>
      <c r="R15" s="177"/>
      <c r="S15" s="177"/>
      <c r="T15" s="177"/>
      <c r="U15" s="177"/>
      <c r="V15" s="177"/>
      <c r="W15" s="800" t="s">
        <v>126</v>
      </c>
      <c r="X15" s="1203">
        <v>1</v>
      </c>
      <c r="Y15" s="1203"/>
      <c r="Z15" s="1203"/>
      <c r="AA15" s="99"/>
      <c r="AB15" s="747"/>
      <c r="AE15" s="170" t="s">
        <v>65</v>
      </c>
      <c r="AF15" s="158" t="s">
        <v>69</v>
      </c>
    </row>
    <row r="16" spans="2:36" s="153" customFormat="1" ht="4.5" customHeight="1" thickBot="1">
      <c r="B16" s="205"/>
      <c r="C16" s="205"/>
      <c r="D16" s="313"/>
      <c r="E16" s="314"/>
      <c r="F16" s="313"/>
      <c r="G16" s="313"/>
      <c r="H16" s="313"/>
      <c r="I16" s="313"/>
      <c r="J16" s="313"/>
      <c r="K16" s="313"/>
      <c r="L16" s="315"/>
      <c r="M16" s="315"/>
      <c r="N16" s="315"/>
      <c r="O16" s="773"/>
      <c r="P16" s="167"/>
      <c r="Q16" s="167"/>
      <c r="R16" s="167"/>
      <c r="S16" s="167"/>
      <c r="T16" s="167"/>
      <c r="U16" s="167"/>
      <c r="V16" s="167"/>
      <c r="W16" s="205"/>
      <c r="X16" s="205"/>
      <c r="Y16" s="205"/>
      <c r="Z16" s="205"/>
      <c r="AA16" s="205"/>
      <c r="AB16" s="205"/>
      <c r="AE16" s="168"/>
      <c r="AF16" s="168"/>
    </row>
    <row r="17" spans="2:36" ht="45" customHeight="1" thickBot="1">
      <c r="B17" s="1261" t="s">
        <v>130</v>
      </c>
      <c r="C17" s="421" t="s">
        <v>86</v>
      </c>
      <c r="D17" s="273" t="s">
        <v>112</v>
      </c>
      <c r="E17" s="274">
        <f>NETWORKDAYS.INTL(F17,G17,"0000100",$AJ$6:$AJ$12)</f>
        <v>7</v>
      </c>
      <c r="F17" s="198">
        <f>WORKDAY.INTL(G13,1,"0000100",$AK$6:$AK$10)</f>
        <v>46209</v>
      </c>
      <c r="G17" s="198">
        <f>WORKDAY.INTL(F17,6,"0000100",$AK$6:$AK$10)</f>
        <v>46216</v>
      </c>
      <c r="H17" s="198">
        <f>WORKDAY.INTL(I13,1,"0000100",$AK$6:$AK$10)</f>
        <v>46209</v>
      </c>
      <c r="I17" s="198">
        <f>WORKDAY.INTL(H17,6,"0000100",$AK$6:$AK$10)</f>
        <v>46216</v>
      </c>
      <c r="J17" s="1150">
        <v>46209</v>
      </c>
      <c r="K17" s="1151">
        <v>46216</v>
      </c>
      <c r="L17" s="275">
        <v>1</v>
      </c>
      <c r="M17" s="275" t="str">
        <f ca="1">IF(L17=100%,"Completed",
IF(AND(L17&lt;100%,G17&lt;TODAY()),"Delayed",
IF(AND(OR(L17="",L17=0),F17&gt;TODAY()),"Not Started",
IF(AND(OR(L17="",L17=0),F17&lt;=TODAY()),"Delayed",
IF(AND(L17&gt;0,L17&lt;100%),"In Progress","")))))</f>
        <v>Completed</v>
      </c>
      <c r="N17" s="782"/>
      <c r="O17" s="781"/>
      <c r="P17" s="171"/>
      <c r="Q17" s="171"/>
      <c r="R17" s="171"/>
      <c r="S17" s="171"/>
      <c r="T17" s="171"/>
      <c r="U17" s="171"/>
      <c r="V17" s="171"/>
      <c r="W17" s="663"/>
      <c r="X17" s="1166"/>
      <c r="Y17" s="1166"/>
      <c r="Z17" s="1166"/>
      <c r="AA17" s="169"/>
      <c r="AB17" s="468"/>
      <c r="AE17" s="170" t="s">
        <v>62</v>
      </c>
      <c r="AF17" s="158" t="s">
        <v>70</v>
      </c>
    </row>
    <row r="18" spans="2:36" ht="45" customHeight="1" thickBot="1">
      <c r="B18" s="1261"/>
      <c r="C18" s="422" t="s">
        <v>86</v>
      </c>
      <c r="D18" s="276" t="s">
        <v>114</v>
      </c>
      <c r="E18" s="277">
        <f>NETWORKDAYS.INTL(F18,G18,"0000100",$AJ$6:$AJ$12)</f>
        <v>3</v>
      </c>
      <c r="F18" s="200">
        <f>WORKDAY.INTL(G17,1,"0000100",$AK$6:$AK$10)</f>
        <v>46217</v>
      </c>
      <c r="G18" s="200">
        <f>WORKDAY.INTL(F18,2,"0000100",$AK$6:$AK$10)</f>
        <v>46219</v>
      </c>
      <c r="H18" s="200">
        <f>WORKDAY.INTL(I17,1,"0000100",$AK$6:$AK$10)</f>
        <v>46217</v>
      </c>
      <c r="I18" s="200">
        <f>WORKDAY.INTL(H18,2,"0000100",$AK$6:$AK$10)</f>
        <v>46219</v>
      </c>
      <c r="J18" s="1145">
        <v>46217</v>
      </c>
      <c r="K18" s="1146">
        <v>46219</v>
      </c>
      <c r="L18" s="278">
        <v>1</v>
      </c>
      <c r="M18" s="278" t="str">
        <f ca="1">IF(L18=100%,"Completed",
IF(AND(L18&lt;100%,G18&lt;TODAY()),"Delayed",
IF(AND(OR(L18="",L18=0),F18&gt;TODAY()),"Not Started",
IF(AND(OR(L18="",L18=0),F18&lt;=TODAY()),"Delayed",
IF(AND(L18&gt;0,L18&lt;100%),"In Progress","")))))</f>
        <v>Completed</v>
      </c>
      <c r="N18" s="783"/>
      <c r="O18" s="781"/>
      <c r="P18" s="171"/>
      <c r="Q18" s="171"/>
      <c r="R18" s="171"/>
      <c r="S18" s="171"/>
      <c r="T18" s="171"/>
      <c r="U18" s="171"/>
      <c r="V18" s="171"/>
      <c r="W18" s="664" t="s">
        <v>131</v>
      </c>
      <c r="X18" s="1167"/>
      <c r="Y18" s="1167"/>
      <c r="Z18" s="1167"/>
      <c r="AA18" s="170"/>
      <c r="AB18" s="469"/>
      <c r="AE18" s="170" t="s">
        <v>63</v>
      </c>
      <c r="AF18" s="158" t="s">
        <v>70</v>
      </c>
    </row>
    <row r="19" spans="2:36" ht="45" customHeight="1" thickBot="1">
      <c r="B19" s="1261"/>
      <c r="C19" s="422" t="s">
        <v>86</v>
      </c>
      <c r="D19" s="276" t="s">
        <v>120</v>
      </c>
      <c r="E19" s="277">
        <f>NETWORKDAYS.INTL(F19,G19,"0000110",$AJ$6:$AJ$12)</f>
        <v>5</v>
      </c>
      <c r="F19" s="200">
        <f>MAX(WORKDAY.INTL(G14,1,"0000100",$AI$6:$AI$11),G18+1)</f>
        <v>46244</v>
      </c>
      <c r="G19" s="200">
        <f>WORKDAY.INTL(F19,4,"0000110",$AJ$6:$AJ$11)</f>
        <v>46250</v>
      </c>
      <c r="H19" s="200">
        <f>MAX(WORKDAY.INTL(I14,1,"0000100",$AI$6:$AI$11),I18+1)</f>
        <v>46253</v>
      </c>
      <c r="I19" s="200">
        <f>WORKDAY.INTL(H19,4,"0000110",$AJ$6:$AJ$11)</f>
        <v>46259</v>
      </c>
      <c r="J19" s="200"/>
      <c r="K19" s="200"/>
      <c r="L19" s="278"/>
      <c r="M19" s="278" t="str">
        <f ca="1">IF(L19=100%,"Completed",
IF(AND(L19&lt;100%,G19&lt;TODAY()),"Delayed",
IF(AND(OR(L19="",L19=0),F19&gt;TODAY()),"Not Started",
IF(AND(OR(L19="",L19=0),F19&lt;=TODAY()),"Delayed",
IF(AND(L19&gt;0,L19&lt;100%),"In Progress","")))))</f>
        <v>Not Started</v>
      </c>
      <c r="N19" s="783"/>
      <c r="O19" s="781"/>
      <c r="P19" s="171"/>
      <c r="Q19" s="171"/>
      <c r="R19" s="171"/>
      <c r="S19" s="171"/>
      <c r="T19" s="171"/>
      <c r="U19" s="171"/>
      <c r="V19" s="171"/>
      <c r="W19" s="664" t="s">
        <v>129</v>
      </c>
      <c r="X19" s="1167">
        <v>1</v>
      </c>
      <c r="Y19" s="1167"/>
      <c r="Z19" s="1167"/>
      <c r="AA19" s="170" t="s">
        <v>122</v>
      </c>
      <c r="AB19" s="469" t="s">
        <v>123</v>
      </c>
      <c r="AE19" s="170" t="s">
        <v>64</v>
      </c>
      <c r="AF19" s="158" t="s">
        <v>70</v>
      </c>
    </row>
    <row r="20" spans="2:36" ht="45" customHeight="1" thickBot="1">
      <c r="B20" s="1261"/>
      <c r="C20" s="423" t="s">
        <v>86</v>
      </c>
      <c r="D20" s="280" t="s">
        <v>125</v>
      </c>
      <c r="E20" s="281">
        <f>NETWORKDAYS.INTL(F20,G20,"0000110",$AJ$6:$AJ$12)</f>
        <v>2</v>
      </c>
      <c r="F20" s="255">
        <f>WORKDAY.INTL(G19,1,"0000110",$AJ$6:$AJ$10)</f>
        <v>46251</v>
      </c>
      <c r="G20" s="255">
        <f>WORKDAY.INTL(F20,1,"0000110",$AJ$6:$AJ$11)</f>
        <v>46252</v>
      </c>
      <c r="H20" s="255">
        <f>WORKDAY.INTL(I19,1,"0000110",$AJ$6:$AJ$10)</f>
        <v>46260</v>
      </c>
      <c r="I20" s="255">
        <f>WORKDAY.INTL(H20,1,"0000110",$AJ$6:$AJ$11)</f>
        <v>46261</v>
      </c>
      <c r="J20" s="255"/>
      <c r="K20" s="255"/>
      <c r="L20" s="282"/>
      <c r="M20" s="282" t="str">
        <f ca="1">IF(L20=100%,"Completed",
IF(AND(L20&lt;100%,G20&lt;TODAY()),"Delayed",
IF(AND(OR(L20="",L20=0),F20&gt;TODAY()),"Not Started",
IF(AND(OR(L20="",L20=0),F20&lt;=TODAY()),"Delayed",
IF(AND(L20&gt;0,L20&lt;100%),"In Progress","")))))</f>
        <v>Not Started</v>
      </c>
      <c r="N20" s="784"/>
      <c r="O20" s="781"/>
      <c r="P20" s="174"/>
      <c r="Q20" s="174"/>
      <c r="R20" s="174"/>
      <c r="S20" s="174"/>
      <c r="T20" s="174"/>
      <c r="U20" s="174"/>
      <c r="V20" s="174"/>
      <c r="W20" s="785" t="s">
        <v>126</v>
      </c>
      <c r="X20" s="1168">
        <v>1</v>
      </c>
      <c r="Y20" s="1168"/>
      <c r="Z20" s="1168"/>
      <c r="AA20" s="189"/>
      <c r="AB20" s="470"/>
      <c r="AE20" s="170" t="s">
        <v>65</v>
      </c>
      <c r="AF20" s="158" t="s">
        <v>70</v>
      </c>
    </row>
    <row r="21" spans="2:36" s="153" customFormat="1" ht="4.5" customHeight="1" thickBot="1">
      <c r="B21" s="205"/>
      <c r="C21" s="205"/>
      <c r="D21" s="313"/>
      <c r="E21" s="314"/>
      <c r="F21" s="313"/>
      <c r="G21" s="313"/>
      <c r="H21" s="313"/>
      <c r="I21" s="313"/>
      <c r="J21" s="313"/>
      <c r="K21" s="313"/>
      <c r="L21" s="315"/>
      <c r="M21" s="315"/>
      <c r="N21" s="315"/>
      <c r="O21" s="773"/>
      <c r="P21" s="167"/>
      <c r="Q21" s="167"/>
      <c r="R21" s="167"/>
      <c r="S21" s="167"/>
      <c r="T21" s="167"/>
      <c r="U21" s="167"/>
      <c r="V21" s="167"/>
      <c r="W21" s="205"/>
      <c r="X21" s="205"/>
      <c r="Y21" s="205"/>
      <c r="Z21" s="205"/>
      <c r="AA21" s="205"/>
      <c r="AB21" s="205"/>
      <c r="AE21" s="168"/>
      <c r="AF21" s="168"/>
    </row>
    <row r="22" spans="2:36" ht="45" customHeight="1" thickBot="1">
      <c r="B22" s="1267" t="s">
        <v>132</v>
      </c>
      <c r="C22" s="786" t="s">
        <v>86</v>
      </c>
      <c r="D22" s="787" t="s">
        <v>112</v>
      </c>
      <c r="E22" s="316">
        <f>NETWORKDAYS.INTL(F22,G22,"0000100",$AJ$6:$AJ$12)</f>
        <v>6</v>
      </c>
      <c r="F22" s="258">
        <f>WORKDAY.INTL(G18,1,"0000100",$AK$6:$AK$10)</f>
        <v>46221</v>
      </c>
      <c r="G22" s="258">
        <f>WORKDAY.INTL(F22,5,"0000100",$AK$6:$AK$10)</f>
        <v>46226</v>
      </c>
      <c r="H22" s="258">
        <f>WORKDAY.INTL(I18,1,"0000100",$AK$6:$AK$10)</f>
        <v>46221</v>
      </c>
      <c r="I22" s="258">
        <f>WORKDAY.INTL(H22,5,"0000100",$AK$6:$AK$10)</f>
        <v>46226</v>
      </c>
      <c r="J22" s="258">
        <v>46217</v>
      </c>
      <c r="K22" s="258">
        <v>46221</v>
      </c>
      <c r="L22" s="291">
        <v>1</v>
      </c>
      <c r="M22" s="291" t="str">
        <f ca="1">IF(L22=100%,"Completed",
IF(AND(L22&lt;100%,G22&lt;TODAY()),"Delayed",
IF(AND(OR(L22="",L22=0),F22&gt;TODAY()),"Not Started",
IF(AND(OR(L22="",L22=0),F22&lt;=TODAY()),"Delayed",
IF(AND(L22&gt;0,L22&lt;100%),"In Progress","")))))</f>
        <v>Completed</v>
      </c>
      <c r="N22" s="788"/>
      <c r="O22" s="781"/>
      <c r="P22" s="175"/>
      <c r="Q22" s="175"/>
      <c r="R22" s="175"/>
      <c r="S22" s="175"/>
      <c r="T22" s="175"/>
      <c r="U22" s="175"/>
      <c r="V22" s="175"/>
      <c r="W22" s="798"/>
      <c r="X22" s="1201" t="s">
        <v>133</v>
      </c>
      <c r="Y22" s="1201"/>
      <c r="Z22" s="1201"/>
      <c r="AA22" s="92" t="s">
        <v>134</v>
      </c>
      <c r="AB22" s="741" t="s">
        <v>135</v>
      </c>
      <c r="AE22" s="170" t="s">
        <v>62</v>
      </c>
      <c r="AF22" s="158" t="s">
        <v>71</v>
      </c>
      <c r="AJ22" s="173"/>
    </row>
    <row r="23" spans="2:36" ht="45" customHeight="1" thickBot="1">
      <c r="B23" s="1267"/>
      <c r="C23" s="789" t="s">
        <v>86</v>
      </c>
      <c r="D23" s="790" t="s">
        <v>114</v>
      </c>
      <c r="E23" s="791">
        <f>NETWORKDAYS.INTL(F23,G23,"0000100",$AJ$6:$AJ$12)</f>
        <v>3</v>
      </c>
      <c r="F23" s="256">
        <f>WORKDAY.INTL(G22,1,"0000100",$AK$6:$AK$10)</f>
        <v>46228</v>
      </c>
      <c r="G23" s="256">
        <f>WORKDAY.INTL(F23,2,"0000100",$AK$6:$AK$10)</f>
        <v>46230</v>
      </c>
      <c r="H23" s="256">
        <f>WORKDAY.INTL(I22,1,"0000100",$AK$6:$AK$10)</f>
        <v>46228</v>
      </c>
      <c r="I23" s="256">
        <f>WORKDAY.INTL(H23,2,"0000100",$AK$6:$AK$10)</f>
        <v>46230</v>
      </c>
      <c r="J23" s="256">
        <v>46221</v>
      </c>
      <c r="K23" s="256">
        <v>46225</v>
      </c>
      <c r="L23" s="285">
        <v>1</v>
      </c>
      <c r="M23" s="285" t="str">
        <f ca="1">IF(L23=100%,"Completed",
IF(AND(L23&lt;100%,G23&lt;TODAY()),"Delayed",
IF(AND(OR(L23="",L23=0),F23&gt;TODAY()),"Not Started",
IF(AND(OR(L23="",L23=0),F23&lt;=TODAY()),"Delayed",
IF(AND(L23&gt;0,L23&lt;100%),"In Progress","")))))</f>
        <v>Completed</v>
      </c>
      <c r="N23" s="792"/>
      <c r="O23" s="781"/>
      <c r="P23" s="176"/>
      <c r="Q23" s="176"/>
      <c r="R23" s="176"/>
      <c r="S23" s="176"/>
      <c r="T23" s="176"/>
      <c r="U23" s="176"/>
      <c r="V23" s="176"/>
      <c r="W23" s="799"/>
      <c r="X23" s="1202" t="s">
        <v>133</v>
      </c>
      <c r="Y23" s="1202"/>
      <c r="Z23" s="1202"/>
      <c r="AA23" s="97"/>
      <c r="AB23" s="745"/>
      <c r="AE23" s="170" t="s">
        <v>63</v>
      </c>
      <c r="AF23" s="158" t="s">
        <v>71</v>
      </c>
    </row>
    <row r="24" spans="2:36" ht="45" customHeight="1" thickBot="1">
      <c r="B24" s="1267"/>
      <c r="C24" s="789" t="s">
        <v>86</v>
      </c>
      <c r="D24" s="793" t="s">
        <v>120</v>
      </c>
      <c r="E24" s="791">
        <f>NETWORKDAYS.INTL(F24,G24,"0000110",$AJ$6:$AJ$12)</f>
        <v>6</v>
      </c>
      <c r="F24" s="256">
        <f>MAX(WORKDAY.INTL(G19,1,"0000100",$AI$6:$AI$11),G23+1)</f>
        <v>46251</v>
      </c>
      <c r="G24" s="256">
        <f>WORKDAY.INTL(F24,5,"0000110",$AJ$6:$AJ$11)</f>
        <v>46258</v>
      </c>
      <c r="H24" s="256">
        <f>MAX(WORKDAY.INTL(I19,1,"0000100",$AI$6:$AI$11),I23+1)</f>
        <v>46260</v>
      </c>
      <c r="I24" s="256">
        <f>WORKDAY.INTL(H24,5,"0000110",$AJ$6:$AJ$11)</f>
        <v>46267</v>
      </c>
      <c r="J24" s="256"/>
      <c r="K24" s="256"/>
      <c r="L24" s="285"/>
      <c r="M24" s="285" t="str">
        <f ca="1">IF(L24=100%,"Completed",
IF(AND(L24&lt;100%,G24&lt;TODAY()),"Delayed",
IF(AND(OR(L24="",L24=0),F24&gt;TODAY()),"Not Started",
IF(AND(OR(L24="",L24=0),F24&lt;=TODAY()),"Delayed",
IF(AND(L24&gt;0,L24&lt;100%),"In Progress","")))))</f>
        <v>Not Started</v>
      </c>
      <c r="N24" s="792"/>
      <c r="O24" s="781"/>
      <c r="P24" s="177"/>
      <c r="Q24" s="177"/>
      <c r="R24" s="177"/>
      <c r="S24" s="177"/>
      <c r="T24" s="177"/>
      <c r="U24" s="177"/>
      <c r="V24" s="177"/>
      <c r="W24" s="799" t="s">
        <v>129</v>
      </c>
      <c r="X24" s="1202">
        <v>1</v>
      </c>
      <c r="Y24" s="1202"/>
      <c r="Z24" s="1202"/>
      <c r="AA24" s="97" t="s">
        <v>122</v>
      </c>
      <c r="AB24" s="745" t="s">
        <v>123</v>
      </c>
      <c r="AE24" s="170" t="s">
        <v>64</v>
      </c>
      <c r="AF24" s="158" t="s">
        <v>71</v>
      </c>
    </row>
    <row r="25" spans="2:36" ht="45" customHeight="1" thickBot="1">
      <c r="B25" s="1267"/>
      <c r="C25" s="794" t="s">
        <v>86</v>
      </c>
      <c r="D25" s="795" t="s">
        <v>125</v>
      </c>
      <c r="E25" s="796">
        <f>NETWORKDAYS.INTL(F25,G25,"0000110",$AJ$6:$AJ$12)</f>
        <v>2</v>
      </c>
      <c r="F25" s="259">
        <f>WORKDAY.INTL(G24,1,"0000110",$AJ$6:$AJ$11)</f>
        <v>46259</v>
      </c>
      <c r="G25" s="259">
        <f>WORKDAY.INTL(F25,1,"0000110",$AJ$6:$AJ$11)</f>
        <v>46260</v>
      </c>
      <c r="H25" s="259">
        <f>WORKDAY.INTL(I24,1,"0000110",$AJ$6:$AJ$11)</f>
        <v>46268</v>
      </c>
      <c r="I25" s="259">
        <f>WORKDAY.INTL(H25,1,"0000110",$AJ$6:$AJ$11)</f>
        <v>46271</v>
      </c>
      <c r="J25" s="259"/>
      <c r="K25" s="259"/>
      <c r="L25" s="292"/>
      <c r="M25" s="292" t="str">
        <f ca="1">IF(L25=100%,"Completed",
IF(AND(L25&lt;100%,G25&lt;TODAY()),"Delayed",
IF(AND(OR(L25="",L25=0),F25&gt;TODAY()),"Not Started",
IF(AND(OR(L25="",L25=0),F25&lt;=TODAY()),"Delayed",
IF(AND(L25&gt;0,L25&lt;100%),"In Progress","")))))</f>
        <v>Not Started</v>
      </c>
      <c r="N25" s="797"/>
      <c r="O25" s="781"/>
      <c r="P25" s="177"/>
      <c r="Q25" s="177"/>
      <c r="R25" s="177"/>
      <c r="S25" s="177"/>
      <c r="T25" s="177"/>
      <c r="U25" s="177"/>
      <c r="V25" s="177"/>
      <c r="W25" s="800" t="s">
        <v>126</v>
      </c>
      <c r="X25" s="1203">
        <v>1</v>
      </c>
      <c r="Y25" s="1203"/>
      <c r="Z25" s="1203"/>
      <c r="AA25" s="99"/>
      <c r="AB25" s="747"/>
      <c r="AE25" s="170" t="s">
        <v>65</v>
      </c>
      <c r="AF25" s="158" t="s">
        <v>71</v>
      </c>
    </row>
    <row r="26" spans="2:36" s="153" customFormat="1" ht="4.5" customHeight="1" thickBot="1">
      <c r="B26" s="205"/>
      <c r="C26" s="205"/>
      <c r="D26" s="313"/>
      <c r="E26" s="314"/>
      <c r="F26" s="313"/>
      <c r="G26" s="313"/>
      <c r="H26" s="313"/>
      <c r="I26" s="313"/>
      <c r="J26" s="313"/>
      <c r="K26" s="313"/>
      <c r="L26" s="315"/>
      <c r="M26" s="315"/>
      <c r="N26" s="315"/>
      <c r="O26" s="773"/>
      <c r="P26" s="167"/>
      <c r="Q26" s="167"/>
      <c r="R26" s="167"/>
      <c r="S26" s="167"/>
      <c r="T26" s="167"/>
      <c r="U26" s="167"/>
      <c r="V26" s="167"/>
      <c r="W26" s="205"/>
      <c r="X26" s="205"/>
      <c r="Y26" s="205"/>
      <c r="Z26" s="205"/>
      <c r="AA26" s="205"/>
      <c r="AB26" s="205"/>
      <c r="AE26" s="168"/>
      <c r="AF26" s="168"/>
    </row>
    <row r="27" spans="2:36" ht="68.099999999999994" customHeight="1" thickBot="1">
      <c r="B27" s="1261" t="s">
        <v>136</v>
      </c>
      <c r="C27" s="421" t="s">
        <v>86</v>
      </c>
      <c r="D27" s="273" t="s">
        <v>112</v>
      </c>
      <c r="E27" s="274">
        <f>NETWORKDAYS.INTL(F27,G27,"0000100",$AJ$6:$AJ$12)</f>
        <v>6</v>
      </c>
      <c r="F27" s="198">
        <f>WORKDAY.INTL(G23,1,"0000100",$AK$6:$AK$10)</f>
        <v>46231</v>
      </c>
      <c r="G27" s="198">
        <f>WORKDAY.INTL(F27,5,"0000100",$AK$6:$AK$10)</f>
        <v>46237</v>
      </c>
      <c r="H27" s="198">
        <f>WORKDAY.INTL(I23,1,"0000100",$AK$6:$AK$10)</f>
        <v>46231</v>
      </c>
      <c r="I27" s="198">
        <f>WORKDAY.INTL(H27,5,"0000100",$AK$6:$AK$10)</f>
        <v>46237</v>
      </c>
      <c r="J27" s="198">
        <v>46221</v>
      </c>
      <c r="K27" s="198">
        <v>46226</v>
      </c>
      <c r="L27" s="275">
        <v>1</v>
      </c>
      <c r="M27" s="275" t="str">
        <f ca="1">IF(L27=100%,"Completed",
IF(AND(L27&lt;100%,G27&lt;TODAY()),"Delayed",
IF(AND(OR(L27="",L27=0),F27&gt;TODAY()),"Not Started",
IF(AND(OR(L27="",L27=0),F27&lt;=TODAY()),"Delayed",
IF(AND(L27&gt;0,L27&lt;100%),"In Progress","")))))</f>
        <v>Completed</v>
      </c>
      <c r="N27" s="782"/>
      <c r="O27" s="781"/>
      <c r="P27" s="171"/>
      <c r="Q27" s="171"/>
      <c r="R27" s="171"/>
      <c r="S27" s="171"/>
      <c r="T27" s="171"/>
      <c r="U27" s="171"/>
      <c r="V27" s="171"/>
      <c r="W27" s="663"/>
      <c r="X27" s="1166" t="s">
        <v>133</v>
      </c>
      <c r="Y27" s="1166"/>
      <c r="Z27" s="1166"/>
      <c r="AA27" s="169" t="s">
        <v>134</v>
      </c>
      <c r="AB27" s="468" t="s">
        <v>137</v>
      </c>
      <c r="AE27" s="170" t="s">
        <v>62</v>
      </c>
      <c r="AF27" s="158" t="s">
        <v>72</v>
      </c>
    </row>
    <row r="28" spans="2:36" ht="45" customHeight="1" thickBot="1">
      <c r="B28" s="1261"/>
      <c r="C28" s="422" t="s">
        <v>86</v>
      </c>
      <c r="D28" s="276" t="s">
        <v>114</v>
      </c>
      <c r="E28" s="277">
        <f>NETWORKDAYS.INTL(F28,G28,"0000100",$AJ$6:$AJ$12)</f>
        <v>3</v>
      </c>
      <c r="F28" s="200">
        <f>WORKDAY.INTL(G27,1,"0000100",$AK$6:$AK$10)</f>
        <v>46238</v>
      </c>
      <c r="G28" s="200">
        <f>WORKDAY.INTL(F28,2,"0000100",$AK$6:$AK$10)</f>
        <v>46240</v>
      </c>
      <c r="H28" s="200">
        <f>WORKDAY.INTL(I27,1,"0000100",$AK$6:$AK$10)</f>
        <v>46238</v>
      </c>
      <c r="I28" s="200">
        <f>WORKDAY.INTL(H28,2,"0000100",$AK$6:$AK$10)</f>
        <v>46240</v>
      </c>
      <c r="J28" s="200">
        <v>46228</v>
      </c>
      <c r="K28" s="200"/>
      <c r="L28" s="278">
        <v>0.1</v>
      </c>
      <c r="M28" s="278" t="str">
        <f ca="1">IF(L28=100%,"Completed",
IF(AND(L28&lt;100%,G28&lt;TODAY()),"Delayed",
IF(AND(OR(L28="",L28=0),F28&gt;TODAY()),"Not Started",
IF(AND(OR(L28="",L28=0),F28&lt;=TODAY()),"Delayed",
IF(AND(L28&gt;0,L28&lt;100%),"In Progress","")))))</f>
        <v>In Progress</v>
      </c>
      <c r="N28" s="783"/>
      <c r="O28" s="781"/>
      <c r="P28" s="171"/>
      <c r="Q28" s="171"/>
      <c r="R28" s="171"/>
      <c r="S28" s="171"/>
      <c r="T28" s="171"/>
      <c r="U28" s="171"/>
      <c r="V28" s="171"/>
      <c r="W28" s="664"/>
      <c r="X28" s="1167" t="s">
        <v>138</v>
      </c>
      <c r="Y28" s="1167"/>
      <c r="Z28" s="1167"/>
      <c r="AA28" s="170"/>
      <c r="AB28" s="469"/>
      <c r="AE28" s="170" t="s">
        <v>63</v>
      </c>
      <c r="AF28" s="158" t="s">
        <v>72</v>
      </c>
    </row>
    <row r="29" spans="2:36" ht="45" customHeight="1" thickBot="1">
      <c r="B29" s="1261"/>
      <c r="C29" s="422" t="s">
        <v>86</v>
      </c>
      <c r="D29" s="276" t="s">
        <v>120</v>
      </c>
      <c r="E29" s="277">
        <f>NETWORKDAYS.INTL(F29,G29,"0000110",$AJ$6:$AJ$12)</f>
        <v>6</v>
      </c>
      <c r="F29" s="200">
        <f>MAX(WORKDAY.INTL(G24,1,"0000100",$AI$6:$AI$11),G28+1)</f>
        <v>46259</v>
      </c>
      <c r="G29" s="200">
        <f t="shared" ref="G29" si="0">WORKDAY.INTL(F29,5,"0000110")</f>
        <v>46266</v>
      </c>
      <c r="H29" s="200">
        <f>MAX(WORKDAY.INTL(I24,1,"0000100",$AI$6:$AI$11),I28+1)</f>
        <v>46268</v>
      </c>
      <c r="I29" s="200">
        <f>WORKDAY.INTL(H29,5,"0000110")</f>
        <v>46275</v>
      </c>
      <c r="J29" s="200"/>
      <c r="K29" s="200"/>
      <c r="L29" s="278"/>
      <c r="M29" s="278" t="str">
        <f ca="1">IF(L29=100%,"Completed",
IF(AND(L29&lt;100%,G29&lt;TODAY()),"Delayed",
IF(AND(OR(L29="",L29=0),F29&gt;TODAY()),"Not Started",
IF(AND(OR(L29="",L29=0),F29&lt;=TODAY()),"Delayed",
IF(AND(L29&gt;0,L29&lt;100%),"In Progress","")))))</f>
        <v>Not Started</v>
      </c>
      <c r="N29" s="783"/>
      <c r="O29" s="781"/>
      <c r="P29" s="171"/>
      <c r="Q29" s="171"/>
      <c r="R29" s="171"/>
      <c r="S29" s="171"/>
      <c r="T29" s="171"/>
      <c r="U29" s="171"/>
      <c r="V29" s="171"/>
      <c r="W29" s="664" t="s">
        <v>129</v>
      </c>
      <c r="X29" s="1167">
        <v>1</v>
      </c>
      <c r="Y29" s="1167"/>
      <c r="Z29" s="1167"/>
      <c r="AA29" s="170" t="s">
        <v>122</v>
      </c>
      <c r="AB29" s="469" t="s">
        <v>123</v>
      </c>
      <c r="AE29" s="170" t="s">
        <v>64</v>
      </c>
      <c r="AF29" s="158" t="s">
        <v>72</v>
      </c>
    </row>
    <row r="30" spans="2:36" ht="45" customHeight="1" thickBot="1">
      <c r="B30" s="1261"/>
      <c r="C30" s="423" t="s">
        <v>86</v>
      </c>
      <c r="D30" s="280" t="s">
        <v>125</v>
      </c>
      <c r="E30" s="281">
        <f>NETWORKDAYS.INTL(F30,G30,"0000110",$AJ$6:$AJ$12)</f>
        <v>2</v>
      </c>
      <c r="F30" s="255">
        <f t="shared" ref="F30" si="1">WORKDAY.INTL(G29,1,"0000110")</f>
        <v>46267</v>
      </c>
      <c r="G30" s="255">
        <f t="shared" ref="G30" si="2">WORKDAY.INTL(F30,1,"0000110")</f>
        <v>46268</v>
      </c>
      <c r="H30" s="255">
        <f>WORKDAY.INTL(I29,1,"0000110")</f>
        <v>46278</v>
      </c>
      <c r="I30" s="255">
        <f>WORKDAY.INTL(H30,1,"0000110")</f>
        <v>46279</v>
      </c>
      <c r="J30" s="255"/>
      <c r="K30" s="255"/>
      <c r="L30" s="282"/>
      <c r="M30" s="282" t="str">
        <f ca="1">IF(L30=100%,"Completed",
IF(AND(L30&lt;100%,G30&lt;TODAY()),"Delayed",
IF(AND(OR(L30="",L30=0),F30&gt;TODAY()),"Not Started",
IF(AND(OR(L30="",L30=0),F30&lt;=TODAY()),"Delayed",
IF(AND(L30&gt;0,L30&lt;100%),"In Progress","")))))</f>
        <v>Not Started</v>
      </c>
      <c r="N30" s="784"/>
      <c r="O30" s="781"/>
      <c r="P30" s="174"/>
      <c r="Q30" s="174"/>
      <c r="R30" s="174"/>
      <c r="S30" s="174"/>
      <c r="T30" s="174"/>
      <c r="U30" s="174"/>
      <c r="V30" s="174"/>
      <c r="W30" s="785" t="s">
        <v>126</v>
      </c>
      <c r="X30" s="1168">
        <v>1</v>
      </c>
      <c r="Y30" s="1168"/>
      <c r="Z30" s="1168"/>
      <c r="AA30" s="189"/>
      <c r="AB30" s="470"/>
      <c r="AE30" s="170" t="s">
        <v>65</v>
      </c>
      <c r="AF30" s="158" t="s">
        <v>72</v>
      </c>
    </row>
    <row r="31" spans="2:36" s="153" customFormat="1" ht="4.5" customHeight="1" thickBot="1">
      <c r="B31" s="205"/>
      <c r="C31" s="205"/>
      <c r="D31" s="313"/>
      <c r="E31" s="314"/>
      <c r="F31" s="313"/>
      <c r="G31" s="313"/>
      <c r="H31" s="313"/>
      <c r="I31" s="313"/>
      <c r="J31" s="313"/>
      <c r="K31" s="313"/>
      <c r="L31" s="315"/>
      <c r="M31" s="315"/>
      <c r="N31" s="315"/>
      <c r="O31" s="773"/>
      <c r="P31" s="167"/>
      <c r="Q31" s="167"/>
      <c r="R31" s="167"/>
      <c r="S31" s="167"/>
      <c r="T31" s="167"/>
      <c r="U31" s="167"/>
      <c r="V31" s="167"/>
      <c r="W31" s="205"/>
      <c r="X31" s="205"/>
      <c r="Y31" s="205"/>
      <c r="Z31" s="205"/>
      <c r="AA31" s="205"/>
      <c r="AB31" s="205"/>
      <c r="AE31" s="168"/>
      <c r="AF31" s="168"/>
    </row>
    <row r="32" spans="2:36" ht="45" customHeight="1" thickBot="1">
      <c r="B32" s="1267" t="s">
        <v>139</v>
      </c>
      <c r="C32" s="786" t="s">
        <v>86</v>
      </c>
      <c r="D32" s="787" t="s">
        <v>112</v>
      </c>
      <c r="E32" s="316">
        <f>NETWORKDAYS.INTL(F32,G32,"0000100",$AJ$6:$AJ$12)</f>
        <v>6</v>
      </c>
      <c r="F32" s="258">
        <f>WORKDAY.INTL(G28,1,"0000100",$AK$6:$AK$10)</f>
        <v>46242</v>
      </c>
      <c r="G32" s="258">
        <f>WORKDAY.INTL(F32,5,"0000100",$AK$6:$AK$10)</f>
        <v>46247</v>
      </c>
      <c r="H32" s="258">
        <f>WORKDAY.INTL(I28,1,"0000100",$AK$6:$AK$10)</f>
        <v>46242</v>
      </c>
      <c r="I32" s="258">
        <f>WORKDAY.INTL(H32,5,"0000100",$AK$6:$AK$10)</f>
        <v>46247</v>
      </c>
      <c r="J32" s="258"/>
      <c r="K32" s="258"/>
      <c r="L32" s="291"/>
      <c r="M32" s="291" t="str">
        <f ca="1">IF(L32=100%,"Completed",
IF(AND(L32&lt;100%,G32&lt;TODAY()),"Delayed",
IF(AND(OR(L32="",L32=0),F32&gt;TODAY()),"Not Started",
IF(AND(OR(L32="",L32=0),F32&lt;=TODAY()),"Delayed",
IF(AND(L32&gt;0,L32&lt;100%),"In Progress","")))))</f>
        <v>Not Started</v>
      </c>
      <c r="N32" s="788"/>
      <c r="O32" s="781"/>
      <c r="P32" s="175"/>
      <c r="Q32" s="175"/>
      <c r="R32" s="175"/>
      <c r="S32" s="175"/>
      <c r="T32" s="175"/>
      <c r="U32" s="175"/>
      <c r="V32" s="175"/>
      <c r="W32" s="798"/>
      <c r="X32" s="1201" t="s">
        <v>133</v>
      </c>
      <c r="Y32" s="1201"/>
      <c r="Z32" s="1201"/>
      <c r="AA32" s="92" t="s">
        <v>134</v>
      </c>
      <c r="AB32" s="741" t="s">
        <v>137</v>
      </c>
      <c r="AE32" s="170" t="s">
        <v>62</v>
      </c>
      <c r="AF32" s="158" t="s">
        <v>73</v>
      </c>
      <c r="AJ32" s="173"/>
    </row>
    <row r="33" spans="2:36" ht="45" customHeight="1" thickBot="1">
      <c r="B33" s="1267"/>
      <c r="C33" s="789" t="s">
        <v>86</v>
      </c>
      <c r="D33" s="790" t="s">
        <v>114</v>
      </c>
      <c r="E33" s="791">
        <f>NETWORKDAYS.INTL(F33,G33,"0000100",$AJ$6:$AJ$12)</f>
        <v>3</v>
      </c>
      <c r="F33" s="256">
        <f>WORKDAY.INTL(G32,1,"0000100",$AK$6:$AK$10)</f>
        <v>46249</v>
      </c>
      <c r="G33" s="256">
        <f>WORKDAY.INTL(F33,2,"0000100",$AK$6:$AK$10)</f>
        <v>46251</v>
      </c>
      <c r="H33" s="256">
        <f>WORKDAY.INTL(I32,1,"0000100",$AK$6:$AK$10)</f>
        <v>46249</v>
      </c>
      <c r="I33" s="256">
        <f>WORKDAY.INTL(H33,2,"0000100",$AK$6:$AK$10)</f>
        <v>46251</v>
      </c>
      <c r="J33" s="256"/>
      <c r="K33" s="256"/>
      <c r="L33" s="285"/>
      <c r="M33" s="285" t="str">
        <f ca="1">IF(L33=100%,"Completed",
IF(AND(L33&lt;100%,G33&lt;TODAY()),"Delayed",
IF(AND(OR(L33="",L33=0),F33&gt;TODAY()),"Not Started",
IF(AND(OR(L33="",L33=0),F33&lt;=TODAY()),"Delayed",
IF(AND(L33&gt;0,L33&lt;100%),"In Progress","")))))</f>
        <v>Not Started</v>
      </c>
      <c r="N33" s="792"/>
      <c r="O33" s="781"/>
      <c r="P33" s="176"/>
      <c r="Q33" s="176"/>
      <c r="R33" s="176"/>
      <c r="S33" s="176"/>
      <c r="T33" s="176"/>
      <c r="U33" s="176"/>
      <c r="V33" s="176"/>
      <c r="W33" s="799"/>
      <c r="X33" s="1202">
        <v>1</v>
      </c>
      <c r="Y33" s="1202"/>
      <c r="Z33" s="1202"/>
      <c r="AA33" s="97"/>
      <c r="AB33" s="745"/>
      <c r="AE33" s="170" t="s">
        <v>63</v>
      </c>
      <c r="AF33" s="158" t="s">
        <v>73</v>
      </c>
    </row>
    <row r="34" spans="2:36" ht="45" customHeight="1" thickBot="1">
      <c r="B34" s="1267"/>
      <c r="C34" s="789" t="s">
        <v>86</v>
      </c>
      <c r="D34" s="793" t="s">
        <v>120</v>
      </c>
      <c r="E34" s="791">
        <f>NETWORKDAYS.INTL(F34,G34,"0000110",$AJ$6:$AJ$12)</f>
        <v>5</v>
      </c>
      <c r="F34" s="256">
        <f>MAX(WORKDAY.INTL(G29,1,"0000100",$AI$6:$AI$11),G33+1)</f>
        <v>46267</v>
      </c>
      <c r="G34" s="256">
        <f>WORKDAY.INTL(F34,4,"0000110",$AJ$6:$AJ$11)</f>
        <v>46273</v>
      </c>
      <c r="H34" s="256">
        <f>MAX(WORKDAY.INTL(I29,1,"0000100",$AI$6:$AI$11),I33+1)</f>
        <v>46277</v>
      </c>
      <c r="I34" s="256">
        <f>WORKDAY.INTL(H34,4,"0000110",$AJ$6:$AJ$11)</f>
        <v>46281</v>
      </c>
      <c r="J34" s="256"/>
      <c r="K34" s="256"/>
      <c r="L34" s="285"/>
      <c r="M34" s="285" t="str">
        <f ca="1">IF(L34=100%,"Completed",
IF(AND(L34&lt;100%,G34&lt;TODAY()),"Delayed",
IF(AND(OR(L34="",L34=0),F34&gt;TODAY()),"Not Started",
IF(AND(OR(L34="",L34=0),F34&lt;=TODAY()),"Delayed",
IF(AND(L34&gt;0,L34&lt;100%),"In Progress","")))))</f>
        <v>Not Started</v>
      </c>
      <c r="N34" s="792"/>
      <c r="O34" s="781"/>
      <c r="P34" s="177"/>
      <c r="Q34" s="177"/>
      <c r="R34" s="177"/>
      <c r="S34" s="177"/>
      <c r="T34" s="177"/>
      <c r="U34" s="177"/>
      <c r="V34" s="177"/>
      <c r="W34" s="799" t="s">
        <v>129</v>
      </c>
      <c r="X34" s="1202">
        <v>1</v>
      </c>
      <c r="Y34" s="1202"/>
      <c r="Z34" s="1202"/>
      <c r="AA34" s="97" t="s">
        <v>140</v>
      </c>
      <c r="AB34" s="745" t="s">
        <v>123</v>
      </c>
      <c r="AE34" s="170" t="s">
        <v>64</v>
      </c>
      <c r="AF34" s="158" t="s">
        <v>73</v>
      </c>
    </row>
    <row r="35" spans="2:36" ht="45" customHeight="1" thickBot="1">
      <c r="B35" s="1267"/>
      <c r="C35" s="794" t="s">
        <v>86</v>
      </c>
      <c r="D35" s="795" t="s">
        <v>125</v>
      </c>
      <c r="E35" s="796">
        <f>NETWORKDAYS.INTL(F35,G35,"0000110",$AJ$6:$AJ$12)</f>
        <v>2</v>
      </c>
      <c r="F35" s="259">
        <f>WORKDAY.INTL(G34,1,"0000110",$AJ$6:$AJ$11)</f>
        <v>46274</v>
      </c>
      <c r="G35" s="256">
        <f>WORKDAY.INTL(F35,1,"0000110",$AJ$6:$AJ$11)</f>
        <v>46275</v>
      </c>
      <c r="H35" s="259">
        <f>WORKDAY.INTL(I34,1,"0000110",$AJ$6:$AJ$11)</f>
        <v>46282</v>
      </c>
      <c r="I35" s="259">
        <f>WORKDAY.INTL(H35,1,"0000110",$AJ$6:$AJ$11)</f>
        <v>46285</v>
      </c>
      <c r="J35" s="259"/>
      <c r="K35" s="259"/>
      <c r="L35" s="292"/>
      <c r="M35" s="292" t="str">
        <f ca="1">IF(L35=100%,"Completed",
IF(AND(L35&lt;100%,G35&lt;TODAY()),"Delayed",
IF(AND(OR(L35="",L35=0),F35&gt;TODAY()),"Not Started",
IF(AND(OR(L35="",L35=0),F35&lt;=TODAY()),"Delayed",
IF(AND(L35&gt;0,L35&lt;100%),"In Progress","")))))</f>
        <v>Not Started</v>
      </c>
      <c r="N35" s="797"/>
      <c r="O35" s="781"/>
      <c r="P35" s="177"/>
      <c r="Q35" s="177"/>
      <c r="R35" s="177"/>
      <c r="S35" s="177"/>
      <c r="T35" s="177"/>
      <c r="U35" s="177"/>
      <c r="V35" s="177"/>
      <c r="W35" s="800" t="s">
        <v>126</v>
      </c>
      <c r="X35" s="1203">
        <v>1</v>
      </c>
      <c r="Y35" s="1203"/>
      <c r="Z35" s="1203"/>
      <c r="AA35" s="99"/>
      <c r="AB35" s="747"/>
      <c r="AE35" s="170" t="s">
        <v>65</v>
      </c>
      <c r="AF35" s="158" t="s">
        <v>73</v>
      </c>
    </row>
    <row r="36" spans="2:36" s="153" customFormat="1" ht="4.5" customHeight="1" thickBot="1">
      <c r="B36" s="205"/>
      <c r="C36" s="205"/>
      <c r="D36" s="313"/>
      <c r="E36" s="314"/>
      <c r="F36" s="313"/>
      <c r="G36" s="313"/>
      <c r="H36" s="313"/>
      <c r="I36" s="313"/>
      <c r="J36" s="313"/>
      <c r="K36" s="313"/>
      <c r="L36" s="315"/>
      <c r="M36" s="315"/>
      <c r="N36" s="315"/>
      <c r="O36" s="773"/>
      <c r="P36" s="167"/>
      <c r="Q36" s="167"/>
      <c r="R36" s="167"/>
      <c r="S36" s="167"/>
      <c r="T36" s="167"/>
      <c r="U36" s="167"/>
      <c r="V36" s="167"/>
      <c r="W36" s="205"/>
      <c r="X36" s="205"/>
      <c r="Y36" s="205"/>
      <c r="Z36" s="205"/>
      <c r="AA36" s="205"/>
      <c r="AB36" s="205"/>
      <c r="AE36" s="168"/>
      <c r="AF36" s="168"/>
    </row>
    <row r="37" spans="2:36" ht="45" customHeight="1" thickBot="1">
      <c r="B37" s="1261" t="s">
        <v>141</v>
      </c>
      <c r="C37" s="421" t="s">
        <v>86</v>
      </c>
      <c r="D37" s="273" t="s">
        <v>112</v>
      </c>
      <c r="E37" s="274">
        <f>NETWORKDAYS.INTL(F37,G37,"0000100",$AJ$6:$AJ$12)</f>
        <v>6</v>
      </c>
      <c r="F37" s="198">
        <f>WORKDAY.INTL(G33,1,"0000100",$AK$6:$AK$10)</f>
        <v>46252</v>
      </c>
      <c r="G37" s="198">
        <f>WORKDAY.INTL(F37,5,"0000100",$AK$6:$AK$10)</f>
        <v>46258</v>
      </c>
      <c r="H37" s="198">
        <f>WORKDAY.INTL(I33,1,"0000100",$AK$6:$AK$10)</f>
        <v>46252</v>
      </c>
      <c r="I37" s="198">
        <f>WORKDAY.INTL(H37,5,"0000100",$AK$6:$AK$10)</f>
        <v>46258</v>
      </c>
      <c r="J37" s="198"/>
      <c r="K37" s="198"/>
      <c r="L37" s="275"/>
      <c r="M37" s="275" t="str">
        <f ca="1">IF(L37=100%,"Completed",
IF(AND(L37&lt;100%,G37&lt;TODAY()),"Delayed",
IF(AND(OR(L37="",L37=0),F37&gt;TODAY()),"Not Started",
IF(AND(OR(L37="",L37=0),F37&lt;=TODAY()),"Delayed",
IF(AND(L37&gt;0,L37&lt;100%),"In Progress","")))))</f>
        <v>Not Started</v>
      </c>
      <c r="N37" s="782"/>
      <c r="O37" s="781"/>
      <c r="P37" s="171"/>
      <c r="Q37" s="171"/>
      <c r="R37" s="171"/>
      <c r="S37" s="171"/>
      <c r="T37" s="171"/>
      <c r="U37" s="171"/>
      <c r="V37" s="171"/>
      <c r="W37" s="663"/>
      <c r="X37" s="1166" t="s">
        <v>133</v>
      </c>
      <c r="Y37" s="1166"/>
      <c r="Z37" s="1166"/>
      <c r="AA37" s="169" t="s">
        <v>134</v>
      </c>
      <c r="AB37" s="468" t="s">
        <v>137</v>
      </c>
      <c r="AE37" s="170" t="s">
        <v>62</v>
      </c>
      <c r="AF37" s="158" t="s">
        <v>74</v>
      </c>
    </row>
    <row r="38" spans="2:36" ht="45" customHeight="1" thickBot="1">
      <c r="B38" s="1261"/>
      <c r="C38" s="422" t="s">
        <v>86</v>
      </c>
      <c r="D38" s="276" t="s">
        <v>114</v>
      </c>
      <c r="E38" s="277">
        <f>NETWORKDAYS.INTL(F38,G38,"0000100",$AJ$6:$AJ$12)</f>
        <v>3</v>
      </c>
      <c r="F38" s="200">
        <f>WORKDAY.INTL(G37,1,"0000100",$AK$6:$AK$10)</f>
        <v>46259</v>
      </c>
      <c r="G38" s="200">
        <f>WORKDAY.INTL(F38,2,"0000100",$AK$6:$AK$10)</f>
        <v>46261</v>
      </c>
      <c r="H38" s="200">
        <f>WORKDAY.INTL(I37,1,"0000100",$AK$6:$AK$10)</f>
        <v>46259</v>
      </c>
      <c r="I38" s="200">
        <f>WORKDAY.INTL(H38,2,"0000100",$AK$6:$AK$10)</f>
        <v>46261</v>
      </c>
      <c r="J38" s="200"/>
      <c r="K38" s="200"/>
      <c r="L38" s="278"/>
      <c r="M38" s="278" t="str">
        <f ca="1">IF(L38=100%,"Completed",
IF(AND(L38&lt;100%,G38&lt;TODAY()),"Delayed",
IF(AND(OR(L38="",L38=0),F38&gt;TODAY()),"Not Started",
IF(AND(OR(L38="",L38=0),F38&lt;=TODAY()),"Delayed",
IF(AND(L38&gt;0,L38&lt;100%),"In Progress","")))))</f>
        <v>Not Started</v>
      </c>
      <c r="N38" s="783"/>
      <c r="O38" s="781"/>
      <c r="P38" s="171"/>
      <c r="Q38" s="171"/>
      <c r="R38" s="171"/>
      <c r="S38" s="171"/>
      <c r="T38" s="171"/>
      <c r="U38" s="171"/>
      <c r="V38" s="171"/>
      <c r="W38" s="664"/>
      <c r="X38" s="1167">
        <v>1</v>
      </c>
      <c r="Y38" s="1167"/>
      <c r="Z38" s="1167"/>
      <c r="AA38" s="170"/>
      <c r="AB38" s="469"/>
      <c r="AE38" s="170" t="s">
        <v>63</v>
      </c>
      <c r="AF38" s="158" t="s">
        <v>74</v>
      </c>
    </row>
    <row r="39" spans="2:36" ht="45" customHeight="1" thickBot="1">
      <c r="B39" s="1261"/>
      <c r="C39" s="422" t="s">
        <v>86</v>
      </c>
      <c r="D39" s="276" t="s">
        <v>120</v>
      </c>
      <c r="E39" s="277">
        <f>NETWORKDAYS.INTL(F39,G39,"0000110",$AJ$6:$AJ$12)</f>
        <v>5</v>
      </c>
      <c r="F39" s="200">
        <f>MAX(WORKDAY.INTL(G34,1,"0000100",$AI$6:$AI$11),G38+1)</f>
        <v>46274</v>
      </c>
      <c r="G39" s="200">
        <f>WORKDAY.INTL(F39,4,"0000110",$AJ$6:$AJ$11)</f>
        <v>46280</v>
      </c>
      <c r="H39" s="200">
        <f>MAX(WORKDAY.INTL(I34,1,"0000100",$AI$6:$AI$11),I38+1)</f>
        <v>46282</v>
      </c>
      <c r="I39" s="200">
        <f>WORKDAY.INTL(H39,4,"0000110",$AJ$6:$AJ$11)</f>
        <v>46289</v>
      </c>
      <c r="J39" s="200"/>
      <c r="K39" s="200"/>
      <c r="L39" s="278"/>
      <c r="M39" s="278" t="str">
        <f ca="1">IF(L39=100%,"Completed",
IF(AND(L39&lt;100%,G39&lt;TODAY()),"Delayed",
IF(AND(OR(L39="",L39=0),F39&gt;TODAY()),"Not Started",
IF(AND(OR(L39="",L39=0),F39&lt;=TODAY()),"Delayed",
IF(AND(L39&gt;0,L39&lt;100%),"In Progress","")))))</f>
        <v>Not Started</v>
      </c>
      <c r="N39" s="783"/>
      <c r="O39" s="781"/>
      <c r="P39" s="171"/>
      <c r="Q39" s="171"/>
      <c r="R39" s="171"/>
      <c r="S39" s="171"/>
      <c r="T39" s="171"/>
      <c r="U39" s="171"/>
      <c r="V39" s="171"/>
      <c r="W39" s="664" t="s">
        <v>129</v>
      </c>
      <c r="X39" s="1167">
        <v>1</v>
      </c>
      <c r="Y39" s="1167"/>
      <c r="Z39" s="1167"/>
      <c r="AA39" s="170" t="s">
        <v>122</v>
      </c>
      <c r="AB39" s="469" t="s">
        <v>123</v>
      </c>
      <c r="AE39" s="170" t="s">
        <v>64</v>
      </c>
      <c r="AF39" s="158" t="s">
        <v>74</v>
      </c>
    </row>
    <row r="40" spans="2:36" ht="45" customHeight="1" thickBot="1">
      <c r="B40" s="1261"/>
      <c r="C40" s="423" t="s">
        <v>86</v>
      </c>
      <c r="D40" s="280" t="s">
        <v>125</v>
      </c>
      <c r="E40" s="281">
        <f>NETWORKDAYS.INTL(F40,G40,"0000110",$AJ$6:$AJ$12)</f>
        <v>2</v>
      </c>
      <c r="F40" s="255">
        <f>WORKDAY.INTL(G39,1,"0000110",$AJ$6:$AJ$11)</f>
        <v>46281</v>
      </c>
      <c r="G40" s="255">
        <f>WORKDAY.INTL(F40,1,"0000110",$AJ$6:$AJ$11)</f>
        <v>46282</v>
      </c>
      <c r="H40" s="255">
        <f>WORKDAY.INTL(I39,1,"0000110",$AJ$6:$AJ$11)</f>
        <v>46292</v>
      </c>
      <c r="I40" s="255">
        <f>WORKDAY.INTL(H40,1,"0000110",$AJ$6:$AJ$11)</f>
        <v>46293</v>
      </c>
      <c r="J40" s="255"/>
      <c r="K40" s="255"/>
      <c r="L40" s="282"/>
      <c r="M40" s="282" t="str">
        <f ca="1">IF(L40=100%,"Completed",
IF(AND(L40&lt;100%,G40&lt;TODAY()),"Delayed",
IF(AND(OR(L40="",L40=0),F40&gt;TODAY()),"Not Started",
IF(AND(OR(L40="",L40=0),F40&lt;=TODAY()),"Delayed",
IF(AND(L40&gt;0,L40&lt;100%),"In Progress","")))))</f>
        <v>Not Started</v>
      </c>
      <c r="N40" s="784"/>
      <c r="O40" s="781"/>
      <c r="P40" s="174"/>
      <c r="Q40" s="174"/>
      <c r="R40" s="174"/>
      <c r="S40" s="174"/>
      <c r="T40" s="174"/>
      <c r="U40" s="174"/>
      <c r="V40" s="174"/>
      <c r="W40" s="785" t="s">
        <v>126</v>
      </c>
      <c r="X40" s="1168">
        <v>1</v>
      </c>
      <c r="Y40" s="1168"/>
      <c r="Z40" s="1168"/>
      <c r="AA40" s="189"/>
      <c r="AB40" s="470"/>
      <c r="AE40" s="170" t="s">
        <v>65</v>
      </c>
      <c r="AF40" s="158" t="s">
        <v>74</v>
      </c>
    </row>
    <row r="41" spans="2:36" s="153" customFormat="1" ht="4.5" customHeight="1" thickBot="1">
      <c r="B41" s="205"/>
      <c r="C41" s="205"/>
      <c r="D41" s="313"/>
      <c r="E41" s="314"/>
      <c r="F41" s="313"/>
      <c r="G41" s="313"/>
      <c r="H41" s="313"/>
      <c r="I41" s="313"/>
      <c r="J41" s="313"/>
      <c r="K41" s="313"/>
      <c r="L41" s="315"/>
      <c r="M41" s="315"/>
      <c r="N41" s="315"/>
      <c r="O41" s="773"/>
      <c r="P41" s="167"/>
      <c r="Q41" s="167"/>
      <c r="R41" s="167"/>
      <c r="S41" s="167"/>
      <c r="T41" s="167"/>
      <c r="U41" s="167"/>
      <c r="V41" s="167"/>
      <c r="W41" s="205"/>
      <c r="X41" s="205"/>
      <c r="Y41" s="205"/>
      <c r="Z41" s="205"/>
      <c r="AA41" s="205"/>
      <c r="AB41" s="205"/>
      <c r="AE41" s="168"/>
      <c r="AF41" s="168"/>
    </row>
    <row r="42" spans="2:36" ht="45" customHeight="1" thickBot="1">
      <c r="B42" s="1267" t="s">
        <v>142</v>
      </c>
      <c r="C42" s="786" t="s">
        <v>86</v>
      </c>
      <c r="D42" s="787" t="s">
        <v>112</v>
      </c>
      <c r="E42" s="316">
        <f>NETWORKDAYS.INTL(F42,G42,"0000100",$AJ$6:$AJ$12)</f>
        <v>6</v>
      </c>
      <c r="F42" s="258">
        <f>WORKDAY.INTL(G38,1,"0000100",$AK$6:$AK$10)</f>
        <v>46263</v>
      </c>
      <c r="G42" s="258">
        <f>WORKDAY.INTL(F42,5,"0000100",$AK$6:$AK$10)</f>
        <v>46268</v>
      </c>
      <c r="H42" s="258">
        <f>WORKDAY.INTL(I38,1,"0000100",$AK$6:$AK$10)</f>
        <v>46263</v>
      </c>
      <c r="I42" s="258">
        <f>WORKDAY.INTL(H42,5,"0000100",$AK$6:$AK$10)</f>
        <v>46268</v>
      </c>
      <c r="J42" s="258"/>
      <c r="K42" s="258"/>
      <c r="L42" s="291"/>
      <c r="M42" s="291" t="str">
        <f ca="1">IF(L42=100%,"Completed",
IF(AND(L42&lt;100%,G42&lt;TODAY()),"Delayed",
IF(AND(OR(L42="",L42=0),F42&gt;TODAY()),"Not Started",
IF(AND(OR(L42="",L42=0),F42&lt;=TODAY()),"Delayed",
IF(AND(L42&gt;0,L42&lt;100%),"In Progress","")))))</f>
        <v>Not Started</v>
      </c>
      <c r="N42" s="788"/>
      <c r="O42" s="781"/>
      <c r="P42" s="175"/>
      <c r="Q42" s="175"/>
      <c r="R42" s="175"/>
      <c r="S42" s="175"/>
      <c r="T42" s="175"/>
      <c r="U42" s="175"/>
      <c r="V42" s="175"/>
      <c r="W42" s="798"/>
      <c r="X42" s="1201" t="s">
        <v>133</v>
      </c>
      <c r="Y42" s="1201"/>
      <c r="Z42" s="1201"/>
      <c r="AA42" s="92" t="s">
        <v>134</v>
      </c>
      <c r="AB42" s="741" t="s">
        <v>137</v>
      </c>
      <c r="AE42" s="170" t="s">
        <v>62</v>
      </c>
      <c r="AF42" s="158" t="s">
        <v>75</v>
      </c>
      <c r="AJ42" s="173"/>
    </row>
    <row r="43" spans="2:36" ht="45" customHeight="1" thickBot="1">
      <c r="B43" s="1267"/>
      <c r="C43" s="789" t="s">
        <v>86</v>
      </c>
      <c r="D43" s="790" t="s">
        <v>114</v>
      </c>
      <c r="E43" s="791">
        <f>NETWORKDAYS.INTL(F43,G43,"0000100",$AJ$6:$AJ$12)</f>
        <v>3</v>
      </c>
      <c r="F43" s="256">
        <f>WORKDAY.INTL(G42,1,"0000100",$AK$6:$AK$10)</f>
        <v>46270</v>
      </c>
      <c r="G43" s="256">
        <f>WORKDAY.INTL(F43,2,"0000100",$AK$6:$AK$10)</f>
        <v>46272</v>
      </c>
      <c r="H43" s="256">
        <f>WORKDAY.INTL(I42,1,"0000100",$AK$6:$AK$10)</f>
        <v>46270</v>
      </c>
      <c r="I43" s="256">
        <f>WORKDAY.INTL(H43,2,"0000100",$AK$6:$AK$10)</f>
        <v>46272</v>
      </c>
      <c r="J43" s="256"/>
      <c r="K43" s="256"/>
      <c r="L43" s="285"/>
      <c r="M43" s="285" t="str">
        <f ca="1">IF(L43=100%,"Completed",
IF(AND(L43&lt;100%,G43&lt;TODAY()),"Delayed",
IF(AND(OR(L43="",L43=0),F43&gt;TODAY()),"Not Started",
IF(AND(OR(L43="",L43=0),F43&lt;=TODAY()),"Delayed",
IF(AND(L43&gt;0,L43&lt;100%),"In Progress","")))))</f>
        <v>Not Started</v>
      </c>
      <c r="N43" s="792"/>
      <c r="O43" s="781"/>
      <c r="P43" s="176"/>
      <c r="Q43" s="176"/>
      <c r="R43" s="176"/>
      <c r="S43" s="176"/>
      <c r="T43" s="176"/>
      <c r="U43" s="176"/>
      <c r="V43" s="176"/>
      <c r="W43" s="799"/>
      <c r="X43" s="1202">
        <v>1</v>
      </c>
      <c r="Y43" s="1202"/>
      <c r="Z43" s="1202"/>
      <c r="AA43" s="97"/>
      <c r="AB43" s="745"/>
      <c r="AE43" s="170" t="s">
        <v>63</v>
      </c>
      <c r="AF43" s="158" t="s">
        <v>75</v>
      </c>
    </row>
    <row r="44" spans="2:36" ht="45" customHeight="1" thickBot="1">
      <c r="B44" s="1267"/>
      <c r="C44" s="789" t="s">
        <v>86</v>
      </c>
      <c r="D44" s="793" t="s">
        <v>120</v>
      </c>
      <c r="E44" s="791">
        <f>NETWORKDAYS.INTL(F44,G44,"0000110",$AJ$6:$AJ$12)</f>
        <v>5</v>
      </c>
      <c r="F44" s="256">
        <f>MAX(WORKDAY.INTL(G39,1,"0000100",$AI$6:$AI$11),G43+1)</f>
        <v>46281</v>
      </c>
      <c r="G44" s="256">
        <f>WORKDAY.INTL(F44,4,"0000110",$AJ$6:$AJ$11)</f>
        <v>46287</v>
      </c>
      <c r="H44" s="256">
        <f>MAX(WORKDAY.INTL(I39,1,"0000100",$AI$6:$AI$11),I43+1)</f>
        <v>46291</v>
      </c>
      <c r="I44" s="256">
        <f>WORKDAY.INTL(H44,4,"0000110",$AJ$6:$AJ$11)</f>
        <v>46295</v>
      </c>
      <c r="J44" s="256"/>
      <c r="K44" s="256"/>
      <c r="L44" s="285"/>
      <c r="M44" s="285" t="str">
        <f ca="1">IF(L44=100%,"Completed",
IF(AND(L44&lt;100%,G44&lt;TODAY()),"Delayed",
IF(AND(OR(L44="",L44=0),F44&gt;TODAY()),"Not Started",
IF(AND(OR(L44="",L44=0),F44&lt;=TODAY()),"Delayed",
IF(AND(L44&gt;0,L44&lt;100%),"In Progress","")))))</f>
        <v>Not Started</v>
      </c>
      <c r="N44" s="792"/>
      <c r="O44" s="781"/>
      <c r="P44" s="177"/>
      <c r="Q44" s="177"/>
      <c r="R44" s="177"/>
      <c r="S44" s="177"/>
      <c r="T44" s="177"/>
      <c r="U44" s="177"/>
      <c r="V44" s="177"/>
      <c r="W44" s="799" t="s">
        <v>129</v>
      </c>
      <c r="X44" s="1202">
        <v>1</v>
      </c>
      <c r="Y44" s="1202"/>
      <c r="Z44" s="1202"/>
      <c r="AA44" s="97" t="s">
        <v>122</v>
      </c>
      <c r="AB44" s="745" t="s">
        <v>123</v>
      </c>
      <c r="AE44" s="170" t="s">
        <v>64</v>
      </c>
      <c r="AF44" s="158" t="s">
        <v>75</v>
      </c>
    </row>
    <row r="45" spans="2:36" ht="45" customHeight="1" thickBot="1">
      <c r="B45" s="1267"/>
      <c r="C45" s="794" t="s">
        <v>86</v>
      </c>
      <c r="D45" s="795" t="s">
        <v>125</v>
      </c>
      <c r="E45" s="796">
        <f>NETWORKDAYS.INTL(F45,G45,"0000110",$AJ$6:$AJ$12)</f>
        <v>2</v>
      </c>
      <c r="F45" s="259">
        <f>WORKDAY.INTL(G44,1,"0000110",$AJ$6:$AJ$11)</f>
        <v>46289</v>
      </c>
      <c r="G45" s="259">
        <f>WORKDAY.INTL(F45,1,"0000110",$AJ$6:$AJ$11)</f>
        <v>46292</v>
      </c>
      <c r="H45" s="259">
        <f>WORKDAY.INTL(I44,1,"0000110",$AJ$6:$AJ$11)</f>
        <v>46296</v>
      </c>
      <c r="I45" s="259">
        <f>WORKDAY.INTL(H45,1,"0000110",$AJ$6:$AJ$11)</f>
        <v>46299</v>
      </c>
      <c r="J45" s="259"/>
      <c r="K45" s="259"/>
      <c r="L45" s="292"/>
      <c r="M45" s="292" t="str">
        <f ca="1">IF(L45=100%,"Completed",
IF(AND(L45&lt;100%,G45&lt;TODAY()),"Delayed",
IF(AND(OR(L45="",L45=0),F45&gt;TODAY()),"Not Started",
IF(AND(OR(L45="",L45=0),F45&lt;=TODAY()),"Delayed",
IF(AND(L45&gt;0,L45&lt;100%),"In Progress","")))))</f>
        <v>Not Started</v>
      </c>
      <c r="N45" s="797"/>
      <c r="O45" s="781"/>
      <c r="P45" s="177"/>
      <c r="Q45" s="177"/>
      <c r="R45" s="177"/>
      <c r="S45" s="177"/>
      <c r="T45" s="177"/>
      <c r="U45" s="177"/>
      <c r="V45" s="177"/>
      <c r="W45" s="800" t="s">
        <v>126</v>
      </c>
      <c r="X45" s="1203">
        <v>1</v>
      </c>
      <c r="Y45" s="1203"/>
      <c r="Z45" s="1203"/>
      <c r="AA45" s="99"/>
      <c r="AB45" s="747"/>
      <c r="AE45" s="170" t="s">
        <v>65</v>
      </c>
      <c r="AF45" s="158" t="s">
        <v>75</v>
      </c>
    </row>
    <row r="46" spans="2:36" s="153" customFormat="1" ht="4.5" customHeight="1" thickBot="1">
      <c r="B46" s="205"/>
      <c r="C46" s="205"/>
      <c r="D46" s="313"/>
      <c r="E46" s="314"/>
      <c r="F46" s="313"/>
      <c r="G46" s="313"/>
      <c r="H46" s="313"/>
      <c r="I46" s="313"/>
      <c r="J46" s="313"/>
      <c r="K46" s="313"/>
      <c r="L46" s="315"/>
      <c r="M46" s="315"/>
      <c r="N46" s="315"/>
      <c r="O46" s="773"/>
      <c r="P46" s="167"/>
      <c r="Q46" s="167"/>
      <c r="R46" s="167"/>
      <c r="S46" s="167"/>
      <c r="T46" s="167"/>
      <c r="U46" s="167"/>
      <c r="V46" s="167"/>
      <c r="W46" s="943"/>
      <c r="X46" s="205"/>
      <c r="Y46" s="205"/>
      <c r="Z46" s="205"/>
      <c r="AA46" s="205"/>
      <c r="AB46" s="205"/>
      <c r="AE46" s="168"/>
      <c r="AF46" s="168"/>
    </row>
    <row r="47" spans="2:36" ht="45" customHeight="1" thickBot="1">
      <c r="B47" s="1261" t="s">
        <v>143</v>
      </c>
      <c r="C47" s="421" t="s">
        <v>143</v>
      </c>
      <c r="D47" s="273" t="s">
        <v>144</v>
      </c>
      <c r="E47" s="274">
        <f>NETWORKDAYS.INTL(F47,G47,"0000100",$AI$6:$AI$12)</f>
        <v>19</v>
      </c>
      <c r="F47" s="198">
        <f>WORKDAY.INTL(G48,1,"0000100",$AI$6:$AI$11)</f>
        <v>46252</v>
      </c>
      <c r="G47" s="198">
        <f>WORKDAY.INTL(F47,18,"0000100",$AI$6:$AI$11)</f>
        <v>46273</v>
      </c>
      <c r="H47" s="198">
        <f>WORKDAY.INTL(I48,1,"0000100",$AI$6:$AI$11)</f>
        <v>46257</v>
      </c>
      <c r="I47" s="198">
        <f>WORKDAY.INTL(H47,18,"0000100",$AI$6:$AI$11)</f>
        <v>46278</v>
      </c>
      <c r="J47" s="198"/>
      <c r="K47" s="198"/>
      <c r="L47" s="275"/>
      <c r="M47" s="275" t="str">
        <f ca="1">IF(L47=100%,"Completed",
IF(AND(L47&lt;100%,G47&lt;TODAY()),"Delayed",
IF(AND(OR(L47="",L47=0),F47&gt;TODAY()),"Not Started",
IF(AND(OR(L47="",L47=0),F47&lt;=TODAY()),"Delayed",
IF(AND(L47&gt;0,L47&lt;100%),"In Progress","")))))</f>
        <v>Not Started</v>
      </c>
      <c r="N47" s="782"/>
      <c r="O47" s="781"/>
      <c r="P47" s="172"/>
      <c r="Q47" s="180"/>
      <c r="R47" s="180"/>
      <c r="S47" s="180"/>
      <c r="T47" s="180"/>
      <c r="U47" s="180"/>
      <c r="V47" s="802"/>
      <c r="W47" s="663" t="s">
        <v>145</v>
      </c>
      <c r="X47" s="1166">
        <v>1</v>
      </c>
      <c r="Y47" s="1166"/>
      <c r="Z47" s="1166"/>
      <c r="AA47" s="169" t="s">
        <v>146</v>
      </c>
      <c r="AB47" s="468"/>
      <c r="AC47" s="155" t="s">
        <v>113</v>
      </c>
      <c r="AE47" s="170"/>
    </row>
    <row r="48" spans="2:36" ht="43.5" customHeight="1" thickBot="1">
      <c r="B48" s="1261"/>
      <c r="C48" s="422" t="s">
        <v>143</v>
      </c>
      <c r="D48" s="276" t="s">
        <v>147</v>
      </c>
      <c r="E48" s="277">
        <f>NETWORKDAYS.INTL(F48,G48,"0000100",$AI$6:$AI$12)</f>
        <v>19</v>
      </c>
      <c r="F48" s="200">
        <f>WORKDAY.INTL(G60,2,"0000100",$AI$6:$AI$11)</f>
        <v>46230</v>
      </c>
      <c r="G48" s="200">
        <f>WORKDAY.INTL(F48,18,"0000100",$AI$6:$AI$11)</f>
        <v>46251</v>
      </c>
      <c r="H48" s="200">
        <f>WORKDAY.INTL(I60,2,"0000100",$AI$6:$AI$11)</f>
        <v>46235</v>
      </c>
      <c r="I48" s="200">
        <f>WORKDAY.INTL(H48,18,"0000100",$AI$6:$AI$11)</f>
        <v>46256</v>
      </c>
      <c r="J48" s="200"/>
      <c r="K48" s="200"/>
      <c r="L48" s="278"/>
      <c r="M48" s="278" t="str">
        <f ca="1">IF(L48=100%,"Completed",
IF(AND(L48&lt;100%,G48&lt;TODAY()),"Delayed",
IF(AND(OR(L48="",L48=0),F48&gt;TODAY()),"Not Started",
IF(AND(OR(L48="",L48=0),F48&lt;=TODAY()),"Delayed",
IF(AND(L48&gt;0,L48&lt;100%),"In Progress","")))))</f>
        <v>Not Started</v>
      </c>
      <c r="N48" s="783"/>
      <c r="O48" s="781"/>
      <c r="P48" s="172"/>
      <c r="Q48" s="180"/>
      <c r="R48" s="180"/>
      <c r="S48" s="180"/>
      <c r="T48" s="180"/>
      <c r="U48" s="180"/>
      <c r="V48" s="802"/>
      <c r="W48" s="664" t="s">
        <v>145</v>
      </c>
      <c r="X48" s="1167">
        <v>1</v>
      </c>
      <c r="Y48" s="1167"/>
      <c r="Z48" s="1167"/>
      <c r="AA48" s="170" t="s">
        <v>146</v>
      </c>
      <c r="AB48" s="469"/>
      <c r="AC48" s="155" t="s">
        <v>113</v>
      </c>
      <c r="AE48" s="170"/>
    </row>
    <row r="49" spans="2:32" ht="56.25">
      <c r="B49" s="1261"/>
      <c r="C49" s="423" t="s">
        <v>143</v>
      </c>
      <c r="D49" s="801" t="s">
        <v>148</v>
      </c>
      <c r="E49" s="281">
        <f>NETWORKDAYS.INTL(F49,G49,"0000100",$AI$6:$AI$12)</f>
        <v>66</v>
      </c>
      <c r="F49" s="255">
        <f>F48</f>
        <v>46230</v>
      </c>
      <c r="G49" s="255">
        <f>WORKDAY.INTL(F49,65,"0000100",$AI$6:$AI$11)</f>
        <v>46306</v>
      </c>
      <c r="H49" s="255">
        <f>H48</f>
        <v>46235</v>
      </c>
      <c r="I49" s="255">
        <f>WORKDAY.INTL(H49,65,"0000100",$AI$6:$AI$11)</f>
        <v>46310</v>
      </c>
      <c r="J49" s="255"/>
      <c r="K49" s="255"/>
      <c r="L49" s="282"/>
      <c r="M49" s="282" t="str">
        <f ca="1">IF(L49=100%,"Completed",
IF(AND(L49&lt;100%,G49&lt;TODAY()),"Delayed",
IF(AND(OR(L49="",L49=0),F49&gt;TODAY()),"Not Started",
IF(AND(OR(L49="",L49=0),F49&lt;=TODAY()),"Delayed",
IF(AND(L49&gt;0,L49&lt;100%),"In Progress","")))))</f>
        <v>Not Started</v>
      </c>
      <c r="N49" s="784"/>
      <c r="O49" s="781"/>
      <c r="P49" s="171"/>
      <c r="Q49" s="171"/>
      <c r="R49" s="171"/>
      <c r="S49" s="171"/>
      <c r="T49" s="171"/>
      <c r="U49" s="171"/>
      <c r="V49" s="171"/>
      <c r="W49" s="785" t="s">
        <v>149</v>
      </c>
      <c r="X49" s="1168">
        <v>1</v>
      </c>
      <c r="Y49" s="1168"/>
      <c r="Z49" s="1168"/>
      <c r="AA49" s="189" t="s">
        <v>146</v>
      </c>
      <c r="AB49" s="470"/>
      <c r="AC49" s="155" t="s">
        <v>113</v>
      </c>
      <c r="AE49" s="170"/>
    </row>
    <row r="50" spans="2:32" s="153" customFormat="1" ht="4.5" customHeight="1" thickBot="1">
      <c r="B50" s="205"/>
      <c r="C50" s="205"/>
      <c r="D50" s="313"/>
      <c r="E50" s="314"/>
      <c r="F50" s="313"/>
      <c r="G50" s="313"/>
      <c r="H50" s="313"/>
      <c r="I50" s="313"/>
      <c r="J50" s="313"/>
      <c r="K50" s="313"/>
      <c r="L50" s="315"/>
      <c r="M50" s="315"/>
      <c r="N50" s="315"/>
      <c r="O50" s="773"/>
      <c r="P50" s="167"/>
      <c r="Q50" s="167"/>
      <c r="R50" s="167"/>
      <c r="S50" s="167"/>
      <c r="T50" s="167"/>
      <c r="U50" s="167"/>
      <c r="V50" s="167"/>
      <c r="W50" s="205"/>
      <c r="X50" s="205"/>
      <c r="Y50" s="205"/>
      <c r="Z50" s="205"/>
      <c r="AA50" s="205"/>
      <c r="AB50" s="205"/>
      <c r="AE50" s="168"/>
      <c r="AF50" s="168"/>
    </row>
    <row r="51" spans="2:32" s="153" customFormat="1" ht="85.5" customHeight="1" thickBot="1">
      <c r="B51" s="804" t="s">
        <v>150</v>
      </c>
      <c r="C51" s="808" t="s">
        <v>151</v>
      </c>
      <c r="D51" s="809" t="s">
        <v>152</v>
      </c>
      <c r="E51" s="810">
        <f>NETWORKDAYS.INTL(F51,G51,"0000110",$AI$6:$AI$12)</f>
        <v>2</v>
      </c>
      <c r="F51" s="805">
        <f>MAX(WORKDAY.INTL(G45,1,"0000110"),WORKDAY.INTL(G53,1,"0000110"),WORKDAY.INTL(G94,1,"0000110"))</f>
        <v>46294</v>
      </c>
      <c r="G51" s="805">
        <f>WORKDAY.INTL(F51,1,"0000000")</f>
        <v>46295</v>
      </c>
      <c r="H51" s="805">
        <f>MAX(WORKDAY.INTL(I45,1,"0000110"),WORKDAY.INTL(I53,1,"0000110"),WORKDAY.INTL(I94,1,"0000110"))</f>
        <v>46302</v>
      </c>
      <c r="I51" s="805">
        <f>WORKDAY.INTL(H51,1,"0000000")</f>
        <v>46303</v>
      </c>
      <c r="J51" s="805"/>
      <c r="K51" s="805"/>
      <c r="L51" s="806"/>
      <c r="M51" s="806" t="str">
        <f ca="1">IF(L51=100%,"Completed",
IF(AND(L51&lt;100%,G51&lt;TODAY()),"Delayed",
IF(AND(OR(L51="",L51=0),F51&gt;TODAY()),"Not Started",
IF(AND(OR(L51="",L51=0),F51&lt;=TODAY()),"Delayed",
IF(AND(L51&gt;0,L51&lt;100%),"In Progress","")))))</f>
        <v>Not Started</v>
      </c>
      <c r="N51" s="811"/>
      <c r="O51" s="807"/>
      <c r="P51" s="236"/>
      <c r="Q51" s="236"/>
      <c r="R51" s="236"/>
      <c r="S51" s="236"/>
      <c r="T51" s="236"/>
      <c r="U51" s="236"/>
      <c r="V51" s="236"/>
      <c r="W51" s="812" t="s">
        <v>153</v>
      </c>
      <c r="X51" s="1204">
        <v>1</v>
      </c>
      <c r="Y51" s="1204"/>
      <c r="Z51" s="1204"/>
      <c r="AA51" s="813" t="s">
        <v>154</v>
      </c>
      <c r="AB51" s="814"/>
      <c r="AE51" s="168"/>
      <c r="AF51" s="168"/>
    </row>
    <row r="52" spans="2:32" s="153" customFormat="1" ht="4.5" customHeight="1" thickBot="1">
      <c r="B52" s="181"/>
      <c r="C52" s="181"/>
      <c r="D52" s="257"/>
      <c r="E52" s="287"/>
      <c r="F52" s="257"/>
      <c r="G52" s="257"/>
      <c r="H52" s="257"/>
      <c r="I52" s="257"/>
      <c r="J52" s="257"/>
      <c r="K52" s="257"/>
      <c r="L52" s="288"/>
      <c r="M52" s="288"/>
      <c r="N52" s="288"/>
      <c r="O52" s="773"/>
      <c r="P52" s="167"/>
      <c r="Q52" s="167"/>
      <c r="R52" s="167"/>
      <c r="S52" s="167"/>
      <c r="T52" s="167"/>
      <c r="U52" s="167"/>
      <c r="V52" s="167"/>
      <c r="W52" s="181"/>
      <c r="X52" s="181"/>
      <c r="Y52" s="181"/>
      <c r="Z52" s="181"/>
      <c r="AA52" s="181"/>
      <c r="AB52" s="181"/>
    </row>
    <row r="53" spans="2:32" ht="34.5" customHeight="1">
      <c r="B53" s="1261" t="s">
        <v>155</v>
      </c>
      <c r="C53" s="421" t="s">
        <v>155</v>
      </c>
      <c r="D53" s="293" t="s">
        <v>47</v>
      </c>
      <c r="E53" s="274">
        <f>NETWORKDAYS.INTL(F53,G53,"0000110",$AJ$6:$AJ$12)</f>
        <v>30</v>
      </c>
      <c r="F53" s="198">
        <v>46249</v>
      </c>
      <c r="G53" s="198">
        <f>WORKDAY.INTL(F53,31,"0000110",$AI$6:$AI$11)</f>
        <v>46292</v>
      </c>
      <c r="H53" s="198">
        <v>46249</v>
      </c>
      <c r="I53" s="198">
        <f>WORKDAY.INTL(H53,31,"0000110",$AI$6:$AI$11)</f>
        <v>46292</v>
      </c>
      <c r="J53" s="198"/>
      <c r="K53" s="198"/>
      <c r="L53" s="275"/>
      <c r="M53" s="275" t="str">
        <f ca="1">IF(L53=100%,"Completed",
IF(AND(L53&lt;100%,G53&lt;TODAY()),"Delayed",
IF(AND(OR(L53="",L53=0),F53&gt;TODAY()),"Not Started",
IF(AND(OR(L53="",L53=0),F53&lt;=TODAY()),"Delayed",
IF(AND(L53&gt;0,L53&lt;100%),"In Progress","")))))</f>
        <v>Not Started</v>
      </c>
      <c r="N53" s="782"/>
      <c r="O53" s="815"/>
      <c r="P53" s="188"/>
      <c r="Q53" s="188"/>
      <c r="R53" s="188"/>
      <c r="S53" s="188"/>
      <c r="T53" s="188"/>
      <c r="U53" s="188"/>
      <c r="V53" s="821"/>
      <c r="W53" s="663" t="s">
        <v>156</v>
      </c>
      <c r="X53" s="1166">
        <v>1</v>
      </c>
      <c r="Y53" s="1166"/>
      <c r="Z53" s="1166"/>
      <c r="AA53" s="169" t="s">
        <v>157</v>
      </c>
      <c r="AB53" s="468"/>
      <c r="AC53" s="155" t="s">
        <v>124</v>
      </c>
    </row>
    <row r="54" spans="2:32" ht="45.75" customHeight="1" thickBot="1">
      <c r="B54" s="1263"/>
      <c r="C54" s="423" t="s">
        <v>155</v>
      </c>
      <c r="D54" s="280" t="s">
        <v>158</v>
      </c>
      <c r="E54" s="281">
        <f>NETWORKDAYS.INTL(F54,G54,"0000110",$AJ$6:$AJ$12)</f>
        <v>30</v>
      </c>
      <c r="F54" s="255">
        <f>G51+32</f>
        <v>46327</v>
      </c>
      <c r="G54" s="255">
        <f>WORKDAY.INTL(F54,29,"0000110",$AI$6:$AI$11)</f>
        <v>46366</v>
      </c>
      <c r="H54" s="255">
        <f>I51+32</f>
        <v>46335</v>
      </c>
      <c r="I54" s="255">
        <f>WORKDAY.INTL(H54,29,"0000110",$AI$6:$AI$11)</f>
        <v>46376</v>
      </c>
      <c r="J54" s="255"/>
      <c r="K54" s="255"/>
      <c r="L54" s="282"/>
      <c r="M54" s="282" t="str">
        <f ca="1">IF(L54=100%,"Completed",
IF(AND(L54&lt;100%,G54&lt;TODAY()),"Delayed",
IF(AND(OR(L54="",L54=0),F54&gt;TODAY()),"Not Started",
IF(AND(OR(L54="",L54=0),F54&lt;=TODAY()),"Delayed",
IF(AND(L54&gt;0,L54&lt;100%),"In Progress","")))))</f>
        <v>Not Started</v>
      </c>
      <c r="N54" s="784"/>
      <c r="O54" s="816"/>
      <c r="P54" s="190"/>
      <c r="Q54" s="190"/>
      <c r="R54" s="190"/>
      <c r="S54" s="190"/>
      <c r="T54" s="190"/>
      <c r="U54" s="190"/>
      <c r="V54" s="822"/>
      <c r="W54" s="785" t="s">
        <v>159</v>
      </c>
      <c r="X54" s="1168">
        <v>1</v>
      </c>
      <c r="Y54" s="1168"/>
      <c r="Z54" s="1168"/>
      <c r="AA54" s="189"/>
      <c r="AB54" s="470"/>
      <c r="AC54" s="155" t="s">
        <v>124</v>
      </c>
    </row>
    <row r="55" spans="2:32" s="153" customFormat="1" ht="45.75" customHeight="1" thickBot="1">
      <c r="B55" s="181"/>
      <c r="C55" s="181"/>
      <c r="D55" s="257"/>
      <c r="E55" s="287"/>
      <c r="F55" s="257"/>
      <c r="G55" s="257"/>
      <c r="H55" s="257"/>
      <c r="I55" s="257"/>
      <c r="J55" s="257"/>
      <c r="K55" s="257"/>
      <c r="L55" s="288"/>
      <c r="M55" s="288"/>
      <c r="N55" s="288"/>
      <c r="O55" s="773"/>
      <c r="P55" s="167"/>
      <c r="Q55" s="167"/>
      <c r="R55" s="167"/>
      <c r="S55" s="167"/>
      <c r="T55" s="167"/>
      <c r="U55" s="167"/>
      <c r="V55" s="167"/>
      <c r="W55" s="181"/>
      <c r="X55" s="181"/>
      <c r="Y55" s="181"/>
      <c r="Z55" s="181"/>
      <c r="AA55" s="181"/>
      <c r="AB55" s="181"/>
    </row>
    <row r="56" spans="2:32" ht="165.75" customHeight="1">
      <c r="B56" s="1336" t="s">
        <v>160</v>
      </c>
      <c r="C56" s="140" t="s">
        <v>160</v>
      </c>
      <c r="D56" s="349" t="s">
        <v>161</v>
      </c>
      <c r="E56" s="350">
        <f>NETWORKDAYS.INTL(F56,G56,"0000100",$AH$6:$AH$12)</f>
        <v>31</v>
      </c>
      <c r="F56" s="341">
        <v>46211</v>
      </c>
      <c r="G56" s="341">
        <f>WORKDAY.INTL(F56,25,"0000110",$AK$6:$AK$11)</f>
        <v>46246</v>
      </c>
      <c r="H56" s="76">
        <v>46211</v>
      </c>
      <c r="I56" s="76">
        <f>WORKDAY.INTL(H56,25,"0000110",$AK$6:$AK$11)</f>
        <v>46246</v>
      </c>
      <c r="J56" s="76"/>
      <c r="K56" s="76"/>
      <c r="L56" s="406">
        <v>0.25</v>
      </c>
      <c r="M56" s="406" t="str">
        <f ca="1">IF(L56=100%,"Completed",
IF(AND(L56&lt;100%,G56&lt;TODAY()),"Delayed",
IF(AND(OR(L56="",L56=0),F56&gt;TODAY()),"Not Started",
IF(AND(OR(L56="",L56=0),F56&lt;=TODAY()),"Delayed",
IF(AND(L56&gt;0,L56&lt;100%),"In Progress","")))))</f>
        <v>In Progress</v>
      </c>
      <c r="N56" s="675"/>
      <c r="O56" s="946"/>
      <c r="P56" s="73"/>
      <c r="Q56" s="73"/>
      <c r="R56" s="73"/>
      <c r="S56" s="73"/>
      <c r="T56" s="73"/>
      <c r="U56" s="73"/>
      <c r="V56" s="78"/>
      <c r="W56" s="677" t="s">
        <v>162</v>
      </c>
      <c r="X56" s="1169">
        <v>1</v>
      </c>
      <c r="Y56" s="1169"/>
      <c r="Z56" s="1169"/>
      <c r="AA56" s="74"/>
      <c r="AB56" s="678"/>
      <c r="AC56" s="155"/>
    </row>
    <row r="57" spans="2:32" ht="45.75" customHeight="1" thickBot="1">
      <c r="B57" s="1337"/>
      <c r="C57" s="141" t="s">
        <v>160</v>
      </c>
      <c r="D57" s="351" t="s">
        <v>51</v>
      </c>
      <c r="E57" s="352">
        <f>NETWORKDAYS.INTL(F57,G57,"0000110",$AH$6:$AH$12)</f>
        <v>16</v>
      </c>
      <c r="F57" s="344">
        <f>WORKDAY.INTL(G56,15,"0000110",$AK$6:$AK$11)</f>
        <v>46267</v>
      </c>
      <c r="G57" s="344">
        <f>WORKDAY.INTL(F57,15,"0000110",$AK$6:$AK$11)</f>
        <v>46288</v>
      </c>
      <c r="H57" s="144">
        <f>WORKDAY.INTL(I56,15,"0000110",$AK$6:$AK$11)</f>
        <v>46267</v>
      </c>
      <c r="I57" s="144">
        <f>WORKDAY.INTL(H57,15,"0000110",$AK$6:$AK$11)</f>
        <v>46288</v>
      </c>
      <c r="J57" s="144"/>
      <c r="K57" s="144"/>
      <c r="L57" s="407"/>
      <c r="M57" s="407" t="str">
        <f ca="1">IF(L57=100%,"Completed",
IF(AND(L57&lt;100%,G57&lt;TODAY()),"Delayed",
IF(AND(OR(L57="",L57=0),F57&gt;TODAY()),"Not Started",
IF(AND(OR(L57="",L57=0),F57&lt;=TODAY()),"Delayed",
IF(AND(L57&gt;0,L57&lt;100%),"In Progress","")))))</f>
        <v>Not Started</v>
      </c>
      <c r="N57" s="676"/>
      <c r="O57" s="947"/>
      <c r="P57" s="142"/>
      <c r="Q57" s="142"/>
      <c r="R57" s="142"/>
      <c r="S57" s="142"/>
      <c r="T57" s="142"/>
      <c r="U57" s="142"/>
      <c r="V57" s="623"/>
      <c r="W57" s="679" t="s">
        <v>163</v>
      </c>
      <c r="X57" s="1170">
        <v>1</v>
      </c>
      <c r="Y57" s="1170"/>
      <c r="Z57" s="1170"/>
      <c r="AA57" s="143"/>
      <c r="AB57" s="680"/>
      <c r="AC57" s="155"/>
    </row>
    <row r="58" spans="2:32" ht="8.25" customHeight="1" thickBot="1">
      <c r="B58" s="831"/>
      <c r="C58" s="831"/>
      <c r="D58" s="948"/>
      <c r="E58" s="833"/>
      <c r="F58" s="834"/>
      <c r="G58" s="834"/>
      <c r="H58" s="834"/>
      <c r="I58" s="834"/>
      <c r="J58" s="834"/>
      <c r="K58" s="834"/>
      <c r="L58" s="949"/>
      <c r="M58" s="949"/>
      <c r="N58" s="949"/>
      <c r="O58" s="925"/>
      <c r="P58" s="942"/>
      <c r="Q58" s="942"/>
      <c r="R58" s="942"/>
      <c r="S58" s="942"/>
      <c r="T58" s="942"/>
      <c r="U58" s="942"/>
      <c r="V58" s="942"/>
      <c r="W58" s="234"/>
      <c r="X58" s="234"/>
      <c r="Y58" s="234"/>
      <c r="Z58" s="234"/>
      <c r="AA58" s="838"/>
      <c r="AB58" s="838"/>
      <c r="AC58" s="155"/>
    </row>
    <row r="59" spans="2:32" ht="45.75" customHeight="1">
      <c r="B59" s="1272" t="s">
        <v>164</v>
      </c>
      <c r="C59" s="778" t="s">
        <v>91</v>
      </c>
      <c r="D59" s="293" t="s">
        <v>165</v>
      </c>
      <c r="E59" s="274">
        <f>NETWORKDAYS.INTL(F59,G59,"0000100",$AI$6:$AI$12)</f>
        <v>1</v>
      </c>
      <c r="F59" s="198">
        <f>G59</f>
        <v>46215</v>
      </c>
      <c r="G59" s="198">
        <v>46215</v>
      </c>
      <c r="H59" s="198">
        <f>I59</f>
        <v>46215</v>
      </c>
      <c r="I59" s="198">
        <v>46215</v>
      </c>
      <c r="J59" s="198"/>
      <c r="K59" s="198"/>
      <c r="L59" s="275">
        <v>1</v>
      </c>
      <c r="M59" s="275" t="str">
        <f ca="1">IF(L59=100%,"Completed",
IF(AND(L59&lt;100%,G59&lt;TODAY()),"Delayed",
IF(AND(OR(L59="",L59=0),F59&gt;TODAY()),"Not Started",
IF(AND(OR(L59="",L59=0),F59&lt;=TODAY()),"Delayed",
IF(AND(L59&gt;0,L59&lt;100%),"In Progress","")))))</f>
        <v>Completed</v>
      </c>
      <c r="N59" s="782"/>
      <c r="O59" s="815"/>
      <c r="P59" s="188"/>
      <c r="Q59" s="188"/>
      <c r="R59" s="188"/>
      <c r="S59" s="188"/>
      <c r="T59" s="188"/>
      <c r="U59" s="188"/>
      <c r="V59" s="821"/>
      <c r="W59" s="663"/>
      <c r="X59" s="1166">
        <v>1</v>
      </c>
      <c r="Y59" s="1166"/>
      <c r="Z59" s="1166"/>
      <c r="AA59" s="198"/>
      <c r="AB59" s="826"/>
      <c r="AC59" s="155"/>
    </row>
    <row r="60" spans="2:32" ht="65.25" customHeight="1">
      <c r="B60" s="1262"/>
      <c r="C60" s="779" t="s">
        <v>91</v>
      </c>
      <c r="D60" s="279" t="s">
        <v>166</v>
      </c>
      <c r="E60" s="277">
        <f>NETWORKDAYS.INTL(F60,G60,"0000100",$AI$6:$AI$13)</f>
        <v>6</v>
      </c>
      <c r="F60" s="200">
        <f>WORKDAY.INTL(G59,6,"0000100",$AI$6:$AI$12)</f>
        <v>46222</v>
      </c>
      <c r="G60" s="200">
        <f>WORKDAY.INTL(F60,5,"0000100",$AI$6:$AI$12)</f>
        <v>46228</v>
      </c>
      <c r="H60" s="200">
        <f>WORKDAY.INTL(I59,6,"0000100",$AI$6:$AI$12)</f>
        <v>46222</v>
      </c>
      <c r="I60" s="200">
        <f>WORKDAY.INTL(H60,9,"0000100",$AI$6:$AI$12)</f>
        <v>46232</v>
      </c>
      <c r="J60" s="200">
        <v>46222</v>
      </c>
      <c r="K60" s="200">
        <v>46232</v>
      </c>
      <c r="L60" s="278">
        <v>0.3</v>
      </c>
      <c r="M60" s="278" t="str">
        <f ca="1">IF(L60=100%,"Completed",
IF(AND(L60&lt;100%,G60&lt;TODAY()),"Delayed",
IF(AND(OR(L60="",L60=0),F60&gt;TODAY()),"Not Started",
IF(AND(OR(L60="",L60=0),F60&lt;=TODAY()),"Delayed",
IF(AND(L60&gt;0,L60&lt;100%),"In Progress","")))))</f>
        <v>Delayed</v>
      </c>
      <c r="N60" s="518" t="s">
        <v>167</v>
      </c>
      <c r="O60" s="825"/>
      <c r="P60" s="199"/>
      <c r="Q60" s="199"/>
      <c r="R60" s="199"/>
      <c r="S60" s="199"/>
      <c r="T60" s="199"/>
      <c r="U60" s="199"/>
      <c r="V60" s="830"/>
      <c r="W60" s="827" t="s">
        <v>168</v>
      </c>
      <c r="X60" s="1186" t="s">
        <v>169</v>
      </c>
      <c r="Y60" s="1186"/>
      <c r="Z60" s="1186"/>
      <c r="AA60" s="200" t="s">
        <v>170</v>
      </c>
      <c r="AB60" s="828" t="s">
        <v>171</v>
      </c>
      <c r="AC60" s="155"/>
    </row>
    <row r="61" spans="2:32" ht="45.75" customHeight="1" thickBot="1">
      <c r="B61" s="1263"/>
      <c r="C61" s="203" t="s">
        <v>91</v>
      </c>
      <c r="D61" s="280" t="s">
        <v>172</v>
      </c>
      <c r="E61" s="281">
        <f t="shared" ref="E61:E82" si="3">NETWORKDAYS.INTL(F61,G61,"0000100",$AI$6:$AI$13)</f>
        <v>4</v>
      </c>
      <c r="F61" s="255">
        <f t="shared" ref="F61:F67" si="4">WORKDAY.INTL(G60,1,"0000100",$AI$6:$AI$12)</f>
        <v>46229</v>
      </c>
      <c r="G61" s="255">
        <f>WORKDAY.INTL(F61,3,"0000100",$AI$6:$AI$12)</f>
        <v>46232</v>
      </c>
      <c r="H61" s="255">
        <f>WORKDAY.INTL(I60,1,"0000100",$AI$6:$AI$12)</f>
        <v>46233</v>
      </c>
      <c r="I61" s="255">
        <f>WORKDAY.INTL(H61,3,"0000100",$AI$6:$AI$12)</f>
        <v>46237</v>
      </c>
      <c r="J61" s="255">
        <v>46224</v>
      </c>
      <c r="K61" s="255"/>
      <c r="L61" s="282">
        <v>0.05</v>
      </c>
      <c r="M61" s="282" t="str">
        <f ca="1">IF(L61=100%,"Completed",
IF(AND(L61&lt;100%,G61&lt;TODAY()),"Delayed",
IF(AND(OR(L61="",L61=0),F61&gt;TODAY()),"Not Started",
IF(AND(OR(L61="",L61=0),F61&lt;=TODAY()),"Delayed",
IF(AND(L61&gt;0,L61&lt;100%),"In Progress","")))))</f>
        <v>In Progress</v>
      </c>
      <c r="N61" s="784"/>
      <c r="O61" s="825"/>
      <c r="P61" s="199"/>
      <c r="Q61" s="199"/>
      <c r="R61" s="199"/>
      <c r="S61" s="199"/>
      <c r="T61" s="199"/>
      <c r="U61" s="199"/>
      <c r="V61" s="830"/>
      <c r="W61" s="785"/>
      <c r="X61" s="1168" t="s">
        <v>138</v>
      </c>
      <c r="Y61" s="1168"/>
      <c r="Z61" s="1168"/>
      <c r="AA61" s="255"/>
      <c r="AB61" s="829"/>
      <c r="AC61" s="155"/>
    </row>
    <row r="62" spans="2:32" ht="45.75" customHeight="1" thickBot="1">
      <c r="B62" s="831"/>
      <c r="C62" s="831"/>
      <c r="D62" s="948"/>
      <c r="E62" s="833"/>
      <c r="F62" s="834"/>
      <c r="G62" s="834"/>
      <c r="H62" s="834"/>
      <c r="I62" s="834"/>
      <c r="J62" s="834"/>
      <c r="K62" s="834"/>
      <c r="L62" s="951"/>
      <c r="M62" s="951"/>
      <c r="N62" s="951"/>
      <c r="O62" s="925"/>
      <c r="P62" s="942"/>
      <c r="Q62" s="942"/>
      <c r="R62" s="942"/>
      <c r="S62" s="942"/>
      <c r="T62" s="942"/>
      <c r="U62" s="942"/>
      <c r="V62" s="942"/>
      <c r="W62" s="234"/>
      <c r="X62" s="234"/>
      <c r="Y62" s="234"/>
      <c r="Z62" s="234"/>
      <c r="AA62" s="838"/>
      <c r="AB62" s="838"/>
      <c r="AC62" s="155"/>
    </row>
    <row r="63" spans="2:32" ht="67.5" customHeight="1">
      <c r="B63" s="1332" t="s">
        <v>173</v>
      </c>
      <c r="C63" s="778" t="s">
        <v>91</v>
      </c>
      <c r="D63" s="839" t="s">
        <v>174</v>
      </c>
      <c r="E63" s="840">
        <f t="shared" si="3"/>
        <v>4</v>
      </c>
      <c r="F63" s="841">
        <f>WORKDAY.INTL(G60,1,"0000100",$AI$6:$AI$12)</f>
        <v>46229</v>
      </c>
      <c r="G63" s="841">
        <f>WORKDAY.INTL(F63,3,"0000100",$AI$6:$AI$12)</f>
        <v>46232</v>
      </c>
      <c r="H63" s="841">
        <f>WORKDAY.INTL(I60,1,"0000100",$AI$6:$AI$12)</f>
        <v>46233</v>
      </c>
      <c r="I63" s="841">
        <f>WORKDAY.INTL(H63,3,"0000100",$AI$6:$AI$12)</f>
        <v>46237</v>
      </c>
      <c r="J63" s="841">
        <v>46233</v>
      </c>
      <c r="K63" s="841"/>
      <c r="L63" s="842"/>
      <c r="M63" s="842" t="str">
        <f ca="1">IF(L63=100%,"Completed",
IF(AND(L63&lt;100%,G63&lt;TODAY()),"Delayed",
IF(AND(OR(L63="",L63=0),F63&gt;TODAY()),"Not Started",
IF(AND(OR(L63="",L63=0),F63&lt;=TODAY()),"Delayed",
IF(AND(L63&gt;0,L63&lt;100%),"In Progress","")))))</f>
        <v>Delayed</v>
      </c>
      <c r="N63" s="843" t="s">
        <v>175</v>
      </c>
      <c r="O63" s="825"/>
      <c r="P63" s="201"/>
      <c r="Q63" s="201"/>
      <c r="R63" s="201"/>
      <c r="S63" s="201"/>
      <c r="T63" s="201"/>
      <c r="U63" s="201"/>
      <c r="V63" s="853"/>
      <c r="W63" s="849" t="s">
        <v>168</v>
      </c>
      <c r="X63" s="1205" t="s">
        <v>169</v>
      </c>
      <c r="Y63" s="1205"/>
      <c r="Z63" s="1205"/>
      <c r="AA63" s="841" t="s">
        <v>170</v>
      </c>
      <c r="AB63" s="850" t="s">
        <v>176</v>
      </c>
      <c r="AC63" s="155"/>
    </row>
    <row r="64" spans="2:32" ht="45.75" customHeight="1" thickBot="1">
      <c r="B64" s="1333"/>
      <c r="C64" s="203" t="s">
        <v>91</v>
      </c>
      <c r="D64" s="844" t="s">
        <v>172</v>
      </c>
      <c r="E64" s="845">
        <f t="shared" si="3"/>
        <v>5</v>
      </c>
      <c r="F64" s="846">
        <f t="shared" si="4"/>
        <v>46233</v>
      </c>
      <c r="G64" s="846">
        <f t="shared" ref="G64:G67" si="5">WORKDAY.INTL(G63,5,"0000100",$AI$6:$AI$12)</f>
        <v>46238</v>
      </c>
      <c r="H64" s="846">
        <f>WORKDAY.INTL(I63,1,"0000100",$AI$6:$AI$12)</f>
        <v>46238</v>
      </c>
      <c r="I64" s="846">
        <f>WORKDAY.INTL(I63,5,"0000100",$AI$6:$AI$12)</f>
        <v>46243</v>
      </c>
      <c r="J64" s="846"/>
      <c r="K64" s="846"/>
      <c r="L64" s="847"/>
      <c r="M64" s="847" t="str">
        <f ca="1">IF(L64=100%,"Completed",
IF(AND(L64&lt;100%,G64&lt;TODAY()),"Delayed",
IF(AND(OR(L64="",L64=0),F64&gt;TODAY()),"Not Started",
IF(AND(OR(L64="",L64=0),F64&lt;=TODAY()),"Delayed",
IF(AND(L64&gt;0,L64&lt;100%),"In Progress","")))))</f>
        <v>Not Started</v>
      </c>
      <c r="N64" s="848"/>
      <c r="O64" s="825"/>
      <c r="P64" s="201"/>
      <c r="Q64" s="201"/>
      <c r="R64" s="201"/>
      <c r="S64" s="201"/>
      <c r="T64" s="201"/>
      <c r="U64" s="201"/>
      <c r="V64" s="853"/>
      <c r="W64" s="851"/>
      <c r="X64" s="1206">
        <v>1</v>
      </c>
      <c r="Y64" s="1206"/>
      <c r="Z64" s="1206"/>
      <c r="AA64" s="846"/>
      <c r="AB64" s="852"/>
      <c r="AC64" s="155"/>
    </row>
    <row r="65" spans="2:29" ht="45.75" customHeight="1" thickBot="1">
      <c r="B65" s="831"/>
      <c r="C65" s="831"/>
      <c r="D65" s="948"/>
      <c r="E65" s="833"/>
      <c r="F65" s="834"/>
      <c r="G65" s="834"/>
      <c r="H65" s="834"/>
      <c r="I65" s="834"/>
      <c r="J65" s="834"/>
      <c r="K65" s="834"/>
      <c r="L65" s="951"/>
      <c r="M65" s="951"/>
      <c r="N65" s="951"/>
      <c r="O65" s="925"/>
      <c r="P65" s="942"/>
      <c r="Q65" s="942"/>
      <c r="R65" s="942"/>
      <c r="S65" s="942"/>
      <c r="T65" s="942"/>
      <c r="U65" s="942"/>
      <c r="V65" s="942"/>
      <c r="W65" s="234"/>
      <c r="X65" s="234"/>
      <c r="Y65" s="234"/>
      <c r="Z65" s="234"/>
      <c r="AA65" s="838"/>
      <c r="AB65" s="838"/>
      <c r="AC65" s="155"/>
    </row>
    <row r="66" spans="2:29" ht="70.5" customHeight="1">
      <c r="B66" s="1272" t="s">
        <v>177</v>
      </c>
      <c r="C66" s="778" t="s">
        <v>91</v>
      </c>
      <c r="D66" s="293" t="s">
        <v>178</v>
      </c>
      <c r="E66" s="274">
        <f t="shared" si="3"/>
        <v>5</v>
      </c>
      <c r="F66" s="198">
        <f>WORKDAY.INTL(G63,1,"0000100",$AI$6:$AI$12)</f>
        <v>46233</v>
      </c>
      <c r="G66" s="198">
        <f t="shared" ref="G66:G72" si="6">WORKDAY.INTL(F66,4,"0000100",$AI$6:$AI$12)</f>
        <v>46238</v>
      </c>
      <c r="H66" s="198">
        <f>WORKDAY.INTL(I63,1,"0000100",$AI$6:$AI$12)</f>
        <v>46238</v>
      </c>
      <c r="I66" s="198">
        <f>WORKDAY.INTL(H66,4,"0000100",$AI$6:$AI$12)</f>
        <v>46243</v>
      </c>
      <c r="J66" s="198"/>
      <c r="K66" s="198"/>
      <c r="L66" s="275"/>
      <c r="M66" s="275" t="str">
        <f ca="1">IF(L66=100%,"Completed",
IF(AND(L66&lt;100%,G66&lt;TODAY()),"Delayed",
IF(AND(OR(L66="",L66=0),F66&gt;TODAY()),"Not Started",
IF(AND(OR(L66="",L66=0),F66&lt;=TODAY()),"Delayed",
IF(AND(L66&gt;0,L66&lt;100%),"In Progress","")))))</f>
        <v>Not Started</v>
      </c>
      <c r="N66" s="782"/>
      <c r="O66" s="825"/>
      <c r="P66" s="199"/>
      <c r="Q66" s="199"/>
      <c r="R66" s="199"/>
      <c r="S66" s="199"/>
      <c r="T66" s="199"/>
      <c r="U66" s="199"/>
      <c r="V66" s="830"/>
      <c r="W66" s="663"/>
      <c r="X66" s="1166" t="s">
        <v>169</v>
      </c>
      <c r="Y66" s="1166"/>
      <c r="Z66" s="1166"/>
      <c r="AA66" s="198" t="s">
        <v>170</v>
      </c>
      <c r="AB66" s="826" t="s">
        <v>176</v>
      </c>
      <c r="AC66" s="155"/>
    </row>
    <row r="67" spans="2:29" ht="45.75" customHeight="1" thickBot="1">
      <c r="B67" s="1263"/>
      <c r="C67" s="203" t="s">
        <v>91</v>
      </c>
      <c r="D67" s="280" t="s">
        <v>172</v>
      </c>
      <c r="E67" s="281">
        <f t="shared" si="3"/>
        <v>5</v>
      </c>
      <c r="F67" s="255">
        <f t="shared" si="4"/>
        <v>46239</v>
      </c>
      <c r="G67" s="255">
        <f t="shared" si="5"/>
        <v>46244</v>
      </c>
      <c r="H67" s="255">
        <f>WORKDAY.INTL(I66,1,"0000100",$AI$6:$AI$12)</f>
        <v>46244</v>
      </c>
      <c r="I67" s="255">
        <f>WORKDAY.INTL(I66,5,"0000100",$AI$6:$AI$12)</f>
        <v>46249</v>
      </c>
      <c r="J67" s="255"/>
      <c r="K67" s="255"/>
      <c r="L67" s="282"/>
      <c r="M67" s="282" t="str">
        <f ca="1">IF(L67=100%,"Completed",
IF(AND(L67&lt;100%,G67&lt;TODAY()),"Delayed",
IF(AND(OR(L67="",L67=0),F67&gt;TODAY()),"Not Started",
IF(AND(OR(L67="",L67=0),F67&lt;=TODAY()),"Delayed",
IF(AND(L67&gt;0,L67&lt;100%),"In Progress","")))))</f>
        <v>Not Started</v>
      </c>
      <c r="N67" s="784"/>
      <c r="O67" s="825"/>
      <c r="P67" s="199"/>
      <c r="Q67" s="199"/>
      <c r="R67" s="199"/>
      <c r="S67" s="199"/>
      <c r="T67" s="199"/>
      <c r="U67" s="199"/>
      <c r="V67" s="830"/>
      <c r="W67" s="785"/>
      <c r="X67" s="1168">
        <v>1</v>
      </c>
      <c r="Y67" s="1168"/>
      <c r="Z67" s="1168"/>
      <c r="AA67" s="255"/>
      <c r="AB67" s="829"/>
      <c r="AC67" s="155"/>
    </row>
    <row r="68" spans="2:29" ht="45.75" customHeight="1" thickBot="1">
      <c r="B68" s="831"/>
      <c r="C68" s="831"/>
      <c r="D68" s="948"/>
      <c r="E68" s="833"/>
      <c r="F68" s="834"/>
      <c r="G68" s="834"/>
      <c r="H68" s="834"/>
      <c r="I68" s="834"/>
      <c r="J68" s="834"/>
      <c r="K68" s="834"/>
      <c r="L68" s="951"/>
      <c r="M68" s="951"/>
      <c r="N68" s="951"/>
      <c r="O68" s="925"/>
      <c r="P68" s="942"/>
      <c r="Q68" s="942"/>
      <c r="R68" s="942"/>
      <c r="S68" s="942"/>
      <c r="T68" s="942"/>
      <c r="U68" s="942"/>
      <c r="V68" s="942"/>
      <c r="W68" s="234"/>
      <c r="X68" s="234"/>
      <c r="Y68" s="234"/>
      <c r="Z68" s="234"/>
      <c r="AA68" s="838"/>
      <c r="AB68" s="838"/>
      <c r="AC68" s="155"/>
    </row>
    <row r="69" spans="2:29" ht="60.75" customHeight="1">
      <c r="B69" s="1334" t="s">
        <v>179</v>
      </c>
      <c r="C69" s="778" t="s">
        <v>91</v>
      </c>
      <c r="D69" s="839" t="s">
        <v>180</v>
      </c>
      <c r="E69" s="840">
        <f t="shared" si="3"/>
        <v>5</v>
      </c>
      <c r="F69" s="841">
        <f t="shared" ref="F69" si="7">WORKDAY.INTL(G66,1,"0000100",$AI$6:$AI$12)</f>
        <v>46239</v>
      </c>
      <c r="G69" s="841">
        <f t="shared" si="6"/>
        <v>46244</v>
      </c>
      <c r="H69" s="841">
        <f>WORKDAY.INTL(I66,1,"0000100",$AI$6:$AI$12)</f>
        <v>46244</v>
      </c>
      <c r="I69" s="841">
        <f>WORKDAY.INTL(H69,4,"0000100",$AI$6:$AI$12)</f>
        <v>46249</v>
      </c>
      <c r="J69" s="841"/>
      <c r="K69" s="841"/>
      <c r="L69" s="842"/>
      <c r="M69" s="842" t="str">
        <f ca="1">IF(L69=100%,"Completed",
IF(AND(L69&lt;100%,G69&lt;TODAY()),"Delayed",
IF(AND(OR(L69="",L69=0),F69&gt;TODAY()),"Not Started",
IF(AND(OR(L69="",L69=0),F69&lt;=TODAY()),"Delayed",
IF(AND(L69&gt;0,L69&lt;100%),"In Progress","")))))</f>
        <v>Not Started</v>
      </c>
      <c r="N69" s="843"/>
      <c r="O69" s="825"/>
      <c r="P69" s="201"/>
      <c r="Q69" s="201"/>
      <c r="R69" s="201"/>
      <c r="S69" s="201"/>
      <c r="T69" s="201"/>
      <c r="U69" s="201"/>
      <c r="V69" s="853"/>
      <c r="W69" s="855"/>
      <c r="X69" s="1207" t="s">
        <v>169</v>
      </c>
      <c r="Y69" s="1207"/>
      <c r="Z69" s="1207"/>
      <c r="AA69" s="841" t="s">
        <v>170</v>
      </c>
      <c r="AB69" s="850" t="s">
        <v>181</v>
      </c>
      <c r="AC69" s="155"/>
    </row>
    <row r="70" spans="2:29" ht="45.75" customHeight="1" thickBot="1">
      <c r="B70" s="1335"/>
      <c r="C70" s="203" t="s">
        <v>91</v>
      </c>
      <c r="D70" s="844" t="s">
        <v>172</v>
      </c>
      <c r="E70" s="845">
        <f t="shared" si="3"/>
        <v>5</v>
      </c>
      <c r="F70" s="846">
        <f t="shared" ref="F70:F76" si="8">WORKDAY.INTL(G69,1,"0000100",$AI$6:$AI$12)</f>
        <v>46245</v>
      </c>
      <c r="G70" s="846">
        <f t="shared" ref="G70:G73" si="9">WORKDAY.INTL(G69,5,"0000100",$AI$6:$AI$12)</f>
        <v>46250</v>
      </c>
      <c r="H70" s="846">
        <f>WORKDAY.INTL(I69,1,"0000100",$AI$6:$AI$12)</f>
        <v>46250</v>
      </c>
      <c r="I70" s="846">
        <f>WORKDAY.INTL(I69,5,"0000100",$AI$6:$AI$12)</f>
        <v>46254</v>
      </c>
      <c r="J70" s="846"/>
      <c r="K70" s="846"/>
      <c r="L70" s="847"/>
      <c r="M70" s="847" t="str">
        <f ca="1">IF(L70=100%,"Completed",
IF(AND(L70&lt;100%,G70&lt;TODAY()),"Delayed",
IF(AND(OR(L70="",L70=0),F70&gt;TODAY()),"Not Started",
IF(AND(OR(L70="",L70=0),F70&lt;=TODAY()),"Delayed",
IF(AND(L70&gt;0,L70&lt;100%),"In Progress","")))))</f>
        <v>Not Started</v>
      </c>
      <c r="N70" s="848"/>
      <c r="O70" s="825"/>
      <c r="P70" s="201"/>
      <c r="Q70" s="201"/>
      <c r="R70" s="201"/>
      <c r="S70" s="201"/>
      <c r="T70" s="201"/>
      <c r="U70" s="201"/>
      <c r="V70" s="853"/>
      <c r="W70" s="851"/>
      <c r="X70" s="1206">
        <v>1</v>
      </c>
      <c r="Y70" s="1206"/>
      <c r="Z70" s="1206"/>
      <c r="AA70" s="846"/>
      <c r="AB70" s="852"/>
      <c r="AC70" s="155"/>
    </row>
    <row r="71" spans="2:29" ht="45.75" customHeight="1" thickBot="1">
      <c r="B71" s="831"/>
      <c r="C71" s="831"/>
      <c r="D71" s="948"/>
      <c r="E71" s="833"/>
      <c r="F71" s="834"/>
      <c r="G71" s="834"/>
      <c r="H71" s="834"/>
      <c r="I71" s="834"/>
      <c r="J71" s="834"/>
      <c r="K71" s="834"/>
      <c r="L71" s="951"/>
      <c r="M71" s="951"/>
      <c r="N71" s="951"/>
      <c r="O71" s="925"/>
      <c r="P71" s="942"/>
      <c r="Q71" s="942"/>
      <c r="R71" s="942"/>
      <c r="S71" s="942"/>
      <c r="T71" s="942"/>
      <c r="U71" s="942"/>
      <c r="V71" s="942"/>
      <c r="W71" s="234"/>
      <c r="X71" s="234"/>
      <c r="Y71" s="234"/>
      <c r="Z71" s="234"/>
      <c r="AA71" s="838"/>
      <c r="AB71" s="838"/>
      <c r="AC71" s="155"/>
    </row>
    <row r="72" spans="2:29" ht="82.5" customHeight="1">
      <c r="B72" s="1272" t="s">
        <v>182</v>
      </c>
      <c r="C72" s="778" t="s">
        <v>91</v>
      </c>
      <c r="D72" s="293" t="s">
        <v>183</v>
      </c>
      <c r="E72" s="274">
        <f t="shared" si="3"/>
        <v>5</v>
      </c>
      <c r="F72" s="198">
        <f>WORKDAY.INTL(G69,1,"0000100",$AI$6:$AI$12)</f>
        <v>46245</v>
      </c>
      <c r="G72" s="198">
        <f t="shared" si="6"/>
        <v>46250</v>
      </c>
      <c r="H72" s="198">
        <f>WORKDAY.INTL(I69,1,"0000100",$AI$6:$AI$12)</f>
        <v>46250</v>
      </c>
      <c r="I72" s="198">
        <f>WORKDAY.INTL(H72,4,"0000100",$AI$6:$AI$12)</f>
        <v>46254</v>
      </c>
      <c r="J72" s="198"/>
      <c r="K72" s="198"/>
      <c r="L72" s="275"/>
      <c r="M72" s="275" t="str">
        <f ca="1">IF(L72=100%,"Completed",
IF(AND(L72&lt;100%,G72&lt;TODAY()),"Delayed",
IF(AND(OR(L72="",L72=0),F72&gt;TODAY()),"Not Started",
IF(AND(OR(L72="",L72=0),F72&lt;=TODAY()),"Delayed",
IF(AND(L72&gt;0,L72&lt;100%),"In Progress","")))))</f>
        <v>Not Started</v>
      </c>
      <c r="N72" s="782"/>
      <c r="O72" s="825"/>
      <c r="P72" s="199"/>
      <c r="Q72" s="199"/>
      <c r="R72" s="199"/>
      <c r="S72" s="199"/>
      <c r="T72" s="199"/>
      <c r="U72" s="199"/>
      <c r="V72" s="830"/>
      <c r="W72" s="663"/>
      <c r="X72" s="1166" t="s">
        <v>169</v>
      </c>
      <c r="Y72" s="1166"/>
      <c r="Z72" s="1166"/>
      <c r="AA72" s="198" t="s">
        <v>170</v>
      </c>
      <c r="AB72" s="826" t="s">
        <v>184</v>
      </c>
      <c r="AC72" s="155"/>
    </row>
    <row r="73" spans="2:29" ht="45.75" customHeight="1" thickBot="1">
      <c r="B73" s="1263"/>
      <c r="C73" s="203" t="s">
        <v>91</v>
      </c>
      <c r="D73" s="280" t="s">
        <v>172</v>
      </c>
      <c r="E73" s="281">
        <f t="shared" si="3"/>
        <v>5</v>
      </c>
      <c r="F73" s="255">
        <f t="shared" si="8"/>
        <v>46251</v>
      </c>
      <c r="G73" s="255">
        <f t="shared" si="9"/>
        <v>46256</v>
      </c>
      <c r="H73" s="255">
        <f>WORKDAY.INTL(I72,1,"0000100",$AI$6:$AI$12)</f>
        <v>46256</v>
      </c>
      <c r="I73" s="255">
        <f>WORKDAY.INTL(I72,5,"0000100",$AI$6:$AI$12)</f>
        <v>46260</v>
      </c>
      <c r="J73" s="255"/>
      <c r="K73" s="255"/>
      <c r="L73" s="282"/>
      <c r="M73" s="282" t="str">
        <f ca="1">IF(L73=100%,"Completed",
IF(AND(L73&lt;100%,G73&lt;TODAY()),"Delayed",
IF(AND(OR(L73="",L73=0),F73&gt;TODAY()),"Not Started",
IF(AND(OR(L73="",L73=0),F73&lt;=TODAY()),"Delayed",
IF(AND(L73&gt;0,L73&lt;100%),"In Progress","")))))</f>
        <v>Not Started</v>
      </c>
      <c r="N73" s="784"/>
      <c r="O73" s="825"/>
      <c r="P73" s="199"/>
      <c r="Q73" s="199"/>
      <c r="R73" s="199"/>
      <c r="S73" s="199"/>
      <c r="T73" s="199"/>
      <c r="U73" s="199"/>
      <c r="V73" s="830"/>
      <c r="W73" s="785"/>
      <c r="X73" s="1168">
        <v>1</v>
      </c>
      <c r="Y73" s="1168"/>
      <c r="Z73" s="1168"/>
      <c r="AA73" s="255"/>
      <c r="AB73" s="829"/>
      <c r="AC73" s="155"/>
    </row>
    <row r="74" spans="2:29" ht="45.75" customHeight="1" thickBot="1">
      <c r="B74" s="831"/>
      <c r="C74" s="831"/>
      <c r="D74" s="948"/>
      <c r="E74" s="833"/>
      <c r="F74" s="834"/>
      <c r="G74" s="834"/>
      <c r="H74" s="834"/>
      <c r="I74" s="834"/>
      <c r="J74" s="834"/>
      <c r="K74" s="834"/>
      <c r="L74" s="951"/>
      <c r="M74" s="951"/>
      <c r="N74" s="951"/>
      <c r="O74" s="925"/>
      <c r="P74" s="942"/>
      <c r="Q74" s="942"/>
      <c r="R74" s="942"/>
      <c r="S74" s="942"/>
      <c r="T74" s="942"/>
      <c r="U74" s="942"/>
      <c r="V74" s="942"/>
      <c r="W74" s="234"/>
      <c r="X74" s="234"/>
      <c r="Y74" s="234"/>
      <c r="Z74" s="234"/>
      <c r="AA74" s="838"/>
      <c r="AB74" s="838"/>
      <c r="AC74" s="155"/>
    </row>
    <row r="75" spans="2:29" ht="63.75" customHeight="1">
      <c r="B75" s="1334" t="s">
        <v>185</v>
      </c>
      <c r="C75" s="778" t="s">
        <v>91</v>
      </c>
      <c r="D75" s="839" t="s">
        <v>186</v>
      </c>
      <c r="E75" s="840">
        <f t="shared" si="3"/>
        <v>4</v>
      </c>
      <c r="F75" s="841">
        <f>WORKDAY.INTL(G72,1,"0000100",$AI$6:$AI$12)</f>
        <v>46251</v>
      </c>
      <c r="G75" s="841">
        <f t="shared" ref="G75:G81" si="10">WORKDAY.INTL(F75,3,"0000100",$AI$6:$AI$12)</f>
        <v>46254</v>
      </c>
      <c r="H75" s="841">
        <f>WORKDAY.INTL(I72,1,"0000100",$AI$6:$AI$12)</f>
        <v>46256</v>
      </c>
      <c r="I75" s="841">
        <f>WORKDAY.INTL(H75,3,"0000100",$AI$6:$AI$12)</f>
        <v>46259</v>
      </c>
      <c r="J75" s="841"/>
      <c r="K75" s="841"/>
      <c r="L75" s="842"/>
      <c r="M75" s="842" t="str">
        <f ca="1">IF(L75=100%,"Completed",
IF(AND(L75&lt;100%,G75&lt;TODAY()),"Delayed",
IF(AND(OR(L75="",L75=0),F75&gt;TODAY()),"Not Started",
IF(AND(OR(L75="",L75=0),F75&lt;=TODAY()),"Delayed",
IF(AND(L75&gt;0,L75&lt;100%),"In Progress","")))))</f>
        <v>Not Started</v>
      </c>
      <c r="N75" s="843"/>
      <c r="O75" s="825"/>
      <c r="P75" s="201"/>
      <c r="Q75" s="201"/>
      <c r="R75" s="201"/>
      <c r="S75" s="201"/>
      <c r="T75" s="201"/>
      <c r="U75" s="201"/>
      <c r="V75" s="853"/>
      <c r="W75" s="855"/>
      <c r="X75" s="1207" t="s">
        <v>169</v>
      </c>
      <c r="Y75" s="1207"/>
      <c r="Z75" s="1207"/>
      <c r="AA75" s="841" t="s">
        <v>170</v>
      </c>
      <c r="AB75" s="850" t="s">
        <v>187</v>
      </c>
      <c r="AC75" s="155"/>
    </row>
    <row r="76" spans="2:29" ht="45.75" customHeight="1" thickBot="1">
      <c r="B76" s="1335"/>
      <c r="C76" s="203" t="s">
        <v>91</v>
      </c>
      <c r="D76" s="844" t="s">
        <v>172</v>
      </c>
      <c r="E76" s="845">
        <f t="shared" si="3"/>
        <v>4</v>
      </c>
      <c r="F76" s="846">
        <f t="shared" si="8"/>
        <v>46256</v>
      </c>
      <c r="G76" s="846">
        <f t="shared" ref="G76:G82" si="11">WORKDAY.INTL(G75,4,"0000100",$AI$6:$AI$12)</f>
        <v>46259</v>
      </c>
      <c r="H76" s="846">
        <f>WORKDAY.INTL(I75,1,"0000100",$AI$6:$AI$12)</f>
        <v>46260</v>
      </c>
      <c r="I76" s="846">
        <f>WORKDAY.INTL(I75,4,"0000100",$AI$6:$AI$12)</f>
        <v>46264</v>
      </c>
      <c r="J76" s="846"/>
      <c r="K76" s="846"/>
      <c r="L76" s="847"/>
      <c r="M76" s="847" t="str">
        <f ca="1">IF(L76=100%,"Completed",
IF(AND(L76&lt;100%,G76&lt;TODAY()),"Delayed",
IF(AND(OR(L76="",L76=0),F76&gt;TODAY()),"Not Started",
IF(AND(OR(L76="",L76=0),F76&lt;=TODAY()),"Delayed",
IF(AND(L76&gt;0,L76&lt;100%),"In Progress","")))))</f>
        <v>Not Started</v>
      </c>
      <c r="N76" s="848"/>
      <c r="O76" s="825"/>
      <c r="P76" s="201"/>
      <c r="Q76" s="201"/>
      <c r="R76" s="201"/>
      <c r="S76" s="201"/>
      <c r="T76" s="201"/>
      <c r="U76" s="201"/>
      <c r="V76" s="853"/>
      <c r="W76" s="851"/>
      <c r="X76" s="1206">
        <v>1</v>
      </c>
      <c r="Y76" s="1206"/>
      <c r="Z76" s="1206"/>
      <c r="AA76" s="846"/>
      <c r="AB76" s="852"/>
      <c r="AC76" s="155"/>
    </row>
    <row r="77" spans="2:29" ht="45.75" customHeight="1" thickBot="1">
      <c r="B77" s="831"/>
      <c r="C77" s="831"/>
      <c r="D77" s="948"/>
      <c r="E77" s="833"/>
      <c r="F77" s="834"/>
      <c r="G77" s="834"/>
      <c r="H77" s="834"/>
      <c r="I77" s="834"/>
      <c r="J77" s="834"/>
      <c r="K77" s="834"/>
      <c r="L77" s="951"/>
      <c r="M77" s="951"/>
      <c r="N77" s="951"/>
      <c r="O77" s="925"/>
      <c r="P77" s="942"/>
      <c r="Q77" s="942"/>
      <c r="R77" s="942"/>
      <c r="S77" s="942"/>
      <c r="T77" s="942"/>
      <c r="U77" s="942"/>
      <c r="V77" s="942"/>
      <c r="W77" s="234"/>
      <c r="X77" s="234"/>
      <c r="Y77" s="234"/>
      <c r="Z77" s="234"/>
      <c r="AA77" s="838"/>
      <c r="AB77" s="838"/>
      <c r="AC77" s="155"/>
    </row>
    <row r="78" spans="2:29" ht="73.5" customHeight="1">
      <c r="B78" s="1272" t="s">
        <v>188</v>
      </c>
      <c r="C78" s="778" t="s">
        <v>91</v>
      </c>
      <c r="D78" s="293" t="s">
        <v>189</v>
      </c>
      <c r="E78" s="274">
        <f t="shared" si="3"/>
        <v>4</v>
      </c>
      <c r="F78" s="198">
        <f t="shared" ref="F78" si="12">WORKDAY.INTL(G75,1,"0000100",$AI$6:$AI$12)</f>
        <v>46256</v>
      </c>
      <c r="G78" s="198">
        <f t="shared" si="10"/>
        <v>46259</v>
      </c>
      <c r="H78" s="198">
        <f>WORKDAY.INTL(I75,1,"0000100",$AI$6:$AI$12)</f>
        <v>46260</v>
      </c>
      <c r="I78" s="198">
        <f>WORKDAY.INTL(H78,3,"0000100",$AI$6:$AI$12)</f>
        <v>46264</v>
      </c>
      <c r="J78" s="198"/>
      <c r="K78" s="198"/>
      <c r="L78" s="275"/>
      <c r="M78" s="275" t="str">
        <f ca="1">IF(L78=100%,"Completed",
IF(AND(L78&lt;100%,G78&lt;TODAY()),"Delayed",
IF(AND(OR(L78="",L78=0),F78&gt;TODAY()),"Not Started",
IF(AND(OR(L78="",L78=0),F78&lt;=TODAY()),"Delayed",
IF(AND(L78&gt;0,L78&lt;100%),"In Progress","")))))</f>
        <v>Not Started</v>
      </c>
      <c r="N78" s="782"/>
      <c r="O78" s="825"/>
      <c r="P78" s="199"/>
      <c r="Q78" s="199"/>
      <c r="R78" s="199"/>
      <c r="S78" s="199"/>
      <c r="T78" s="199"/>
      <c r="U78" s="199"/>
      <c r="V78" s="830"/>
      <c r="W78" s="663"/>
      <c r="X78" s="1166" t="s">
        <v>169</v>
      </c>
      <c r="Y78" s="1166"/>
      <c r="Z78" s="1166"/>
      <c r="AA78" s="198" t="s">
        <v>170</v>
      </c>
      <c r="AB78" s="826" t="s">
        <v>190</v>
      </c>
      <c r="AC78" s="155"/>
    </row>
    <row r="79" spans="2:29" ht="45.75" customHeight="1" thickBot="1">
      <c r="B79" s="1263"/>
      <c r="C79" s="203" t="s">
        <v>91</v>
      </c>
      <c r="D79" s="280" t="s">
        <v>172</v>
      </c>
      <c r="E79" s="281">
        <f t="shared" si="3"/>
        <v>4</v>
      </c>
      <c r="F79" s="255">
        <f t="shared" ref="F79:F82" si="13">WORKDAY.INTL(G78,1,"0000100",$AI$6:$AI$12)</f>
        <v>46260</v>
      </c>
      <c r="G79" s="255">
        <f t="shared" si="11"/>
        <v>46264</v>
      </c>
      <c r="H79" s="255">
        <f>WORKDAY.INTL(I78,1,"0000100",$AI$6:$AI$12)</f>
        <v>46265</v>
      </c>
      <c r="I79" s="255">
        <f>WORKDAY.INTL(I78,4,"0000100",$AI$6:$AI$12)</f>
        <v>46268</v>
      </c>
      <c r="J79" s="255"/>
      <c r="K79" s="255"/>
      <c r="L79" s="282"/>
      <c r="M79" s="282" t="str">
        <f ca="1">IF(L79=100%,"Completed",
IF(AND(L79&lt;100%,G79&lt;TODAY()),"Delayed",
IF(AND(OR(L79="",L79=0),F79&gt;TODAY()),"Not Started",
IF(AND(OR(L79="",L79=0),F79&lt;=TODAY()),"Delayed",
IF(AND(L79&gt;0,L79&lt;100%),"In Progress","")))))</f>
        <v>Not Started</v>
      </c>
      <c r="N79" s="784"/>
      <c r="O79" s="825"/>
      <c r="P79" s="199"/>
      <c r="Q79" s="199"/>
      <c r="R79" s="199"/>
      <c r="S79" s="199"/>
      <c r="T79" s="199"/>
      <c r="U79" s="199"/>
      <c r="V79" s="830"/>
      <c r="W79" s="785"/>
      <c r="X79" s="1168">
        <v>1</v>
      </c>
      <c r="Y79" s="1168"/>
      <c r="Z79" s="1168"/>
      <c r="AA79" s="255"/>
      <c r="AB79" s="829"/>
      <c r="AC79" s="155"/>
    </row>
    <row r="80" spans="2:29" ht="45.75" customHeight="1" thickBot="1">
      <c r="B80" s="831"/>
      <c r="C80" s="831"/>
      <c r="D80" s="948"/>
      <c r="E80" s="833"/>
      <c r="F80" s="834"/>
      <c r="G80" s="834"/>
      <c r="H80" s="834"/>
      <c r="I80" s="834"/>
      <c r="J80" s="834"/>
      <c r="K80" s="834"/>
      <c r="L80" s="951"/>
      <c r="M80" s="951"/>
      <c r="N80" s="951"/>
      <c r="O80" s="925"/>
      <c r="P80" s="942"/>
      <c r="Q80" s="942"/>
      <c r="R80" s="942"/>
      <c r="S80" s="942"/>
      <c r="T80" s="942"/>
      <c r="U80" s="942"/>
      <c r="V80" s="942"/>
      <c r="W80" s="234"/>
      <c r="X80" s="234"/>
      <c r="Y80" s="234"/>
      <c r="Z80" s="234"/>
      <c r="AA80" s="838"/>
      <c r="AB80" s="838"/>
      <c r="AC80" s="155"/>
    </row>
    <row r="81" spans="2:33" ht="68.25" customHeight="1">
      <c r="B81" s="1334" t="s">
        <v>191</v>
      </c>
      <c r="C81" s="778" t="s">
        <v>91</v>
      </c>
      <c r="D81" s="839" t="s">
        <v>192</v>
      </c>
      <c r="E81" s="840">
        <f t="shared" si="3"/>
        <v>4</v>
      </c>
      <c r="F81" s="841">
        <f t="shared" ref="F81" si="14">WORKDAY.INTL(G78,1,"0000100",$AI$6:$AI$12)</f>
        <v>46260</v>
      </c>
      <c r="G81" s="841">
        <f t="shared" si="10"/>
        <v>46264</v>
      </c>
      <c r="H81" s="841">
        <f>WORKDAY.INTL(I78,1,"0000100",$AI$6:$AI$12)</f>
        <v>46265</v>
      </c>
      <c r="I81" s="841">
        <f>WORKDAY.INTL(H81,3,"0000100",$AI$6:$AI$12)</f>
        <v>46268</v>
      </c>
      <c r="J81" s="841"/>
      <c r="K81" s="841"/>
      <c r="L81" s="842"/>
      <c r="M81" s="842" t="str">
        <f ca="1">IF(L81=100%,"Completed",
IF(AND(L81&lt;100%,G81&lt;TODAY()),"Delayed",
IF(AND(OR(L81="",L81=0),F81&gt;TODAY()),"Not Started",
IF(AND(OR(L81="",L81=0),F81&lt;=TODAY()),"Delayed",
IF(AND(L81&gt;0,L81&lt;100%),"In Progress","")))))</f>
        <v>Not Started</v>
      </c>
      <c r="N81" s="843"/>
      <c r="O81" s="825"/>
      <c r="P81" s="201"/>
      <c r="Q81" s="201"/>
      <c r="R81" s="201"/>
      <c r="S81" s="201"/>
      <c r="T81" s="201"/>
      <c r="U81" s="201"/>
      <c r="V81" s="853"/>
      <c r="W81" s="855"/>
      <c r="X81" s="1207" t="s">
        <v>169</v>
      </c>
      <c r="Y81" s="1207"/>
      <c r="Z81" s="1207"/>
      <c r="AA81" s="841" t="s">
        <v>170</v>
      </c>
      <c r="AB81" s="850" t="s">
        <v>187</v>
      </c>
      <c r="AC81" s="155"/>
    </row>
    <row r="82" spans="2:33" s="153" customFormat="1" ht="40.5" customHeight="1" thickBot="1">
      <c r="B82" s="1335"/>
      <c r="C82" s="203" t="s">
        <v>91</v>
      </c>
      <c r="D82" s="844" t="s">
        <v>172</v>
      </c>
      <c r="E82" s="845">
        <f t="shared" si="3"/>
        <v>4</v>
      </c>
      <c r="F82" s="846">
        <f t="shared" si="13"/>
        <v>46265</v>
      </c>
      <c r="G82" s="846">
        <f t="shared" si="11"/>
        <v>46268</v>
      </c>
      <c r="H82" s="846">
        <f>WORKDAY.INTL(I81,1,"0000100",$AI$6:$AI$12)</f>
        <v>46270</v>
      </c>
      <c r="I82" s="846">
        <f>WORKDAY.INTL(I81,4,"0000100",$AI$6:$AI$12)</f>
        <v>46273</v>
      </c>
      <c r="J82" s="846"/>
      <c r="K82" s="846"/>
      <c r="L82" s="847"/>
      <c r="M82" s="847" t="str">
        <f ca="1">IF(L82=100%,"Completed",
IF(AND(L82&lt;100%,G82&lt;TODAY()),"Delayed",
IF(AND(OR(L82="",L82=0),F82&gt;TODAY()),"Not Started",
IF(AND(OR(L82="",L82=0),F82&lt;=TODAY()),"Delayed",
IF(AND(L82&gt;0,L82&lt;100%),"In Progress","")))))</f>
        <v>Not Started</v>
      </c>
      <c r="N82" s="848"/>
      <c r="O82" s="825"/>
      <c r="P82" s="201"/>
      <c r="Q82" s="201"/>
      <c r="R82" s="201"/>
      <c r="S82" s="201"/>
      <c r="T82" s="201"/>
      <c r="U82" s="201"/>
      <c r="V82" s="853"/>
      <c r="W82" s="851"/>
      <c r="X82" s="1206">
        <v>1</v>
      </c>
      <c r="Y82" s="1206"/>
      <c r="Z82" s="1206"/>
      <c r="AA82" s="846"/>
      <c r="AB82" s="852"/>
      <c r="AF82" s="158"/>
      <c r="AG82" s="158"/>
    </row>
    <row r="83" spans="2:33" ht="19.5" customHeight="1" thickBot="1">
      <c r="B83" s="831"/>
      <c r="C83" s="831"/>
      <c r="D83" s="948"/>
      <c r="E83" s="833"/>
      <c r="F83" s="834"/>
      <c r="G83" s="834"/>
      <c r="H83" s="834"/>
      <c r="I83" s="834"/>
      <c r="J83" s="834"/>
      <c r="K83" s="834"/>
      <c r="L83" s="951"/>
      <c r="M83" s="951"/>
      <c r="N83" s="951"/>
      <c r="O83" s="925"/>
      <c r="P83" s="942"/>
      <c r="Q83" s="942"/>
      <c r="R83" s="942"/>
      <c r="S83" s="942"/>
      <c r="T83" s="942"/>
      <c r="U83" s="942"/>
      <c r="V83" s="942"/>
      <c r="W83" s="234"/>
      <c r="X83" s="234"/>
      <c r="Y83" s="234"/>
      <c r="Z83" s="234"/>
      <c r="AA83" s="838"/>
      <c r="AB83" s="838"/>
      <c r="AC83" s="155"/>
    </row>
    <row r="84" spans="2:33" ht="159.75" customHeight="1" thickBot="1">
      <c r="B84" s="856" t="s">
        <v>193</v>
      </c>
      <c r="C84" s="857" t="s">
        <v>91</v>
      </c>
      <c r="D84" s="858" t="s">
        <v>194</v>
      </c>
      <c r="E84" s="859">
        <f>NETWORKDAYS.INTL(F84,G84,"0000110",$AI$6:$AI$13)</f>
        <v>33</v>
      </c>
      <c r="F84" s="860">
        <f>WORKDAY.INTL(G61,1,"0000110")</f>
        <v>46233</v>
      </c>
      <c r="G84" s="952">
        <f>WORKDAY.INTL(F84,32,"0000110")</f>
        <v>46279</v>
      </c>
      <c r="H84" s="860">
        <f>WORKDAY.INTL(I61,1,"0000110")</f>
        <v>46238</v>
      </c>
      <c r="I84" s="860">
        <f>WORKDAY.INTL(H84,32,"0000110")</f>
        <v>46282</v>
      </c>
      <c r="J84" s="860"/>
      <c r="K84" s="860"/>
      <c r="L84" s="861"/>
      <c r="M84" s="861" t="str">
        <f ca="1">IF(L84=100%,"Completed",
IF(AND(L84&lt;100%,G84&lt;TODAY()),"Delayed",
IF(AND(OR(L84="",L84=0),F84&gt;TODAY()),"Not Started",
IF(AND(OR(L84="",L84=0),F84&lt;=TODAY()),"Delayed",
IF(AND(L84&gt;0,L84&lt;100%),"In Progress","")))))</f>
        <v>Not Started</v>
      </c>
      <c r="N84" s="862"/>
      <c r="O84" s="825"/>
      <c r="P84" s="199"/>
      <c r="Q84" s="199"/>
      <c r="R84" s="199"/>
      <c r="S84" s="199"/>
      <c r="T84" s="199"/>
      <c r="U84" s="199"/>
      <c r="V84" s="830"/>
      <c r="W84" s="459" t="s">
        <v>195</v>
      </c>
      <c r="X84" s="1174" t="s">
        <v>133</v>
      </c>
      <c r="Y84" s="1174"/>
      <c r="Z84" s="1174"/>
      <c r="AA84" s="953" t="s">
        <v>196</v>
      </c>
      <c r="AB84" s="954" t="s">
        <v>197</v>
      </c>
      <c r="AC84" s="155" t="s">
        <v>113</v>
      </c>
      <c r="AF84" s="168"/>
      <c r="AG84" s="168"/>
    </row>
    <row r="85" spans="2:33" ht="159.75" customHeight="1" thickBot="1">
      <c r="B85" s="831"/>
      <c r="C85" s="831"/>
      <c r="D85" s="948"/>
      <c r="E85" s="833"/>
      <c r="F85" s="834"/>
      <c r="G85" s="834"/>
      <c r="H85" s="834"/>
      <c r="I85" s="834"/>
      <c r="J85" s="834"/>
      <c r="K85" s="834"/>
      <c r="L85" s="951"/>
      <c r="M85" s="951"/>
      <c r="N85" s="951"/>
      <c r="O85" s="925"/>
      <c r="P85" s="942"/>
      <c r="Q85" s="942"/>
      <c r="R85" s="942"/>
      <c r="S85" s="942"/>
      <c r="T85" s="942"/>
      <c r="U85" s="942"/>
      <c r="V85" s="942"/>
      <c r="W85" s="234"/>
      <c r="X85" s="234"/>
      <c r="Y85" s="234"/>
      <c r="Z85" s="234"/>
      <c r="AA85" s="838"/>
      <c r="AB85" s="838"/>
      <c r="AC85" s="155"/>
    </row>
    <row r="86" spans="2:33" ht="70.5" customHeight="1" thickBot="1">
      <c r="B86" s="865" t="s">
        <v>198</v>
      </c>
      <c r="C86" s="866" t="s">
        <v>199</v>
      </c>
      <c r="D86" s="809" t="s">
        <v>200</v>
      </c>
      <c r="E86" s="810">
        <f>NETWORKDAYS.INTL(F86,G86,"0000110",$AI$6:$AI$13)</f>
        <v>2</v>
      </c>
      <c r="F86" s="805">
        <f>MAX(WORKDAY.INTL(G82,1,"0000100"),WORKDAY.INTL(G94,1,"0000100"))</f>
        <v>46294</v>
      </c>
      <c r="G86" s="805">
        <f>WORKDAY.INTL(F86,1,"0000000")</f>
        <v>46295</v>
      </c>
      <c r="H86" s="805">
        <f>MAX(WORKDAY.INTL(I82,1,"0000100"),WORKDAY.INTL(I94,1,"0000100"))</f>
        <v>46302</v>
      </c>
      <c r="I86" s="805">
        <f>WORKDAY.INTL(H86,1,"0000000")</f>
        <v>46303</v>
      </c>
      <c r="J86" s="805"/>
      <c r="K86" s="805"/>
      <c r="L86" s="806"/>
      <c r="M86" s="806" t="str">
        <f ca="1">IF(L86=100%,"Completed",
IF(AND(L86&lt;100%,G86&lt;TODAY()),"Delayed",
IF(AND(OR(L86="",L86=0),F86&gt;TODAY()),"Not Started",
IF(AND(OR(L86="",L86=0),F86&lt;=TODAY()),"Delayed",
IF(AND(L86&gt;0,L86&lt;100%),"In Progress","")))))</f>
        <v>Not Started</v>
      </c>
      <c r="N86" s="811"/>
      <c r="O86" s="816"/>
      <c r="P86" s="202"/>
      <c r="Q86" s="202"/>
      <c r="R86" s="202"/>
      <c r="S86" s="202"/>
      <c r="T86" s="202"/>
      <c r="U86" s="202"/>
      <c r="V86" s="864"/>
      <c r="W86" s="812" t="s">
        <v>201</v>
      </c>
      <c r="X86" s="1204">
        <v>1</v>
      </c>
      <c r="Y86" s="1204"/>
      <c r="Z86" s="1204"/>
      <c r="AA86" s="955" t="s">
        <v>202</v>
      </c>
      <c r="AB86" s="956"/>
      <c r="AC86" s="155" t="s">
        <v>124</v>
      </c>
    </row>
    <row r="87" spans="2:33" ht="6.75" customHeight="1" thickBot="1">
      <c r="L87" s="294"/>
      <c r="M87" s="294"/>
      <c r="N87" s="294"/>
      <c r="AA87" s="156"/>
      <c r="AB87" s="156"/>
      <c r="AE87" s="158"/>
    </row>
    <row r="88" spans="2:33" ht="27" customHeight="1">
      <c r="B88" s="1261" t="s">
        <v>203</v>
      </c>
      <c r="C88" s="421" t="s">
        <v>34</v>
      </c>
      <c r="D88" s="293" t="s">
        <v>204</v>
      </c>
      <c r="E88" s="274">
        <f>NETWORKDAYS.INTL(F88,G88,"0000110")</f>
        <v>2</v>
      </c>
      <c r="F88" s="198">
        <f>MAX(WORKDAY.INTL(G82,1,"0000110",$AI$6:$AI$11),WORKDAY.INTL(G35,1,"0000110",$AI$6:$AI$11),WORKDAY.INTL(G43,1,"0000110",$AI$6:$AI$11))</f>
        <v>46278</v>
      </c>
      <c r="G88" s="198">
        <f>WORKDAY.INTL(F88,1,"0000110",$AI$6:$AI$11)</f>
        <v>46279</v>
      </c>
      <c r="H88" s="198">
        <f>MAX(WORKDAY.INTL(I82,1,"0000110",$AI$6:$AI$11),WORKDAY.INTL(I35,1,"0000110",$AI$6:$AI$11),WORKDAY.INTL(I43,1,"0000110",$AI$6:$AI$11))</f>
        <v>46286</v>
      </c>
      <c r="I88" s="198">
        <f>WORKDAY.INTL(H88,1,"0000110",$AI$6:$AI$11)</f>
        <v>46287</v>
      </c>
      <c r="J88" s="198"/>
      <c r="K88" s="198"/>
      <c r="L88" s="275"/>
      <c r="M88" s="275" t="str">
        <f t="shared" ref="M88:M94" ca="1" si="15">IF(L88=100%,"Completed",
IF(AND(L88&lt;100%,G88&lt;TODAY()),"Delayed",
IF(AND(OR(L88="",L88=0),F88&gt;TODAY()),"Not Started",
IF(AND(OR(L88="",L88=0),F88&lt;=TODAY()),"Delayed",
IF(AND(L88&gt;0,L88&lt;100%),"In Progress","")))))</f>
        <v>Not Started</v>
      </c>
      <c r="N88" s="782"/>
      <c r="O88" s="815"/>
      <c r="P88" s="213"/>
      <c r="Q88" s="213"/>
      <c r="R88" s="213"/>
      <c r="S88" s="213"/>
      <c r="T88" s="213"/>
      <c r="U88" s="213"/>
      <c r="V88" s="957"/>
      <c r="W88" s="959"/>
      <c r="X88" s="1208">
        <v>1</v>
      </c>
      <c r="Y88" s="1208"/>
      <c r="Z88" s="1208"/>
      <c r="AA88" s="1275" t="s">
        <v>205</v>
      </c>
      <c r="AB88" s="468"/>
      <c r="AC88" s="155"/>
      <c r="AE88" s="158"/>
      <c r="AF88" s="168"/>
      <c r="AG88" s="168"/>
    </row>
    <row r="89" spans="2:33" ht="30.75" customHeight="1">
      <c r="B89" s="1262"/>
      <c r="C89" s="422" t="s">
        <v>34</v>
      </c>
      <c r="D89" s="279" t="s">
        <v>206</v>
      </c>
      <c r="E89" s="277">
        <f t="shared" ref="E89:E94" si="16">NETWORKDAYS.INTL(F89,G89,"0000110",$AI$6:$AI$12)</f>
        <v>4</v>
      </c>
      <c r="F89" s="200">
        <f t="shared" ref="F89:F92" si="17">WORKDAY.INTL(G88,1,"0000100",$AI$6:$AI$12)</f>
        <v>46280</v>
      </c>
      <c r="G89" s="200">
        <f>WORKDAY.INTL(F89,3,"0000110",$AI$6:$AI$10)</f>
        <v>46285</v>
      </c>
      <c r="H89" s="200">
        <f>WORKDAY.INTL(I88,1,"0000100",$AI$6:$AI$12)</f>
        <v>46288</v>
      </c>
      <c r="I89" s="200">
        <f>WORKDAY.INTL(H89,3,"0000110",$AI$6:$AI$10)</f>
        <v>46293</v>
      </c>
      <c r="J89" s="200"/>
      <c r="K89" s="200"/>
      <c r="L89" s="278"/>
      <c r="M89" s="278" t="str">
        <f t="shared" ca="1" si="15"/>
        <v>Not Started</v>
      </c>
      <c r="N89" s="783"/>
      <c r="O89" s="825"/>
      <c r="P89" s="94"/>
      <c r="Q89" s="94"/>
      <c r="R89" s="94"/>
      <c r="S89" s="94"/>
      <c r="T89" s="94"/>
      <c r="U89" s="94"/>
      <c r="V89" s="870"/>
      <c r="W89" s="894"/>
      <c r="X89" s="1209">
        <v>1</v>
      </c>
      <c r="Y89" s="1209"/>
      <c r="Z89" s="1209"/>
      <c r="AA89" s="1276"/>
      <c r="AB89" s="469"/>
      <c r="AC89" s="155"/>
      <c r="AE89" s="158"/>
    </row>
    <row r="90" spans="2:33" ht="125.25" customHeight="1">
      <c r="B90" s="1262"/>
      <c r="C90" s="422" t="s">
        <v>34</v>
      </c>
      <c r="D90" s="279" t="s">
        <v>207</v>
      </c>
      <c r="E90" s="277">
        <f t="shared" si="16"/>
        <v>4</v>
      </c>
      <c r="F90" s="200">
        <f>WORKDAY.INTL(G88,1,"0000100",$AI$6:$AI$12)</f>
        <v>46280</v>
      </c>
      <c r="G90" s="200">
        <f>WORKDAY.INTL(F90,3,"0000110",$AI$6:$AI$10)</f>
        <v>46285</v>
      </c>
      <c r="H90" s="200">
        <f>WORKDAY.INTL(I88,1,"0000100",$AI$6:$AI$12)</f>
        <v>46288</v>
      </c>
      <c r="I90" s="200">
        <f>WORKDAY.INTL(H90,3,"0000110",$AI$6:$AI$10)</f>
        <v>46293</v>
      </c>
      <c r="J90" s="200"/>
      <c r="K90" s="200"/>
      <c r="L90" s="278"/>
      <c r="M90" s="278" t="str">
        <f t="shared" ca="1" si="15"/>
        <v>Not Started</v>
      </c>
      <c r="N90" s="783"/>
      <c r="O90" s="825"/>
      <c r="P90" s="94"/>
      <c r="Q90" s="94"/>
      <c r="R90" s="94"/>
      <c r="S90" s="94"/>
      <c r="T90" s="94"/>
      <c r="U90" s="94"/>
      <c r="V90" s="870"/>
      <c r="W90" s="895" t="s">
        <v>208</v>
      </c>
      <c r="X90" s="1210">
        <v>1</v>
      </c>
      <c r="Y90" s="1210"/>
      <c r="Z90" s="1210"/>
      <c r="AA90" s="1276"/>
      <c r="AB90" s="469"/>
      <c r="AC90" s="155"/>
      <c r="AE90" s="158"/>
      <c r="AF90" s="168"/>
      <c r="AG90" s="168"/>
    </row>
    <row r="91" spans="2:33" ht="30.75" customHeight="1">
      <c r="B91" s="1262"/>
      <c r="C91" s="422" t="s">
        <v>34</v>
      </c>
      <c r="D91" s="279" t="s">
        <v>209</v>
      </c>
      <c r="E91" s="277">
        <f t="shared" si="16"/>
        <v>2</v>
      </c>
      <c r="F91" s="200">
        <f t="shared" si="17"/>
        <v>46286</v>
      </c>
      <c r="G91" s="200">
        <f>WORKDAY.INTL(F91,1,"0000110",$AI$6:$AI$10)</f>
        <v>46287</v>
      </c>
      <c r="H91" s="200">
        <f>WORKDAY.INTL(I90,1,"0000100",$AI$6:$AI$12)</f>
        <v>46294</v>
      </c>
      <c r="I91" s="200">
        <f>WORKDAY.INTL(H91,1,"0000110",$AI$6:$AI$10)</f>
        <v>46295</v>
      </c>
      <c r="J91" s="200"/>
      <c r="K91" s="200"/>
      <c r="L91" s="278"/>
      <c r="M91" s="278" t="str">
        <f t="shared" ca="1" si="15"/>
        <v>Not Started</v>
      </c>
      <c r="N91" s="783"/>
      <c r="O91" s="825"/>
      <c r="P91" s="94"/>
      <c r="Q91" s="94"/>
      <c r="R91" s="94"/>
      <c r="S91" s="94"/>
      <c r="T91" s="94"/>
      <c r="U91" s="94"/>
      <c r="V91" s="870"/>
      <c r="W91" s="894"/>
      <c r="X91" s="1209">
        <v>1</v>
      </c>
      <c r="Y91" s="1209"/>
      <c r="Z91" s="1209"/>
      <c r="AA91" s="1276"/>
      <c r="AB91" s="469"/>
      <c r="AC91" s="155"/>
      <c r="AE91" s="158"/>
    </row>
    <row r="92" spans="2:33" ht="30.75" customHeight="1">
      <c r="B92" s="1262"/>
      <c r="C92" s="422" t="s">
        <v>34</v>
      </c>
      <c r="D92" s="279" t="s">
        <v>210</v>
      </c>
      <c r="E92" s="277">
        <f t="shared" si="16"/>
        <v>2</v>
      </c>
      <c r="F92" s="200">
        <f t="shared" si="17"/>
        <v>46288</v>
      </c>
      <c r="G92" s="200">
        <f>WORKDAY.INTL(F92,2,"0000100",$AI$6:$AI$10)</f>
        <v>46291</v>
      </c>
      <c r="H92" s="200">
        <f>WORKDAY.INTL(I91,1,"0000100",$AI$6:$AI$12)</f>
        <v>46296</v>
      </c>
      <c r="I92" s="200">
        <f>WORKDAY.INTL(H92,2,"0000100",$AI$6:$AI$10)</f>
        <v>46299</v>
      </c>
      <c r="J92" s="200"/>
      <c r="K92" s="200"/>
      <c r="L92" s="278"/>
      <c r="M92" s="278" t="str">
        <f t="shared" ca="1" si="15"/>
        <v>Not Started</v>
      </c>
      <c r="N92" s="783"/>
      <c r="O92" s="825"/>
      <c r="P92" s="94"/>
      <c r="Q92" s="94"/>
      <c r="R92" s="94"/>
      <c r="S92" s="94"/>
      <c r="T92" s="94"/>
      <c r="U92" s="94"/>
      <c r="V92" s="870"/>
      <c r="W92" s="894"/>
      <c r="X92" s="1209">
        <v>1</v>
      </c>
      <c r="Y92" s="1209"/>
      <c r="Z92" s="1209"/>
      <c r="AA92" s="1276"/>
      <c r="AB92" s="469"/>
      <c r="AC92" s="155"/>
      <c r="AE92" s="158"/>
    </row>
    <row r="93" spans="2:33" ht="30.75" customHeight="1">
      <c r="B93" s="1262"/>
      <c r="C93" s="422" t="s">
        <v>34</v>
      </c>
      <c r="D93" s="279" t="s">
        <v>211</v>
      </c>
      <c r="E93" s="277">
        <f t="shared" si="16"/>
        <v>1</v>
      </c>
      <c r="F93" s="200">
        <f>WORKDAY.INTL(G92,1,"0000110",$AI$6:$AI$11)</f>
        <v>46292</v>
      </c>
      <c r="G93" s="200">
        <f>WORKDAY.INTL(F93,0,"0000110",$AI$6:$AI$11)</f>
        <v>46292</v>
      </c>
      <c r="H93" s="200">
        <f>WORKDAY.INTL(I92,1,"0000110",$AI$6:$AI$11)</f>
        <v>46300</v>
      </c>
      <c r="I93" s="200">
        <f>WORKDAY.INTL(H93,0,"0000110",$AI$6:$AI$11)</f>
        <v>46300</v>
      </c>
      <c r="J93" s="200"/>
      <c r="K93" s="200"/>
      <c r="L93" s="278"/>
      <c r="M93" s="278" t="str">
        <f t="shared" ca="1" si="15"/>
        <v>Not Started</v>
      </c>
      <c r="N93" s="783"/>
      <c r="O93" s="941"/>
      <c r="P93" s="214"/>
      <c r="Q93" s="214"/>
      <c r="R93" s="214"/>
      <c r="S93" s="214"/>
      <c r="T93" s="214"/>
      <c r="U93" s="214"/>
      <c r="V93" s="958"/>
      <c r="W93" s="894"/>
      <c r="X93" s="1209">
        <v>1</v>
      </c>
      <c r="Y93" s="1209"/>
      <c r="Z93" s="1209"/>
      <c r="AA93" s="1276"/>
      <c r="AB93" s="469"/>
      <c r="AC93" s="155"/>
      <c r="AE93" s="158"/>
    </row>
    <row r="94" spans="2:33" ht="30.75" customHeight="1" thickBot="1">
      <c r="B94" s="1263"/>
      <c r="C94" s="423" t="s">
        <v>34</v>
      </c>
      <c r="D94" s="280" t="s">
        <v>212</v>
      </c>
      <c r="E94" s="281">
        <f t="shared" si="16"/>
        <v>1</v>
      </c>
      <c r="F94" s="255">
        <f>WORKDAY.INTL(G93,1,"0000110",$AI$6:$AI$11)</f>
        <v>46293</v>
      </c>
      <c r="G94" s="255">
        <f>WORKDAY.INTL(F94,0,"0000110",$AI$6:$AI$11)</f>
        <v>46293</v>
      </c>
      <c r="H94" s="255">
        <f>WORKDAY.INTL(I93,1,"0000110",$AI$6:$AI$11)</f>
        <v>46301</v>
      </c>
      <c r="I94" s="255">
        <f>WORKDAY.INTL(H94,0,"0000110",$AI$6:$AI$11)</f>
        <v>46301</v>
      </c>
      <c r="J94" s="255"/>
      <c r="K94" s="255"/>
      <c r="L94" s="282"/>
      <c r="M94" s="282" t="str">
        <f t="shared" ca="1" si="15"/>
        <v>Not Started</v>
      </c>
      <c r="N94" s="784"/>
      <c r="O94" s="816"/>
      <c r="P94" s="98"/>
      <c r="Q94" s="98"/>
      <c r="R94" s="98"/>
      <c r="S94" s="98"/>
      <c r="T94" s="98"/>
      <c r="U94" s="98"/>
      <c r="V94" s="872"/>
      <c r="W94" s="896"/>
      <c r="X94" s="1211">
        <v>1</v>
      </c>
      <c r="Y94" s="1211"/>
      <c r="Z94" s="1211"/>
      <c r="AA94" s="1277"/>
      <c r="AB94" s="470"/>
      <c r="AC94" s="155"/>
      <c r="AE94" s="158"/>
    </row>
    <row r="95" spans="2:33" ht="8.25" customHeight="1" thickBot="1">
      <c r="L95" s="294"/>
      <c r="M95" s="294"/>
      <c r="N95" s="294"/>
      <c r="AA95" s="156"/>
      <c r="AB95" s="156"/>
    </row>
    <row r="96" spans="2:33" ht="76.5" customHeight="1" thickBot="1">
      <c r="B96" s="1338" t="s">
        <v>213</v>
      </c>
      <c r="C96" s="874" t="s">
        <v>155</v>
      </c>
      <c r="D96" s="317" t="s">
        <v>214</v>
      </c>
      <c r="E96" s="318">
        <f>NETWORKDAYS.INTL(F96,G96,"0000110",$AI$6:$AI$12)</f>
        <v>16</v>
      </c>
      <c r="F96" s="319">
        <f>WORKDAY.INTL(G96,-15,"0000110",$AI$6:$AI$11)</f>
        <v>46254</v>
      </c>
      <c r="G96" s="319">
        <f>WORKDAY.INTL(F88,-1,"0000110",$AI$6:$AI$11)</f>
        <v>46275</v>
      </c>
      <c r="H96" s="319">
        <f>WORKDAY.INTL(I96,-15,"0000110",$AI$6:$AI$11)</f>
        <v>46264</v>
      </c>
      <c r="I96" s="319">
        <f>WORKDAY.INTL(H88,-1,"0000110",$AI$6:$AI$11)</f>
        <v>46285</v>
      </c>
      <c r="J96" s="319"/>
      <c r="K96" s="319"/>
      <c r="L96" s="320"/>
      <c r="M96" s="320" t="str">
        <f ca="1">IF(L96=100%,"Completed",
IF(AND(L96&lt;100%,G96&lt;TODAY()),"Delayed",
IF(AND(OR(L96="",L96=0),F96&gt;TODAY()),"Not Started",
IF(AND(OR(L96="",L96=0),F96&lt;=TODAY()),"Delayed",
IF(AND(L96&gt;0,L96&lt;100%),"In Progress","")))))</f>
        <v>Not Started</v>
      </c>
      <c r="N96" s="875"/>
      <c r="O96" s="807"/>
      <c r="P96" s="216"/>
      <c r="Q96" s="216"/>
      <c r="R96" s="216"/>
      <c r="S96" s="216"/>
      <c r="T96" s="216"/>
      <c r="U96" s="216"/>
      <c r="V96" s="960"/>
      <c r="W96" s="756" t="s">
        <v>215</v>
      </c>
      <c r="X96" s="1212">
        <v>1</v>
      </c>
      <c r="Y96" s="1212"/>
      <c r="Z96" s="1212"/>
      <c r="AA96" s="101"/>
      <c r="AB96" s="477"/>
    </row>
    <row r="97" spans="2:28" ht="47.25">
      <c r="B97" s="1339"/>
      <c r="C97" s="876" t="s">
        <v>155</v>
      </c>
      <c r="D97" s="321" t="s">
        <v>216</v>
      </c>
      <c r="E97" s="322">
        <f>NETWORKDAYS.INTL(F97,G97,"0000110",$AI$6:$AI$12)</f>
        <v>20</v>
      </c>
      <c r="F97" s="262">
        <f>WORKDAY.INTL(G101,10,"0000110",$AI$6:$AI$11)</f>
        <v>46366</v>
      </c>
      <c r="G97" s="262">
        <f>WORKDAY.INTL(F97,19,"0000110",$AI$6:$AI$11)</f>
        <v>46393</v>
      </c>
      <c r="H97" s="262">
        <f>WORKDAY.INTL(I101,10,"0000110",$AI$6:$AI$11)</f>
        <v>46366</v>
      </c>
      <c r="I97" s="262">
        <f>WORKDAY.INTL(H97,19,"0000110",$AI$6:$AI$11)</f>
        <v>46393</v>
      </c>
      <c r="J97" s="262"/>
      <c r="K97" s="262"/>
      <c r="L97" s="323"/>
      <c r="M97" s="323" t="str">
        <f ca="1">IF(L97=100%,"Completed",
IF(AND(L97&lt;100%,G97&lt;TODAY()),"Delayed",
IF(AND(OR(L97="",L97=0),F97&gt;TODAY()),"Not Started",
IF(AND(OR(L97="",L97=0),F97&lt;=TODAY()),"Delayed",
IF(AND(L97&gt;0,L97&lt;100%),"In Progress","")))))</f>
        <v>Not Started</v>
      </c>
      <c r="N97" s="877"/>
      <c r="O97" s="807"/>
      <c r="P97" s="216"/>
      <c r="Q97" s="216"/>
      <c r="R97" s="216"/>
      <c r="S97" s="216"/>
      <c r="T97" s="216"/>
      <c r="U97" s="216"/>
      <c r="V97" s="960"/>
      <c r="W97" s="760" t="s">
        <v>217</v>
      </c>
      <c r="X97" s="1175">
        <v>1</v>
      </c>
      <c r="Y97" s="1175"/>
      <c r="Z97" s="1175"/>
      <c r="AA97" s="102"/>
      <c r="AB97" s="484"/>
    </row>
    <row r="98" spans="2:28" ht="6" customHeight="1" thickBot="1">
      <c r="L98" s="294"/>
      <c r="M98" s="294"/>
      <c r="N98" s="294"/>
      <c r="AA98" s="156"/>
      <c r="AB98" s="156"/>
    </row>
    <row r="99" spans="2:28" ht="183.95" customHeight="1">
      <c r="B99" s="1279" t="s">
        <v>218</v>
      </c>
      <c r="C99" s="905" t="s">
        <v>218</v>
      </c>
      <c r="D99" s="906" t="s">
        <v>219</v>
      </c>
      <c r="E99" s="907">
        <f>NETWORKDAYS.INTL(F99,G99,"0000100",$AH$6:$AH$13)</f>
        <v>21</v>
      </c>
      <c r="F99" s="908">
        <v>46272</v>
      </c>
      <c r="G99" s="908">
        <f>WORKDAY.INTL(F99,17,"0000110")</f>
        <v>46295</v>
      </c>
      <c r="H99" s="908">
        <v>46272</v>
      </c>
      <c r="I99" s="908">
        <f>WORKDAY.INTL(H99,17,"0000110")</f>
        <v>46295</v>
      </c>
      <c r="J99" s="908"/>
      <c r="K99" s="909"/>
      <c r="L99" s="909"/>
      <c r="M99" s="909" t="str">
        <f ca="1">IF(L99=100%,"Completed",
IF(AND(L99&lt;100%,G99&lt;TODAY()),"Delayed",
IF(AND(OR(L99="",L99=0),F99&gt;TODAY()),"Not Started",
IF(AND(OR(L99="",L99=0),F99&lt;=TODAY()),"Delayed",
IF(AND(L99&gt;0,L99&lt;100%),"In Progress","")))))</f>
        <v>Not Started</v>
      </c>
      <c r="N99" s="910"/>
      <c r="O99" s="926"/>
      <c r="P99" s="209"/>
      <c r="Q99" s="209"/>
      <c r="R99" s="209"/>
      <c r="S99" s="209"/>
      <c r="T99" s="209"/>
      <c r="U99" s="210"/>
      <c r="V99" s="235"/>
      <c r="W99" s="766" t="s">
        <v>220</v>
      </c>
      <c r="X99" s="1176">
        <v>1</v>
      </c>
      <c r="Y99" s="1176"/>
      <c r="Z99" s="1176"/>
      <c r="AA99" s="920"/>
      <c r="AB99" s="921"/>
    </row>
    <row r="100" spans="2:28" ht="63.75">
      <c r="B100" s="1280"/>
      <c r="C100" s="911" t="s">
        <v>218</v>
      </c>
      <c r="D100" s="303" t="s">
        <v>221</v>
      </c>
      <c r="E100" s="324">
        <f>NETWORKDAYS.INTL(F100,G100,"0000100",$AH$6:$AH$13)</f>
        <v>9</v>
      </c>
      <c r="F100" s="249">
        <v>46215</v>
      </c>
      <c r="G100" s="249">
        <f>WORKDAY.INTL(F100,7,"0000110")</f>
        <v>46224</v>
      </c>
      <c r="H100" s="249">
        <v>46215</v>
      </c>
      <c r="I100" s="249">
        <f>WORKDAY.INTL(H100,7,"0000110")</f>
        <v>46224</v>
      </c>
      <c r="J100" s="249"/>
      <c r="K100" s="304"/>
      <c r="L100" s="304">
        <v>1</v>
      </c>
      <c r="M100" s="304" t="str">
        <f ca="1">IF(L100=100%,"Completed",
IF(AND(L100&lt;100%,G100&lt;TODAY()),"Delayed",
IF(AND(OR(L100="",L100=0),F100&gt;TODAY()),"Not Started",
IF(AND(OR(L100="",L100=0),F100&lt;=TODAY()),"Delayed",
IF(AND(L100&gt;0,L100&lt;100%),"In Progress","")))))</f>
        <v>Completed</v>
      </c>
      <c r="N100" s="912"/>
      <c r="O100" s="926"/>
      <c r="P100" s="209"/>
      <c r="Q100" s="209"/>
      <c r="R100" s="209"/>
      <c r="S100" s="209"/>
      <c r="T100" s="209"/>
      <c r="U100" s="210"/>
      <c r="V100" s="961"/>
      <c r="W100" s="767" t="s">
        <v>222</v>
      </c>
      <c r="X100" s="1177">
        <v>1</v>
      </c>
      <c r="Y100" s="1177"/>
      <c r="Z100" s="1177"/>
      <c r="AA100" s="208"/>
      <c r="AB100" s="922"/>
    </row>
    <row r="101" spans="2:28" ht="88.5" customHeight="1" thickBot="1">
      <c r="B101" s="1281"/>
      <c r="C101" s="913" t="s">
        <v>218</v>
      </c>
      <c r="D101" s="914" t="s">
        <v>223</v>
      </c>
      <c r="E101" s="915">
        <f>NETWORKDAYS.INTL(F101,G101,"0000100",$AH$6:$AH$13)</f>
        <v>37</v>
      </c>
      <c r="F101" s="916">
        <v>46310</v>
      </c>
      <c r="G101" s="916">
        <f>WORKDAY.INTL(F101,30,"0000110")</f>
        <v>46352</v>
      </c>
      <c r="H101" s="916">
        <v>46310</v>
      </c>
      <c r="I101" s="916">
        <f>WORKDAY.INTL(H101,30,"0000110")</f>
        <v>46352</v>
      </c>
      <c r="J101" s="916"/>
      <c r="K101" s="917"/>
      <c r="L101" s="917"/>
      <c r="M101" s="917" t="str">
        <f ca="1">IF(L101=100%,"Completed",
IF(AND(L101&lt;100%,G101&lt;TODAY()),"Delayed",
IF(AND(OR(L101="",L101=0),F101&gt;TODAY()),"Not Started",
IF(AND(OR(L101="",L101=0),F101&lt;=TODAY()),"Delayed",
IF(AND(L101&gt;0,L101&lt;100%),"In Progress","")))))</f>
        <v>Not Started</v>
      </c>
      <c r="N101" s="918"/>
      <c r="O101" s="926"/>
      <c r="P101" s="209"/>
      <c r="Q101" s="209"/>
      <c r="R101" s="209"/>
      <c r="S101" s="209"/>
      <c r="T101" s="209"/>
      <c r="U101" s="210"/>
      <c r="V101" s="235"/>
      <c r="W101" s="561" t="s">
        <v>224</v>
      </c>
      <c r="X101" s="1178">
        <v>1</v>
      </c>
      <c r="Y101" s="1178"/>
      <c r="Z101" s="1178"/>
      <c r="AA101" s="923"/>
      <c r="AB101" s="924"/>
    </row>
  </sheetData>
  <sheetProtection formatCells="0" formatColumns="0" formatRows="0" insertColumns="0" insertRows="0" insertHyperlinks="0" deleteColumns="0" deleteRows="0" sort="0" autoFilter="0" pivotTables="0"/>
  <mergeCells count="23">
    <mergeCell ref="AA88:AA94"/>
    <mergeCell ref="B96:B97"/>
    <mergeCell ref="B99:B101"/>
    <mergeCell ref="B88:B94"/>
    <mergeCell ref="B72:B73"/>
    <mergeCell ref="B75:B76"/>
    <mergeCell ref="B78:B79"/>
    <mergeCell ref="B81:B82"/>
    <mergeCell ref="B53:B54"/>
    <mergeCell ref="B59:B61"/>
    <mergeCell ref="B63:B64"/>
    <mergeCell ref="B66:B67"/>
    <mergeCell ref="B69:B70"/>
    <mergeCell ref="B56:B57"/>
    <mergeCell ref="B32:B35"/>
    <mergeCell ref="B37:B40"/>
    <mergeCell ref="B42:B45"/>
    <mergeCell ref="B47:B49"/>
    <mergeCell ref="B6:B10"/>
    <mergeCell ref="B12:B15"/>
    <mergeCell ref="B17:B20"/>
    <mergeCell ref="B22:B25"/>
    <mergeCell ref="B27:B30"/>
  </mergeCells>
  <phoneticPr fontId="29" type="noConversion"/>
  <conditionalFormatting sqref="L99:L101">
    <cfRule type="cellIs" dxfId="51" priority="13" operator="equal">
      <formula>"In Progress"</formula>
    </cfRule>
    <cfRule type="cellIs" dxfId="50" priority="14" operator="equal">
      <formula>"Delayed"</formula>
    </cfRule>
    <cfRule type="cellIs" dxfId="49" priority="15" operator="equal">
      <formula>"Completed"</formula>
    </cfRule>
  </conditionalFormatting>
  <conditionalFormatting sqref="M1:N59 M61:N1048576 M60">
    <cfRule type="cellIs" dxfId="48" priority="4" operator="equal">
      <formula>"Delayed"</formula>
    </cfRule>
    <cfRule type="cellIs" dxfId="47" priority="5" operator="equal">
      <formula>"In Progress"</formula>
    </cfRule>
    <cfRule type="cellIs" dxfId="46" priority="6" operator="equal">
      <formula>"Completed"</formula>
    </cfRule>
  </conditionalFormatting>
  <conditionalFormatting sqref="N60">
    <cfRule type="cellIs" dxfId="45" priority="1" operator="equal">
      <formula>"Delayed"</formula>
    </cfRule>
    <cfRule type="cellIs" dxfId="44" priority="2" operator="equal">
      <formula>"In Progress"</formula>
    </cfRule>
    <cfRule type="cellIs" dxfId="43" priority="3" operator="equal">
      <formula>"Completed"</formula>
    </cfRule>
  </conditionalFormatting>
  <dataValidations count="2">
    <dataValidation type="list" allowBlank="1" showInputMessage="1" showErrorMessage="1" sqref="AC51 AC88:AC94" xr:uid="{00000000-0002-0000-0100-000000000000}">
      <formula1>$AD$2:$AD$6</formula1>
    </dataValidation>
    <dataValidation type="list" allowBlank="1" showInputMessage="1" showErrorMessage="1" sqref="AC3:AC50 AC52:AC86" xr:uid="{00000000-0002-0000-0100-000001000000}">
      <formula1>$AE$2:$AE$4</formula1>
    </dataValidation>
  </dataValidations>
  <pageMargins left="0.7" right="0.7" top="0.75" bottom="0.75" header="0.3" footer="0.3"/>
  <pageSetup paperSize="8" scale="57"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K105"/>
  <sheetViews>
    <sheetView showGridLines="0" zoomScale="70" zoomScaleNormal="70" workbookViewId="0">
      <pane ySplit="2" topLeftCell="A62" activePane="bottomLeft" state="frozen"/>
      <selection pane="bottomLeft" activeCell="V64" sqref="V64"/>
    </sheetView>
  </sheetViews>
  <sheetFormatPr defaultColWidth="41.625" defaultRowHeight="15.75" customHeight="1"/>
  <cols>
    <col min="1" max="1" width="2.125" style="20" customWidth="1"/>
    <col min="2" max="2" width="12.625" style="20" customWidth="1"/>
    <col min="3" max="3" width="3" style="20" hidden="1" customWidth="1"/>
    <col min="4" max="4" width="39" style="325" customWidth="1"/>
    <col min="5" max="5" width="13.625" style="326" customWidth="1"/>
    <col min="6" max="6" width="15.5" style="358" customWidth="1"/>
    <col min="7" max="7" width="16.25" style="358" customWidth="1"/>
    <col min="8" max="8" width="14.625" style="22" hidden="1" customWidth="1"/>
    <col min="9" max="9" width="15.5" style="22" hidden="1" customWidth="1"/>
    <col min="10" max="10" width="18.25" style="22" customWidth="1"/>
    <col min="11" max="11" width="13.375" style="22" customWidth="1"/>
    <col min="12" max="12" width="17.75" style="401" customWidth="1"/>
    <col min="13" max="13" width="25.25" style="401" customWidth="1"/>
    <col min="14" max="14" width="41.625" style="20" hidden="1" customWidth="1"/>
    <col min="15" max="15" width="7.125" style="20" hidden="1" customWidth="1"/>
    <col min="16" max="16" width="7.625" style="20" hidden="1" customWidth="1"/>
    <col min="17" max="17" width="7" style="20" hidden="1" customWidth="1"/>
    <col min="18" max="18" width="6.5" style="20" hidden="1" customWidth="1"/>
    <col min="19" max="19" width="7.375" style="20" hidden="1" customWidth="1"/>
    <col min="20" max="20" width="7.5" style="20" hidden="1" customWidth="1"/>
    <col min="21" max="21" width="7.375" style="20" hidden="1" customWidth="1"/>
    <col min="22" max="22" width="14.75" style="401" customWidth="1"/>
    <col min="23" max="23" width="2" style="515" customWidth="1"/>
    <col min="24" max="24" width="48.625" style="23" customWidth="1"/>
    <col min="25" max="27" width="48.625" style="1179" customWidth="1"/>
    <col min="28" max="28" width="41.625" style="23" customWidth="1"/>
    <col min="29" max="29" width="48.625" style="23" customWidth="1"/>
    <col min="30" max="30" width="15.5" style="20" hidden="1" customWidth="1"/>
    <col min="31" max="31" width="0" style="20" hidden="1" customWidth="1"/>
    <col min="32" max="32" width="12.875" style="20" hidden="1" customWidth="1"/>
    <col min="33" max="33" width="8.875" style="24" hidden="1" customWidth="1"/>
    <col min="34" max="34" width="10.125" style="24" hidden="1" customWidth="1"/>
    <col min="35" max="35" width="6.625" style="20" hidden="1" customWidth="1"/>
    <col min="36" max="36" width="9" style="20" hidden="1" customWidth="1"/>
    <col min="37" max="39" width="9" style="20" customWidth="1"/>
    <col min="40" max="16384" width="41.625" style="20"/>
  </cols>
  <sheetData>
    <row r="1" spans="1:37">
      <c r="A1" s="20" t="s">
        <v>225</v>
      </c>
      <c r="F1" s="327"/>
      <c r="G1" s="327"/>
      <c r="H1" s="25"/>
      <c r="I1" s="25"/>
      <c r="J1" s="25"/>
      <c r="K1" s="25"/>
      <c r="L1" s="362"/>
      <c r="M1" s="362"/>
      <c r="N1" s="105"/>
      <c r="V1" s="362"/>
      <c r="W1" s="507"/>
    </row>
    <row r="2" spans="1:37" ht="77.25" thickBot="1">
      <c r="B2" s="639"/>
      <c r="C2" s="640" t="s">
        <v>96</v>
      </c>
      <c r="D2" s="641" t="s">
        <v>1</v>
      </c>
      <c r="E2" s="641" t="s">
        <v>97</v>
      </c>
      <c r="F2" s="642" t="s">
        <v>98</v>
      </c>
      <c r="G2" s="642" t="s">
        <v>83</v>
      </c>
      <c r="H2" s="643" t="s">
        <v>99</v>
      </c>
      <c r="I2" s="643" t="s">
        <v>84</v>
      </c>
      <c r="J2" s="1066" t="s">
        <v>100</v>
      </c>
      <c r="K2" s="1066" t="s">
        <v>101</v>
      </c>
      <c r="L2" s="541" t="s">
        <v>82</v>
      </c>
      <c r="M2" s="541" t="s">
        <v>102</v>
      </c>
      <c r="N2" s="439"/>
      <c r="O2" s="644">
        <v>46113</v>
      </c>
      <c r="P2" s="644">
        <v>46143</v>
      </c>
      <c r="Q2" s="644">
        <v>46174</v>
      </c>
      <c r="R2" s="644">
        <v>46204</v>
      </c>
      <c r="S2" s="644">
        <v>46235</v>
      </c>
      <c r="T2" s="644">
        <v>46266</v>
      </c>
      <c r="U2" s="644">
        <v>46296</v>
      </c>
      <c r="V2" s="1067" t="s">
        <v>103</v>
      </c>
      <c r="W2" s="531"/>
      <c r="X2" s="636" t="s">
        <v>2</v>
      </c>
      <c r="Y2" s="1165" t="s">
        <v>104</v>
      </c>
      <c r="Z2" s="1165" t="s">
        <v>105</v>
      </c>
      <c r="AA2" s="1165" t="s">
        <v>106</v>
      </c>
      <c r="AB2" s="529" t="s">
        <v>107</v>
      </c>
      <c r="AC2" s="530" t="s">
        <v>108</v>
      </c>
      <c r="AD2" s="20" t="s">
        <v>226</v>
      </c>
    </row>
    <row r="3" spans="1:37" ht="4.5" hidden="1" customHeight="1">
      <c r="B3" s="29"/>
      <c r="C3" s="29"/>
      <c r="D3" s="532" t="s">
        <v>227</v>
      </c>
      <c r="E3" s="533"/>
      <c r="F3" s="637"/>
      <c r="G3" s="637"/>
      <c r="H3" s="638"/>
      <c r="I3" s="638"/>
      <c r="J3" s="638"/>
      <c r="K3" s="638"/>
      <c r="L3" s="535">
        <v>1</v>
      </c>
      <c r="M3" s="535" t="e">
        <f ca="1">IF(OR(L3=100%,#REF!&lt;&gt;""),"Completed",IF(AND(OR(L3="",L3=0),F3&gt;TODAY()),"Not Started",IF(AND(OR(L3="",L3=0),F3&lt;=TODAY()),"Delayed",IF(AND(L3&gt;0,L3&lt;100%,G3&lt;TODAY()),"Delayed",IF(AND(L3&gt;0,L3&lt;100%),"In Progress","")))))</f>
        <v>#REF!</v>
      </c>
      <c r="N3" s="106"/>
      <c r="O3" s="536"/>
      <c r="P3" s="537"/>
      <c r="Q3" s="537"/>
      <c r="R3" s="537"/>
      <c r="S3" s="537"/>
      <c r="T3" s="537"/>
      <c r="U3" s="537"/>
      <c r="V3" s="535"/>
      <c r="W3" s="508"/>
      <c r="X3" s="526" t="s">
        <v>228</v>
      </c>
      <c r="Y3" s="1171"/>
      <c r="Z3" s="1171"/>
      <c r="AA3" s="1171"/>
      <c r="AB3" s="234"/>
      <c r="AC3" s="234"/>
      <c r="AD3" s="20" t="s">
        <v>113</v>
      </c>
    </row>
    <row r="4" spans="1:37" s="19" customFormat="1" ht="8.25" customHeight="1" thickBot="1">
      <c r="B4" s="51"/>
      <c r="C4" s="51"/>
      <c r="D4" s="338"/>
      <c r="E4" s="339"/>
      <c r="F4" s="340"/>
      <c r="G4" s="340"/>
      <c r="H4" s="51"/>
      <c r="I4" s="51"/>
      <c r="J4" s="51"/>
      <c r="K4" s="51"/>
      <c r="L4" s="374"/>
      <c r="M4" s="374"/>
      <c r="N4" s="51"/>
      <c r="O4" s="51"/>
      <c r="P4" s="51"/>
      <c r="Q4" s="51"/>
      <c r="R4" s="51"/>
      <c r="S4" s="51"/>
      <c r="T4" s="51"/>
      <c r="U4" s="51"/>
      <c r="V4" s="374"/>
      <c r="W4" s="509"/>
      <c r="X4" s="53"/>
      <c r="Y4" s="661"/>
      <c r="Z4" s="661"/>
      <c r="AA4" s="661"/>
      <c r="AB4" s="205"/>
      <c r="AC4" s="205"/>
      <c r="AG4" s="33"/>
      <c r="AH4" s="33"/>
    </row>
    <row r="5" spans="1:37" ht="61.5">
      <c r="B5" s="1343" t="s">
        <v>229</v>
      </c>
      <c r="C5" s="427" t="s">
        <v>86</v>
      </c>
      <c r="D5" s="375" t="s">
        <v>112</v>
      </c>
      <c r="E5" s="346">
        <f>NETWORKDAYS.INTL(F5,G5,"0000100",$AI$5:$AI$11)</f>
        <v>1</v>
      </c>
      <c r="F5" s="146">
        <v>46153</v>
      </c>
      <c r="G5" s="146">
        <v>46153</v>
      </c>
      <c r="H5" s="67">
        <v>46153</v>
      </c>
      <c r="I5" s="67">
        <v>46153</v>
      </c>
      <c r="J5" s="146">
        <v>46153</v>
      </c>
      <c r="K5" s="146">
        <v>46153</v>
      </c>
      <c r="L5" s="376">
        <v>1</v>
      </c>
      <c r="M5" s="376" t="str">
        <f t="shared" ref="M5:M9" ca="1" si="0">IF(L5=100%,"Completed",
IF(AND(L5&lt;100%,G5&lt;TODAY()),"Delayed",
IF(AND(OR(L5="",L5=0),F5&gt;TODAY()),"Not Started",
IF(AND(OR(L5="",L5=0),F5&lt;=TODAY()),"Delayed",
IF(AND(L5&gt;0,L5&lt;100%),"In Progress","")))))</f>
        <v>Completed</v>
      </c>
      <c r="N5" s="68"/>
      <c r="O5" s="112"/>
      <c r="P5" s="112"/>
      <c r="Q5" s="112"/>
      <c r="R5" s="112"/>
      <c r="S5" s="112"/>
      <c r="T5" s="112"/>
      <c r="U5" s="112"/>
      <c r="V5" s="516"/>
      <c r="W5" s="1352"/>
      <c r="X5" s="521"/>
      <c r="Y5" s="1180"/>
      <c r="Z5" s="1180"/>
      <c r="AA5" s="1180"/>
      <c r="AB5" s="66"/>
      <c r="AC5" s="633"/>
      <c r="AD5" s="20" t="s">
        <v>124</v>
      </c>
      <c r="AF5" s="34" t="s">
        <v>62</v>
      </c>
      <c r="AG5" s="24" t="s">
        <v>68</v>
      </c>
      <c r="AI5" s="20">
        <v>46166</v>
      </c>
      <c r="AK5" s="37"/>
    </row>
    <row r="6" spans="1:37" ht="61.5">
      <c r="B6" s="1344"/>
      <c r="C6" s="428" t="s">
        <v>86</v>
      </c>
      <c r="D6" s="517" t="s">
        <v>114</v>
      </c>
      <c r="E6" s="354">
        <f>NETWORKDAYS.INTL(F6,G6,"0000100",$AI$5:$AI$11)</f>
        <v>38</v>
      </c>
      <c r="F6" s="147">
        <v>46159</v>
      </c>
      <c r="G6" s="147">
        <f>WORKDAY.INTL(F6,37,"0000100",$AI$5:$AI$10)</f>
        <v>46208</v>
      </c>
      <c r="H6" s="34">
        <v>46159</v>
      </c>
      <c r="I6" s="34">
        <f>WORKDAY.INTL(H6,37,"0000100",$AI$5:$AI$10)</f>
        <v>46208</v>
      </c>
      <c r="J6" s="147">
        <v>46159</v>
      </c>
      <c r="K6" s="147">
        <v>46208</v>
      </c>
      <c r="L6" s="366">
        <v>1</v>
      </c>
      <c r="M6" s="366" t="str">
        <f t="shared" ca="1" si="0"/>
        <v>Completed</v>
      </c>
      <c r="N6" s="85"/>
      <c r="O6" s="50"/>
      <c r="P6" s="50"/>
      <c r="Q6" s="50"/>
      <c r="R6" s="50"/>
      <c r="S6" s="50"/>
      <c r="T6" s="50"/>
      <c r="U6" s="50"/>
      <c r="V6" s="518"/>
      <c r="W6" s="1353"/>
      <c r="X6" s="522"/>
      <c r="Y6" s="1172"/>
      <c r="Z6" s="1172"/>
      <c r="AA6" s="1172"/>
      <c r="AB6" s="83"/>
      <c r="AC6" s="634"/>
      <c r="AF6" s="34" t="s">
        <v>63</v>
      </c>
      <c r="AG6" s="24" t="s">
        <v>68</v>
      </c>
      <c r="AI6" s="20">
        <v>46167</v>
      </c>
      <c r="AK6" s="37"/>
    </row>
    <row r="7" spans="1:37" ht="61.5">
      <c r="B7" s="1344"/>
      <c r="C7" s="428" t="s">
        <v>86</v>
      </c>
      <c r="D7" s="517" t="s">
        <v>115</v>
      </c>
      <c r="E7" s="354"/>
      <c r="F7" s="147" t="s">
        <v>116</v>
      </c>
      <c r="G7" s="147">
        <v>46229</v>
      </c>
      <c r="H7" s="34" t="s">
        <v>116</v>
      </c>
      <c r="I7" s="34">
        <v>46229</v>
      </c>
      <c r="J7" s="34"/>
      <c r="K7" s="34"/>
      <c r="L7" s="366">
        <v>0.94</v>
      </c>
      <c r="M7" s="366" t="str">
        <f t="shared" ca="1" si="0"/>
        <v>In Progress</v>
      </c>
      <c r="N7" s="85"/>
      <c r="O7" s="50"/>
      <c r="P7" s="50"/>
      <c r="Q7" s="50"/>
      <c r="R7" s="50"/>
      <c r="S7" s="50"/>
      <c r="T7" s="50"/>
      <c r="U7" s="50"/>
      <c r="V7" s="518"/>
      <c r="W7" s="1353"/>
      <c r="X7" s="522" t="s">
        <v>230</v>
      </c>
      <c r="Y7" s="1172"/>
      <c r="Z7" s="1172"/>
      <c r="AA7" s="1172"/>
      <c r="AB7" s="83"/>
      <c r="AC7" s="634"/>
      <c r="AF7" s="24"/>
      <c r="AI7" s="20">
        <v>46168</v>
      </c>
      <c r="AK7" s="37"/>
    </row>
    <row r="8" spans="1:37" ht="61.5">
      <c r="B8" s="1344"/>
      <c r="C8" s="428" t="s">
        <v>86</v>
      </c>
      <c r="D8" s="353" t="s">
        <v>120</v>
      </c>
      <c r="E8" s="354">
        <f>NETWORKDAYS.INTL(F8,G8,"0000110",$AI$5:$AI$11)</f>
        <v>3</v>
      </c>
      <c r="F8" s="147">
        <f t="shared" ref="F8:F9" si="1">WORKDAY.INTL(G7,1,"0000110")</f>
        <v>46230</v>
      </c>
      <c r="G8" s="147">
        <f t="shared" ref="G8" si="2">WORKDAY.INTL(F8,2,"0000110")</f>
        <v>46232</v>
      </c>
      <c r="H8" s="34">
        <f>WORKDAY.INTL(I7,1,"0000110")</f>
        <v>46230</v>
      </c>
      <c r="I8" s="34">
        <f>WORKDAY.INTL(H8,2,"0000110")</f>
        <v>46232</v>
      </c>
      <c r="J8" s="34"/>
      <c r="K8" s="34"/>
      <c r="L8" s="366"/>
      <c r="M8" s="366" t="str">
        <f t="shared" ca="1" si="0"/>
        <v>Not Started</v>
      </c>
      <c r="N8" s="85"/>
      <c r="O8" s="82"/>
      <c r="P8" s="82"/>
      <c r="Q8" s="82"/>
      <c r="R8" s="82"/>
      <c r="S8" s="82"/>
      <c r="T8" s="82"/>
      <c r="U8" s="82"/>
      <c r="V8" s="518"/>
      <c r="W8" s="1353"/>
      <c r="X8" s="522" t="s">
        <v>231</v>
      </c>
      <c r="Y8" s="1172">
        <v>1</v>
      </c>
      <c r="Z8" s="1172"/>
      <c r="AA8" s="1172"/>
      <c r="AB8" s="83" t="s">
        <v>232</v>
      </c>
      <c r="AC8" s="634" t="s">
        <v>123</v>
      </c>
      <c r="AF8" s="34" t="s">
        <v>64</v>
      </c>
      <c r="AG8" s="24" t="s">
        <v>68</v>
      </c>
      <c r="AI8" s="20">
        <v>46169</v>
      </c>
      <c r="AK8" s="37"/>
    </row>
    <row r="9" spans="1:37" ht="61.5">
      <c r="B9" s="1345"/>
      <c r="C9" s="429" t="s">
        <v>86</v>
      </c>
      <c r="D9" s="489" t="s">
        <v>125</v>
      </c>
      <c r="E9" s="347">
        <f>NETWORKDAYS.INTL(F9,G9,"0000110",$AI$5:$AI$11)</f>
        <v>2</v>
      </c>
      <c r="F9" s="348">
        <f t="shared" si="1"/>
        <v>46233</v>
      </c>
      <c r="G9" s="348">
        <f t="shared" ref="G9" si="3">WORKDAY.INTL(F9,1,"0000110")</f>
        <v>46236</v>
      </c>
      <c r="H9" s="70">
        <f>WORKDAY.INTL(I8,1,"0000110")</f>
        <v>46233</v>
      </c>
      <c r="I9" s="70">
        <f>WORKDAY.INTL(H9,1,"0000110")</f>
        <v>46236</v>
      </c>
      <c r="J9" s="70"/>
      <c r="K9" s="70"/>
      <c r="L9" s="379"/>
      <c r="M9" s="379" t="str">
        <f t="shared" ca="1" si="0"/>
        <v>Not Started</v>
      </c>
      <c r="N9" s="71"/>
      <c r="O9" s="72"/>
      <c r="P9" s="72"/>
      <c r="Q9" s="72"/>
      <c r="R9" s="72"/>
      <c r="S9" s="72"/>
      <c r="T9" s="72"/>
      <c r="U9" s="72"/>
      <c r="V9" s="519"/>
      <c r="W9" s="1354"/>
      <c r="X9" s="524" t="s">
        <v>126</v>
      </c>
      <c r="Y9" s="1181">
        <v>1</v>
      </c>
      <c r="Z9" s="1181"/>
      <c r="AA9" s="1181"/>
      <c r="AB9" s="69"/>
      <c r="AC9" s="635"/>
      <c r="AF9" s="34" t="s">
        <v>65</v>
      </c>
      <c r="AG9" s="24" t="s">
        <v>68</v>
      </c>
      <c r="AI9" s="20">
        <v>46170</v>
      </c>
      <c r="AK9" s="37"/>
    </row>
    <row r="10" spans="1:37" s="19" customFormat="1" ht="12" customHeight="1" thickBot="1">
      <c r="B10" s="114"/>
      <c r="C10" s="114"/>
      <c r="D10" s="380" t="s">
        <v>233</v>
      </c>
      <c r="E10" s="381"/>
      <c r="F10" s="649"/>
      <c r="G10" s="649"/>
      <c r="H10" s="114"/>
      <c r="I10" s="114"/>
      <c r="J10" s="114"/>
      <c r="K10" s="114"/>
      <c r="L10" s="382"/>
      <c r="M10" s="382"/>
      <c r="N10" s="114"/>
      <c r="O10" s="114"/>
      <c r="P10" s="114"/>
      <c r="Q10" s="114"/>
      <c r="R10" s="114"/>
      <c r="S10" s="114"/>
      <c r="T10" s="114"/>
      <c r="U10" s="114"/>
      <c r="V10" s="382"/>
      <c r="W10" s="509"/>
      <c r="X10" s="660"/>
      <c r="Y10" s="661"/>
      <c r="Z10" s="661"/>
      <c r="AA10" s="661"/>
      <c r="AB10" s="661"/>
      <c r="AC10" s="662"/>
      <c r="AF10" s="33"/>
      <c r="AG10" s="33"/>
      <c r="AI10" s="19">
        <v>46288</v>
      </c>
      <c r="AK10" s="37"/>
    </row>
    <row r="11" spans="1:37" ht="45.95" customHeight="1">
      <c r="B11" s="1340" t="s">
        <v>234</v>
      </c>
      <c r="C11" s="563" t="s">
        <v>86</v>
      </c>
      <c r="D11" s="389" t="s">
        <v>112</v>
      </c>
      <c r="E11" s="390">
        <f>NETWORKDAYS.INTL(F11,G11,"0000100",$AI$5:$AI$11)</f>
        <v>1</v>
      </c>
      <c r="F11" s="341">
        <v>46184</v>
      </c>
      <c r="G11" s="341">
        <f>WORKDAY.INTL(F11,0,"0000100",$AI$5:$AI$10)</f>
        <v>46184</v>
      </c>
      <c r="H11" s="54">
        <v>46184</v>
      </c>
      <c r="I11" s="54">
        <f>WORKDAY.INTL(H11,0,"0000100",$AI$5:$AI$10)</f>
        <v>46184</v>
      </c>
      <c r="J11" s="341">
        <v>46184</v>
      </c>
      <c r="K11" s="341">
        <v>46184</v>
      </c>
      <c r="L11" s="392">
        <v>1</v>
      </c>
      <c r="M11" s="392" t="str">
        <f t="shared" ref="M11:M14" ca="1" si="4">IF(L11=100%,"Completed",
IF(AND(L11&lt;100%,G11&lt;TODAY()),"Delayed",
IF(AND(OR(L11="",L11=0),F11&gt;TODAY()),"Not Started",
IF(AND(OR(L11="",L11=0),F11&lt;=TODAY()),"Delayed",
IF(AND(L11&gt;0,L11&lt;100%),"In Progress","")))))</f>
        <v>Completed</v>
      </c>
      <c r="N11" s="124"/>
      <c r="O11" s="122"/>
      <c r="P11" s="122"/>
      <c r="Q11" s="122"/>
      <c r="R11" s="122"/>
      <c r="S11" s="122"/>
      <c r="T11" s="122"/>
      <c r="U11" s="122"/>
      <c r="V11" s="564"/>
      <c r="W11" s="1355"/>
      <c r="X11" s="651"/>
      <c r="Y11" s="1182"/>
      <c r="Z11" s="1182"/>
      <c r="AA11" s="1182"/>
      <c r="AB11" s="652"/>
      <c r="AC11" s="653"/>
      <c r="AF11" s="34" t="s">
        <v>62</v>
      </c>
      <c r="AG11" s="24" t="s">
        <v>69</v>
      </c>
      <c r="AI11" s="20">
        <v>46288</v>
      </c>
      <c r="AK11" s="37"/>
    </row>
    <row r="12" spans="1:37" ht="45.95" customHeight="1">
      <c r="B12" s="1341"/>
      <c r="C12" s="565" t="s">
        <v>86</v>
      </c>
      <c r="D12" s="645" t="s">
        <v>114</v>
      </c>
      <c r="E12" s="398">
        <f>NETWORKDAYS.INTL(F12,G12,"0000100",$AI$5:$AI$11)</f>
        <v>20</v>
      </c>
      <c r="F12" s="337">
        <f>WORKDAY.INTL(G11,1,"0000100",$AI$5:$AI$10)</f>
        <v>46186</v>
      </c>
      <c r="G12" s="337">
        <f>WORKDAY.INTL(F12,19,"0000100",$AI$5:$AI$10)</f>
        <v>46208</v>
      </c>
      <c r="H12" s="41">
        <f>WORKDAY.INTL(I11,1,"0000100",$AI$5:$AI$10)</f>
        <v>46186</v>
      </c>
      <c r="I12" s="41">
        <f>WORKDAY.INTL(H12,19,"0000100",$AI$5:$AI$10)</f>
        <v>46208</v>
      </c>
      <c r="J12" s="337">
        <v>46186</v>
      </c>
      <c r="K12" s="337">
        <v>46208</v>
      </c>
      <c r="L12" s="400">
        <v>1</v>
      </c>
      <c r="M12" s="400" t="str">
        <f t="shared" ca="1" si="4"/>
        <v>Completed</v>
      </c>
      <c r="N12" s="131"/>
      <c r="O12" s="646"/>
      <c r="P12" s="646"/>
      <c r="Q12" s="646"/>
      <c r="R12" s="646"/>
      <c r="S12" s="646"/>
      <c r="T12" s="646"/>
      <c r="U12" s="646"/>
      <c r="V12" s="566"/>
      <c r="W12" s="1356"/>
      <c r="X12" s="654"/>
      <c r="Y12" s="1183"/>
      <c r="Z12" s="1183"/>
      <c r="AA12" s="1183"/>
      <c r="AB12" s="655"/>
      <c r="AC12" s="656"/>
      <c r="AF12" s="34" t="s">
        <v>63</v>
      </c>
      <c r="AG12" s="24" t="s">
        <v>69</v>
      </c>
    </row>
    <row r="13" spans="1:37" ht="45.95" customHeight="1">
      <c r="B13" s="1341"/>
      <c r="C13" s="565" t="s">
        <v>86</v>
      </c>
      <c r="D13" s="647" t="s">
        <v>120</v>
      </c>
      <c r="E13" s="398">
        <f>NETWORKDAYS.INTL(F13,G13,"0000110",$AI$5:$AI$11)</f>
        <v>2</v>
      </c>
      <c r="F13" s="337">
        <f>MAX(WORKDAY.INTL(G12,1,"0000100",$AL$5:$AL$10),WORKDAY.INTL(G8,1,"0000100",$AL$5:$AL$10))</f>
        <v>46233</v>
      </c>
      <c r="G13" s="337">
        <f t="shared" ref="G13:G14" si="5">WORKDAY.INTL(F13,1,"0000110")</f>
        <v>46236</v>
      </c>
      <c r="H13" s="41">
        <f>MAX(WORKDAY.INTL(I12,1,"0000100",$AL$5:$AL$10),WORKDAY.INTL(I8,1,"0000100",$AL$5:$AL$10))</f>
        <v>46233</v>
      </c>
      <c r="I13" s="41">
        <f>WORKDAY.INTL(H13,1,"0000110")</f>
        <v>46236</v>
      </c>
      <c r="J13" s="41"/>
      <c r="K13" s="41"/>
      <c r="L13" s="400"/>
      <c r="M13" s="400" t="str">
        <f t="shared" ca="1" si="4"/>
        <v>Not Started</v>
      </c>
      <c r="N13" s="131"/>
      <c r="O13" s="132"/>
      <c r="P13" s="132"/>
      <c r="Q13" s="132"/>
      <c r="R13" s="132"/>
      <c r="S13" s="132"/>
      <c r="T13" s="132"/>
      <c r="U13" s="132"/>
      <c r="V13" s="566"/>
      <c r="W13" s="1356"/>
      <c r="X13" s="654"/>
      <c r="Y13" s="1183">
        <v>1</v>
      </c>
      <c r="Z13" s="1183"/>
      <c r="AA13" s="1183"/>
      <c r="AB13" s="655" t="s">
        <v>232</v>
      </c>
      <c r="AC13" s="656" t="s">
        <v>123</v>
      </c>
      <c r="AF13" s="34" t="s">
        <v>64</v>
      </c>
      <c r="AG13" s="24" t="s">
        <v>69</v>
      </c>
    </row>
    <row r="14" spans="1:37" ht="45.95" customHeight="1" thickBot="1">
      <c r="B14" s="1342"/>
      <c r="C14" s="567" t="s">
        <v>86</v>
      </c>
      <c r="D14" s="648" t="s">
        <v>125</v>
      </c>
      <c r="E14" s="394">
        <f>NETWORKDAYS.INTL(F14,G14,"0000110",$AI$5:$AI$11)</f>
        <v>2</v>
      </c>
      <c r="F14" s="344">
        <f t="shared" ref="F14" si="6">WORKDAY.INTL(G13,1,"0000110")</f>
        <v>46237</v>
      </c>
      <c r="G14" s="344">
        <f t="shared" si="5"/>
        <v>46238</v>
      </c>
      <c r="H14" s="60">
        <f>WORKDAY.INTL(I13,1,"0000110")</f>
        <v>46237</v>
      </c>
      <c r="I14" s="60">
        <f>WORKDAY.INTL(H14,1,"0000110")</f>
        <v>46238</v>
      </c>
      <c r="J14" s="60"/>
      <c r="K14" s="60"/>
      <c r="L14" s="396"/>
      <c r="M14" s="396" t="str">
        <f t="shared" ca="1" si="4"/>
        <v>Not Started</v>
      </c>
      <c r="N14" s="126"/>
      <c r="O14" s="133"/>
      <c r="P14" s="133"/>
      <c r="Q14" s="133"/>
      <c r="R14" s="133"/>
      <c r="S14" s="133"/>
      <c r="T14" s="133"/>
      <c r="U14" s="133"/>
      <c r="V14" s="568"/>
      <c r="W14" s="1357"/>
      <c r="X14" s="657"/>
      <c r="Y14" s="1184">
        <v>1</v>
      </c>
      <c r="Z14" s="1184"/>
      <c r="AA14" s="1184"/>
      <c r="AB14" s="658"/>
      <c r="AC14" s="659"/>
      <c r="AF14" s="34" t="s">
        <v>65</v>
      </c>
      <c r="AG14" s="24" t="s">
        <v>69</v>
      </c>
    </row>
    <row r="15" spans="1:37" s="19" customFormat="1" ht="9" customHeight="1" thickBot="1">
      <c r="B15" s="114"/>
      <c r="C15" s="114"/>
      <c r="D15" s="380" t="s">
        <v>233</v>
      </c>
      <c r="E15" s="381"/>
      <c r="F15" s="649"/>
      <c r="G15" s="649"/>
      <c r="H15" s="114"/>
      <c r="I15" s="114"/>
      <c r="J15" s="114"/>
      <c r="K15" s="114"/>
      <c r="L15" s="382"/>
      <c r="M15" s="382"/>
      <c r="N15" s="114"/>
      <c r="O15" s="114"/>
      <c r="P15" s="114"/>
      <c r="Q15" s="114"/>
      <c r="R15" s="114"/>
      <c r="S15" s="114"/>
      <c r="T15" s="114"/>
      <c r="U15" s="114"/>
      <c r="V15" s="382"/>
      <c r="W15" s="509"/>
      <c r="X15" s="660"/>
      <c r="Y15" s="661"/>
      <c r="Z15" s="661"/>
      <c r="AA15" s="661"/>
      <c r="AB15" s="661"/>
      <c r="AC15" s="662"/>
      <c r="AF15" s="33"/>
      <c r="AG15" s="33"/>
    </row>
    <row r="16" spans="1:37" ht="47.1" customHeight="1">
      <c r="B16" s="1343" t="s">
        <v>130</v>
      </c>
      <c r="C16" s="427" t="s">
        <v>86</v>
      </c>
      <c r="D16" s="375" t="s">
        <v>112</v>
      </c>
      <c r="E16" s="346">
        <f>NETWORKDAYS.INTL(F16,G16,"0000100",$AI$5:$AI$11)</f>
        <v>16</v>
      </c>
      <c r="F16" s="146">
        <f>WORKDAY.INTL(G11,5,"0000100",$AI$5:$AI$10)</f>
        <v>46190</v>
      </c>
      <c r="G16" s="146">
        <f>WORKDAY.INTL(F16,15,"0000100",$AI$5:$AI$10)</f>
        <v>46208</v>
      </c>
      <c r="H16" s="67">
        <f>WORKDAY.INTL(I11,5,"0000100",$AI$5:$AI$10)</f>
        <v>46190</v>
      </c>
      <c r="I16" s="67">
        <f>WORKDAY.INTL(H16,15,"0000100",$AI$5:$AI$10)</f>
        <v>46208</v>
      </c>
      <c r="J16" s="1158">
        <v>46190</v>
      </c>
      <c r="K16" s="1159">
        <v>46208</v>
      </c>
      <c r="L16" s="376">
        <v>1</v>
      </c>
      <c r="M16" s="376" t="str">
        <f t="shared" ref="M16:M19" ca="1" si="7">IF(L16=100%,"Completed",
IF(AND(L16&lt;100%,G16&lt;TODAY()),"Delayed",
IF(AND(OR(L16="",L16=0),F16&gt;TODAY()),"Not Started",
IF(AND(OR(L16="",L16=0),F16&lt;=TODAY()),"Delayed",
IF(AND(L16&gt;0,L16&lt;100%),"In Progress","")))))</f>
        <v>Completed</v>
      </c>
      <c r="N16" s="68"/>
      <c r="O16" s="112"/>
      <c r="P16" s="112"/>
      <c r="Q16" s="112"/>
      <c r="R16" s="112"/>
      <c r="S16" s="112"/>
      <c r="T16" s="112"/>
      <c r="U16" s="112"/>
      <c r="V16" s="516"/>
      <c r="W16" s="625"/>
      <c r="X16" s="521"/>
      <c r="Y16" s="1180"/>
      <c r="Z16" s="1180"/>
      <c r="AA16" s="1180"/>
      <c r="AB16" s="66"/>
      <c r="AC16" s="633"/>
      <c r="AF16" s="34" t="s">
        <v>62</v>
      </c>
      <c r="AG16" s="24" t="s">
        <v>70</v>
      </c>
    </row>
    <row r="17" spans="2:37" ht="47.1" customHeight="1">
      <c r="B17" s="1344"/>
      <c r="C17" s="428" t="s">
        <v>86</v>
      </c>
      <c r="D17" s="517" t="s">
        <v>114</v>
      </c>
      <c r="E17" s="354">
        <f>NETWORKDAYS.INTL(F17,G17,"0000100",$AI$5:$AI$11)</f>
        <v>3</v>
      </c>
      <c r="F17" s="147">
        <f>WORKDAY.INTL(G16,1,"0000100",$AI$5:$AI$10)</f>
        <v>46209</v>
      </c>
      <c r="G17" s="147">
        <f>WORKDAY.INTL(F17,2,"0000100",$AI$5:$AI$10)</f>
        <v>46211</v>
      </c>
      <c r="H17" s="34">
        <f>WORKDAY.INTL(I16,1,"0000100",$AI$5:$AI$10)</f>
        <v>46209</v>
      </c>
      <c r="I17" s="34">
        <f>WORKDAY.INTL(H17,2,"0000100",$AI$5:$AI$10)</f>
        <v>46211</v>
      </c>
      <c r="J17" s="1160">
        <v>46209</v>
      </c>
      <c r="K17" s="1161">
        <v>46211</v>
      </c>
      <c r="L17" s="366">
        <v>1</v>
      </c>
      <c r="M17" s="366" t="str">
        <f t="shared" ca="1" si="7"/>
        <v>Completed</v>
      </c>
      <c r="N17" s="85"/>
      <c r="O17" s="50"/>
      <c r="P17" s="50"/>
      <c r="Q17" s="50"/>
      <c r="R17" s="50"/>
      <c r="S17" s="50"/>
      <c r="T17" s="50"/>
      <c r="U17" s="50"/>
      <c r="V17" s="518"/>
      <c r="W17" s="625"/>
      <c r="X17" s="522"/>
      <c r="Y17" s="1172"/>
      <c r="Z17" s="1172"/>
      <c r="AA17" s="1172"/>
      <c r="AB17" s="83"/>
      <c r="AC17" s="634"/>
      <c r="AF17" s="34" t="s">
        <v>63</v>
      </c>
      <c r="AG17" s="24" t="s">
        <v>70</v>
      </c>
    </row>
    <row r="18" spans="2:37" ht="47.1" customHeight="1">
      <c r="B18" s="1344"/>
      <c r="C18" s="428" t="s">
        <v>86</v>
      </c>
      <c r="D18" s="517" t="s">
        <v>120</v>
      </c>
      <c r="E18" s="354">
        <f>NETWORKDAYS.INTL(F18,G18,"0000110",$AI$5:$AI$11)</f>
        <v>5</v>
      </c>
      <c r="F18" s="147">
        <f>MAX(WORKDAY.INTL(G17,1,"0000100",$AL$5:$AL$10),WORKDAY.INTL(G13,1,"0000100",$AL$5:$AL$10))</f>
        <v>46237</v>
      </c>
      <c r="G18" s="147">
        <f t="shared" ref="G18" si="8">WORKDAY.INTL(F18,4,"0000110")</f>
        <v>46243</v>
      </c>
      <c r="H18" s="34">
        <f>MAX(WORKDAY.INTL(I17,1,"0000100",$AL$5:$AL$10),WORKDAY.INTL(I13,1,"0000100",$AL$5:$AL$10))</f>
        <v>46237</v>
      </c>
      <c r="I18" s="34">
        <f>WORKDAY.INTL(H18,4,"0000110")</f>
        <v>46243</v>
      </c>
      <c r="J18" s="34"/>
      <c r="K18" s="34"/>
      <c r="L18" s="366"/>
      <c r="M18" s="366" t="str">
        <f t="shared" ca="1" si="7"/>
        <v>Not Started</v>
      </c>
      <c r="N18" s="85"/>
      <c r="O18" s="50"/>
      <c r="P18" s="50"/>
      <c r="Q18" s="50"/>
      <c r="R18" s="50"/>
      <c r="S18" s="50"/>
      <c r="T18" s="50"/>
      <c r="U18" s="50"/>
      <c r="V18" s="518"/>
      <c r="W18" s="625"/>
      <c r="X18" s="522"/>
      <c r="Y18" s="1172">
        <v>1</v>
      </c>
      <c r="Z18" s="1172"/>
      <c r="AA18" s="1172"/>
      <c r="AB18" s="83" t="s">
        <v>232</v>
      </c>
      <c r="AC18" s="634" t="s">
        <v>123</v>
      </c>
      <c r="AF18" s="34" t="s">
        <v>64</v>
      </c>
      <c r="AG18" s="24" t="s">
        <v>70</v>
      </c>
    </row>
    <row r="19" spans="2:37" ht="47.1" customHeight="1" thickBot="1">
      <c r="B19" s="1345"/>
      <c r="C19" s="429" t="s">
        <v>86</v>
      </c>
      <c r="D19" s="489" t="s">
        <v>125</v>
      </c>
      <c r="E19" s="347">
        <f>NETWORKDAYS.INTL(F19,G19,"0000110",$AI$5:$AI$11)</f>
        <v>2</v>
      </c>
      <c r="F19" s="348">
        <f t="shared" ref="F19" si="9">WORKDAY.INTL(G18,1,"0000110")</f>
        <v>46244</v>
      </c>
      <c r="G19" s="348">
        <f t="shared" ref="G19" si="10">WORKDAY.INTL(F19,1,"0000110")</f>
        <v>46245</v>
      </c>
      <c r="H19" s="70">
        <f>WORKDAY.INTL(I18,1,"0000110")</f>
        <v>46244</v>
      </c>
      <c r="I19" s="70">
        <f>WORKDAY.INTL(H19,1,"0000110")</f>
        <v>46245</v>
      </c>
      <c r="J19" s="70"/>
      <c r="K19" s="70"/>
      <c r="L19" s="379"/>
      <c r="M19" s="379" t="str">
        <f t="shared" ca="1" si="7"/>
        <v>Not Started</v>
      </c>
      <c r="N19" s="71"/>
      <c r="O19" s="72"/>
      <c r="P19" s="72"/>
      <c r="Q19" s="72"/>
      <c r="R19" s="72"/>
      <c r="S19" s="72"/>
      <c r="T19" s="72"/>
      <c r="U19" s="72"/>
      <c r="V19" s="519"/>
      <c r="W19" s="625"/>
      <c r="X19" s="524"/>
      <c r="Y19" s="1181">
        <v>1</v>
      </c>
      <c r="Z19" s="1181"/>
      <c r="AA19" s="1181"/>
      <c r="AB19" s="69"/>
      <c r="AC19" s="635"/>
      <c r="AF19" s="34" t="s">
        <v>65</v>
      </c>
      <c r="AG19" s="24" t="s">
        <v>70</v>
      </c>
    </row>
    <row r="20" spans="2:37" s="19" customFormat="1" ht="4.5" customHeight="1" thickBot="1">
      <c r="B20" s="114"/>
      <c r="C20" s="114"/>
      <c r="D20" s="380" t="s">
        <v>233</v>
      </c>
      <c r="E20" s="381"/>
      <c r="F20" s="649"/>
      <c r="G20" s="649"/>
      <c r="H20" s="114"/>
      <c r="I20" s="114"/>
      <c r="J20" s="114"/>
      <c r="K20" s="114"/>
      <c r="L20" s="382"/>
      <c r="M20" s="382"/>
      <c r="N20" s="114"/>
      <c r="O20" s="114"/>
      <c r="P20" s="114"/>
      <c r="Q20" s="114"/>
      <c r="R20" s="114"/>
      <c r="S20" s="114"/>
      <c r="T20" s="114"/>
      <c r="U20" s="114"/>
      <c r="V20" s="382"/>
      <c r="W20" s="509"/>
      <c r="X20" s="660"/>
      <c r="Y20" s="661"/>
      <c r="Z20" s="661"/>
      <c r="AA20" s="661"/>
      <c r="AB20" s="661"/>
      <c r="AC20" s="662"/>
      <c r="AF20" s="33"/>
      <c r="AG20" s="33"/>
    </row>
    <row r="21" spans="2:37" ht="39" customHeight="1">
      <c r="B21" s="1340" t="s">
        <v>235</v>
      </c>
      <c r="C21" s="563" t="s">
        <v>86</v>
      </c>
      <c r="D21" s="389" t="s">
        <v>112</v>
      </c>
      <c r="E21" s="390">
        <f>NETWORKDAYS.INTL(F21,G21,"0000100",$AI$5:$AI$11)</f>
        <v>7</v>
      </c>
      <c r="F21" s="341">
        <f>WORKDAY.INTL(G17,1,"0000100",$AI$5:$AI$10)</f>
        <v>46212</v>
      </c>
      <c r="G21" s="341">
        <f>WORKDAY.INTL(F21,6,"0000100",$AI$5:$AI$10)</f>
        <v>46219</v>
      </c>
      <c r="H21" s="54">
        <f>WORKDAY.INTL(I17,1,"0000100",$AI$5:$AI$10)</f>
        <v>46212</v>
      </c>
      <c r="I21" s="54">
        <f>WORKDAY.INTL(H21,6,"0000100",$AI$5:$AI$10)</f>
        <v>46219</v>
      </c>
      <c r="J21" s="1162">
        <v>46212</v>
      </c>
      <c r="K21" s="1157">
        <v>46216</v>
      </c>
      <c r="L21" s="392">
        <v>1</v>
      </c>
      <c r="M21" s="392" t="str">
        <f t="shared" ref="M21:M24" ca="1" si="11">IF(L21=100%,"Completed",
IF(AND(L21&lt;100%,G21&lt;TODAY()),"Delayed",
IF(AND(OR(L21="",L21=0),F21&gt;TODAY()),"Not Started",
IF(AND(OR(L21="",L21=0),F21&lt;=TODAY()),"Delayed",
IF(AND(L21&gt;0,L21&lt;100%),"In Progress","")))))</f>
        <v>Completed</v>
      </c>
      <c r="N21" s="124"/>
      <c r="O21" s="122"/>
      <c r="P21" s="122"/>
      <c r="Q21" s="122"/>
      <c r="R21" s="122"/>
      <c r="S21" s="122"/>
      <c r="T21" s="122"/>
      <c r="U21" s="122"/>
      <c r="V21" s="564"/>
      <c r="W21" s="650"/>
      <c r="X21" s="651"/>
      <c r="Y21" s="1182"/>
      <c r="Z21" s="1182"/>
      <c r="AA21" s="1182"/>
      <c r="AB21" s="652"/>
      <c r="AC21" s="653"/>
      <c r="AF21" s="34" t="s">
        <v>62</v>
      </c>
      <c r="AG21" s="24" t="s">
        <v>71</v>
      </c>
      <c r="AK21" s="37"/>
    </row>
    <row r="22" spans="2:37" ht="39" customHeight="1">
      <c r="B22" s="1341"/>
      <c r="C22" s="565" t="s">
        <v>86</v>
      </c>
      <c r="D22" s="645" t="s">
        <v>114</v>
      </c>
      <c r="E22" s="398">
        <f>NETWORKDAYS.INTL(F22,G22,"0000100",$AI$5:$AI$11)</f>
        <v>3</v>
      </c>
      <c r="F22" s="337">
        <f>WORKDAY.INTL(G21,1,"0000100",$AI$5:$AI$10)</f>
        <v>46221</v>
      </c>
      <c r="G22" s="337">
        <f>WORKDAY.INTL(F22,2,"0000100",$AI$5:$AI$10)</f>
        <v>46223</v>
      </c>
      <c r="H22" s="41">
        <f>WORKDAY.INTL(I21,1,"0000100",$AI$5:$AI$10)</f>
        <v>46221</v>
      </c>
      <c r="I22" s="41">
        <f>WORKDAY.INTL(H22,2,"0000100",$AI$5:$AI$10)</f>
        <v>46223</v>
      </c>
      <c r="J22" s="1156">
        <v>46217</v>
      </c>
      <c r="K22" s="1157">
        <v>46217</v>
      </c>
      <c r="L22" s="400">
        <v>1</v>
      </c>
      <c r="M22" s="400" t="str">
        <f t="shared" ca="1" si="11"/>
        <v>Completed</v>
      </c>
      <c r="N22" s="131"/>
      <c r="O22" s="646"/>
      <c r="P22" s="646"/>
      <c r="Q22" s="646"/>
      <c r="R22" s="646"/>
      <c r="S22" s="646"/>
      <c r="T22" s="646"/>
      <c r="U22" s="646"/>
      <c r="V22" s="566"/>
      <c r="W22" s="625"/>
      <c r="X22" s="654" t="s">
        <v>236</v>
      </c>
      <c r="Y22" s="1183"/>
      <c r="Z22" s="1183"/>
      <c r="AA22" s="1183"/>
      <c r="AB22" s="655"/>
      <c r="AC22" s="656"/>
      <c r="AF22" s="34" t="s">
        <v>63</v>
      </c>
      <c r="AG22" s="24" t="s">
        <v>71</v>
      </c>
    </row>
    <row r="23" spans="2:37" ht="39" customHeight="1">
      <c r="B23" s="1341"/>
      <c r="C23" s="565" t="s">
        <v>86</v>
      </c>
      <c r="D23" s="647" t="s">
        <v>120</v>
      </c>
      <c r="E23" s="398">
        <f>NETWORKDAYS.INTL(F23,G23,"0000110",$AI$5:$AI$11)</f>
        <v>5</v>
      </c>
      <c r="F23" s="337">
        <f>MAX(WORKDAY.INTL(G22,1,"0000100",$AL$5:$AL$10),WORKDAY.INTL(G18,1,"0000100",$AL$5:$AL$10))</f>
        <v>46244</v>
      </c>
      <c r="G23" s="337">
        <f>WORKDAY.INTL(F23,4,"0000110")</f>
        <v>46250</v>
      </c>
      <c r="H23" s="41">
        <f>MAX(WORKDAY.INTL(I22,1,"0000100",$AL$5:$AL$10),WORKDAY.INTL(I18,1,"0000100",$AL$5:$AL$10))</f>
        <v>46244</v>
      </c>
      <c r="I23" s="41">
        <f>WORKDAY.INTL(H23,4,"0000110")</f>
        <v>46250</v>
      </c>
      <c r="J23" s="41"/>
      <c r="K23" s="41"/>
      <c r="L23" s="400"/>
      <c r="M23" s="400" t="str">
        <f t="shared" ca="1" si="11"/>
        <v>Not Started</v>
      </c>
      <c r="N23" s="131"/>
      <c r="O23" s="132"/>
      <c r="P23" s="132"/>
      <c r="Q23" s="132"/>
      <c r="R23" s="132"/>
      <c r="S23" s="132"/>
      <c r="T23" s="132"/>
      <c r="U23" s="132"/>
      <c r="V23" s="566"/>
      <c r="W23" s="625"/>
      <c r="X23" s="654"/>
      <c r="Y23" s="1183">
        <v>1</v>
      </c>
      <c r="Z23" s="1183"/>
      <c r="AA23" s="1183"/>
      <c r="AB23" s="655" t="s">
        <v>232</v>
      </c>
      <c r="AC23" s="656" t="s">
        <v>123</v>
      </c>
      <c r="AF23" s="34" t="s">
        <v>64</v>
      </c>
      <c r="AG23" s="24" t="s">
        <v>71</v>
      </c>
    </row>
    <row r="24" spans="2:37" ht="39" customHeight="1" thickBot="1">
      <c r="B24" s="1342"/>
      <c r="C24" s="567" t="s">
        <v>86</v>
      </c>
      <c r="D24" s="648" t="s">
        <v>125</v>
      </c>
      <c r="E24" s="394">
        <f>NETWORKDAYS.INTL(F24,G24,"0000110",$AI$5:$AI$11)</f>
        <v>2</v>
      </c>
      <c r="F24" s="344">
        <f t="shared" ref="F24" si="12">WORKDAY.INTL(G23,1,"0000110")</f>
        <v>46251</v>
      </c>
      <c r="G24" s="344">
        <f t="shared" ref="G24" si="13">WORKDAY.INTL(F24,1,"0000110")</f>
        <v>46252</v>
      </c>
      <c r="H24" s="60">
        <f>WORKDAY.INTL(I23,1,"0000110")</f>
        <v>46251</v>
      </c>
      <c r="I24" s="60">
        <f>WORKDAY.INTL(H24,1,"0000110")</f>
        <v>46252</v>
      </c>
      <c r="J24" s="60"/>
      <c r="K24" s="60"/>
      <c r="L24" s="396"/>
      <c r="M24" s="396" t="str">
        <f t="shared" ca="1" si="11"/>
        <v>Not Started</v>
      </c>
      <c r="N24" s="126"/>
      <c r="O24" s="133"/>
      <c r="P24" s="133"/>
      <c r="Q24" s="133"/>
      <c r="R24" s="133"/>
      <c r="S24" s="133"/>
      <c r="T24" s="133"/>
      <c r="U24" s="133"/>
      <c r="V24" s="568"/>
      <c r="W24" s="625"/>
      <c r="X24" s="657"/>
      <c r="Y24" s="1184">
        <v>1</v>
      </c>
      <c r="Z24" s="1184"/>
      <c r="AA24" s="1184"/>
      <c r="AB24" s="658"/>
      <c r="AC24" s="659"/>
      <c r="AF24" s="34" t="s">
        <v>65</v>
      </c>
      <c r="AG24" s="24" t="s">
        <v>71</v>
      </c>
    </row>
    <row r="25" spans="2:37" s="19" customFormat="1" ht="4.5" customHeight="1" thickBot="1">
      <c r="B25" s="114"/>
      <c r="C25" s="114"/>
      <c r="D25" s="380" t="s">
        <v>233</v>
      </c>
      <c r="E25" s="381"/>
      <c r="F25" s="649"/>
      <c r="G25" s="649"/>
      <c r="H25" s="114"/>
      <c r="I25" s="114"/>
      <c r="J25" s="114"/>
      <c r="K25" s="114"/>
      <c r="L25" s="382"/>
      <c r="M25" s="382"/>
      <c r="N25" s="114"/>
      <c r="O25" s="114"/>
      <c r="P25" s="114"/>
      <c r="Q25" s="114"/>
      <c r="R25" s="114"/>
      <c r="S25" s="114"/>
      <c r="T25" s="114"/>
      <c r="U25" s="114"/>
      <c r="V25" s="382"/>
      <c r="W25" s="509"/>
      <c r="X25" s="660"/>
      <c r="Y25" s="661"/>
      <c r="Z25" s="661"/>
      <c r="AA25" s="661"/>
      <c r="AB25" s="661"/>
      <c r="AC25" s="662"/>
      <c r="AF25" s="33"/>
      <c r="AG25" s="33"/>
    </row>
    <row r="26" spans="2:37" ht="45.95" customHeight="1">
      <c r="B26" s="1343" t="s">
        <v>237</v>
      </c>
      <c r="C26" s="427" t="s">
        <v>86</v>
      </c>
      <c r="D26" s="375" t="s">
        <v>112</v>
      </c>
      <c r="E26" s="346">
        <f>NETWORKDAYS.INTL(F26,G26,"0000100",$AI$5:$AI$11)</f>
        <v>7</v>
      </c>
      <c r="F26" s="146">
        <f>WORKDAY.INTL(G22,1,"0000100",$AI$5:$AI$10)</f>
        <v>46224</v>
      </c>
      <c r="G26" s="146">
        <f>WORKDAY.INTL(F26,6,"0000100",$AI$5:$AI$10)</f>
        <v>46231</v>
      </c>
      <c r="H26" s="67">
        <f>WORKDAY.INTL(I22,1,"0000100",$AI$5:$AI$10)</f>
        <v>46224</v>
      </c>
      <c r="I26" s="67">
        <f>WORKDAY.INTL(H26,6,"0000100",$AI$5:$AI$10)</f>
        <v>46231</v>
      </c>
      <c r="J26" s="1152">
        <v>46218</v>
      </c>
      <c r="K26" s="1153">
        <v>46219</v>
      </c>
      <c r="L26" s="376">
        <v>1</v>
      </c>
      <c r="M26" s="376" t="str">
        <f t="shared" ref="M26:M29" ca="1" si="14">IF(L26=100%,"Completed",
IF(AND(L26&lt;100%,G26&lt;TODAY()),"Delayed",
IF(AND(OR(L26="",L26=0),F26&gt;TODAY()),"Not Started",
IF(AND(OR(L26="",L26=0),F26&lt;=TODAY()),"Delayed",
IF(AND(L26&gt;0,L26&lt;100%),"In Progress","")))))</f>
        <v>Completed</v>
      </c>
      <c r="N26" s="68"/>
      <c r="O26" s="112"/>
      <c r="P26" s="112"/>
      <c r="Q26" s="112"/>
      <c r="R26" s="112"/>
      <c r="S26" s="112"/>
      <c r="T26" s="112"/>
      <c r="U26" s="112"/>
      <c r="V26" s="516"/>
      <c r="W26" s="625"/>
      <c r="X26" s="521" t="s">
        <v>238</v>
      </c>
      <c r="Y26" s="1180" t="s">
        <v>169</v>
      </c>
      <c r="Z26" s="1180"/>
      <c r="AA26" s="1180"/>
      <c r="AB26" s="66" t="s">
        <v>239</v>
      </c>
      <c r="AC26" s="633" t="s">
        <v>240</v>
      </c>
      <c r="AF26" s="34" t="s">
        <v>62</v>
      </c>
      <c r="AG26" s="24" t="s">
        <v>72</v>
      </c>
    </row>
    <row r="27" spans="2:37" ht="45.95" customHeight="1">
      <c r="B27" s="1344"/>
      <c r="C27" s="428" t="s">
        <v>86</v>
      </c>
      <c r="D27" s="517" t="s">
        <v>114</v>
      </c>
      <c r="E27" s="354">
        <f>NETWORKDAYS.INTL(F27,G27,"0000100",$AI$5:$AI$11)</f>
        <v>3</v>
      </c>
      <c r="F27" s="147">
        <f>WORKDAY.INTL(G26,1,"0000100",$AI$5:$AI$10)</f>
        <v>46232</v>
      </c>
      <c r="G27" s="147">
        <f>WORKDAY.INTL(F27,2,"0000100",$AI$5:$AI$10)</f>
        <v>46235</v>
      </c>
      <c r="H27" s="34">
        <f>WORKDAY.INTL(I26,1,"0000100",$AI$5:$AI$10)</f>
        <v>46232</v>
      </c>
      <c r="I27" s="34">
        <f>WORKDAY.INTL(H27,2,"0000100",$AI$5:$AI$10)</f>
        <v>46235</v>
      </c>
      <c r="J27" s="1154">
        <v>46221</v>
      </c>
      <c r="K27" s="1155">
        <v>46223</v>
      </c>
      <c r="L27" s="366">
        <v>1</v>
      </c>
      <c r="M27" s="366" t="str">
        <f t="shared" ca="1" si="14"/>
        <v>Completed</v>
      </c>
      <c r="N27" s="85"/>
      <c r="O27" s="50"/>
      <c r="P27" s="50"/>
      <c r="Q27" s="50"/>
      <c r="R27" s="50"/>
      <c r="S27" s="50"/>
      <c r="T27" s="50"/>
      <c r="U27" s="50"/>
      <c r="V27" s="518"/>
      <c r="W27" s="625"/>
      <c r="X27" s="522"/>
      <c r="Y27" s="1172">
        <v>1</v>
      </c>
      <c r="Z27" s="1172"/>
      <c r="AA27" s="1172"/>
      <c r="AB27" s="83"/>
      <c r="AC27" s="634"/>
      <c r="AF27" s="34" t="s">
        <v>63</v>
      </c>
      <c r="AG27" s="24" t="s">
        <v>72</v>
      </c>
    </row>
    <row r="28" spans="2:37" ht="45.95" customHeight="1">
      <c r="B28" s="1344"/>
      <c r="C28" s="428" t="s">
        <v>86</v>
      </c>
      <c r="D28" s="517" t="s">
        <v>120</v>
      </c>
      <c r="E28" s="354">
        <f>NETWORKDAYS.INTL(F28,G28,"0000110",$AI$5:$AI$11)</f>
        <v>4</v>
      </c>
      <c r="F28" s="147">
        <f>MAX(WORKDAY.INTL(G27,1,"0000100",$AL$5:$AL$10),WORKDAY.INTL(G23,1,"0000100",$AL$5:$AL$10))</f>
        <v>46251</v>
      </c>
      <c r="G28" s="147">
        <f t="shared" ref="G28" si="15">WORKDAY.INTL(F28,3,"0000110")</f>
        <v>46254</v>
      </c>
      <c r="H28" s="34">
        <f>MAX(WORKDAY.INTL(I27,1,"0000100",$AL$5:$AL$10),WORKDAY.INTL(I23,1,"0000100",$AL$5:$AL$10))</f>
        <v>46251</v>
      </c>
      <c r="I28" s="34">
        <f>WORKDAY.INTL(H28,3,"0000110")</f>
        <v>46254</v>
      </c>
      <c r="J28" s="34"/>
      <c r="K28" s="34"/>
      <c r="L28" s="366"/>
      <c r="M28" s="366" t="str">
        <f t="shared" ca="1" si="14"/>
        <v>Not Started</v>
      </c>
      <c r="N28" s="85"/>
      <c r="O28" s="50"/>
      <c r="P28" s="50"/>
      <c r="Q28" s="50"/>
      <c r="R28" s="50"/>
      <c r="S28" s="50"/>
      <c r="T28" s="50"/>
      <c r="U28" s="50"/>
      <c r="V28" s="518"/>
      <c r="W28" s="625"/>
      <c r="X28" s="522"/>
      <c r="Y28" s="1172">
        <v>1</v>
      </c>
      <c r="Z28" s="1172"/>
      <c r="AA28" s="1172"/>
      <c r="AB28" s="83" t="s">
        <v>232</v>
      </c>
      <c r="AC28" s="634" t="s">
        <v>123</v>
      </c>
      <c r="AF28" s="34" t="s">
        <v>64</v>
      </c>
      <c r="AG28" s="24" t="s">
        <v>72</v>
      </c>
    </row>
    <row r="29" spans="2:37" ht="45.95" customHeight="1" thickBot="1">
      <c r="B29" s="1345"/>
      <c r="C29" s="429" t="s">
        <v>86</v>
      </c>
      <c r="D29" s="489" t="s">
        <v>125</v>
      </c>
      <c r="E29" s="347">
        <f>NETWORKDAYS.INTL(F29,G29,"0000110",$AI$5:$AI$11)</f>
        <v>2</v>
      </c>
      <c r="F29" s="348">
        <f t="shared" ref="F29" si="16">WORKDAY.INTL(G28,1,"0000110")</f>
        <v>46257</v>
      </c>
      <c r="G29" s="348">
        <f t="shared" ref="G29" si="17">WORKDAY.INTL(F29,1,"0000110")</f>
        <v>46258</v>
      </c>
      <c r="H29" s="70">
        <f>WORKDAY.INTL(I28,1,"0000110")</f>
        <v>46257</v>
      </c>
      <c r="I29" s="70">
        <f>WORKDAY.INTL(H29,1,"0000110")</f>
        <v>46258</v>
      </c>
      <c r="J29" s="70"/>
      <c r="K29" s="70"/>
      <c r="L29" s="379"/>
      <c r="M29" s="379" t="str">
        <f t="shared" ca="1" si="14"/>
        <v>Not Started</v>
      </c>
      <c r="N29" s="71"/>
      <c r="O29" s="72"/>
      <c r="P29" s="72"/>
      <c r="Q29" s="72"/>
      <c r="R29" s="72"/>
      <c r="S29" s="72"/>
      <c r="T29" s="72"/>
      <c r="U29" s="72"/>
      <c r="V29" s="519"/>
      <c r="W29" s="625"/>
      <c r="X29" s="524"/>
      <c r="Y29" s="1181">
        <v>1</v>
      </c>
      <c r="Z29" s="1181"/>
      <c r="AA29" s="1181"/>
      <c r="AB29" s="69"/>
      <c r="AC29" s="635"/>
      <c r="AF29" s="34" t="s">
        <v>65</v>
      </c>
      <c r="AG29" s="24" t="s">
        <v>72</v>
      </c>
    </row>
    <row r="30" spans="2:37" s="19" customFormat="1" ht="9.9499999999999993" customHeight="1" thickBot="1">
      <c r="B30" s="114"/>
      <c r="C30" s="114"/>
      <c r="D30" s="380" t="s">
        <v>233</v>
      </c>
      <c r="E30" s="381"/>
      <c r="F30" s="649"/>
      <c r="G30" s="649"/>
      <c r="H30" s="114"/>
      <c r="I30" s="114"/>
      <c r="J30" s="114"/>
      <c r="K30" s="114"/>
      <c r="L30" s="382"/>
      <c r="M30" s="382"/>
      <c r="N30" s="114"/>
      <c r="O30" s="114"/>
      <c r="P30" s="114"/>
      <c r="Q30" s="114"/>
      <c r="R30" s="114"/>
      <c r="S30" s="114"/>
      <c r="T30" s="114"/>
      <c r="U30" s="114"/>
      <c r="V30" s="382"/>
      <c r="W30" s="509"/>
      <c r="X30" s="660"/>
      <c r="Y30" s="661"/>
      <c r="Z30" s="661"/>
      <c r="AA30" s="661"/>
      <c r="AB30" s="661"/>
      <c r="AC30" s="662"/>
      <c r="AF30" s="33"/>
      <c r="AG30" s="33"/>
    </row>
    <row r="31" spans="2:37" ht="42" customHeight="1">
      <c r="B31" s="1340" t="s">
        <v>241</v>
      </c>
      <c r="C31" s="563" t="s">
        <v>86</v>
      </c>
      <c r="D31" s="389" t="s">
        <v>112</v>
      </c>
      <c r="E31" s="390">
        <f>NETWORKDAYS.INTL(F31,G31,"0000100",$AI$5:$AI$11)</f>
        <v>7</v>
      </c>
      <c r="F31" s="341">
        <f>WORKDAY.INTL(G27,1,"0000100",$AI$5:$AI$10)</f>
        <v>46236</v>
      </c>
      <c r="G31" s="341">
        <f>WORKDAY.INTL(F31,6,"0000100",$AI$5:$AI$10)</f>
        <v>46243</v>
      </c>
      <c r="H31" s="54">
        <f>WORKDAY.INTL(I27,1,"0000100",$AI$5:$AI$10)</f>
        <v>46236</v>
      </c>
      <c r="I31" s="54">
        <f>WORKDAY.INTL(H31,6,"0000100",$AI$5:$AI$10)</f>
        <v>46243</v>
      </c>
      <c r="J31" s="54">
        <v>46221</v>
      </c>
      <c r="K31" s="54">
        <v>46224</v>
      </c>
      <c r="L31" s="392">
        <v>1</v>
      </c>
      <c r="M31" s="392" t="str">
        <f t="shared" ref="M31:M34" ca="1" si="18">IF(L31=100%,"Completed",
IF(AND(L31&lt;100%,G31&lt;TODAY()),"Delayed",
IF(AND(OR(L31="",L31=0),F31&gt;TODAY()),"Not Started",
IF(AND(OR(L31="",L31=0),F31&lt;=TODAY()),"Delayed",
IF(AND(L31&gt;0,L31&lt;100%),"In Progress","")))))</f>
        <v>Completed</v>
      </c>
      <c r="N31" s="124"/>
      <c r="O31" s="122"/>
      <c r="P31" s="122"/>
      <c r="Q31" s="122"/>
      <c r="R31" s="122"/>
      <c r="S31" s="122"/>
      <c r="T31" s="122"/>
      <c r="U31" s="122"/>
      <c r="V31" s="564"/>
      <c r="W31" s="650"/>
      <c r="X31" s="651"/>
      <c r="Y31" s="1182" t="s">
        <v>169</v>
      </c>
      <c r="Z31" s="1182"/>
      <c r="AA31" s="1182"/>
      <c r="AB31" s="652" t="s">
        <v>239</v>
      </c>
      <c r="AC31" s="653" t="s">
        <v>240</v>
      </c>
      <c r="AF31" s="34" t="s">
        <v>62</v>
      </c>
      <c r="AG31" s="24" t="s">
        <v>73</v>
      </c>
      <c r="AK31" s="37"/>
    </row>
    <row r="32" spans="2:37" ht="42" customHeight="1">
      <c r="B32" s="1341"/>
      <c r="C32" s="565" t="s">
        <v>86</v>
      </c>
      <c r="D32" s="645" t="s">
        <v>114</v>
      </c>
      <c r="E32" s="398">
        <f>NETWORKDAYS.INTL(F32,G32,"0000100",$AI$5:$AI$11)</f>
        <v>3</v>
      </c>
      <c r="F32" s="337">
        <f>WORKDAY.INTL(G31,1,"0000100",$AI$5:$AI$10)</f>
        <v>46244</v>
      </c>
      <c r="G32" s="337">
        <f>WORKDAY.INTL(F32,2,"0000100",$AI$5:$AI$10)</f>
        <v>46246</v>
      </c>
      <c r="H32" s="41">
        <f>WORKDAY.INTL(I31,1,"0000100",$AI$5:$AI$10)</f>
        <v>46244</v>
      </c>
      <c r="I32" s="41">
        <f>WORKDAY.INTL(H32,2,"0000100",$AI$5:$AI$10)</f>
        <v>46246</v>
      </c>
      <c r="J32" s="41">
        <v>46225</v>
      </c>
      <c r="K32" s="41">
        <v>46225</v>
      </c>
      <c r="L32" s="400">
        <v>1</v>
      </c>
      <c r="M32" s="400" t="str">
        <f t="shared" ca="1" si="18"/>
        <v>Completed</v>
      </c>
      <c r="N32" s="131"/>
      <c r="O32" s="646"/>
      <c r="P32" s="646"/>
      <c r="Q32" s="646"/>
      <c r="R32" s="646"/>
      <c r="S32" s="646"/>
      <c r="T32" s="646"/>
      <c r="U32" s="646"/>
      <c r="V32" s="566"/>
      <c r="W32" s="625"/>
      <c r="X32" s="654"/>
      <c r="Y32" s="1183">
        <v>1</v>
      </c>
      <c r="Z32" s="1183"/>
      <c r="AA32" s="1183"/>
      <c r="AB32" s="655"/>
      <c r="AC32" s="656"/>
      <c r="AF32" s="34" t="s">
        <v>63</v>
      </c>
      <c r="AG32" s="24" t="s">
        <v>73</v>
      </c>
    </row>
    <row r="33" spans="2:37" ht="42" customHeight="1">
      <c r="B33" s="1341"/>
      <c r="C33" s="565" t="s">
        <v>86</v>
      </c>
      <c r="D33" s="647" t="s">
        <v>120</v>
      </c>
      <c r="E33" s="398">
        <f>NETWORKDAYS.INTL(F33,G33,"0000110",$AI$5:$AI$11)</f>
        <v>3</v>
      </c>
      <c r="F33" s="337">
        <f>MAX(WORKDAY.INTL(G32,1,"0000100",$AL$5:$AL$10),WORKDAY.INTL(G28,1,"0000100",$AL$5:$AL$10))</f>
        <v>46256</v>
      </c>
      <c r="G33" s="337">
        <f t="shared" ref="G33" si="19">WORKDAY.INTL(F33,3,"0000110")</f>
        <v>46259</v>
      </c>
      <c r="H33" s="41">
        <f>MAX(WORKDAY.INTL(I32,1,"0000100",$AL$5:$AL$10),WORKDAY.INTL(I28,1,"0000100",$AL$5:$AL$10))</f>
        <v>46256</v>
      </c>
      <c r="I33" s="41">
        <f>WORKDAY.INTL(H33,3,"0000110")</f>
        <v>46259</v>
      </c>
      <c r="J33" s="41"/>
      <c r="K33" s="41"/>
      <c r="L33" s="400"/>
      <c r="M33" s="400" t="str">
        <f t="shared" ca="1" si="18"/>
        <v>Not Started</v>
      </c>
      <c r="N33" s="131"/>
      <c r="O33" s="132"/>
      <c r="P33" s="132"/>
      <c r="Q33" s="132"/>
      <c r="R33" s="132"/>
      <c r="S33" s="132"/>
      <c r="T33" s="132"/>
      <c r="U33" s="132"/>
      <c r="V33" s="566"/>
      <c r="W33" s="625"/>
      <c r="X33" s="654"/>
      <c r="Y33" s="1183">
        <v>1</v>
      </c>
      <c r="Z33" s="1183"/>
      <c r="AA33" s="1183"/>
      <c r="AB33" s="655" t="s">
        <v>232</v>
      </c>
      <c r="AC33" s="656" t="s">
        <v>242</v>
      </c>
      <c r="AF33" s="34" t="s">
        <v>64</v>
      </c>
      <c r="AG33" s="24" t="s">
        <v>73</v>
      </c>
    </row>
    <row r="34" spans="2:37" ht="42" customHeight="1" thickBot="1">
      <c r="B34" s="1342"/>
      <c r="C34" s="567" t="s">
        <v>86</v>
      </c>
      <c r="D34" s="648" t="s">
        <v>125</v>
      </c>
      <c r="E34" s="394">
        <f>NETWORKDAYS.INTL(F34,G34,"0000110",$AI$5:$AI$11)</f>
        <v>2</v>
      </c>
      <c r="F34" s="344">
        <f t="shared" ref="F34" si="20">WORKDAY.INTL(G33,1,"0000110")</f>
        <v>46260</v>
      </c>
      <c r="G34" s="344">
        <f t="shared" ref="G34" si="21">WORKDAY.INTL(F34,1,"0000110")</f>
        <v>46261</v>
      </c>
      <c r="H34" s="60">
        <f>WORKDAY.INTL(I33,1,"0000110")</f>
        <v>46260</v>
      </c>
      <c r="I34" s="60">
        <f>WORKDAY.INTL(H34,1,"0000110")</f>
        <v>46261</v>
      </c>
      <c r="J34" s="60"/>
      <c r="K34" s="60"/>
      <c r="L34" s="396"/>
      <c r="M34" s="396" t="str">
        <f t="shared" ca="1" si="18"/>
        <v>Not Started</v>
      </c>
      <c r="N34" s="126"/>
      <c r="O34" s="133"/>
      <c r="P34" s="133"/>
      <c r="Q34" s="133"/>
      <c r="R34" s="133"/>
      <c r="S34" s="133"/>
      <c r="T34" s="133"/>
      <c r="U34" s="133"/>
      <c r="V34" s="568"/>
      <c r="W34" s="625"/>
      <c r="X34" s="657"/>
      <c r="Y34" s="1184">
        <v>1</v>
      </c>
      <c r="Z34" s="1184"/>
      <c r="AA34" s="1184"/>
      <c r="AB34" s="658"/>
      <c r="AC34" s="659"/>
      <c r="AF34" s="34" t="s">
        <v>65</v>
      </c>
      <c r="AG34" s="24" t="s">
        <v>73</v>
      </c>
    </row>
    <row r="35" spans="2:37" s="19" customFormat="1" ht="9" customHeight="1" thickBot="1">
      <c r="B35" s="114"/>
      <c r="C35" s="114"/>
      <c r="D35" s="380" t="s">
        <v>233</v>
      </c>
      <c r="E35" s="381"/>
      <c r="F35" s="649"/>
      <c r="G35" s="649"/>
      <c r="H35" s="114"/>
      <c r="I35" s="114"/>
      <c r="J35" s="114"/>
      <c r="K35" s="114"/>
      <c r="L35" s="382"/>
      <c r="M35" s="382"/>
      <c r="N35" s="114"/>
      <c r="O35" s="114"/>
      <c r="P35" s="114"/>
      <c r="Q35" s="114"/>
      <c r="R35" s="114"/>
      <c r="S35" s="114"/>
      <c r="T35" s="114"/>
      <c r="U35" s="114"/>
      <c r="V35" s="382"/>
      <c r="W35" s="509"/>
      <c r="X35" s="660"/>
      <c r="Y35" s="661"/>
      <c r="Z35" s="661"/>
      <c r="AA35" s="661"/>
      <c r="AB35" s="661"/>
      <c r="AC35" s="662"/>
      <c r="AF35" s="33"/>
      <c r="AG35" s="33"/>
    </row>
    <row r="36" spans="2:37" ht="45" customHeight="1">
      <c r="B36" s="1343" t="s">
        <v>243</v>
      </c>
      <c r="C36" s="427" t="s">
        <v>86</v>
      </c>
      <c r="D36" s="375" t="s">
        <v>112</v>
      </c>
      <c r="E36" s="346">
        <f>NETWORKDAYS.INTL(F36,G36,"0000100",$AI$5:$AI$11)</f>
        <v>7</v>
      </c>
      <c r="F36" s="146">
        <f>WORKDAY.INTL(G32,1,"0000100",$AI$5:$AI$10)</f>
        <v>46247</v>
      </c>
      <c r="G36" s="146">
        <f>WORKDAY.INTL(F36,6,"0000100",$AI$5:$AI$10)</f>
        <v>46254</v>
      </c>
      <c r="H36" s="67">
        <f>WORKDAY.INTL(I32,1,"0000100",$AI$5:$AI$10)</f>
        <v>46247</v>
      </c>
      <c r="I36" s="67">
        <f>WORKDAY.INTL(H36,6,"0000100",$AI$5:$AI$10)</f>
        <v>46254</v>
      </c>
      <c r="J36" s="67">
        <v>46224</v>
      </c>
      <c r="K36" s="67"/>
      <c r="L36" s="376">
        <v>0.75</v>
      </c>
      <c r="M36" s="376" t="str">
        <f t="shared" ref="M36:M50" ca="1" si="22">IF(L36=100%,"Completed",
IF(AND(L36&lt;100%,G36&lt;TODAY()),"Delayed",
IF(AND(OR(L36="",L36=0),F36&gt;TODAY()),"Not Started",
IF(AND(OR(L36="",L36=0),F36&lt;=TODAY()),"Delayed",
IF(AND(L36&gt;0,L36&lt;100%),"In Progress","")))))</f>
        <v>In Progress</v>
      </c>
      <c r="N36" s="68"/>
      <c r="O36" s="112"/>
      <c r="P36" s="112"/>
      <c r="Q36" s="112"/>
      <c r="R36" s="112"/>
      <c r="S36" s="112"/>
      <c r="T36" s="112"/>
      <c r="U36" s="112"/>
      <c r="V36" s="516"/>
      <c r="W36" s="625"/>
      <c r="X36" s="521"/>
      <c r="Y36" s="1180" t="s">
        <v>169</v>
      </c>
      <c r="Z36" s="1180"/>
      <c r="AA36" s="1180"/>
      <c r="AB36" s="66" t="s">
        <v>239</v>
      </c>
      <c r="AC36" s="633" t="s">
        <v>240</v>
      </c>
      <c r="AF36" s="34" t="s">
        <v>62</v>
      </c>
      <c r="AG36" s="24" t="s">
        <v>74</v>
      </c>
    </row>
    <row r="37" spans="2:37" ht="45" customHeight="1">
      <c r="B37" s="1344"/>
      <c r="C37" s="428" t="s">
        <v>86</v>
      </c>
      <c r="D37" s="517" t="s">
        <v>114</v>
      </c>
      <c r="E37" s="354">
        <f>NETWORKDAYS.INTL(F37,G37,"0000100",$AI$5:$AI$11)</f>
        <v>3</v>
      </c>
      <c r="F37" s="147">
        <f>WORKDAY.INTL(G36,1,"0000100",$AI$5:$AI$10)</f>
        <v>46256</v>
      </c>
      <c r="G37" s="147">
        <f>WORKDAY.INTL(F37,2,"0000100",$AI$5:$AI$10)</f>
        <v>46258</v>
      </c>
      <c r="H37" s="34">
        <f>WORKDAY.INTL(I36,1,"0000100",$AI$5:$AI$10)</f>
        <v>46256</v>
      </c>
      <c r="I37" s="34">
        <f>WORKDAY.INTL(H37,2,"0000100",$AI$5:$AI$10)</f>
        <v>46258</v>
      </c>
      <c r="J37" s="34"/>
      <c r="K37" s="34"/>
      <c r="L37" s="366"/>
      <c r="M37" s="366" t="str">
        <f t="shared" ca="1" si="22"/>
        <v>Not Started</v>
      </c>
      <c r="N37" s="85"/>
      <c r="O37" s="50"/>
      <c r="P37" s="50"/>
      <c r="Q37" s="50"/>
      <c r="R37" s="50"/>
      <c r="S37" s="50"/>
      <c r="T37" s="50"/>
      <c r="U37" s="50"/>
      <c r="V37" s="518"/>
      <c r="W37" s="625"/>
      <c r="X37" s="522"/>
      <c r="Y37" s="1172">
        <v>1</v>
      </c>
      <c r="Z37" s="1172"/>
      <c r="AA37" s="1172"/>
      <c r="AB37" s="83"/>
      <c r="AC37" s="634"/>
      <c r="AF37" s="34" t="s">
        <v>63</v>
      </c>
      <c r="AG37" s="24" t="s">
        <v>74</v>
      </c>
    </row>
    <row r="38" spans="2:37" ht="45" customHeight="1">
      <c r="B38" s="1344"/>
      <c r="C38" s="428" t="s">
        <v>86</v>
      </c>
      <c r="D38" s="517" t="s">
        <v>120</v>
      </c>
      <c r="E38" s="354">
        <f>NETWORKDAYS.INTL(F38,G38,"0000110",$AI$5:$AI$11)</f>
        <v>4</v>
      </c>
      <c r="F38" s="147">
        <f>MAX(WORKDAY.INTL(G37,1,"0000100",$AL$5:$AL$10),WORKDAY.INTL(G33,1,"0000100",$AL$5:$AL$10))</f>
        <v>46260</v>
      </c>
      <c r="G38" s="147">
        <f t="shared" ref="G38" si="23">WORKDAY.INTL(F38,3,"0000110")</f>
        <v>46265</v>
      </c>
      <c r="H38" s="34">
        <f>MAX(WORKDAY.INTL(I37,1,"0000100",$AL$5:$AL$10),WORKDAY.INTL(I33,1,"0000100",$AL$5:$AL$10))</f>
        <v>46260</v>
      </c>
      <c r="I38" s="34">
        <f>WORKDAY.INTL(H38,3,"0000110")</f>
        <v>46265</v>
      </c>
      <c r="J38" s="34"/>
      <c r="K38" s="34"/>
      <c r="L38" s="366"/>
      <c r="M38" s="366" t="str">
        <f t="shared" ca="1" si="22"/>
        <v>Not Started</v>
      </c>
      <c r="N38" s="85"/>
      <c r="O38" s="50"/>
      <c r="P38" s="50"/>
      <c r="Q38" s="50"/>
      <c r="R38" s="50"/>
      <c r="S38" s="50"/>
      <c r="T38" s="50"/>
      <c r="U38" s="50"/>
      <c r="V38" s="518"/>
      <c r="W38" s="625"/>
      <c r="X38" s="522"/>
      <c r="Y38" s="1172">
        <v>1</v>
      </c>
      <c r="Z38" s="1172"/>
      <c r="AA38" s="1172"/>
      <c r="AB38" s="83" t="s">
        <v>232</v>
      </c>
      <c r="AC38" s="634" t="s">
        <v>123</v>
      </c>
      <c r="AF38" s="34" t="s">
        <v>64</v>
      </c>
      <c r="AG38" s="24" t="s">
        <v>74</v>
      </c>
    </row>
    <row r="39" spans="2:37" ht="45" customHeight="1" thickBot="1">
      <c r="B39" s="1345"/>
      <c r="C39" s="429" t="s">
        <v>86</v>
      </c>
      <c r="D39" s="489" t="s">
        <v>125</v>
      </c>
      <c r="E39" s="347">
        <f>NETWORKDAYS.INTL(F39,G39,"0000110",$AI$5:$AI$11)</f>
        <v>2</v>
      </c>
      <c r="F39" s="348">
        <f t="shared" ref="F39" si="24">WORKDAY.INTL(G38,1,"0000110")</f>
        <v>46266</v>
      </c>
      <c r="G39" s="348">
        <f t="shared" ref="G39" si="25">WORKDAY.INTL(F39,1,"0000110")</f>
        <v>46267</v>
      </c>
      <c r="H39" s="70">
        <f>WORKDAY.INTL(I38,1,"0000110")</f>
        <v>46266</v>
      </c>
      <c r="I39" s="70">
        <f>WORKDAY.INTL(H39,1,"0000110")</f>
        <v>46267</v>
      </c>
      <c r="J39" s="70"/>
      <c r="K39" s="70"/>
      <c r="L39" s="379"/>
      <c r="M39" s="379" t="str">
        <f t="shared" ca="1" si="22"/>
        <v>Not Started</v>
      </c>
      <c r="N39" s="71"/>
      <c r="O39" s="72"/>
      <c r="P39" s="72"/>
      <c r="Q39" s="72"/>
      <c r="R39" s="72"/>
      <c r="S39" s="72"/>
      <c r="T39" s="72"/>
      <c r="U39" s="72"/>
      <c r="V39" s="519"/>
      <c r="W39" s="625"/>
      <c r="X39" s="524"/>
      <c r="Y39" s="1181">
        <v>1</v>
      </c>
      <c r="Z39" s="1181"/>
      <c r="AA39" s="1181"/>
      <c r="AB39" s="69"/>
      <c r="AC39" s="635"/>
      <c r="AF39" s="34" t="s">
        <v>65</v>
      </c>
      <c r="AG39" s="24" t="s">
        <v>74</v>
      </c>
    </row>
    <row r="40" spans="2:37" s="19" customFormat="1" ht="7.5" customHeight="1" thickBot="1">
      <c r="B40" s="114"/>
      <c r="C40" s="114"/>
      <c r="D40" s="380" t="s">
        <v>233</v>
      </c>
      <c r="E40" s="381"/>
      <c r="F40" s="649"/>
      <c r="G40" s="649"/>
      <c r="H40" s="114"/>
      <c r="I40" s="114"/>
      <c r="J40" s="114"/>
      <c r="K40" s="114"/>
      <c r="L40" s="382"/>
      <c r="M40" s="382"/>
      <c r="N40" s="114"/>
      <c r="O40" s="114"/>
      <c r="P40" s="114"/>
      <c r="Q40" s="114"/>
      <c r="R40" s="114"/>
      <c r="S40" s="114"/>
      <c r="T40" s="114"/>
      <c r="U40" s="114"/>
      <c r="V40" s="382"/>
      <c r="W40" s="509"/>
      <c r="X40" s="660"/>
      <c r="Y40" s="661"/>
      <c r="Z40" s="661"/>
      <c r="AA40" s="661"/>
      <c r="AB40" s="661"/>
      <c r="AC40" s="662"/>
      <c r="AF40" s="33"/>
      <c r="AG40" s="33"/>
    </row>
    <row r="41" spans="2:37" ht="44.1" customHeight="1">
      <c r="B41" s="1340" t="s">
        <v>244</v>
      </c>
      <c r="C41" s="563" t="s">
        <v>86</v>
      </c>
      <c r="D41" s="389" t="s">
        <v>112</v>
      </c>
      <c r="E41" s="390">
        <f>NETWORKDAYS.INTL(F41,G41,"0000100",$AI$5:$AI$11)</f>
        <v>7</v>
      </c>
      <c r="F41" s="341">
        <f>WORKDAY.INTL(G37,1,"0000100",$AK$5:$AK$9)</f>
        <v>46259</v>
      </c>
      <c r="G41" s="341">
        <f>WORKDAY.INTL(F41,6,"0000100",$AI$5:$AI$10)</f>
        <v>46266</v>
      </c>
      <c r="H41" s="54">
        <f>WORKDAY.INTL(I37,1,"0000100",$AK$5:$AK$9)</f>
        <v>46259</v>
      </c>
      <c r="I41" s="54">
        <f>WORKDAY.INTL(H41,6,"0000100",$AI$5:$AI$10)</f>
        <v>46266</v>
      </c>
      <c r="J41" s="54">
        <v>46225</v>
      </c>
      <c r="K41" s="54"/>
      <c r="L41" s="392">
        <v>0.6</v>
      </c>
      <c r="M41" s="392" t="str">
        <f t="shared" ca="1" si="22"/>
        <v>In Progress</v>
      </c>
      <c r="N41" s="124"/>
      <c r="O41" s="122"/>
      <c r="P41" s="122"/>
      <c r="Q41" s="122"/>
      <c r="R41" s="122"/>
      <c r="S41" s="122"/>
      <c r="T41" s="122"/>
      <c r="U41" s="122"/>
      <c r="V41" s="564"/>
      <c r="W41" s="650"/>
      <c r="X41" s="651"/>
      <c r="Y41" s="1182" t="s">
        <v>169</v>
      </c>
      <c r="Z41" s="1182"/>
      <c r="AA41" s="1182"/>
      <c r="AB41" s="652" t="s">
        <v>239</v>
      </c>
      <c r="AC41" s="653" t="s">
        <v>240</v>
      </c>
      <c r="AF41" s="34" t="s">
        <v>62</v>
      </c>
      <c r="AG41" s="24" t="s">
        <v>75</v>
      </c>
      <c r="AK41" s="37"/>
    </row>
    <row r="42" spans="2:37" ht="44.1" customHeight="1">
      <c r="B42" s="1341"/>
      <c r="C42" s="565" t="s">
        <v>86</v>
      </c>
      <c r="D42" s="645" t="s">
        <v>114</v>
      </c>
      <c r="E42" s="398">
        <f>NETWORKDAYS.INTL(F42,G42,"0000100",$AI$5:$AI$11)</f>
        <v>3</v>
      </c>
      <c r="F42" s="337">
        <f>WORKDAY.INTL(G41,1,"0000100",$AI$5:$AI$10)</f>
        <v>46267</v>
      </c>
      <c r="G42" s="337">
        <f>WORKDAY.INTL(F42,2,"0000100",$AI$5:$AI$10)</f>
        <v>46270</v>
      </c>
      <c r="H42" s="41">
        <f>WORKDAY.INTL(I41,1,"0000100",$AI$5:$AI$10)</f>
        <v>46267</v>
      </c>
      <c r="I42" s="41">
        <f>WORKDAY.INTL(H42,2,"0000100",$AI$5:$AI$10)</f>
        <v>46270</v>
      </c>
      <c r="J42" s="41"/>
      <c r="K42" s="41"/>
      <c r="L42" s="400"/>
      <c r="M42" s="400" t="str">
        <f t="shared" ca="1" si="22"/>
        <v>Not Started</v>
      </c>
      <c r="N42" s="131"/>
      <c r="O42" s="646"/>
      <c r="P42" s="646"/>
      <c r="Q42" s="646"/>
      <c r="R42" s="646"/>
      <c r="S42" s="646"/>
      <c r="T42" s="646"/>
      <c r="U42" s="646"/>
      <c r="V42" s="566"/>
      <c r="W42" s="625"/>
      <c r="X42" s="654"/>
      <c r="Y42" s="1183">
        <v>1</v>
      </c>
      <c r="Z42" s="1183"/>
      <c r="AA42" s="1183"/>
      <c r="AB42" s="655"/>
      <c r="AC42" s="656"/>
      <c r="AF42" s="34" t="s">
        <v>63</v>
      </c>
      <c r="AG42" s="24" t="s">
        <v>75</v>
      </c>
    </row>
    <row r="43" spans="2:37" ht="44.1" customHeight="1">
      <c r="B43" s="1341"/>
      <c r="C43" s="565" t="s">
        <v>86</v>
      </c>
      <c r="D43" s="647" t="s">
        <v>120</v>
      </c>
      <c r="E43" s="398">
        <f>NETWORKDAYS.INTL(F43,G43,"0000110",$AI$5:$AI$11)</f>
        <v>6</v>
      </c>
      <c r="F43" s="337">
        <f>MAX(WORKDAY.INTL(G42,1,"0000100",$AL$5:$AL$10),WORKDAY.INTL(G38,1,"0000100",$AL$5:$AL$10))</f>
        <v>46271</v>
      </c>
      <c r="G43" s="337">
        <f t="shared" ref="G43" si="26">WORKDAY.INTL(F43,5,"0000110")</f>
        <v>46278</v>
      </c>
      <c r="H43" s="41">
        <f>MAX(WORKDAY.INTL(I42,1,"0000100",$AL$5:$AL$10),WORKDAY.INTL(I38,1,"0000100",$AL$5:$AL$10))</f>
        <v>46271</v>
      </c>
      <c r="I43" s="41">
        <f>WORKDAY.INTL(H43,5,"0000110")</f>
        <v>46278</v>
      </c>
      <c r="J43" s="41"/>
      <c r="K43" s="41"/>
      <c r="L43" s="400"/>
      <c r="M43" s="400" t="str">
        <f t="shared" ca="1" si="22"/>
        <v>Not Started</v>
      </c>
      <c r="N43" s="131"/>
      <c r="O43" s="132"/>
      <c r="P43" s="132"/>
      <c r="Q43" s="132"/>
      <c r="R43" s="132"/>
      <c r="S43" s="132"/>
      <c r="T43" s="132"/>
      <c r="U43" s="132"/>
      <c r="V43" s="566"/>
      <c r="W43" s="625"/>
      <c r="X43" s="654"/>
      <c r="Y43" s="1183">
        <v>1</v>
      </c>
      <c r="Z43" s="1183"/>
      <c r="AA43" s="1183"/>
      <c r="AB43" s="655" t="s">
        <v>232</v>
      </c>
      <c r="AC43" s="656" t="s">
        <v>123</v>
      </c>
      <c r="AF43" s="34" t="s">
        <v>64</v>
      </c>
      <c r="AG43" s="24" t="s">
        <v>75</v>
      </c>
    </row>
    <row r="44" spans="2:37" ht="44.1" customHeight="1" thickBot="1">
      <c r="B44" s="1342"/>
      <c r="C44" s="567" t="s">
        <v>86</v>
      </c>
      <c r="D44" s="648" t="s">
        <v>125</v>
      </c>
      <c r="E44" s="394">
        <f>NETWORKDAYS.INTL(F44,G44,"0000110",$AI$5:$AI$11)</f>
        <v>2</v>
      </c>
      <c r="F44" s="344">
        <f t="shared" ref="F44" si="27">WORKDAY.INTL(G43,1,"0000110")</f>
        <v>46279</v>
      </c>
      <c r="G44" s="344">
        <f t="shared" ref="G44" si="28">WORKDAY.INTL(F44,1,"0000110")</f>
        <v>46280</v>
      </c>
      <c r="H44" s="60">
        <f>WORKDAY.INTL(I43,1,"0000110")</f>
        <v>46279</v>
      </c>
      <c r="I44" s="60">
        <f>WORKDAY.INTL(H44,1,"0000110")</f>
        <v>46280</v>
      </c>
      <c r="J44" s="60"/>
      <c r="K44" s="60"/>
      <c r="L44" s="396"/>
      <c r="M44" s="396" t="str">
        <f t="shared" ca="1" si="22"/>
        <v>Not Started</v>
      </c>
      <c r="N44" s="126"/>
      <c r="O44" s="133"/>
      <c r="P44" s="133"/>
      <c r="Q44" s="133"/>
      <c r="R44" s="133"/>
      <c r="S44" s="133"/>
      <c r="T44" s="133"/>
      <c r="U44" s="133"/>
      <c r="V44" s="568"/>
      <c r="W44" s="625"/>
      <c r="X44" s="657"/>
      <c r="Y44" s="1184">
        <v>1</v>
      </c>
      <c r="Z44" s="1184"/>
      <c r="AA44" s="1184"/>
      <c r="AB44" s="658"/>
      <c r="AC44" s="659"/>
      <c r="AF44" s="34" t="s">
        <v>65</v>
      </c>
      <c r="AG44" s="24" t="s">
        <v>75</v>
      </c>
    </row>
    <row r="45" spans="2:37" s="19" customFormat="1">
      <c r="B45" s="114"/>
      <c r="C45" s="114"/>
      <c r="D45" s="380"/>
      <c r="E45" s="381"/>
      <c r="F45" s="649"/>
      <c r="G45" s="649"/>
      <c r="H45" s="114"/>
      <c r="I45" s="114"/>
      <c r="J45" s="114"/>
      <c r="K45" s="114"/>
      <c r="L45" s="382"/>
      <c r="M45" s="382"/>
      <c r="N45" s="114"/>
      <c r="O45" s="114"/>
      <c r="P45" s="114"/>
      <c r="Q45" s="114"/>
      <c r="R45" s="114"/>
      <c r="S45" s="114"/>
      <c r="T45" s="114"/>
      <c r="U45" s="114"/>
      <c r="V45" s="382"/>
      <c r="W45" s="509"/>
      <c r="X45" s="660"/>
      <c r="Y45" s="661"/>
      <c r="Z45" s="661"/>
      <c r="AA45" s="661"/>
      <c r="AB45" s="661"/>
      <c r="AC45" s="662"/>
      <c r="AF45" s="33"/>
      <c r="AG45" s="33"/>
    </row>
    <row r="46" spans="2:37" ht="58.5">
      <c r="B46" s="1343" t="s">
        <v>143</v>
      </c>
      <c r="C46" s="427" t="s">
        <v>143</v>
      </c>
      <c r="D46" s="375" t="s">
        <v>144</v>
      </c>
      <c r="E46" s="346">
        <f>NETWORKDAYS.INTL(F46,G46,"0000100",$AJ$5:$AJ$11)</f>
        <v>19</v>
      </c>
      <c r="F46" s="198">
        <f>WORKDAY.INTL(F47,3,"0000100",$AJ$5:$AJ$10)</f>
        <v>46250</v>
      </c>
      <c r="G46" s="198">
        <f>WORKDAY.INTL(F46,18,"0000100",$AJ$5:$AJ$9)</f>
        <v>46271</v>
      </c>
      <c r="H46" s="67">
        <f>WORKDAY.INTL(H47,3,"0000100",$AJ$5:$AJ$10)</f>
        <v>46250</v>
      </c>
      <c r="I46" s="67">
        <f>WORKDAY.INTL(H46,18,"0000100",$AJ$5:$AJ$9)</f>
        <v>46271</v>
      </c>
      <c r="J46" s="67"/>
      <c r="K46" s="67"/>
      <c r="L46" s="376"/>
      <c r="M46" s="376" t="str">
        <f t="shared" ca="1" si="22"/>
        <v>Not Started</v>
      </c>
      <c r="N46" s="68"/>
      <c r="O46" s="112"/>
      <c r="P46" s="112"/>
      <c r="Q46" s="112"/>
      <c r="R46" s="112"/>
      <c r="S46" s="112"/>
      <c r="T46" s="112"/>
      <c r="U46" s="112"/>
      <c r="V46" s="516"/>
      <c r="W46" s="625"/>
      <c r="X46" s="663" t="s">
        <v>145</v>
      </c>
      <c r="Y46" s="1185">
        <v>1</v>
      </c>
      <c r="Z46" s="1185"/>
      <c r="AA46" s="1185"/>
      <c r="AB46" s="66" t="s">
        <v>245</v>
      </c>
      <c r="AC46" s="633"/>
      <c r="AD46" s="21"/>
      <c r="AF46" s="34"/>
    </row>
    <row r="47" spans="2:37" ht="58.5">
      <c r="B47" s="1344"/>
      <c r="C47" s="428" t="s">
        <v>143</v>
      </c>
      <c r="D47" s="517" t="s">
        <v>147</v>
      </c>
      <c r="E47" s="354">
        <f>NETWORKDAYS.INTL(F47,G47,"0000100",$AJ$5:$AJ$11)</f>
        <v>19</v>
      </c>
      <c r="F47" s="200">
        <f>WORKDAY.INTL(G65,10,"0000100",$AJ$5:$AJ$10)</f>
        <v>46246</v>
      </c>
      <c r="G47" s="200">
        <f>WORKDAY.INTL(F47,18,"0000100",$AJ$5:$AJ$9)</f>
        <v>46267</v>
      </c>
      <c r="H47" s="34">
        <f>WORKDAY.INTL(I65,10,"0000100",$AJ$5:$AJ$10)</f>
        <v>46246</v>
      </c>
      <c r="I47" s="34">
        <f>WORKDAY.INTL(H47,18,"0000100",$AJ$5:$AJ$9)</f>
        <v>46267</v>
      </c>
      <c r="J47" s="34"/>
      <c r="K47" s="34"/>
      <c r="L47" s="366"/>
      <c r="M47" s="366" t="str">
        <f t="shared" ca="1" si="22"/>
        <v>Not Started</v>
      </c>
      <c r="N47" s="85"/>
      <c r="O47" s="50"/>
      <c r="P47" s="50"/>
      <c r="Q47" s="50"/>
      <c r="R47" s="50"/>
      <c r="S47" s="50"/>
      <c r="T47" s="50"/>
      <c r="U47" s="50"/>
      <c r="V47" s="518"/>
      <c r="W47" s="625"/>
      <c r="X47" s="664" t="s">
        <v>145</v>
      </c>
      <c r="Y47" s="1186">
        <v>1</v>
      </c>
      <c r="Z47" s="1186"/>
      <c r="AA47" s="1186"/>
      <c r="AB47" s="83" t="s">
        <v>245</v>
      </c>
      <c r="AC47" s="634"/>
      <c r="AD47" s="21"/>
      <c r="AF47" s="34"/>
    </row>
    <row r="48" spans="2:37" ht="58.5">
      <c r="B48" s="1345"/>
      <c r="C48" s="429" t="s">
        <v>143</v>
      </c>
      <c r="D48" s="377" t="s">
        <v>148</v>
      </c>
      <c r="E48" s="347">
        <f>NETWORKDAYS.INTL(F48,G48,"0000100",$AJ$5:$AJ$11)</f>
        <v>66</v>
      </c>
      <c r="F48" s="348">
        <f>F47</f>
        <v>46246</v>
      </c>
      <c r="G48" s="348">
        <f>WORKDAY.INTL(F48,65,"0000100",$AJ$5:$AJ$10)</f>
        <v>46322</v>
      </c>
      <c r="H48" s="70">
        <f>H47</f>
        <v>46246</v>
      </c>
      <c r="I48" s="70">
        <f>WORKDAY.INTL(H48,65,"0000100",$AJ$5:$AJ$10)</f>
        <v>46322</v>
      </c>
      <c r="J48" s="70"/>
      <c r="K48" s="70"/>
      <c r="L48" s="379"/>
      <c r="M48" s="379" t="str">
        <f t="shared" ca="1" si="22"/>
        <v>Not Started</v>
      </c>
      <c r="N48" s="71"/>
      <c r="O48" s="113"/>
      <c r="P48" s="113"/>
      <c r="Q48" s="113"/>
      <c r="R48" s="113"/>
      <c r="S48" s="113"/>
      <c r="T48" s="113"/>
      <c r="U48" s="113"/>
      <c r="V48" s="519"/>
      <c r="W48" s="625"/>
      <c r="X48" s="665" t="s">
        <v>246</v>
      </c>
      <c r="Y48" s="1187">
        <v>1</v>
      </c>
      <c r="Z48" s="1187"/>
      <c r="AA48" s="1187"/>
      <c r="AB48" s="69" t="s">
        <v>245</v>
      </c>
      <c r="AC48" s="635"/>
      <c r="AD48" s="21"/>
      <c r="AF48" s="34"/>
    </row>
    <row r="49" spans="2:34" s="19" customFormat="1">
      <c r="B49" s="114"/>
      <c r="C49" s="114"/>
      <c r="D49" s="380"/>
      <c r="E49" s="381"/>
      <c r="F49" s="649"/>
      <c r="G49" s="649"/>
      <c r="H49" s="114"/>
      <c r="I49" s="114"/>
      <c r="J49" s="114"/>
      <c r="K49" s="114"/>
      <c r="L49" s="382"/>
      <c r="M49" s="382"/>
      <c r="N49" s="114"/>
      <c r="O49" s="114"/>
      <c r="P49" s="114"/>
      <c r="Q49" s="114"/>
      <c r="R49" s="114"/>
      <c r="S49" s="114"/>
      <c r="T49" s="114"/>
      <c r="U49" s="114"/>
      <c r="V49" s="382"/>
      <c r="W49" s="509"/>
      <c r="X49" s="660"/>
      <c r="Y49" s="661"/>
      <c r="Z49" s="661"/>
      <c r="AA49" s="661"/>
      <c r="AB49" s="661"/>
      <c r="AC49" s="662"/>
      <c r="AF49" s="33"/>
      <c r="AG49" s="33"/>
    </row>
    <row r="50" spans="2:34" s="19" customFormat="1" ht="154.5" thickBot="1">
      <c r="B50" s="441" t="s">
        <v>150</v>
      </c>
      <c r="C50" s="544" t="s">
        <v>151</v>
      </c>
      <c r="D50" s="545" t="s">
        <v>247</v>
      </c>
      <c r="E50" s="546">
        <f>NETWORKDAYS.INTL(F50,G50,"0000110",$AJ$5:$AJ$11)</f>
        <v>3</v>
      </c>
      <c r="F50" s="666">
        <f>MAX(WORKDAY.INTL(G44,2,"0000110"),WORKDAY.INTL(G57,2,"0000110"))</f>
        <v>46287</v>
      </c>
      <c r="G50" s="666">
        <f t="shared" ref="G50" si="29">WORKDAY.INTL(F50,2,"0000110")</f>
        <v>46289</v>
      </c>
      <c r="H50" s="444">
        <f>MAX(WORKDAY.INTL(I44,1,"0000110"),WORKDAY.INTL(I57,1,"0000110"),WORKDAY.INTL(I55,1,"0000110"))</f>
        <v>46286</v>
      </c>
      <c r="I50" s="444">
        <f>WORKDAY.INTL(H50,2,"0000110")</f>
        <v>46288</v>
      </c>
      <c r="J50" s="444"/>
      <c r="K50" s="444"/>
      <c r="L50" s="443"/>
      <c r="M50" s="443" t="str">
        <f t="shared" ca="1" si="22"/>
        <v>Not Started</v>
      </c>
      <c r="N50" s="547"/>
      <c r="O50" s="548"/>
      <c r="P50" s="548"/>
      <c r="Q50" s="548"/>
      <c r="R50" s="548"/>
      <c r="S50" s="548"/>
      <c r="T50" s="548"/>
      <c r="U50" s="548"/>
      <c r="V50" s="668"/>
      <c r="W50" s="667"/>
      <c r="X50" s="672" t="s">
        <v>153</v>
      </c>
      <c r="Y50" s="1188">
        <v>1</v>
      </c>
      <c r="Z50" s="1188"/>
      <c r="AA50" s="1188"/>
      <c r="AB50" s="673" t="s">
        <v>248</v>
      </c>
      <c r="AC50" s="674"/>
      <c r="AF50" s="33"/>
      <c r="AG50" s="33"/>
    </row>
    <row r="51" spans="2:34" ht="63" hidden="1" customHeight="1">
      <c r="B51" s="1366"/>
      <c r="C51" s="57"/>
      <c r="D51" s="669"/>
      <c r="E51" s="333"/>
      <c r="F51" s="334"/>
      <c r="G51" s="334"/>
      <c r="H51" s="48"/>
      <c r="I51" s="48"/>
      <c r="J51" s="48"/>
      <c r="K51" s="48"/>
      <c r="L51" s="405"/>
      <c r="M51" s="405"/>
      <c r="N51" s="42"/>
      <c r="O51" s="670"/>
      <c r="P51" s="670"/>
      <c r="Q51" s="670"/>
      <c r="R51" s="670"/>
      <c r="S51" s="670"/>
      <c r="T51" s="670"/>
      <c r="U51" s="671"/>
      <c r="V51" s="405"/>
      <c r="W51" s="512"/>
      <c r="X51" s="230"/>
      <c r="Y51" s="432"/>
      <c r="Z51" s="432"/>
      <c r="AA51" s="432"/>
      <c r="AB51" s="40"/>
      <c r="AC51" s="135"/>
      <c r="AD51" s="21"/>
      <c r="AF51" s="34"/>
    </row>
    <row r="52" spans="2:34" hidden="1">
      <c r="B52" s="1366"/>
      <c r="C52" s="57"/>
      <c r="D52" s="336"/>
      <c r="E52" s="335"/>
      <c r="F52" s="337"/>
      <c r="G52" s="337"/>
      <c r="H52" s="41"/>
      <c r="I52" s="41"/>
      <c r="J52" s="41"/>
      <c r="K52" s="41"/>
      <c r="L52" s="400"/>
      <c r="M52" s="400"/>
      <c r="N52" s="42"/>
      <c r="O52" s="46"/>
      <c r="P52" s="46"/>
      <c r="Q52" s="46"/>
      <c r="R52" s="46"/>
      <c r="S52" s="46"/>
      <c r="T52" s="46"/>
      <c r="U52" s="47"/>
      <c r="V52" s="400"/>
      <c r="W52" s="513"/>
      <c r="X52" s="138"/>
      <c r="Y52" s="432"/>
      <c r="Z52" s="432"/>
      <c r="AA52" s="432"/>
      <c r="AB52" s="44"/>
      <c r="AC52" s="136"/>
      <c r="AD52" s="21"/>
      <c r="AF52" s="19"/>
      <c r="AG52" s="19"/>
    </row>
    <row r="53" spans="2:34" ht="45" hidden="1" customHeight="1">
      <c r="B53" s="1366"/>
      <c r="C53" s="57"/>
      <c r="D53" s="336"/>
      <c r="E53" s="335"/>
      <c r="F53" s="337"/>
      <c r="G53" s="337"/>
      <c r="H53" s="41"/>
      <c r="I53" s="41"/>
      <c r="J53" s="41"/>
      <c r="K53" s="41"/>
      <c r="L53" s="400"/>
      <c r="M53" s="400"/>
      <c r="N53" s="42"/>
      <c r="O53" s="46"/>
      <c r="P53" s="46"/>
      <c r="Q53" s="46"/>
      <c r="R53" s="46"/>
      <c r="S53" s="46"/>
      <c r="T53" s="46"/>
      <c r="U53" s="47"/>
      <c r="V53" s="400"/>
      <c r="W53" s="513"/>
      <c r="X53" s="230"/>
      <c r="Y53" s="432"/>
      <c r="Z53" s="432"/>
      <c r="AA53" s="432"/>
      <c r="AB53" s="44"/>
      <c r="AC53" s="136"/>
      <c r="AD53" s="21"/>
      <c r="AF53" s="34"/>
    </row>
    <row r="54" spans="2:34" ht="45" hidden="1" customHeight="1">
      <c r="B54" s="1366"/>
      <c r="C54" s="57"/>
      <c r="D54" s="336"/>
      <c r="E54" s="335"/>
      <c r="F54" s="337"/>
      <c r="G54" s="337"/>
      <c r="H54" s="41"/>
      <c r="I54" s="41"/>
      <c r="J54" s="41"/>
      <c r="K54" s="41"/>
      <c r="L54" s="400"/>
      <c r="M54" s="400"/>
      <c r="N54" s="42"/>
      <c r="O54" s="46"/>
      <c r="P54" s="46"/>
      <c r="Q54" s="46"/>
      <c r="R54" s="46"/>
      <c r="S54" s="46"/>
      <c r="T54" s="46"/>
      <c r="U54" s="47"/>
      <c r="V54" s="400"/>
      <c r="W54" s="513"/>
      <c r="X54" s="230"/>
      <c r="Y54" s="432"/>
      <c r="Z54" s="432"/>
      <c r="AA54" s="432"/>
      <c r="AB54" s="44"/>
      <c r="AC54" s="136"/>
      <c r="AD54" s="21"/>
      <c r="AF54" s="34"/>
    </row>
    <row r="55" spans="2:34" ht="45" hidden="1" customHeight="1" thickBot="1">
      <c r="B55" s="1367"/>
      <c r="C55" s="58"/>
      <c r="D55" s="342"/>
      <c r="E55" s="343"/>
      <c r="F55" s="344"/>
      <c r="G55" s="344"/>
      <c r="H55" s="60"/>
      <c r="I55" s="60"/>
      <c r="J55" s="60"/>
      <c r="K55" s="60"/>
      <c r="L55" s="396"/>
      <c r="M55" s="396"/>
      <c r="N55" s="61"/>
      <c r="O55" s="62"/>
      <c r="P55" s="62"/>
      <c r="Q55" s="62"/>
      <c r="R55" s="62"/>
      <c r="S55" s="62"/>
      <c r="T55" s="62"/>
      <c r="U55" s="63"/>
      <c r="V55" s="396"/>
      <c r="W55" s="514"/>
      <c r="X55" s="64"/>
      <c r="Y55" s="242"/>
      <c r="Z55" s="242"/>
      <c r="AA55" s="242"/>
      <c r="AB55" s="59"/>
      <c r="AC55" s="139"/>
      <c r="AD55" s="21"/>
      <c r="AF55" s="34"/>
    </row>
    <row r="56" spans="2:34" s="19" customFormat="1" ht="11.25" customHeight="1" thickBot="1">
      <c r="B56" s="51"/>
      <c r="C56" s="51"/>
      <c r="D56" s="338"/>
      <c r="E56" s="339"/>
      <c r="F56" s="340"/>
      <c r="G56" s="340"/>
      <c r="H56" s="51"/>
      <c r="I56" s="51"/>
      <c r="J56" s="51"/>
      <c r="K56" s="51"/>
      <c r="L56" s="374"/>
      <c r="M56" s="374"/>
      <c r="N56" s="51"/>
      <c r="O56" s="51"/>
      <c r="P56" s="51"/>
      <c r="Q56" s="51"/>
      <c r="R56" s="51"/>
      <c r="S56" s="51"/>
      <c r="T56" s="51"/>
      <c r="U56" s="51"/>
      <c r="V56" s="374"/>
      <c r="W56" s="509"/>
      <c r="X56" s="53"/>
      <c r="Y56" s="52"/>
      <c r="Z56" s="52"/>
      <c r="AA56" s="52"/>
      <c r="AB56" s="52"/>
      <c r="AC56" s="137"/>
    </row>
    <row r="57" spans="2:34" ht="49.5">
      <c r="B57" s="1343" t="s">
        <v>155</v>
      </c>
      <c r="C57" s="427" t="s">
        <v>155</v>
      </c>
      <c r="D57" s="345" t="s">
        <v>47</v>
      </c>
      <c r="E57" s="346">
        <f>NETWORKDAYS.INTL(F57,G57,"0000110",$AI$5:$AI$11)</f>
        <v>30</v>
      </c>
      <c r="F57" s="146">
        <v>46244</v>
      </c>
      <c r="G57" s="146">
        <f>WORKDAY.INTL(F57,29,"0000110",$AL$5:$AL$10)</f>
        <v>46285</v>
      </c>
      <c r="H57" s="67">
        <v>46244</v>
      </c>
      <c r="I57" s="67">
        <f>WORKDAY.INTL(H57,29,"0000110",$AL$5:$AL$10)</f>
        <v>46285</v>
      </c>
      <c r="J57" s="67"/>
      <c r="K57" s="67"/>
      <c r="L57" s="376"/>
      <c r="M57" s="376" t="str">
        <f t="shared" ref="M57:M58" ca="1" si="30">IF(L57=100%,"Completed",
IF(AND(L57&lt;100%,G57&lt;TODAY()),"Delayed",
IF(AND(OR(L57="",L57=0),F57&gt;TODAY()),"Not Started",
IF(AND(OR(L57="",L57=0),F57&lt;=TODAY()),"Delayed",
IF(AND(L57&gt;0,L57&lt;100%),"In Progress","")))))</f>
        <v>Not Started</v>
      </c>
      <c r="N57" s="68"/>
      <c r="O57" s="65"/>
      <c r="P57" s="65"/>
      <c r="Q57" s="65"/>
      <c r="R57" s="65"/>
      <c r="S57" s="65"/>
      <c r="T57" s="65"/>
      <c r="U57" s="65"/>
      <c r="V57" s="516"/>
      <c r="W57" s="624"/>
      <c r="X57" s="521"/>
      <c r="Y57" s="1180">
        <v>1</v>
      </c>
      <c r="Z57" s="1180"/>
      <c r="AA57" s="1180"/>
      <c r="AB57" s="66" t="s">
        <v>245</v>
      </c>
      <c r="AC57" s="633"/>
      <c r="AD57" s="21"/>
    </row>
    <row r="58" spans="2:34" ht="49.5">
      <c r="B58" s="1345"/>
      <c r="C58" s="429" t="s">
        <v>155</v>
      </c>
      <c r="D58" s="489" t="s">
        <v>158</v>
      </c>
      <c r="E58" s="347">
        <f>NETWORKDAYS.INTL(F58,G58,"0000110",$AI$5:$AI$11)</f>
        <v>30</v>
      </c>
      <c r="F58" s="348">
        <f>G50+35</f>
        <v>46324</v>
      </c>
      <c r="G58" s="348">
        <f>WORKDAY.INTL(F58,29,"0000110",$AL$5:$AL$10)</f>
        <v>46365</v>
      </c>
      <c r="H58" s="70">
        <f>I50+35</f>
        <v>46323</v>
      </c>
      <c r="I58" s="70">
        <f>WORKDAY.INTL(H58,29,"0000110",$AL$5:$AL$10)</f>
        <v>46364</v>
      </c>
      <c r="J58" s="70"/>
      <c r="K58" s="70"/>
      <c r="L58" s="379"/>
      <c r="M58" s="379" t="str">
        <f t="shared" ca="1" si="30"/>
        <v>Not Started</v>
      </c>
      <c r="N58" s="71"/>
      <c r="O58" s="72"/>
      <c r="P58" s="72"/>
      <c r="Q58" s="72"/>
      <c r="R58" s="72"/>
      <c r="S58" s="72"/>
      <c r="T58" s="72"/>
      <c r="U58" s="72"/>
      <c r="V58" s="519"/>
      <c r="W58" s="626"/>
      <c r="X58" s="785" t="s">
        <v>159</v>
      </c>
      <c r="Y58" s="1189">
        <v>1</v>
      </c>
      <c r="Z58" s="1189"/>
      <c r="AA58" s="1189"/>
      <c r="AB58" s="69"/>
      <c r="AC58" s="635"/>
      <c r="AD58" s="21"/>
    </row>
    <row r="59" spans="2:34" s="19" customFormat="1">
      <c r="B59" s="114"/>
      <c r="C59" s="114"/>
      <c r="D59" s="380"/>
      <c r="E59" s="381"/>
      <c r="F59" s="649"/>
      <c r="G59" s="649"/>
      <c r="H59" s="114"/>
      <c r="I59" s="114"/>
      <c r="J59" s="114"/>
      <c r="K59" s="114"/>
      <c r="L59" s="382"/>
      <c r="M59" s="382"/>
      <c r="N59" s="114"/>
      <c r="O59" s="114"/>
      <c r="P59" s="114"/>
      <c r="Q59" s="114"/>
      <c r="R59" s="114"/>
      <c r="S59" s="114"/>
      <c r="T59" s="114"/>
      <c r="U59" s="114"/>
      <c r="V59" s="382"/>
      <c r="W59" s="510"/>
      <c r="X59" s="660"/>
      <c r="Y59" s="661"/>
      <c r="Z59" s="661"/>
      <c r="AA59" s="661"/>
      <c r="AB59" s="661"/>
      <c r="AC59" s="662"/>
      <c r="AG59" s="24"/>
      <c r="AH59" s="24"/>
    </row>
    <row r="60" spans="2:34" ht="154.5" customHeight="1">
      <c r="B60" s="1336" t="s">
        <v>160</v>
      </c>
      <c r="C60" s="140" t="s">
        <v>160</v>
      </c>
      <c r="D60" s="349" t="s">
        <v>161</v>
      </c>
      <c r="E60" s="350">
        <f>NETWORKDAYS.INTL(F60,G60,"0000100",$AI$5:$AI$11)</f>
        <v>30</v>
      </c>
      <c r="F60" s="417">
        <v>46232</v>
      </c>
      <c r="G60" s="417">
        <f>WORKDAY.INTL(F60,24,"0000110",$AJ$5:$AJ$10)</f>
        <v>46266</v>
      </c>
      <c r="H60" s="76">
        <v>46232</v>
      </c>
      <c r="I60" s="76">
        <f>WORKDAY.INTL(H60,24,"0000110",$AJ$5:$AJ$10)</f>
        <v>46266</v>
      </c>
      <c r="J60" s="76"/>
      <c r="K60" s="76"/>
      <c r="L60" s="406"/>
      <c r="M60" s="406" t="str">
        <f t="shared" ref="M60:M61" ca="1" si="31">IF(L60=100%,"Completed",
IF(AND(L60&lt;100%,G60&lt;TODAY()),"Delayed",
IF(AND(OR(L60="",L60=0),F60&gt;TODAY()),"Not Started",
IF(AND(OR(L60="",L60=0),F60&lt;=TODAY()),"Delayed",
IF(AND(L60&gt;0,L60&lt;100%),"In Progress","")))))</f>
        <v>Not Started</v>
      </c>
      <c r="N60" s="77"/>
      <c r="O60" s="73"/>
      <c r="P60" s="73"/>
      <c r="Q60" s="73"/>
      <c r="R60" s="73"/>
      <c r="S60" s="73"/>
      <c r="T60" s="73"/>
      <c r="U60" s="73"/>
      <c r="V60" s="675"/>
      <c r="W60" s="624"/>
      <c r="X60" s="677" t="s">
        <v>162</v>
      </c>
      <c r="Y60" s="1190"/>
      <c r="Z60" s="1190"/>
      <c r="AA60" s="1190"/>
      <c r="AB60" s="74"/>
      <c r="AC60" s="678"/>
      <c r="AD60" s="21"/>
      <c r="AG60" s="33"/>
      <c r="AH60" s="33"/>
    </row>
    <row r="61" spans="2:34" ht="46.5">
      <c r="B61" s="1337"/>
      <c r="C61" s="141" t="s">
        <v>160</v>
      </c>
      <c r="D61" s="351" t="s">
        <v>51</v>
      </c>
      <c r="E61" s="352">
        <f>NETWORKDAYS.INTL(F61,G61,"0000110",$AI$5:$AI$11)</f>
        <v>15</v>
      </c>
      <c r="F61" s="418">
        <f>WORKDAY.INTL(G60,1,"0000110",$AJ$5:$AJ$10)</f>
        <v>46267</v>
      </c>
      <c r="G61" s="418">
        <f>WORKDAY.INTL(F61,15,"0000110",$AJ$5:$AJ$10)</f>
        <v>46288</v>
      </c>
      <c r="H61" s="144">
        <f>WORKDAY.INTL(I60,1,"0000110",$AJ$5:$AJ$10)</f>
        <v>46267</v>
      </c>
      <c r="I61" s="144">
        <f>WORKDAY.INTL(H61,15,"0000110",$AJ$5:$AJ$10)</f>
        <v>46288</v>
      </c>
      <c r="J61" s="144"/>
      <c r="K61" s="144"/>
      <c r="L61" s="407"/>
      <c r="M61" s="407" t="str">
        <f t="shared" ca="1" si="31"/>
        <v>Not Started</v>
      </c>
      <c r="N61" s="145"/>
      <c r="O61" s="142"/>
      <c r="P61" s="142"/>
      <c r="Q61" s="142"/>
      <c r="R61" s="142"/>
      <c r="S61" s="142"/>
      <c r="T61" s="142"/>
      <c r="U61" s="142"/>
      <c r="V61" s="676"/>
      <c r="W61" s="626"/>
      <c r="X61" s="679" t="s">
        <v>163</v>
      </c>
      <c r="Y61" s="1191"/>
      <c r="Z61" s="1191"/>
      <c r="AA61" s="1191"/>
      <c r="AB61" s="143"/>
      <c r="AC61" s="680"/>
      <c r="AD61" s="21"/>
    </row>
    <row r="62" spans="2:34">
      <c r="B62" s="681"/>
      <c r="C62" s="681"/>
      <c r="D62" s="682"/>
      <c r="E62" s="683"/>
      <c r="F62" s="684"/>
      <c r="G62" s="684"/>
      <c r="H62" s="685"/>
      <c r="I62" s="685"/>
      <c r="J62" s="685"/>
      <c r="K62" s="685"/>
      <c r="L62" s="591"/>
      <c r="M62" s="591"/>
      <c r="O62" s="686"/>
      <c r="P62" s="686"/>
      <c r="Q62" s="686"/>
      <c r="R62" s="686"/>
      <c r="S62" s="686"/>
      <c r="T62" s="686"/>
      <c r="U62" s="686"/>
      <c r="V62" s="591"/>
      <c r="W62" s="592"/>
      <c r="X62" s="691"/>
      <c r="Y62" s="1171"/>
      <c r="Z62" s="1171"/>
      <c r="AA62" s="1171"/>
      <c r="AB62" s="692"/>
      <c r="AC62" s="693"/>
      <c r="AD62" s="21"/>
    </row>
    <row r="63" spans="2:34" ht="51.95" customHeight="1">
      <c r="B63" s="1351" t="s">
        <v>249</v>
      </c>
      <c r="C63" s="437" t="s">
        <v>91</v>
      </c>
      <c r="D63" s="345" t="s">
        <v>165</v>
      </c>
      <c r="E63" s="346">
        <f>NETWORKDAYS.INTL(F63,G63,"0000100",$AJ$5:$AJ$11)</f>
        <v>1</v>
      </c>
      <c r="F63" s="146">
        <f>G63</f>
        <v>46215</v>
      </c>
      <c r="G63" s="146">
        <v>46215</v>
      </c>
      <c r="H63" s="67">
        <f>I63</f>
        <v>46215</v>
      </c>
      <c r="I63" s="67">
        <v>46215</v>
      </c>
      <c r="J63" s="81">
        <v>46215</v>
      </c>
      <c r="K63" s="81">
        <v>46215</v>
      </c>
      <c r="L63" s="376">
        <v>1</v>
      </c>
      <c r="M63" s="376" t="str">
        <f t="shared" ref="M63:M90" ca="1" si="32">IF(L63=100%,"Completed",
IF(AND(L63&lt;100%,G63&lt;TODAY()),"Delayed",
IF(AND(OR(L63="",L63=0),F63&gt;TODAY()),"Not Started",
IF(AND(OR(L63="",L63=0),F63&lt;=TODAY()),"Delayed",
IF(AND(L63&gt;0,L63&lt;100%),"In Progress","")))))</f>
        <v>Completed</v>
      </c>
      <c r="N63" s="68"/>
      <c r="O63" s="65"/>
      <c r="P63" s="65"/>
      <c r="Q63" s="65"/>
      <c r="R63" s="65"/>
      <c r="S63" s="65"/>
      <c r="T63" s="65"/>
      <c r="U63" s="65"/>
      <c r="V63" s="516"/>
      <c r="W63" s="624"/>
      <c r="X63" s="521"/>
      <c r="Y63" s="1180"/>
      <c r="Z63" s="1180"/>
      <c r="AA63" s="1180"/>
      <c r="AB63" s="66"/>
      <c r="AC63" s="687"/>
      <c r="AD63" s="21"/>
    </row>
    <row r="64" spans="2:34" ht="51.95" customHeight="1">
      <c r="B64" s="1344"/>
      <c r="C64" s="487" t="s">
        <v>91</v>
      </c>
      <c r="D64" s="353" t="s">
        <v>250</v>
      </c>
      <c r="E64" s="354">
        <f t="shared" ref="E64:E86" si="33">NETWORKDAYS.INTL(F64,G64,"0000100",$AJ$5:$AJ$12)</f>
        <v>6</v>
      </c>
      <c r="F64" s="147">
        <f>WORKDAY.INTL(G63,8,"0000100",$AJ$5:$AJ$11)</f>
        <v>46224</v>
      </c>
      <c r="G64" s="147">
        <f>WORKDAY.INTL(F64,5,"0000100",$AJ$5:$AJ$11)</f>
        <v>46230</v>
      </c>
      <c r="H64" s="34">
        <f>WORKDAY.INTL(I63,8,"0000100",$AJ$5:$AJ$11)</f>
        <v>46224</v>
      </c>
      <c r="I64" s="34">
        <f>WORKDAY.INTL(H64,5,"0000100",$AJ$5:$AJ$11)</f>
        <v>46230</v>
      </c>
      <c r="J64" s="84">
        <v>46225</v>
      </c>
      <c r="K64" s="84"/>
      <c r="L64" s="366">
        <v>0.15</v>
      </c>
      <c r="M64" s="366" t="str">
        <f t="shared" ca="1" si="32"/>
        <v>In Progress</v>
      </c>
      <c r="N64" s="85"/>
      <c r="O64" s="82"/>
      <c r="P64" s="82"/>
      <c r="Q64" s="82"/>
      <c r="R64" s="82"/>
      <c r="S64" s="82"/>
      <c r="T64" s="82"/>
      <c r="U64" s="82"/>
      <c r="V64" s="518" t="s">
        <v>167</v>
      </c>
      <c r="W64" s="591"/>
      <c r="X64" s="688"/>
      <c r="Y64" s="1172" t="s">
        <v>169</v>
      </c>
      <c r="Z64" s="1172"/>
      <c r="AA64" s="1172"/>
      <c r="AB64" s="83" t="s">
        <v>251</v>
      </c>
      <c r="AC64" s="689" t="s">
        <v>252</v>
      </c>
      <c r="AD64" s="21"/>
    </row>
    <row r="65" spans="2:34" ht="51.95" customHeight="1" thickBot="1">
      <c r="B65" s="1345"/>
      <c r="C65" s="438" t="s">
        <v>91</v>
      </c>
      <c r="D65" s="489" t="s">
        <v>172</v>
      </c>
      <c r="E65" s="347">
        <f t="shared" si="33"/>
        <v>4</v>
      </c>
      <c r="F65" s="348">
        <f t="shared" ref="F65:F71" si="34">WORKDAY.INTL(G64,1,"0000100",$AJ$5:$AJ$11)</f>
        <v>46231</v>
      </c>
      <c r="G65" s="348">
        <f>WORKDAY.INTL(F65,3,"0000100",$AJ$5:$AJ$11)</f>
        <v>46235</v>
      </c>
      <c r="H65" s="70">
        <f>WORKDAY.INTL(I64,1,"0000100",$AJ$5:$AJ$11)</f>
        <v>46231</v>
      </c>
      <c r="I65" s="70">
        <f>WORKDAY.INTL(H65,3,"0000100",$AJ$5:$AJ$11)</f>
        <v>46235</v>
      </c>
      <c r="J65" s="378"/>
      <c r="K65" s="378"/>
      <c r="L65" s="379"/>
      <c r="M65" s="379" t="str">
        <f t="shared" ca="1" si="32"/>
        <v>Not Started</v>
      </c>
      <c r="N65" s="71"/>
      <c r="O65" s="72"/>
      <c r="P65" s="72"/>
      <c r="Q65" s="72"/>
      <c r="R65" s="72"/>
      <c r="S65" s="72"/>
      <c r="T65" s="72"/>
      <c r="U65" s="72"/>
      <c r="V65" s="519"/>
      <c r="W65" s="625"/>
      <c r="X65" s="524"/>
      <c r="Y65" s="1181">
        <v>1</v>
      </c>
      <c r="Z65" s="1181"/>
      <c r="AA65" s="1181"/>
      <c r="AB65" s="69"/>
      <c r="AC65" s="690"/>
      <c r="AD65" s="21"/>
    </row>
    <row r="66" spans="2:34" s="19" customFormat="1">
      <c r="B66" s="114"/>
      <c r="C66" s="694"/>
      <c r="D66" s="380"/>
      <c r="E66" s="381"/>
      <c r="F66" s="649"/>
      <c r="G66" s="649"/>
      <c r="H66" s="114"/>
      <c r="I66" s="114"/>
      <c r="J66" s="114"/>
      <c r="K66" s="114"/>
      <c r="L66" s="382"/>
      <c r="M66" s="382"/>
      <c r="N66" s="114"/>
      <c r="O66" s="114"/>
      <c r="P66" s="114"/>
      <c r="Q66" s="114"/>
      <c r="R66" s="114"/>
      <c r="S66" s="114"/>
      <c r="T66" s="114"/>
      <c r="U66" s="114"/>
      <c r="V66" s="382"/>
      <c r="W66" s="510"/>
      <c r="X66" s="660"/>
      <c r="Y66" s="661"/>
      <c r="Z66" s="661"/>
      <c r="AA66" s="661"/>
      <c r="AB66" s="661"/>
      <c r="AC66" s="662"/>
      <c r="AG66" s="24"/>
      <c r="AH66" s="24"/>
    </row>
    <row r="67" spans="2:34" ht="51.95" customHeight="1">
      <c r="B67" s="1364" t="s">
        <v>253</v>
      </c>
      <c r="C67" s="437" t="s">
        <v>91</v>
      </c>
      <c r="D67" s="695" t="s">
        <v>254</v>
      </c>
      <c r="E67" s="696">
        <f t="shared" si="33"/>
        <v>5</v>
      </c>
      <c r="F67" s="697">
        <f>WORKDAY.INTL(G64,1,"0000100",$AJ$5:$AJ$11)</f>
        <v>46231</v>
      </c>
      <c r="G67" s="697">
        <f t="shared" ref="G67:G73" si="35">WORKDAY.INTL(F67,4,"0000100",$AJ$5:$AJ$11)</f>
        <v>46236</v>
      </c>
      <c r="H67" s="698">
        <f>WORKDAY.INTL(I64,1,"0000100",$AJ$5:$AJ$11)</f>
        <v>46231</v>
      </c>
      <c r="I67" s="698">
        <f>WORKDAY.INTL(H67,4,"0000100",$AJ$5:$AJ$11)</f>
        <v>46236</v>
      </c>
      <c r="J67" s="697"/>
      <c r="K67" s="699"/>
      <c r="L67" s="700"/>
      <c r="M67" s="700" t="str">
        <f t="shared" ca="1" si="32"/>
        <v>Not Started</v>
      </c>
      <c r="N67" s="701"/>
      <c r="O67" s="702"/>
      <c r="P67" s="702"/>
      <c r="Q67" s="702"/>
      <c r="R67" s="702"/>
      <c r="S67" s="702"/>
      <c r="T67" s="702"/>
      <c r="U67" s="702"/>
      <c r="V67" s="703"/>
      <c r="W67" s="591"/>
      <c r="X67" s="704" t="s">
        <v>168</v>
      </c>
      <c r="Y67" s="1173" t="s">
        <v>169</v>
      </c>
      <c r="Z67" s="1173"/>
      <c r="AA67" s="1173"/>
      <c r="AB67" s="705" t="s">
        <v>251</v>
      </c>
      <c r="AC67" s="706" t="s">
        <v>255</v>
      </c>
      <c r="AD67" s="21"/>
    </row>
    <row r="68" spans="2:34" ht="51.95" customHeight="1" thickBot="1">
      <c r="B68" s="1365"/>
      <c r="C68" s="438" t="s">
        <v>91</v>
      </c>
      <c r="D68" s="708" t="s">
        <v>172</v>
      </c>
      <c r="E68" s="709">
        <f t="shared" si="33"/>
        <v>5</v>
      </c>
      <c r="F68" s="710">
        <f t="shared" si="34"/>
        <v>46237</v>
      </c>
      <c r="G68" s="710">
        <f t="shared" ref="G68:G71" si="36">WORKDAY.INTL(G67,5,"0000100",$AJ$5:$AJ$11)</f>
        <v>46242</v>
      </c>
      <c r="H68" s="711">
        <f>WORKDAY.INTL(I67,1,"0000100",$AJ$5:$AJ$11)</f>
        <v>46237</v>
      </c>
      <c r="I68" s="711">
        <f>WORKDAY.INTL(I67,5,"0000100",$AJ$5:$AJ$11)</f>
        <v>46242</v>
      </c>
      <c r="J68" s="712"/>
      <c r="K68" s="712"/>
      <c r="L68" s="713"/>
      <c r="M68" s="713" t="str">
        <f t="shared" ca="1" si="32"/>
        <v>Not Started</v>
      </c>
      <c r="N68" s="714"/>
      <c r="O68" s="715"/>
      <c r="P68" s="715"/>
      <c r="Q68" s="715"/>
      <c r="R68" s="715"/>
      <c r="S68" s="715"/>
      <c r="T68" s="715"/>
      <c r="U68" s="715"/>
      <c r="V68" s="716"/>
      <c r="W68" s="625"/>
      <c r="X68" s="717"/>
      <c r="Y68" s="1192">
        <v>1</v>
      </c>
      <c r="Z68" s="1192"/>
      <c r="AA68" s="1192"/>
      <c r="AB68" s="718"/>
      <c r="AC68" s="719"/>
      <c r="AD68" s="21"/>
    </row>
    <row r="69" spans="2:34" s="19" customFormat="1">
      <c r="B69" s="114"/>
      <c r="C69" s="694"/>
      <c r="D69" s="380"/>
      <c r="E69" s="381"/>
      <c r="F69" s="649"/>
      <c r="G69" s="649"/>
      <c r="H69" s="114"/>
      <c r="I69" s="114"/>
      <c r="J69" s="114"/>
      <c r="K69" s="114"/>
      <c r="L69" s="707"/>
      <c r="M69" s="707"/>
      <c r="N69" s="114"/>
      <c r="O69" s="114"/>
      <c r="P69" s="114"/>
      <c r="Q69" s="114"/>
      <c r="R69" s="114"/>
      <c r="S69" s="114"/>
      <c r="T69" s="114"/>
      <c r="U69" s="114"/>
      <c r="V69" s="707"/>
      <c r="W69" s="627"/>
      <c r="X69" s="660"/>
      <c r="Y69" s="661"/>
      <c r="Z69" s="661"/>
      <c r="AA69" s="661"/>
      <c r="AB69" s="661"/>
      <c r="AC69" s="662"/>
      <c r="AG69" s="24"/>
      <c r="AH69" s="24"/>
    </row>
    <row r="70" spans="2:34" ht="51.95" customHeight="1">
      <c r="B70" s="1351" t="s">
        <v>177</v>
      </c>
      <c r="C70" s="437" t="s">
        <v>91</v>
      </c>
      <c r="D70" s="345" t="s">
        <v>256</v>
      </c>
      <c r="E70" s="346">
        <f t="shared" si="33"/>
        <v>5</v>
      </c>
      <c r="F70" s="146">
        <f t="shared" ref="F70" si="37">WORKDAY.INTL(G67,1,"0000100",$AJ$5:$AJ$11)</f>
        <v>46237</v>
      </c>
      <c r="G70" s="146">
        <f t="shared" si="35"/>
        <v>46242</v>
      </c>
      <c r="H70" s="67">
        <f>WORKDAY.INTL(I67,1,"0000100",$AJ$5:$AJ$11)</f>
        <v>46237</v>
      </c>
      <c r="I70" s="67">
        <f>WORKDAY.INTL(H70,4,"0000100",$AJ$5:$AJ$11)</f>
        <v>46242</v>
      </c>
      <c r="J70" s="81"/>
      <c r="K70" s="81"/>
      <c r="L70" s="376"/>
      <c r="M70" s="376" t="str">
        <f t="shared" ca="1" si="32"/>
        <v>Not Started</v>
      </c>
      <c r="N70" s="68"/>
      <c r="O70" s="65"/>
      <c r="P70" s="65"/>
      <c r="Q70" s="65"/>
      <c r="R70" s="65"/>
      <c r="S70" s="65"/>
      <c r="T70" s="65"/>
      <c r="U70" s="65"/>
      <c r="V70" s="516"/>
      <c r="W70" s="625"/>
      <c r="X70" s="521"/>
      <c r="Y70" s="1180" t="s">
        <v>169</v>
      </c>
      <c r="Z70" s="1180"/>
      <c r="AA70" s="1180"/>
      <c r="AB70" s="66" t="s">
        <v>251</v>
      </c>
      <c r="AC70" s="687" t="s">
        <v>181</v>
      </c>
      <c r="AD70" s="21"/>
    </row>
    <row r="71" spans="2:34" ht="51.95" customHeight="1" thickBot="1">
      <c r="B71" s="1345"/>
      <c r="C71" s="438" t="s">
        <v>91</v>
      </c>
      <c r="D71" s="489" t="s">
        <v>172</v>
      </c>
      <c r="E71" s="347">
        <f t="shared" si="33"/>
        <v>5</v>
      </c>
      <c r="F71" s="348">
        <f t="shared" si="34"/>
        <v>46243</v>
      </c>
      <c r="G71" s="348">
        <f t="shared" si="36"/>
        <v>46247</v>
      </c>
      <c r="H71" s="70">
        <f>WORKDAY.INTL(I70,1,"0000100",$AJ$5:$AJ$11)</f>
        <v>46243</v>
      </c>
      <c r="I71" s="70">
        <f>WORKDAY.INTL(I70,5,"0000100",$AJ$5:$AJ$11)</f>
        <v>46247</v>
      </c>
      <c r="J71" s="378"/>
      <c r="K71" s="378"/>
      <c r="L71" s="379"/>
      <c r="M71" s="379" t="str">
        <f t="shared" ca="1" si="32"/>
        <v>Not Started</v>
      </c>
      <c r="N71" s="71"/>
      <c r="O71" s="72"/>
      <c r="P71" s="72"/>
      <c r="Q71" s="72"/>
      <c r="R71" s="72"/>
      <c r="S71" s="72"/>
      <c r="T71" s="72"/>
      <c r="U71" s="72"/>
      <c r="V71" s="519"/>
      <c r="W71" s="625"/>
      <c r="X71" s="524"/>
      <c r="Y71" s="1181">
        <v>1</v>
      </c>
      <c r="Z71" s="1181"/>
      <c r="AA71" s="1181"/>
      <c r="AB71" s="69"/>
      <c r="AC71" s="690"/>
      <c r="AD71" s="21"/>
    </row>
    <row r="72" spans="2:34" s="19" customFormat="1">
      <c r="B72" s="114"/>
      <c r="C72" s="694"/>
      <c r="D72" s="380"/>
      <c r="E72" s="381"/>
      <c r="F72" s="649"/>
      <c r="G72" s="649"/>
      <c r="H72" s="114"/>
      <c r="I72" s="114"/>
      <c r="J72" s="114"/>
      <c r="K72" s="114"/>
      <c r="L72" s="382"/>
      <c r="M72" s="382"/>
      <c r="N72" s="114"/>
      <c r="O72" s="114"/>
      <c r="P72" s="114"/>
      <c r="Q72" s="114"/>
      <c r="R72" s="114"/>
      <c r="S72" s="114"/>
      <c r="T72" s="114"/>
      <c r="U72" s="114"/>
      <c r="V72" s="382"/>
      <c r="W72" s="510"/>
      <c r="X72" s="660"/>
      <c r="Y72" s="661"/>
      <c r="Z72" s="661"/>
      <c r="AA72" s="661"/>
      <c r="AB72" s="661"/>
      <c r="AC72" s="662"/>
      <c r="AG72" s="24"/>
      <c r="AH72" s="24"/>
    </row>
    <row r="73" spans="2:34" ht="51.95" customHeight="1">
      <c r="B73" s="1349" t="s">
        <v>257</v>
      </c>
      <c r="C73" s="437" t="s">
        <v>91</v>
      </c>
      <c r="D73" s="695" t="s">
        <v>258</v>
      </c>
      <c r="E73" s="696">
        <f t="shared" si="33"/>
        <v>5</v>
      </c>
      <c r="F73" s="697">
        <f>WORKDAY.INTL(G70,1,"0000100",$AJ$5:$AJ$11)</f>
        <v>46243</v>
      </c>
      <c r="G73" s="697">
        <f t="shared" si="35"/>
        <v>46247</v>
      </c>
      <c r="H73" s="698">
        <f>WORKDAY.INTL(I70,1,"0000100",$AJ$5:$AJ$11)</f>
        <v>46243</v>
      </c>
      <c r="I73" s="698">
        <f>WORKDAY.INTL(H73,4,"0000100",$AJ$5:$AJ$11)</f>
        <v>46247</v>
      </c>
      <c r="J73" s="699"/>
      <c r="K73" s="699"/>
      <c r="L73" s="700"/>
      <c r="M73" s="700" t="str">
        <f t="shared" ca="1" si="32"/>
        <v>Not Started</v>
      </c>
      <c r="N73" s="701"/>
      <c r="O73" s="702"/>
      <c r="P73" s="702"/>
      <c r="Q73" s="702"/>
      <c r="R73" s="702"/>
      <c r="S73" s="702"/>
      <c r="T73" s="702"/>
      <c r="U73" s="702"/>
      <c r="V73" s="703"/>
      <c r="W73" s="625"/>
      <c r="X73" s="485"/>
      <c r="Y73" s="1173" t="s">
        <v>169</v>
      </c>
      <c r="Z73" s="1173"/>
      <c r="AA73" s="1173"/>
      <c r="AB73" s="705" t="s">
        <v>251</v>
      </c>
      <c r="AC73" s="706" t="s">
        <v>181</v>
      </c>
      <c r="AD73" s="21"/>
    </row>
    <row r="74" spans="2:34" ht="51.95" customHeight="1" thickBot="1">
      <c r="B74" s="1350"/>
      <c r="C74" s="438" t="s">
        <v>91</v>
      </c>
      <c r="D74" s="708" t="s">
        <v>172</v>
      </c>
      <c r="E74" s="709">
        <f t="shared" si="33"/>
        <v>5</v>
      </c>
      <c r="F74" s="710">
        <f t="shared" ref="F74:F80" si="38">WORKDAY.INTL(G73,1,"0000100",$AJ$5:$AJ$11)</f>
        <v>46249</v>
      </c>
      <c r="G74" s="710">
        <f t="shared" ref="G74:G80" si="39">WORKDAY.INTL(G73,5,"0000100",$AJ$5:$AJ$11)</f>
        <v>46253</v>
      </c>
      <c r="H74" s="711">
        <f>WORKDAY.INTL(I73,1,"0000100",$AJ$5:$AJ$11)</f>
        <v>46249</v>
      </c>
      <c r="I74" s="711">
        <f>WORKDAY.INTL(I73,5,"0000100",$AJ$5:$AJ$11)</f>
        <v>46253</v>
      </c>
      <c r="J74" s="712"/>
      <c r="K74" s="712"/>
      <c r="L74" s="713"/>
      <c r="M74" s="713" t="str">
        <f t="shared" ca="1" si="32"/>
        <v>Not Started</v>
      </c>
      <c r="N74" s="714"/>
      <c r="O74" s="715"/>
      <c r="P74" s="715"/>
      <c r="Q74" s="715"/>
      <c r="R74" s="715"/>
      <c r="S74" s="715"/>
      <c r="T74" s="715"/>
      <c r="U74" s="715"/>
      <c r="V74" s="716"/>
      <c r="W74" s="625"/>
      <c r="X74" s="717"/>
      <c r="Y74" s="1192">
        <v>1</v>
      </c>
      <c r="Z74" s="1192"/>
      <c r="AA74" s="1192"/>
      <c r="AB74" s="718"/>
      <c r="AC74" s="719"/>
      <c r="AD74" s="21"/>
    </row>
    <row r="75" spans="2:34" s="19" customFormat="1">
      <c r="B75" s="114"/>
      <c r="C75" s="694"/>
      <c r="D75" s="380"/>
      <c r="E75" s="381"/>
      <c r="F75" s="649"/>
      <c r="G75" s="649"/>
      <c r="H75" s="114"/>
      <c r="I75" s="114"/>
      <c r="J75" s="114"/>
      <c r="K75" s="114"/>
      <c r="L75" s="707"/>
      <c r="M75" s="707"/>
      <c r="N75" s="114"/>
      <c r="O75" s="114"/>
      <c r="P75" s="114"/>
      <c r="Q75" s="114"/>
      <c r="R75" s="114"/>
      <c r="S75" s="114"/>
      <c r="T75" s="114"/>
      <c r="U75" s="114"/>
      <c r="V75" s="707"/>
      <c r="W75" s="627"/>
      <c r="X75" s="660"/>
      <c r="Y75" s="661"/>
      <c r="Z75" s="661"/>
      <c r="AA75" s="661"/>
      <c r="AB75" s="661"/>
      <c r="AC75" s="662"/>
      <c r="AG75" s="24"/>
      <c r="AH75" s="24"/>
    </row>
    <row r="76" spans="2:34" ht="51.95" customHeight="1">
      <c r="B76" s="1351" t="s">
        <v>259</v>
      </c>
      <c r="C76" s="437" t="s">
        <v>91</v>
      </c>
      <c r="D76" s="345" t="s">
        <v>260</v>
      </c>
      <c r="E76" s="346">
        <f t="shared" si="33"/>
        <v>5</v>
      </c>
      <c r="F76" s="146">
        <f>WORKDAY.INTL(G73,1,"0000100",$AJ$5:$AJ$11)</f>
        <v>46249</v>
      </c>
      <c r="G76" s="146">
        <f t="shared" ref="G76:G82" si="40">WORKDAY.INTL(F76,4,"0000100",$AJ$5:$AJ$11)</f>
        <v>46253</v>
      </c>
      <c r="H76" s="67">
        <f>WORKDAY.INTL(I73,1,"0000100",$AJ$5:$AJ$11)</f>
        <v>46249</v>
      </c>
      <c r="I76" s="67">
        <f>WORKDAY.INTL(H76,4,"0000100",$AJ$5:$AJ$11)</f>
        <v>46253</v>
      </c>
      <c r="J76" s="81"/>
      <c r="K76" s="81"/>
      <c r="L76" s="376"/>
      <c r="M76" s="376" t="str">
        <f t="shared" ca="1" si="32"/>
        <v>Not Started</v>
      </c>
      <c r="N76" s="68"/>
      <c r="O76" s="65"/>
      <c r="P76" s="65"/>
      <c r="Q76" s="65"/>
      <c r="R76" s="65"/>
      <c r="S76" s="65"/>
      <c r="T76" s="65"/>
      <c r="U76" s="65"/>
      <c r="V76" s="516"/>
      <c r="W76" s="625"/>
      <c r="X76" s="521"/>
      <c r="Y76" s="1180" t="s">
        <v>169</v>
      </c>
      <c r="Z76" s="1180"/>
      <c r="AA76" s="1180"/>
      <c r="AB76" s="66" t="s">
        <v>251</v>
      </c>
      <c r="AC76" s="687" t="s">
        <v>181</v>
      </c>
      <c r="AD76" s="21"/>
    </row>
    <row r="77" spans="2:34" ht="51.95" customHeight="1" thickBot="1">
      <c r="B77" s="1345"/>
      <c r="C77" s="438" t="s">
        <v>91</v>
      </c>
      <c r="D77" s="489" t="s">
        <v>172</v>
      </c>
      <c r="E77" s="347">
        <f t="shared" si="33"/>
        <v>5</v>
      </c>
      <c r="F77" s="348">
        <f t="shared" si="38"/>
        <v>46254</v>
      </c>
      <c r="G77" s="348">
        <f t="shared" si="39"/>
        <v>46259</v>
      </c>
      <c r="H77" s="70">
        <f>WORKDAY.INTL(I76,1,"0000100",$AJ$5:$AJ$11)</f>
        <v>46254</v>
      </c>
      <c r="I77" s="70">
        <f>WORKDAY.INTL(I76,5,"0000100",$AJ$5:$AJ$11)</f>
        <v>46259</v>
      </c>
      <c r="J77" s="378"/>
      <c r="K77" s="378"/>
      <c r="L77" s="379"/>
      <c r="M77" s="379" t="str">
        <f t="shared" ca="1" si="32"/>
        <v>Not Started</v>
      </c>
      <c r="N77" s="71"/>
      <c r="O77" s="72"/>
      <c r="P77" s="72"/>
      <c r="Q77" s="72"/>
      <c r="R77" s="72"/>
      <c r="S77" s="72"/>
      <c r="T77" s="72"/>
      <c r="U77" s="72"/>
      <c r="V77" s="519"/>
      <c r="W77" s="625"/>
      <c r="X77" s="524"/>
      <c r="Y77" s="1181">
        <v>1</v>
      </c>
      <c r="Z77" s="1181"/>
      <c r="AA77" s="1181"/>
      <c r="AB77" s="69"/>
      <c r="AC77" s="690"/>
      <c r="AD77" s="21"/>
    </row>
    <row r="78" spans="2:34" s="19" customFormat="1">
      <c r="B78" s="114"/>
      <c r="C78" s="694"/>
      <c r="D78" s="380"/>
      <c r="E78" s="381"/>
      <c r="F78" s="649"/>
      <c r="G78" s="649"/>
      <c r="H78" s="114"/>
      <c r="I78" s="114"/>
      <c r="J78" s="114"/>
      <c r="K78" s="114"/>
      <c r="L78" s="382"/>
      <c r="M78" s="382"/>
      <c r="N78" s="114"/>
      <c r="O78" s="114"/>
      <c r="P78" s="114"/>
      <c r="Q78" s="114"/>
      <c r="R78" s="114"/>
      <c r="S78" s="114"/>
      <c r="T78" s="114"/>
      <c r="U78" s="114"/>
      <c r="V78" s="382"/>
      <c r="W78" s="510"/>
      <c r="X78" s="660"/>
      <c r="Y78" s="661"/>
      <c r="Z78" s="661"/>
      <c r="AA78" s="661"/>
      <c r="AB78" s="661"/>
      <c r="AC78" s="662"/>
      <c r="AG78" s="24"/>
      <c r="AH78" s="24"/>
    </row>
    <row r="79" spans="2:34" ht="51.95" customHeight="1">
      <c r="B79" s="1349" t="s">
        <v>261</v>
      </c>
      <c r="C79" s="437" t="s">
        <v>91</v>
      </c>
      <c r="D79" s="695" t="s">
        <v>262</v>
      </c>
      <c r="E79" s="696">
        <f t="shared" si="33"/>
        <v>5</v>
      </c>
      <c r="F79" s="697">
        <f>WORKDAY.INTL(G76,1,"0000100",$AJ$5:$AJ$11)</f>
        <v>46254</v>
      </c>
      <c r="G79" s="697">
        <f t="shared" si="40"/>
        <v>46259</v>
      </c>
      <c r="H79" s="698">
        <f>WORKDAY.INTL(I76,1,"0000100",$AJ$5:$AJ$11)</f>
        <v>46254</v>
      </c>
      <c r="I79" s="698">
        <f>WORKDAY.INTL(H79,4,"0000100",$AJ$5:$AJ$11)</f>
        <v>46259</v>
      </c>
      <c r="J79" s="699"/>
      <c r="K79" s="699"/>
      <c r="L79" s="700"/>
      <c r="M79" s="700" t="str">
        <f t="shared" ca="1" si="32"/>
        <v>Not Started</v>
      </c>
      <c r="N79" s="701"/>
      <c r="O79" s="702"/>
      <c r="P79" s="702"/>
      <c r="Q79" s="702"/>
      <c r="R79" s="702"/>
      <c r="S79" s="702"/>
      <c r="T79" s="702"/>
      <c r="U79" s="702"/>
      <c r="V79" s="703"/>
      <c r="W79" s="625"/>
      <c r="X79" s="485"/>
      <c r="Y79" s="1173" t="s">
        <v>169</v>
      </c>
      <c r="Z79" s="1173"/>
      <c r="AA79" s="1173"/>
      <c r="AB79" s="705" t="s">
        <v>251</v>
      </c>
      <c r="AC79" s="706" t="s">
        <v>181</v>
      </c>
      <c r="AD79" s="21"/>
    </row>
    <row r="80" spans="2:34" ht="51.95" customHeight="1" thickBot="1">
      <c r="B80" s="1350"/>
      <c r="C80" s="438" t="s">
        <v>91</v>
      </c>
      <c r="D80" s="708" t="s">
        <v>172</v>
      </c>
      <c r="E80" s="709">
        <f t="shared" si="33"/>
        <v>5</v>
      </c>
      <c r="F80" s="710">
        <f t="shared" si="38"/>
        <v>46260</v>
      </c>
      <c r="G80" s="710">
        <f t="shared" si="39"/>
        <v>46265</v>
      </c>
      <c r="H80" s="711">
        <f>WORKDAY.INTL(I79,1,"0000100",$AJ$5:$AJ$11)</f>
        <v>46260</v>
      </c>
      <c r="I80" s="711">
        <f>WORKDAY.INTL(I79,5,"0000100",$AJ$5:$AJ$11)</f>
        <v>46265</v>
      </c>
      <c r="J80" s="712"/>
      <c r="K80" s="712"/>
      <c r="L80" s="713"/>
      <c r="M80" s="713" t="str">
        <f t="shared" ca="1" si="32"/>
        <v>Not Started</v>
      </c>
      <c r="N80" s="714"/>
      <c r="O80" s="715"/>
      <c r="P80" s="715"/>
      <c r="Q80" s="715"/>
      <c r="R80" s="715"/>
      <c r="S80" s="715"/>
      <c r="T80" s="715"/>
      <c r="U80" s="715"/>
      <c r="V80" s="716"/>
      <c r="W80" s="625"/>
      <c r="X80" s="717"/>
      <c r="Y80" s="1192">
        <v>1</v>
      </c>
      <c r="Z80" s="1192"/>
      <c r="AA80" s="1192"/>
      <c r="AB80" s="718"/>
      <c r="AC80" s="719"/>
      <c r="AD80" s="21"/>
    </row>
    <row r="81" spans="2:34" s="19" customFormat="1">
      <c r="B81" s="114"/>
      <c r="C81" s="694"/>
      <c r="D81" s="380"/>
      <c r="E81" s="381"/>
      <c r="F81" s="649"/>
      <c r="G81" s="649"/>
      <c r="H81" s="114"/>
      <c r="I81" s="114"/>
      <c r="J81" s="114"/>
      <c r="K81" s="114"/>
      <c r="L81" s="707"/>
      <c r="M81" s="707"/>
      <c r="N81" s="114"/>
      <c r="O81" s="114"/>
      <c r="P81" s="114"/>
      <c r="Q81" s="114"/>
      <c r="R81" s="114"/>
      <c r="S81" s="114"/>
      <c r="T81" s="114"/>
      <c r="U81" s="114"/>
      <c r="V81" s="707"/>
      <c r="W81" s="627"/>
      <c r="X81" s="660"/>
      <c r="Y81" s="661"/>
      <c r="Z81" s="661"/>
      <c r="AA81" s="661"/>
      <c r="AB81" s="661"/>
      <c r="AC81" s="662"/>
      <c r="AG81" s="24"/>
      <c r="AH81" s="24"/>
    </row>
    <row r="82" spans="2:34" ht="51.95" customHeight="1">
      <c r="B82" s="1351" t="s">
        <v>263</v>
      </c>
      <c r="C82" s="437" t="s">
        <v>91</v>
      </c>
      <c r="D82" s="345" t="s">
        <v>264</v>
      </c>
      <c r="E82" s="346">
        <f t="shared" si="33"/>
        <v>5</v>
      </c>
      <c r="F82" s="146">
        <f t="shared" ref="F82" si="41">WORKDAY.INTL(G79,1,"0000100",$AJ$5:$AJ$11)</f>
        <v>46260</v>
      </c>
      <c r="G82" s="146">
        <f t="shared" si="40"/>
        <v>46265</v>
      </c>
      <c r="H82" s="67">
        <f>WORKDAY.INTL(I79,1,"0000100",$AJ$5:$AJ$11)</f>
        <v>46260</v>
      </c>
      <c r="I82" s="67">
        <f>WORKDAY.INTL(H82,4,"0000100",$AJ$5:$AJ$11)</f>
        <v>46265</v>
      </c>
      <c r="J82" s="81"/>
      <c r="K82" s="81"/>
      <c r="L82" s="376"/>
      <c r="M82" s="376" t="str">
        <f t="shared" ca="1" si="32"/>
        <v>Not Started</v>
      </c>
      <c r="N82" s="68"/>
      <c r="O82" s="65"/>
      <c r="P82" s="65"/>
      <c r="Q82" s="65"/>
      <c r="R82" s="65"/>
      <c r="S82" s="65"/>
      <c r="T82" s="65"/>
      <c r="U82" s="65"/>
      <c r="V82" s="516"/>
      <c r="W82" s="625"/>
      <c r="X82" s="521"/>
      <c r="Y82" s="1180" t="s">
        <v>169</v>
      </c>
      <c r="Z82" s="1180"/>
      <c r="AA82" s="1180"/>
      <c r="AB82" s="66" t="s">
        <v>251</v>
      </c>
      <c r="AC82" s="687" t="s">
        <v>181</v>
      </c>
      <c r="AD82" s="21"/>
    </row>
    <row r="83" spans="2:34" ht="51.95" customHeight="1" thickBot="1">
      <c r="B83" s="1345"/>
      <c r="C83" s="438" t="s">
        <v>91</v>
      </c>
      <c r="D83" s="489" t="s">
        <v>172</v>
      </c>
      <c r="E83" s="347">
        <f t="shared" si="33"/>
        <v>5</v>
      </c>
      <c r="F83" s="348">
        <f t="shared" ref="F83:F86" si="42">WORKDAY.INTL(G82,1,"0000100",$AJ$5:$AJ$11)</f>
        <v>46266</v>
      </c>
      <c r="G83" s="348">
        <f t="shared" ref="G83:G86" si="43">WORKDAY.INTL(G82,5,"0000100",$AJ$5:$AJ$11)</f>
        <v>46271</v>
      </c>
      <c r="H83" s="70">
        <f>WORKDAY.INTL(I82,1,"0000100",$AJ$5:$AJ$11)</f>
        <v>46266</v>
      </c>
      <c r="I83" s="70">
        <f>WORKDAY.INTL(I82,5,"0000100",$AJ$5:$AJ$11)</f>
        <v>46271</v>
      </c>
      <c r="J83" s="378"/>
      <c r="K83" s="378"/>
      <c r="L83" s="379"/>
      <c r="M83" s="379" t="str">
        <f t="shared" ca="1" si="32"/>
        <v>Not Started</v>
      </c>
      <c r="N83" s="71"/>
      <c r="O83" s="72"/>
      <c r="P83" s="72"/>
      <c r="Q83" s="72"/>
      <c r="R83" s="72"/>
      <c r="S83" s="72"/>
      <c r="T83" s="72"/>
      <c r="U83" s="72"/>
      <c r="V83" s="519"/>
      <c r="W83" s="625"/>
      <c r="X83" s="524"/>
      <c r="Y83" s="1181">
        <v>1</v>
      </c>
      <c r="Z83" s="1181"/>
      <c r="AA83" s="1181"/>
      <c r="AB83" s="69"/>
      <c r="AC83" s="690"/>
      <c r="AD83" s="21"/>
    </row>
    <row r="84" spans="2:34" s="19" customFormat="1">
      <c r="B84" s="114"/>
      <c r="C84" s="694"/>
      <c r="D84" s="380"/>
      <c r="E84" s="381"/>
      <c r="F84" s="649"/>
      <c r="G84" s="649"/>
      <c r="H84" s="114"/>
      <c r="I84" s="114"/>
      <c r="J84" s="114"/>
      <c r="K84" s="114"/>
      <c r="L84" s="382"/>
      <c r="M84" s="382"/>
      <c r="N84" s="114"/>
      <c r="O84" s="114"/>
      <c r="P84" s="114"/>
      <c r="Q84" s="114"/>
      <c r="R84" s="114"/>
      <c r="S84" s="114"/>
      <c r="T84" s="114"/>
      <c r="U84" s="114"/>
      <c r="V84" s="382"/>
      <c r="W84" s="510"/>
      <c r="X84" s="660"/>
      <c r="Y84" s="661"/>
      <c r="Z84" s="661"/>
      <c r="AA84" s="661"/>
      <c r="AB84" s="661"/>
      <c r="AC84" s="662"/>
      <c r="AG84" s="24"/>
      <c r="AH84" s="24"/>
    </row>
    <row r="85" spans="2:34" ht="51.95" customHeight="1">
      <c r="B85" s="1349" t="s">
        <v>265</v>
      </c>
      <c r="C85" s="437" t="s">
        <v>91</v>
      </c>
      <c r="D85" s="695" t="s">
        <v>266</v>
      </c>
      <c r="E85" s="696">
        <f t="shared" si="33"/>
        <v>5</v>
      </c>
      <c r="F85" s="697">
        <f t="shared" ref="F85" si="44">WORKDAY.INTL(G82,1,"0000100",$AJ$5:$AJ$11)</f>
        <v>46266</v>
      </c>
      <c r="G85" s="697">
        <f>WORKDAY.INTL(F85,4,"0000100",$AJ$5:$AJ$11)</f>
        <v>46271</v>
      </c>
      <c r="H85" s="698">
        <f>WORKDAY.INTL(I82,1,"0000100",$AJ$5:$AJ$11)</f>
        <v>46266</v>
      </c>
      <c r="I85" s="698">
        <f>WORKDAY.INTL(H85,4,"0000100",$AJ$5:$AJ$11)</f>
        <v>46271</v>
      </c>
      <c r="J85" s="699"/>
      <c r="K85" s="699"/>
      <c r="L85" s="700"/>
      <c r="M85" s="700" t="str">
        <f t="shared" ca="1" si="32"/>
        <v>Not Started</v>
      </c>
      <c r="N85" s="701"/>
      <c r="O85" s="702"/>
      <c r="P85" s="702"/>
      <c r="Q85" s="702"/>
      <c r="R85" s="702"/>
      <c r="S85" s="702"/>
      <c r="T85" s="702"/>
      <c r="U85" s="702"/>
      <c r="V85" s="703"/>
      <c r="W85" s="625"/>
      <c r="X85" s="485"/>
      <c r="Y85" s="1173" t="s">
        <v>169</v>
      </c>
      <c r="Z85" s="1173"/>
      <c r="AA85" s="1173"/>
      <c r="AB85" s="705" t="s">
        <v>251</v>
      </c>
      <c r="AC85" s="706" t="s">
        <v>181</v>
      </c>
      <c r="AD85" s="21"/>
    </row>
    <row r="86" spans="2:34" ht="51.95" customHeight="1" thickBot="1">
      <c r="B86" s="1350"/>
      <c r="C86" s="438" t="s">
        <v>91</v>
      </c>
      <c r="D86" s="708" t="s">
        <v>172</v>
      </c>
      <c r="E86" s="709">
        <f t="shared" si="33"/>
        <v>5</v>
      </c>
      <c r="F86" s="710">
        <f t="shared" si="42"/>
        <v>46272</v>
      </c>
      <c r="G86" s="720">
        <f t="shared" si="43"/>
        <v>46277</v>
      </c>
      <c r="H86" s="711">
        <f>WORKDAY.INTL(I85,1,"0000100",$AJ$5:$AJ$11)</f>
        <v>46272</v>
      </c>
      <c r="I86" s="711">
        <f>WORKDAY.INTL(I85,5,"0000100",$AJ$5:$AJ$11)</f>
        <v>46277</v>
      </c>
      <c r="J86" s="712"/>
      <c r="K86" s="712"/>
      <c r="L86" s="713"/>
      <c r="M86" s="713" t="str">
        <f t="shared" ca="1" si="32"/>
        <v>Not Started</v>
      </c>
      <c r="N86" s="714"/>
      <c r="O86" s="715"/>
      <c r="P86" s="715"/>
      <c r="Q86" s="715"/>
      <c r="R86" s="715"/>
      <c r="S86" s="715"/>
      <c r="T86" s="715"/>
      <c r="U86" s="715"/>
      <c r="V86" s="716"/>
      <c r="W86" s="625"/>
      <c r="X86" s="717"/>
      <c r="Y86" s="1192">
        <v>1</v>
      </c>
      <c r="Z86" s="1192"/>
      <c r="AA86" s="1192"/>
      <c r="AB86" s="718"/>
      <c r="AC86" s="719"/>
      <c r="AD86" s="21"/>
    </row>
    <row r="87" spans="2:34" s="19" customFormat="1">
      <c r="B87" s="114"/>
      <c r="C87" s="694"/>
      <c r="D87" s="380"/>
      <c r="E87" s="381"/>
      <c r="F87" s="649"/>
      <c r="G87" s="649"/>
      <c r="H87" s="114"/>
      <c r="I87" s="114"/>
      <c r="J87" s="114"/>
      <c r="K87" s="114"/>
      <c r="L87" s="382"/>
      <c r="M87" s="382"/>
      <c r="N87" s="114"/>
      <c r="O87" s="114"/>
      <c r="P87" s="114"/>
      <c r="Q87" s="114"/>
      <c r="R87" s="114"/>
      <c r="S87" s="114"/>
      <c r="T87" s="114"/>
      <c r="U87" s="114"/>
      <c r="V87" s="382"/>
      <c r="W87" s="510"/>
      <c r="X87" s="660"/>
      <c r="Y87" s="661"/>
      <c r="Z87" s="661"/>
      <c r="AA87" s="661"/>
      <c r="AB87" s="661"/>
      <c r="AC87" s="662"/>
      <c r="AG87" s="24"/>
      <c r="AH87" s="24"/>
    </row>
    <row r="88" spans="2:34" ht="110.25">
      <c r="B88" s="721" t="s">
        <v>193</v>
      </c>
      <c r="C88" s="722" t="s">
        <v>91</v>
      </c>
      <c r="D88" s="723" t="s">
        <v>267</v>
      </c>
      <c r="E88" s="724">
        <f>NETWORKDAYS.INTL(F88,G88,"0000110",$AJ$5:$AJ$12)</f>
        <v>31</v>
      </c>
      <c r="F88" s="725">
        <f>WORKDAY.INTL(G65,1,"0000110")</f>
        <v>46236</v>
      </c>
      <c r="G88" s="726">
        <f>WORKDAY.INTL(F88,30,"0000110")</f>
        <v>46278</v>
      </c>
      <c r="H88" s="727">
        <f>WORKDAY.INTL(I65,1,"0000110")</f>
        <v>46236</v>
      </c>
      <c r="I88" s="727">
        <f>WORKDAY.INTL(H88,30,"0000110")</f>
        <v>46278</v>
      </c>
      <c r="J88" s="728"/>
      <c r="K88" s="728"/>
      <c r="L88" s="729"/>
      <c r="M88" s="729" t="str">
        <f t="shared" ca="1" si="32"/>
        <v>Not Started</v>
      </c>
      <c r="N88" s="730"/>
      <c r="O88" s="731"/>
      <c r="P88" s="731"/>
      <c r="Q88" s="731"/>
      <c r="R88" s="731"/>
      <c r="S88" s="731"/>
      <c r="T88" s="731"/>
      <c r="U88" s="731"/>
      <c r="V88" s="732"/>
      <c r="W88" s="625"/>
      <c r="X88" s="459" t="s">
        <v>268</v>
      </c>
      <c r="Y88" s="1193">
        <v>1</v>
      </c>
      <c r="Z88" s="1193"/>
      <c r="AA88" s="1193"/>
      <c r="AB88" s="733" t="s">
        <v>269</v>
      </c>
      <c r="AC88" s="734" t="s">
        <v>252</v>
      </c>
      <c r="AD88" s="21"/>
    </row>
    <row r="89" spans="2:34" s="19" customFormat="1" ht="9" customHeight="1" thickBot="1">
      <c r="B89" s="114"/>
      <c r="C89" s="694"/>
      <c r="D89" s="380"/>
      <c r="E89" s="381"/>
      <c r="F89" s="649"/>
      <c r="G89" s="649"/>
      <c r="H89" s="114"/>
      <c r="I89" s="114"/>
      <c r="J89" s="114"/>
      <c r="K89" s="114"/>
      <c r="L89" s="382"/>
      <c r="M89" s="382"/>
      <c r="N89" s="114"/>
      <c r="O89" s="114"/>
      <c r="P89" s="114"/>
      <c r="Q89" s="114"/>
      <c r="R89" s="114"/>
      <c r="S89" s="114"/>
      <c r="T89" s="114"/>
      <c r="U89" s="114"/>
      <c r="V89" s="382"/>
      <c r="W89" s="510"/>
      <c r="X89" s="660"/>
      <c r="Y89" s="661"/>
      <c r="Z89" s="661"/>
      <c r="AA89" s="661"/>
      <c r="AB89" s="661"/>
      <c r="AC89" s="662"/>
      <c r="AG89" s="24"/>
      <c r="AH89" s="24"/>
    </row>
    <row r="90" spans="2:34" ht="60.75">
      <c r="B90" s="735" t="s">
        <v>198</v>
      </c>
      <c r="C90" s="736" t="s">
        <v>199</v>
      </c>
      <c r="D90" s="545" t="s">
        <v>200</v>
      </c>
      <c r="E90" s="546">
        <f>NETWORKDAYS.INTL(F90,G90,"0000110",$AJ$5:$AJ$12)</f>
        <v>1</v>
      </c>
      <c r="F90" s="666">
        <f>MAX(WORKDAY.INTL(G88,1,"0000100"),WORKDAY.INTL(G98,1,"0000100"))</f>
        <v>46295</v>
      </c>
      <c r="G90" s="666">
        <f>WORKDAY.INTL(F90,0,"0000110")</f>
        <v>46295</v>
      </c>
      <c r="H90" s="444">
        <f>MAX(WORKDAY.INTL(I88,1,"0000100"),WORKDAY.INTL(I98,1,"0000100"))</f>
        <v>46295</v>
      </c>
      <c r="I90" s="444">
        <f>WORKDAY.INTL(H90,0,"0000110")</f>
        <v>46295</v>
      </c>
      <c r="J90" s="442"/>
      <c r="K90" s="442"/>
      <c r="L90" s="443"/>
      <c r="M90" s="443" t="str">
        <f t="shared" ca="1" si="32"/>
        <v>Not Started</v>
      </c>
      <c r="N90" s="547"/>
      <c r="O90" s="548"/>
      <c r="P90" s="548"/>
      <c r="Q90" s="548"/>
      <c r="R90" s="548"/>
      <c r="S90" s="548"/>
      <c r="T90" s="548"/>
      <c r="U90" s="548"/>
      <c r="V90" s="668"/>
      <c r="W90" s="626"/>
      <c r="X90" s="672" t="s">
        <v>201</v>
      </c>
      <c r="Y90" s="1188">
        <v>1</v>
      </c>
      <c r="Z90" s="1188"/>
      <c r="AA90" s="1188"/>
      <c r="AB90" s="673" t="s">
        <v>270</v>
      </c>
      <c r="AC90" s="737"/>
      <c r="AD90" s="21"/>
    </row>
    <row r="91" spans="2:34" s="19" customFormat="1" ht="9" customHeight="1" thickBot="1">
      <c r="B91" s="114"/>
      <c r="C91" s="114"/>
      <c r="D91" s="380"/>
      <c r="E91" s="381"/>
      <c r="F91" s="649"/>
      <c r="G91" s="649"/>
      <c r="H91" s="114"/>
      <c r="I91" s="114"/>
      <c r="J91" s="114"/>
      <c r="K91" s="114"/>
      <c r="L91" s="382"/>
      <c r="M91" s="382"/>
      <c r="N91" s="114"/>
      <c r="O91" s="114"/>
      <c r="P91" s="114"/>
      <c r="Q91" s="114"/>
      <c r="R91" s="114"/>
      <c r="S91" s="114"/>
      <c r="T91" s="114"/>
      <c r="U91" s="114"/>
      <c r="V91" s="382"/>
      <c r="W91" s="509"/>
      <c r="X91" s="660"/>
      <c r="Y91" s="661"/>
      <c r="Z91" s="661"/>
      <c r="AA91" s="661"/>
      <c r="AB91" s="661"/>
      <c r="AC91" s="662"/>
      <c r="AG91" s="24"/>
      <c r="AH91" s="24"/>
    </row>
    <row r="92" spans="2:34" ht="36.950000000000003" customHeight="1" thickBot="1">
      <c r="B92" s="1336" t="s">
        <v>203</v>
      </c>
      <c r="C92" t="s">
        <v>34</v>
      </c>
      <c r="D92" s="295" t="s">
        <v>204</v>
      </c>
      <c r="E92" s="350">
        <f t="shared" ref="E92:E98" si="45">NETWORKDAYS.INTL(F92,G92,"0000110",$AJ$5:$AJ$11)</f>
        <v>2</v>
      </c>
      <c r="F92" s="258">
        <f>MAX(WORKDAY.INTL(G88,1,"0000110",$AJ$5:$AJ$10),WORKDAY.INTL(G42,1,"0000110",$AJ$5:$AJ$10),WORKDAY.INTL(G34,1,"0000110",$AJ$5:$AJ$10))</f>
        <v>46279</v>
      </c>
      <c r="G92" s="258">
        <f>WORKDAY.INTL(F92,1,"0000110",$AJ$5:$AJ$10)</f>
        <v>46280</v>
      </c>
      <c r="H92" s="76">
        <f>MAX(WORKDAY.INTL(I88,1,"0000110",$AJ$5:$AJ$10),WORKDAY.INTL(I42,1,"0000110",$AJ$5:$AJ$10),WORKDAY.INTL(I34,1,"0000110",$AJ$5:$AJ$10))</f>
        <v>46279</v>
      </c>
      <c r="I92" s="76">
        <f>WORKDAY.INTL(H92,1,"0000110",$AJ$5:$AJ$10)</f>
        <v>46280</v>
      </c>
      <c r="J92" s="76"/>
      <c r="K92" s="76"/>
      <c r="L92" s="406"/>
      <c r="M92" s="406" t="str">
        <f t="shared" ref="M92:M98" ca="1" si="46">IF(L92=100%,"Completed",
IF(AND(L92&lt;100%,G92&lt;TODAY()),"Delayed",
IF(AND(OR(L92="",L92=0),F92&gt;TODAY()),"Not Started",
IF(AND(OR(L92="",L92=0),F92&lt;=TODAY()),"Delayed",
IF(AND(L92&gt;0,L92&lt;100%),"In Progress","")))))</f>
        <v>Not Started</v>
      </c>
      <c r="N92" s="77"/>
      <c r="O92" s="148"/>
      <c r="P92" s="148"/>
      <c r="Q92" s="148"/>
      <c r="R92" s="148"/>
      <c r="S92" s="148"/>
      <c r="T92" s="148"/>
      <c r="U92" s="148"/>
      <c r="V92" s="675"/>
      <c r="W92" s="624"/>
      <c r="X92" s="740"/>
      <c r="Y92" s="1190" t="s">
        <v>271</v>
      </c>
      <c r="Z92" s="1190"/>
      <c r="AA92" s="1190"/>
      <c r="AB92" s="1358" t="s">
        <v>272</v>
      </c>
      <c r="AC92" s="741"/>
      <c r="AD92" s="21"/>
      <c r="AF92" s="24"/>
      <c r="AG92" s="33"/>
      <c r="AH92" s="33"/>
    </row>
    <row r="93" spans="2:34" ht="36.950000000000003" customHeight="1" thickBot="1">
      <c r="B93" s="1361"/>
      <c r="C93" s="780" t="s">
        <v>34</v>
      </c>
      <c r="D93" s="299" t="s">
        <v>206</v>
      </c>
      <c r="E93" s="357">
        <f t="shared" si="45"/>
        <v>4</v>
      </c>
      <c r="F93" s="261">
        <f t="shared" ref="F93:F96" si="47">WORKDAY.INTL(G92,1,"0000100",$AJ$5:$AJ$11)</f>
        <v>46281</v>
      </c>
      <c r="G93" s="261">
        <f>WORKDAY.INTL(F93,3,"0000110",$AJ$5:$AJ$9)</f>
        <v>46286</v>
      </c>
      <c r="H93" s="149">
        <f>WORKDAY.INTL(I92,1,"0000100",$AJ$5:$AJ$11)</f>
        <v>46281</v>
      </c>
      <c r="I93" s="149">
        <f>WORKDAY.INTL(H93,3,"0000110",$AJ$5:$AJ$9)</f>
        <v>46286</v>
      </c>
      <c r="J93" s="149"/>
      <c r="K93" s="149"/>
      <c r="L93" s="409"/>
      <c r="M93" s="409" t="str">
        <f t="shared" ca="1" si="46"/>
        <v>Not Started</v>
      </c>
      <c r="N93" s="150"/>
      <c r="O93" s="151"/>
      <c r="P93" s="151"/>
      <c r="Q93" s="151"/>
      <c r="R93" s="151"/>
      <c r="S93" s="151"/>
      <c r="T93" s="151"/>
      <c r="U93" s="151"/>
      <c r="V93" s="738"/>
      <c r="W93" s="625"/>
      <c r="X93" s="742"/>
      <c r="Y93" s="1194" t="s">
        <v>271</v>
      </c>
      <c r="Z93" s="1194"/>
      <c r="AA93" s="1194"/>
      <c r="AB93" s="1359"/>
      <c r="AC93" s="743"/>
      <c r="AD93" s="21"/>
      <c r="AF93" s="24"/>
    </row>
    <row r="94" spans="2:34" ht="123" customHeight="1" thickBot="1">
      <c r="B94" s="1361"/>
      <c r="C94" s="780" t="s">
        <v>34</v>
      </c>
      <c r="D94" s="299" t="s">
        <v>207</v>
      </c>
      <c r="E94" s="357">
        <f t="shared" si="45"/>
        <v>4</v>
      </c>
      <c r="F94" s="261">
        <f>WORKDAY.INTL(G92,1,"0000100",$AJ$5:$AJ$11)</f>
        <v>46281</v>
      </c>
      <c r="G94" s="261">
        <f>WORKDAY.INTL(F94,3,"0000110",$AJ$5:$AJ$9)</f>
        <v>46286</v>
      </c>
      <c r="H94" s="149">
        <f>WORKDAY.INTL(I92,1,"0000100",$AJ$5:$AJ$11)</f>
        <v>46281</v>
      </c>
      <c r="I94" s="149">
        <f>WORKDAY.INTL(H94,3,"0000110",$AJ$5:$AJ$9)</f>
        <v>46286</v>
      </c>
      <c r="J94" s="149"/>
      <c r="K94" s="149"/>
      <c r="L94" s="739"/>
      <c r="M94" s="409" t="str">
        <f t="shared" ca="1" si="46"/>
        <v>Not Started</v>
      </c>
      <c r="N94" s="150"/>
      <c r="O94" s="151"/>
      <c r="P94" s="151"/>
      <c r="Q94" s="151"/>
      <c r="R94" s="151"/>
      <c r="S94" s="151"/>
      <c r="T94" s="151"/>
      <c r="U94" s="151"/>
      <c r="V94" s="738"/>
      <c r="W94" s="591"/>
      <c r="X94" s="744" t="s">
        <v>208</v>
      </c>
      <c r="Y94" s="1183" t="s">
        <v>271</v>
      </c>
      <c r="Z94" s="1183"/>
      <c r="AA94" s="1183"/>
      <c r="AB94" s="1359"/>
      <c r="AC94" s="743"/>
      <c r="AD94" s="21"/>
      <c r="AF94" s="24"/>
      <c r="AG94" s="33"/>
      <c r="AH94" s="33"/>
    </row>
    <row r="95" spans="2:34" ht="36.950000000000003" customHeight="1" thickBot="1">
      <c r="B95" s="1361"/>
      <c r="C95" s="780" t="s">
        <v>34</v>
      </c>
      <c r="D95" s="299" t="s">
        <v>209</v>
      </c>
      <c r="E95" s="357">
        <f t="shared" si="45"/>
        <v>2</v>
      </c>
      <c r="F95" s="261">
        <f t="shared" si="47"/>
        <v>46287</v>
      </c>
      <c r="G95" s="261">
        <f>WORKDAY.INTL(F95,1,"0000110",$AJ$5:$AJ$9)</f>
        <v>46288</v>
      </c>
      <c r="H95" s="149">
        <f>WORKDAY.INTL(I94,1,"0000100",$AJ$5:$AJ$11)</f>
        <v>46287</v>
      </c>
      <c r="I95" s="149">
        <f>WORKDAY.INTL(H95,1,"0000110",$AJ$5:$AJ$9)</f>
        <v>46288</v>
      </c>
      <c r="J95" s="149"/>
      <c r="K95" s="149"/>
      <c r="L95" s="409"/>
      <c r="M95" s="409" t="str">
        <f t="shared" ca="1" si="46"/>
        <v>Not Started</v>
      </c>
      <c r="N95" s="150"/>
      <c r="O95" s="151"/>
      <c r="P95" s="151"/>
      <c r="Q95" s="151"/>
      <c r="R95" s="151"/>
      <c r="S95" s="151"/>
      <c r="T95" s="151"/>
      <c r="U95" s="151"/>
      <c r="V95" s="738"/>
      <c r="W95" s="625"/>
      <c r="X95" s="742"/>
      <c r="Y95" s="1194" t="s">
        <v>271</v>
      </c>
      <c r="Z95" s="1194"/>
      <c r="AA95" s="1194"/>
      <c r="AB95" s="1359"/>
      <c r="AC95" s="743"/>
      <c r="AD95" s="21"/>
      <c r="AF95" s="24"/>
    </row>
    <row r="96" spans="2:34" ht="36.950000000000003" customHeight="1" thickBot="1">
      <c r="B96" s="1361"/>
      <c r="C96" s="780" t="s">
        <v>34</v>
      </c>
      <c r="D96" s="299" t="s">
        <v>210</v>
      </c>
      <c r="E96" s="357">
        <f t="shared" si="45"/>
        <v>2</v>
      </c>
      <c r="F96" s="261">
        <f t="shared" si="47"/>
        <v>46289</v>
      </c>
      <c r="G96" s="261">
        <f>WORKDAY.INTL(F96,2,"0000100",$AJ$5:$AJ$9)</f>
        <v>46292</v>
      </c>
      <c r="H96" s="149">
        <f>WORKDAY.INTL(I95,1,"0000100",$AJ$5:$AJ$11)</f>
        <v>46289</v>
      </c>
      <c r="I96" s="149">
        <f>WORKDAY.INTL(H96,2,"0000100",$AJ$5:$AJ$9)</f>
        <v>46292</v>
      </c>
      <c r="J96" s="149"/>
      <c r="K96" s="149"/>
      <c r="L96" s="409"/>
      <c r="M96" s="409" t="str">
        <f t="shared" ca="1" si="46"/>
        <v>Not Started</v>
      </c>
      <c r="N96" s="150"/>
      <c r="O96" s="151"/>
      <c r="P96" s="151"/>
      <c r="Q96" s="151"/>
      <c r="R96" s="151"/>
      <c r="S96" s="151"/>
      <c r="T96" s="151"/>
      <c r="U96" s="151"/>
      <c r="V96" s="738"/>
      <c r="W96" s="625"/>
      <c r="X96" s="742"/>
      <c r="Y96" s="1194" t="s">
        <v>271</v>
      </c>
      <c r="Z96" s="1194"/>
      <c r="AA96" s="1194"/>
      <c r="AB96" s="1359"/>
      <c r="AC96" s="743"/>
      <c r="AD96" s="21"/>
      <c r="AF96" s="24"/>
    </row>
    <row r="97" spans="2:32" ht="36.950000000000003" customHeight="1" thickBot="1">
      <c r="B97" s="1361"/>
      <c r="C97" s="780" t="s">
        <v>34</v>
      </c>
      <c r="D97" s="299" t="s">
        <v>211</v>
      </c>
      <c r="E97" s="357">
        <f t="shared" si="45"/>
        <v>1</v>
      </c>
      <c r="F97" s="256">
        <f>WORKDAY.INTL(G96,1,"0000110",$AJ$5:$AJ$10)</f>
        <v>46293</v>
      </c>
      <c r="G97" s="256">
        <f>WORKDAY.INTL(F97,0,"0000110",$AJ$5:$AJ$10)</f>
        <v>46293</v>
      </c>
      <c r="H97" s="149">
        <f>WORKDAY.INTL(I96,1,"0000110",$AJ$5:$AJ$10)</f>
        <v>46293</v>
      </c>
      <c r="I97" s="149">
        <f>WORKDAY.INTL(H97,0,"0000110",$AJ$5:$AJ$10)</f>
        <v>46293</v>
      </c>
      <c r="J97" s="149"/>
      <c r="K97" s="149"/>
      <c r="L97" s="409"/>
      <c r="M97" s="409" t="str">
        <f t="shared" ca="1" si="46"/>
        <v>Not Started</v>
      </c>
      <c r="N97" s="150"/>
      <c r="O97" s="151"/>
      <c r="P97" s="151"/>
      <c r="Q97" s="151"/>
      <c r="R97" s="151"/>
      <c r="S97" s="151"/>
      <c r="T97" s="151"/>
      <c r="U97" s="151"/>
      <c r="V97" s="738"/>
      <c r="W97" s="628"/>
      <c r="X97" s="742"/>
      <c r="Y97" s="1194" t="s">
        <v>271</v>
      </c>
      <c r="Z97" s="1194"/>
      <c r="AA97" s="1194"/>
      <c r="AB97" s="1359"/>
      <c r="AC97" s="745"/>
      <c r="AD97" s="21"/>
      <c r="AF97" s="24"/>
    </row>
    <row r="98" spans="2:32" ht="36.950000000000003" customHeight="1" thickBot="1">
      <c r="B98" s="1337"/>
      <c r="C98" s="780" t="s">
        <v>34</v>
      </c>
      <c r="D98" s="300" t="s">
        <v>212</v>
      </c>
      <c r="E98" s="352">
        <f t="shared" si="45"/>
        <v>1</v>
      </c>
      <c r="F98" s="259">
        <f>WORKDAY.INTL(G97,1,"0000110",$AJ$5:$AJ$10)</f>
        <v>46294</v>
      </c>
      <c r="G98" s="259">
        <f>WORKDAY.INTL(F98,0,"0000110",$AJ$5:$AJ$10)</f>
        <v>46294</v>
      </c>
      <c r="H98" s="144">
        <f>WORKDAY.INTL(I97,1,"0000110",$AJ$5:$AJ$10)</f>
        <v>46294</v>
      </c>
      <c r="I98" s="144">
        <f>WORKDAY.INTL(H98,0,"0000110",$AJ$5:$AJ$10)</f>
        <v>46294</v>
      </c>
      <c r="J98" s="144"/>
      <c r="K98" s="144"/>
      <c r="L98" s="407"/>
      <c r="M98" s="407" t="str">
        <f t="shared" ca="1" si="46"/>
        <v>Not Started</v>
      </c>
      <c r="N98" s="145"/>
      <c r="O98" s="152"/>
      <c r="P98" s="152"/>
      <c r="Q98" s="152"/>
      <c r="R98" s="152"/>
      <c r="S98" s="152"/>
      <c r="T98" s="152"/>
      <c r="U98" s="152"/>
      <c r="V98" s="676"/>
      <c r="W98" s="626"/>
      <c r="X98" s="746"/>
      <c r="Y98" s="1191" t="s">
        <v>271</v>
      </c>
      <c r="Z98" s="1191"/>
      <c r="AA98" s="1191"/>
      <c r="AB98" s="1360"/>
      <c r="AC98" s="747"/>
      <c r="AD98" s="21"/>
      <c r="AF98" s="24"/>
    </row>
    <row r="99" spans="2:32" ht="15.75" customHeight="1" thickBot="1">
      <c r="AB99" s="21"/>
      <c r="AC99" s="134"/>
    </row>
    <row r="100" spans="2:32" ht="48.75" customHeight="1">
      <c r="B100" s="1362" t="s">
        <v>213</v>
      </c>
      <c r="C100" s="748" t="s">
        <v>213</v>
      </c>
      <c r="D100" s="472" t="s">
        <v>214</v>
      </c>
      <c r="E100" s="473">
        <f>NETWORKDAYS.INTL(F100,G100,"0000110",$AJ$5:$AJ$11)</f>
        <v>16</v>
      </c>
      <c r="F100" s="319">
        <f>WORKDAY.INTL(G100,-15,"0000110",$AJ$5:$AJ$10)</f>
        <v>46257</v>
      </c>
      <c r="G100" s="319">
        <f>WORKDAY.INTL(F92,-1,"0000110",$AJ$5:$AJ$10)</f>
        <v>46278</v>
      </c>
      <c r="H100" s="749">
        <f>WORKDAY.INTL(I100,-15,"0000110",$AJ$5:$AJ$10)</f>
        <v>46257</v>
      </c>
      <c r="I100" s="749">
        <f>WORKDAY.INTL(H92,-1,"0000110",$AJ$5:$AJ$10)</f>
        <v>46278</v>
      </c>
      <c r="J100" s="749"/>
      <c r="K100" s="749"/>
      <c r="L100" s="475"/>
      <c r="M100" s="475" t="str">
        <f t="shared" ref="M100:M101" ca="1" si="48">IF(L100=100%,"Completed",
IF(AND(L100&lt;100%,G100&lt;TODAY()),"Delayed",
IF(AND(OR(L100="",L100=0),F100&gt;TODAY()),"Not Started",
IF(AND(OR(L100="",L100=0),F100&lt;=TODAY()),"Delayed",
IF(AND(L100&gt;0,L100&lt;100%),"In Progress","")))))</f>
        <v>Not Started</v>
      </c>
      <c r="N100" s="750"/>
      <c r="O100" s="476"/>
      <c r="P100" s="476"/>
      <c r="Q100" s="476"/>
      <c r="R100" s="476"/>
      <c r="S100" s="476"/>
      <c r="T100" s="476"/>
      <c r="U100" s="476"/>
      <c r="V100" s="751"/>
      <c r="W100" s="591"/>
      <c r="X100" s="759" t="s">
        <v>215</v>
      </c>
      <c r="Y100" s="1195"/>
      <c r="Z100" s="1195"/>
      <c r="AA100" s="1195"/>
      <c r="AB100" s="757"/>
      <c r="AC100" s="477"/>
    </row>
    <row r="101" spans="2:32" ht="71.25">
      <c r="B101" s="1363"/>
      <c r="C101" s="752" t="s">
        <v>213</v>
      </c>
      <c r="D101" s="479" t="s">
        <v>216</v>
      </c>
      <c r="E101" s="480">
        <f>NETWORKDAYS.INTL(F101,G101,"0000110",$AJ$5:$AJ$11)</f>
        <v>20</v>
      </c>
      <c r="F101" s="262">
        <f>WORKDAY.INTL(G105,10,"0000110",$AJ$5:$AJ$10)</f>
        <v>46366</v>
      </c>
      <c r="G101" s="262">
        <f>WORKDAY.INTL(F101,19,"0000110",$AJ$5:$AJ$10)</f>
        <v>46393</v>
      </c>
      <c r="H101" s="753">
        <f>WORKDAY.INTL(I105,10,"0000110",$AJ$5:$AJ$10)</f>
        <v>46366</v>
      </c>
      <c r="I101" s="753">
        <f>WORKDAY.INTL(H101,19,"0000110",$AJ$5:$AJ$10)</f>
        <v>46393</v>
      </c>
      <c r="J101" s="753"/>
      <c r="K101" s="753"/>
      <c r="L101" s="482"/>
      <c r="M101" s="482" t="str">
        <f t="shared" ca="1" si="48"/>
        <v>Not Started</v>
      </c>
      <c r="N101" s="754"/>
      <c r="O101" s="483"/>
      <c r="P101" s="483"/>
      <c r="Q101" s="483"/>
      <c r="R101" s="483"/>
      <c r="S101" s="483"/>
      <c r="T101" s="483"/>
      <c r="U101" s="483"/>
      <c r="V101" s="755"/>
      <c r="W101" s="591"/>
      <c r="X101" s="760" t="s">
        <v>217</v>
      </c>
      <c r="Y101" s="1196"/>
      <c r="Z101" s="1196"/>
      <c r="AA101" s="1196"/>
      <c r="AB101" s="758"/>
      <c r="AC101" s="484"/>
    </row>
    <row r="102" spans="2:32" ht="15.75" customHeight="1" thickBot="1">
      <c r="X102" s="157"/>
      <c r="Y102" s="1197"/>
      <c r="Z102" s="1197"/>
      <c r="AA102" s="1197"/>
      <c r="AB102" s="21"/>
      <c r="AC102" s="134"/>
    </row>
    <row r="103" spans="2:32" ht="144.75">
      <c r="B103" s="1346" t="s">
        <v>218</v>
      </c>
      <c r="C103" s="629" t="s">
        <v>218</v>
      </c>
      <c r="D103" s="593" t="s">
        <v>219</v>
      </c>
      <c r="E103" s="594">
        <f>NETWORKDAYS.INTL(F103,G103,"0000100",$AI$5:$AI$12)</f>
        <v>21</v>
      </c>
      <c r="F103" s="595">
        <v>46271</v>
      </c>
      <c r="G103" s="595">
        <f>WORKDAY.INTL(F103,18,"0000110")</f>
        <v>46295</v>
      </c>
      <c r="H103" s="596">
        <v>46271</v>
      </c>
      <c r="I103" s="596">
        <f>WORKDAY.INTL(H103,18,"0000110")</f>
        <v>46295</v>
      </c>
      <c r="J103" s="596"/>
      <c r="K103" s="597"/>
      <c r="L103" s="598"/>
      <c r="M103" s="599" t="str">
        <f t="shared" ref="M103:M105" ca="1" si="49">IF(L103=100%,"Completed",
IF(AND(L103&lt;100%,G103&lt;TODAY()),"Delayed",
IF(AND(OR(L103="",L103=0),F103&gt;TODAY()),"Not Started",
IF(AND(OR(L103="",L103=0),F103&lt;=TODAY()),"Delayed",
IF(AND(L103&gt;0,L103&lt;100%),"In Progress","")))))</f>
        <v>Not Started</v>
      </c>
      <c r="N103" s="600"/>
      <c r="O103" s="600"/>
      <c r="P103" s="600"/>
      <c r="Q103" s="600"/>
      <c r="R103" s="600"/>
      <c r="S103" s="600"/>
      <c r="T103" s="600"/>
      <c r="U103" s="601"/>
      <c r="V103" s="761"/>
      <c r="W103" s="624"/>
      <c r="X103" s="766" t="s">
        <v>273</v>
      </c>
      <c r="Y103" s="1198"/>
      <c r="Z103" s="1198"/>
      <c r="AA103" s="1198"/>
      <c r="AB103" s="602"/>
      <c r="AC103" s="603"/>
    </row>
    <row r="104" spans="2:32" ht="33.75" customHeight="1">
      <c r="B104" s="1347"/>
      <c r="C104" s="762" t="s">
        <v>218</v>
      </c>
      <c r="D104" s="359" t="s">
        <v>221</v>
      </c>
      <c r="E104" s="604">
        <f>NETWORKDAYS.INTL(F104,G104,"0000100",$AI$5:$AI$12)</f>
        <v>9</v>
      </c>
      <c r="F104" s="360">
        <v>46215</v>
      </c>
      <c r="G104" s="360">
        <f>WORKDAY.INTL(F104,7,"0000110")</f>
        <v>46224</v>
      </c>
      <c r="H104" s="238">
        <v>46215</v>
      </c>
      <c r="I104" s="238">
        <f>WORKDAY.INTL(H104,7,"0000110")</f>
        <v>46224</v>
      </c>
      <c r="J104" s="238">
        <v>46215</v>
      </c>
      <c r="K104" s="1163">
        <v>46221</v>
      </c>
      <c r="L104" s="410">
        <v>1</v>
      </c>
      <c r="M104" s="411" t="str">
        <f t="shared" ca="1" si="49"/>
        <v>Completed</v>
      </c>
      <c r="N104" s="605"/>
      <c r="O104" s="605"/>
      <c r="P104" s="605"/>
      <c r="Q104" s="605"/>
      <c r="R104" s="605"/>
      <c r="S104" s="605"/>
      <c r="T104" s="605"/>
      <c r="U104" s="606"/>
      <c r="V104" s="763"/>
      <c r="W104" s="625"/>
      <c r="X104" s="767" t="s">
        <v>222</v>
      </c>
      <c r="Y104" s="1199"/>
      <c r="Z104" s="1199"/>
      <c r="AA104" s="1199"/>
      <c r="AB104" s="607"/>
      <c r="AC104" s="608"/>
    </row>
    <row r="105" spans="2:32" ht="108.75">
      <c r="B105" s="1348"/>
      <c r="C105" s="764" t="s">
        <v>218</v>
      </c>
      <c r="D105" s="609" t="s">
        <v>223</v>
      </c>
      <c r="E105" s="610">
        <f>NETWORKDAYS.INTL(F105,G105,"0000100",$AI$5:$AI$12)</f>
        <v>37</v>
      </c>
      <c r="F105" s="611">
        <v>46310</v>
      </c>
      <c r="G105" s="611">
        <f>WORKDAY.INTL(F105,30,"0000110")</f>
        <v>46352</v>
      </c>
      <c r="H105" s="612">
        <v>46310</v>
      </c>
      <c r="I105" s="612">
        <f>WORKDAY.INTL(H105,30,"0000110")</f>
        <v>46352</v>
      </c>
      <c r="J105" s="612"/>
      <c r="K105" s="613"/>
      <c r="L105" s="614"/>
      <c r="M105" s="615" t="str">
        <f t="shared" ca="1" si="49"/>
        <v>Not Started</v>
      </c>
      <c r="N105" s="616"/>
      <c r="O105" s="616"/>
      <c r="P105" s="616"/>
      <c r="Q105" s="616"/>
      <c r="R105" s="616"/>
      <c r="S105" s="616"/>
      <c r="T105" s="616"/>
      <c r="U105" s="617"/>
      <c r="V105" s="765"/>
      <c r="W105" s="626"/>
      <c r="X105" s="561" t="s">
        <v>224</v>
      </c>
      <c r="Y105" s="1200"/>
      <c r="Z105" s="1200"/>
      <c r="AA105" s="1200"/>
      <c r="AB105" s="618"/>
      <c r="AC105" s="619"/>
    </row>
  </sheetData>
  <sheetProtection formatCells="0" formatColumns="0" formatRows="0" insertColumns="0" insertRows="0" insertHyperlinks="0" deleteColumns="0" deleteRows="0" sort="0" autoFilter="0" pivotTables="0"/>
  <mergeCells count="26">
    <mergeCell ref="W5:W9"/>
    <mergeCell ref="W11:W14"/>
    <mergeCell ref="AB92:AB98"/>
    <mergeCell ref="B92:B98"/>
    <mergeCell ref="B100:B101"/>
    <mergeCell ref="B57:B58"/>
    <mergeCell ref="B60:B61"/>
    <mergeCell ref="B63:B65"/>
    <mergeCell ref="B67:B68"/>
    <mergeCell ref="B70:B71"/>
    <mergeCell ref="B31:B34"/>
    <mergeCell ref="B36:B39"/>
    <mergeCell ref="B41:B44"/>
    <mergeCell ref="B46:B48"/>
    <mergeCell ref="B51:B55"/>
    <mergeCell ref="B5:B9"/>
    <mergeCell ref="B11:B14"/>
    <mergeCell ref="B16:B19"/>
    <mergeCell ref="B21:B24"/>
    <mergeCell ref="B26:B29"/>
    <mergeCell ref="B103:B105"/>
    <mergeCell ref="B73:B74"/>
    <mergeCell ref="B76:B77"/>
    <mergeCell ref="B79:B80"/>
    <mergeCell ref="B82:B83"/>
    <mergeCell ref="B85:B86"/>
  </mergeCells>
  <phoneticPr fontId="29" type="noConversion"/>
  <conditionalFormatting sqref="L103:L105">
    <cfRule type="cellIs" dxfId="42" priority="10" operator="equal">
      <formula>"In Progress"</formula>
    </cfRule>
    <cfRule type="cellIs" dxfId="41" priority="11" operator="equal">
      <formula>"Delayed"</formula>
    </cfRule>
    <cfRule type="cellIs" dxfId="40" priority="12" operator="equal">
      <formula>"Completed"</formula>
    </cfRule>
  </conditionalFormatting>
  <conditionalFormatting sqref="M1:M1048576 V10:W11 V12:V14 V15:W1048576">
    <cfRule type="cellIs" dxfId="39" priority="4" operator="equal">
      <formula>"Delayed"</formula>
    </cfRule>
    <cfRule type="cellIs" dxfId="38" priority="5" operator="equal">
      <formula>"In Progress"</formula>
    </cfRule>
    <cfRule type="cellIs" dxfId="37" priority="6" operator="equal">
      <formula>"Completed"</formula>
    </cfRule>
  </conditionalFormatting>
  <conditionalFormatting sqref="V1:W5 V6:V9">
    <cfRule type="cellIs" dxfId="36" priority="1" operator="equal">
      <formula>"Delayed"</formula>
    </cfRule>
    <cfRule type="cellIs" dxfId="35" priority="2" operator="equal">
      <formula>"In Progress"</formula>
    </cfRule>
    <cfRule type="cellIs" dxfId="34" priority="3" operator="equal">
      <formula>"Completed"</formula>
    </cfRule>
  </conditionalFormatting>
  <dataValidations disablePrompts="1" count="1">
    <dataValidation type="list" allowBlank="1" showInputMessage="1" showErrorMessage="1" sqref="AD50 AD92:AD98" xr:uid="{00000000-0002-0000-0300-000000000000}">
      <formula1>$AE$2:$AE$5</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1:AJ266"/>
  <sheetViews>
    <sheetView showGridLines="0" view="pageBreakPreview" topLeftCell="H1" zoomScale="85" zoomScaleNormal="100" zoomScaleSheetLayoutView="85" workbookViewId="0">
      <pane ySplit="2" topLeftCell="A4" activePane="bottomLeft" state="frozen"/>
      <selection pane="bottomLeft" activeCell="B1" sqref="B1"/>
    </sheetView>
  </sheetViews>
  <sheetFormatPr defaultColWidth="9" defaultRowHeight="15.75"/>
  <cols>
    <col min="1" max="1" width="0.625" style="154" customWidth="1"/>
    <col min="2" max="2" width="16" style="154" customWidth="1"/>
    <col min="3" max="3" width="6.125" style="154" hidden="1" customWidth="1"/>
    <col min="4" max="4" width="46.625" style="263" customWidth="1"/>
    <col min="5" max="5" width="9" style="264" customWidth="1"/>
    <col min="6" max="6" width="12.625" style="260" bestFit="1" customWidth="1"/>
    <col min="7" max="7" width="12.625" style="260" customWidth="1"/>
    <col min="8" max="8" width="13.25" style="260" bestFit="1" customWidth="1"/>
    <col min="9" max="9" width="14" style="260" bestFit="1" customWidth="1"/>
    <col min="10" max="10" width="25" style="260" bestFit="1" customWidth="1"/>
    <col min="11" max="11" width="26.75" style="260" bestFit="1" customWidth="1"/>
    <col min="12" max="12" width="9" style="294" customWidth="1"/>
    <col min="13" max="13" width="11" style="294" bestFit="1" customWidth="1"/>
    <col min="14" max="14" width="17.875" style="294" bestFit="1" customWidth="1"/>
    <col min="15" max="15" width="1.5" style="154" customWidth="1"/>
    <col min="16" max="21" width="9.125" style="154" hidden="1" customWidth="1"/>
    <col min="22" max="22" width="5.625" style="154" hidden="1" customWidth="1"/>
    <col min="23" max="23" width="61.875" style="157" customWidth="1"/>
    <col min="24" max="26" width="32.625" style="837" customWidth="1"/>
    <col min="27" max="27" width="50.5" style="229" customWidth="1"/>
    <col min="28" max="28" width="42.625" style="229" customWidth="1"/>
    <col min="29" max="29" width="13.625" style="154" hidden="1" customWidth="1"/>
    <col min="30" max="30" width="9.125" style="154" hidden="1" customWidth="1"/>
    <col min="31" max="31" width="12.125" style="158" hidden="1" customWidth="1"/>
    <col min="32" max="32" width="10.125" style="158" hidden="1" customWidth="1"/>
    <col min="33" max="33" width="9.125" style="154" hidden="1" customWidth="1"/>
    <col min="34" max="34" width="9" style="154" hidden="1" customWidth="1"/>
    <col min="35" max="35" width="10.125" style="154" hidden="1" customWidth="1"/>
    <col min="36" max="36" width="0" style="154" hidden="1" customWidth="1"/>
    <col min="37" max="16384" width="9" style="154"/>
  </cols>
  <sheetData>
    <row r="1" spans="2:36" ht="5.45" customHeight="1" thickBot="1">
      <c r="F1" s="251"/>
      <c r="G1" s="251"/>
      <c r="H1" s="251"/>
      <c r="I1" s="251"/>
      <c r="J1" s="251"/>
      <c r="K1" s="251"/>
      <c r="L1" s="265"/>
      <c r="M1" s="265"/>
      <c r="N1" s="265"/>
      <c r="O1" s="771"/>
    </row>
    <row r="2" spans="2:36" ht="24" customHeight="1" thickBot="1">
      <c r="B2" s="159"/>
      <c r="C2" s="159" t="s">
        <v>96</v>
      </c>
      <c r="D2" s="266" t="s">
        <v>1</v>
      </c>
      <c r="E2" s="266" t="s">
        <v>97</v>
      </c>
      <c r="F2" s="252" t="s">
        <v>98</v>
      </c>
      <c r="G2" s="252" t="s">
        <v>83</v>
      </c>
      <c r="H2" s="252" t="s">
        <v>99</v>
      </c>
      <c r="I2" s="252" t="s">
        <v>84</v>
      </c>
      <c r="J2" s="267" t="s">
        <v>100</v>
      </c>
      <c r="K2" s="267" t="s">
        <v>101</v>
      </c>
      <c r="L2" s="268" t="s">
        <v>82</v>
      </c>
      <c r="M2" s="268" t="s">
        <v>102</v>
      </c>
      <c r="N2" s="268" t="s">
        <v>103</v>
      </c>
      <c r="O2" s="772"/>
      <c r="P2" s="160">
        <v>46113</v>
      </c>
      <c r="Q2" s="161">
        <v>46143</v>
      </c>
      <c r="R2" s="161">
        <v>46174</v>
      </c>
      <c r="S2" s="161">
        <v>46204</v>
      </c>
      <c r="T2" s="161">
        <v>46235</v>
      </c>
      <c r="U2" s="161">
        <v>46266</v>
      </c>
      <c r="V2" s="161">
        <v>46296</v>
      </c>
      <c r="W2" s="225" t="s">
        <v>2</v>
      </c>
      <c r="X2" s="1165" t="s">
        <v>104</v>
      </c>
      <c r="Y2" s="1165" t="s">
        <v>105</v>
      </c>
      <c r="Z2" s="1258" t="s">
        <v>106</v>
      </c>
      <c r="AA2" s="162" t="s">
        <v>107</v>
      </c>
      <c r="AB2" s="162" t="s">
        <v>108</v>
      </c>
      <c r="AD2" s="154" t="s">
        <v>226</v>
      </c>
      <c r="AE2" s="154"/>
      <c r="AG2" s="158"/>
    </row>
    <row r="3" spans="2:36" ht="45" hidden="1" customHeight="1">
      <c r="B3" s="163"/>
      <c r="C3" s="163"/>
      <c r="D3" s="269" t="s">
        <v>274</v>
      </c>
      <c r="E3" s="270"/>
      <c r="F3" s="253"/>
      <c r="G3" s="253" t="s">
        <v>55</v>
      </c>
      <c r="H3" s="253"/>
      <c r="I3" s="253" t="s">
        <v>55</v>
      </c>
      <c r="J3" s="253"/>
      <c r="K3" s="253"/>
      <c r="L3" s="271">
        <v>1</v>
      </c>
      <c r="M3" s="271" t="str">
        <f ca="1">IF(OR(L3=100%,K3&lt;&gt;""),"Completed",IF(AND(OR(L3="",L3=0),F3&gt;TODAY()),"Not Started",IF(AND(OR(L3="",L3=0),F3&lt;=TODAY()),"Delayed",IF(AND(L3&gt;0,L3&lt;100%,G3&lt;TODAY()),"Delayed",IF(AND(L3&gt;0,L3&lt;100%),"In Progress","")))))</f>
        <v>Completed</v>
      </c>
      <c r="N3" s="271"/>
      <c r="O3" s="772"/>
      <c r="P3" s="164"/>
      <c r="Q3" s="165"/>
      <c r="R3" s="165"/>
      <c r="S3" s="165"/>
      <c r="T3" s="165"/>
      <c r="U3" s="165"/>
      <c r="V3" s="165"/>
      <c r="W3" s="226"/>
      <c r="X3" s="1215"/>
      <c r="Y3" s="1215"/>
      <c r="Z3" s="1215"/>
      <c r="AA3" s="166"/>
      <c r="AB3" s="166"/>
      <c r="AD3" s="154" t="s">
        <v>113</v>
      </c>
      <c r="AE3" s="154"/>
      <c r="AG3" s="158"/>
    </row>
    <row r="4" spans="2:36" s="153" customFormat="1" ht="4.5" customHeight="1" thickBot="1">
      <c r="B4" s="181"/>
      <c r="C4" s="181"/>
      <c r="D4" s="257"/>
      <c r="E4" s="287"/>
      <c r="F4" s="257"/>
      <c r="G4" s="257"/>
      <c r="H4" s="257"/>
      <c r="I4" s="257"/>
      <c r="J4" s="257"/>
      <c r="K4" s="257"/>
      <c r="L4" s="288"/>
      <c r="M4" s="288"/>
      <c r="N4" s="288"/>
      <c r="O4" s="773"/>
      <c r="P4" s="167"/>
      <c r="Q4" s="167"/>
      <c r="R4" s="167"/>
      <c r="S4" s="167"/>
      <c r="T4" s="167"/>
      <c r="U4" s="167"/>
      <c r="V4" s="167"/>
      <c r="W4" s="181"/>
      <c r="X4" s="1216"/>
      <c r="Y4" s="1216"/>
      <c r="Z4" s="1216"/>
      <c r="AA4" s="520"/>
      <c r="AB4" s="520"/>
      <c r="AF4" s="168"/>
      <c r="AG4" s="168"/>
    </row>
    <row r="5" spans="2:36" ht="54" customHeight="1" thickBot="1">
      <c r="B5" s="1261" t="s">
        <v>111</v>
      </c>
      <c r="C5" s="421" t="s">
        <v>86</v>
      </c>
      <c r="D5" s="273" t="s">
        <v>275</v>
      </c>
      <c r="E5" s="274">
        <f>NETWORKDAYS.INTL(F5,G5,"0000100",$AI$5:$AI$11)</f>
        <v>1</v>
      </c>
      <c r="F5" s="198">
        <v>46153</v>
      </c>
      <c r="G5" s="198">
        <v>46153</v>
      </c>
      <c r="H5" s="198">
        <v>46153</v>
      </c>
      <c r="I5" s="198">
        <v>46153</v>
      </c>
      <c r="J5" s="198">
        <v>46153</v>
      </c>
      <c r="K5" s="198">
        <v>46153</v>
      </c>
      <c r="L5" s="275">
        <v>1</v>
      </c>
      <c r="M5" s="275" t="str">
        <f ca="1">IF(L5=100%,"Completed",
IF(AND(L5&lt;100%,G5&lt;TODAY()),"Delayed",
IF(AND(OR(L5="",L5=0),F5&gt;TODAY()),"Not Started",
IF(AND(OR(L5="",L5=0),F5&lt;=TODAY()),"Delayed",
IF(AND(L5&gt;0,L5&lt;100%),"In Progress","")))))</f>
        <v>Completed</v>
      </c>
      <c r="N5" s="782"/>
      <c r="O5" s="781"/>
      <c r="P5" s="171"/>
      <c r="Q5" s="171"/>
      <c r="R5" s="171"/>
      <c r="S5" s="171"/>
      <c r="T5" s="171"/>
      <c r="U5" s="171"/>
      <c r="V5" s="171"/>
      <c r="W5" s="663"/>
      <c r="X5" s="1185"/>
      <c r="Y5" s="1185"/>
      <c r="Z5" s="1185"/>
      <c r="AA5" s="169"/>
      <c r="AB5" s="468"/>
      <c r="AD5" s="154" t="s">
        <v>124</v>
      </c>
      <c r="AE5" s="170" t="s">
        <v>62</v>
      </c>
      <c r="AF5" s="158" t="s">
        <v>68</v>
      </c>
      <c r="AG5" s="158"/>
      <c r="AI5" s="154">
        <v>46166</v>
      </c>
      <c r="AJ5" s="173"/>
    </row>
    <row r="6" spans="2:36" ht="54" customHeight="1">
      <c r="B6" s="1262"/>
      <c r="C6" s="422" t="s">
        <v>86</v>
      </c>
      <c r="D6" s="276" t="s">
        <v>114</v>
      </c>
      <c r="E6" s="277">
        <f>NETWORKDAYS.INTL(F6,G6,"0000100",$AI$5:$AI$11)</f>
        <v>37</v>
      </c>
      <c r="F6" s="200">
        <f>WORKDAY.INTL("12-May-26",0,"0000100")</f>
        <v>46154</v>
      </c>
      <c r="G6" s="200">
        <v>46202</v>
      </c>
      <c r="H6" s="200">
        <f>WORKDAY.INTL("12-May-26",0,"0000100")</f>
        <v>46154</v>
      </c>
      <c r="I6" s="200">
        <v>46202</v>
      </c>
      <c r="J6" s="198">
        <v>46154</v>
      </c>
      <c r="K6" s="200">
        <v>46202</v>
      </c>
      <c r="L6" s="278">
        <v>1</v>
      </c>
      <c r="M6" s="278" t="str">
        <f ca="1">IF(L6=100%,"Completed",
IF(AND(L6&lt;100%,G6&lt;TODAY()),"Delayed",
IF(AND(OR(L6="",L6=0),F6&gt;TODAY()),"Not Started",
IF(AND(OR(L6="",L6=0),F6&lt;=TODAY()),"Delayed",
IF(AND(L6&gt;0,L6&lt;100%),"In Progress","")))))</f>
        <v>Completed</v>
      </c>
      <c r="N6" s="783"/>
      <c r="O6" s="781"/>
      <c r="P6" s="171"/>
      <c r="Q6" s="171"/>
      <c r="R6" s="171"/>
      <c r="S6" s="171"/>
      <c r="T6" s="171"/>
      <c r="U6" s="171"/>
      <c r="V6" s="171"/>
      <c r="W6" s="664"/>
      <c r="X6" s="1186"/>
      <c r="Y6" s="1186"/>
      <c r="Z6" s="1186"/>
      <c r="AA6" s="170"/>
      <c r="AB6" s="469"/>
      <c r="AE6" s="170" t="s">
        <v>63</v>
      </c>
      <c r="AF6" s="158" t="s">
        <v>68</v>
      </c>
      <c r="AG6" s="158"/>
      <c r="AI6" s="154">
        <v>46167</v>
      </c>
      <c r="AJ6" s="173"/>
    </row>
    <row r="7" spans="2:36" ht="126">
      <c r="B7" s="1262"/>
      <c r="C7" s="422" t="s">
        <v>86</v>
      </c>
      <c r="D7" s="276" t="s">
        <v>115</v>
      </c>
      <c r="E7" s="277"/>
      <c r="F7" s="200">
        <v>46124</v>
      </c>
      <c r="G7" s="200">
        <v>46229</v>
      </c>
      <c r="H7" s="200">
        <v>46124</v>
      </c>
      <c r="I7" s="200">
        <v>46231</v>
      </c>
      <c r="J7" s="200"/>
      <c r="K7" s="200">
        <v>46236</v>
      </c>
      <c r="L7" s="278">
        <v>0.8</v>
      </c>
      <c r="M7" s="278" t="str">
        <f ca="1">IF(L7=100%,"Completed",
IF(AND(L7&lt;100%,G7&lt;TODAY()),"Delayed",
IF(AND(OR(L7="",L7=0),F7&gt;TODAY()),"Not Started",
IF(AND(OR(L7="",L7=0),F7&lt;=TODAY()),"Delayed",
IF(AND(L7&gt;0,L7&lt;100%),"In Progress","")))))</f>
        <v>In Progress</v>
      </c>
      <c r="N7" s="783" t="s">
        <v>276</v>
      </c>
      <c r="O7" s="781"/>
      <c r="P7" s="171"/>
      <c r="Q7" s="171"/>
      <c r="R7" s="171"/>
      <c r="S7" s="171"/>
      <c r="T7" s="171"/>
      <c r="U7" s="171"/>
      <c r="V7" s="171"/>
      <c r="W7" s="944" t="s">
        <v>230</v>
      </c>
      <c r="X7" s="1186"/>
      <c r="Y7" s="1186"/>
      <c r="Z7" s="1186"/>
      <c r="AA7" s="170"/>
      <c r="AB7" s="469"/>
      <c r="AG7" s="158"/>
      <c r="AI7" s="154">
        <v>46168</v>
      </c>
      <c r="AJ7" s="173"/>
    </row>
    <row r="8" spans="2:36" ht="54.75">
      <c r="B8" s="1262"/>
      <c r="C8" s="422" t="s">
        <v>86</v>
      </c>
      <c r="D8" s="279" t="s">
        <v>120</v>
      </c>
      <c r="E8" s="277">
        <f>NETWORKDAYS.INTL(F8,G8,"0000110",$AI$5:$AI$11)</f>
        <v>2</v>
      </c>
      <c r="F8" s="200">
        <f>WORKDAY.INTL(G7,1,"0000110",$AI$5:$AI$9)</f>
        <v>46230</v>
      </c>
      <c r="G8" s="200">
        <f>WORKDAY.INTL(F8,1,"0000110",$AI$5:$AI$10)</f>
        <v>46231</v>
      </c>
      <c r="H8" s="200">
        <f>WORKDAY.INTL(I7,1,"0000110",$AI$5:$AI$9)</f>
        <v>46232</v>
      </c>
      <c r="I8" s="200">
        <f>WORKDAY.INTL(H8,1,"0000110",$AI$5:$AI$10)</f>
        <v>46233</v>
      </c>
      <c r="J8" s="200">
        <v>46236</v>
      </c>
      <c r="K8" s="200"/>
      <c r="L8" s="278"/>
      <c r="M8" s="278" t="str">
        <f ca="1">IF(L8=100%,"Completed",
IF(AND(L8&lt;100%,G8&lt;TODAY()),"Delayed",
IF(AND(OR(L8="",L8=0),F8&gt;TODAY()),"Not Started",
IF(AND(OR(L8="",L8=0),F8&lt;=TODAY()),"Delayed",
IF(AND(L8&gt;0,L8&lt;100%),"In Progress","")))))</f>
        <v>Not Started</v>
      </c>
      <c r="N8" s="783"/>
      <c r="O8" s="781"/>
      <c r="P8" s="174"/>
      <c r="Q8" s="174"/>
      <c r="R8" s="174"/>
      <c r="S8" s="174"/>
      <c r="T8" s="174"/>
      <c r="U8" s="174"/>
      <c r="V8" s="174"/>
      <c r="W8" s="664" t="s">
        <v>121</v>
      </c>
      <c r="X8" s="1186">
        <v>1</v>
      </c>
      <c r="Y8" s="1186"/>
      <c r="Z8" s="1186"/>
      <c r="AA8" s="170" t="s">
        <v>277</v>
      </c>
      <c r="AB8" s="469" t="s">
        <v>123</v>
      </c>
      <c r="AE8" s="170" t="s">
        <v>64</v>
      </c>
      <c r="AF8" s="158" t="s">
        <v>68</v>
      </c>
      <c r="AG8" s="158"/>
      <c r="AI8" s="154">
        <v>46169</v>
      </c>
      <c r="AJ8" s="173"/>
    </row>
    <row r="9" spans="2:36" ht="54" customHeight="1" thickBot="1">
      <c r="B9" s="1263"/>
      <c r="C9" s="423" t="s">
        <v>86</v>
      </c>
      <c r="D9" s="280" t="s">
        <v>125</v>
      </c>
      <c r="E9" s="281">
        <f>NETWORKDAYS.INTL(F9,G9,"0000110",$AI$5:$AI$11)</f>
        <v>2</v>
      </c>
      <c r="F9" s="255">
        <f>WORKDAY.INTL(G8,1,"0000110",$AI$5:$AI$9)</f>
        <v>46232</v>
      </c>
      <c r="G9" s="255">
        <f>WORKDAY.INTL(F9,1,"0000110",$AI$5:$AI$10)</f>
        <v>46233</v>
      </c>
      <c r="H9" s="255">
        <f>WORKDAY.INTL(I8,1,"0000110",$AI$5:$AI$9)</f>
        <v>46236</v>
      </c>
      <c r="I9" s="255">
        <f>WORKDAY.INTL(H9,1,"0000110",$AI$5:$AI$10)</f>
        <v>46237</v>
      </c>
      <c r="J9" s="255"/>
      <c r="K9" s="255"/>
      <c r="L9" s="282"/>
      <c r="M9" s="282" t="str">
        <f ca="1">IF(L9=100%,"Completed",
IF(AND(L9&lt;100%,G9&lt;TODAY()),"Delayed",
IF(AND(OR(L9="",L9=0),F9&gt;TODAY()),"Not Started",
IF(AND(OR(L9="",L9=0),F9&lt;=TODAY()),"Delayed",
IF(AND(L9&gt;0,L9&lt;100%),"In Progress","")))))</f>
        <v>Not Started</v>
      </c>
      <c r="N9" s="784"/>
      <c r="O9" s="781"/>
      <c r="P9" s="174"/>
      <c r="Q9" s="174"/>
      <c r="R9" s="174"/>
      <c r="S9" s="174"/>
      <c r="T9" s="174"/>
      <c r="U9" s="174"/>
      <c r="V9" s="174"/>
      <c r="W9" s="785" t="s">
        <v>126</v>
      </c>
      <c r="X9" s="1189">
        <v>1</v>
      </c>
      <c r="Y9" s="1189"/>
      <c r="Z9" s="1189"/>
      <c r="AA9" s="189"/>
      <c r="AB9" s="470"/>
      <c r="AE9" s="170" t="s">
        <v>65</v>
      </c>
      <c r="AF9" s="158" t="s">
        <v>68</v>
      </c>
      <c r="AG9" s="158"/>
      <c r="AI9" s="154">
        <v>46170</v>
      </c>
      <c r="AJ9" s="173"/>
    </row>
    <row r="10" spans="2:36" s="153" customFormat="1" ht="5.0999999999999996" customHeight="1" thickBot="1">
      <c r="B10" s="205"/>
      <c r="C10" s="205"/>
      <c r="D10" s="313"/>
      <c r="E10" s="314"/>
      <c r="F10" s="313"/>
      <c r="G10" s="313"/>
      <c r="H10" s="313"/>
      <c r="I10" s="313"/>
      <c r="J10" s="313"/>
      <c r="K10" s="313"/>
      <c r="L10" s="315"/>
      <c r="M10" s="315"/>
      <c r="N10" s="315"/>
      <c r="O10" s="773"/>
      <c r="P10" s="167"/>
      <c r="Q10" s="167"/>
      <c r="R10" s="167"/>
      <c r="S10" s="167"/>
      <c r="T10" s="167"/>
      <c r="U10" s="167"/>
      <c r="V10" s="167"/>
      <c r="W10" s="205"/>
      <c r="X10" s="1216"/>
      <c r="Y10" s="1216"/>
      <c r="Z10" s="1216"/>
      <c r="AA10" s="205"/>
      <c r="AB10" s="205"/>
      <c r="AE10" s="168"/>
      <c r="AF10" s="168"/>
      <c r="AI10" s="153">
        <v>46288</v>
      </c>
      <c r="AJ10" s="173"/>
    </row>
    <row r="11" spans="2:36" ht="45" customHeight="1">
      <c r="B11" s="1264" t="s">
        <v>278</v>
      </c>
      <c r="C11" s="786" t="s">
        <v>86</v>
      </c>
      <c r="D11" s="787" t="s">
        <v>275</v>
      </c>
      <c r="E11" s="316">
        <f>NETWORKDAYS.INTL(F11,G11,"0000100",$AI$5:$AI$11)</f>
        <v>1</v>
      </c>
      <c r="F11" s="258">
        <v>46183</v>
      </c>
      <c r="G11" s="258">
        <v>46183</v>
      </c>
      <c r="H11" s="258">
        <v>46183</v>
      </c>
      <c r="I11" s="258">
        <v>46183</v>
      </c>
      <c r="J11" s="1149">
        <v>46183</v>
      </c>
      <c r="K11" s="1148">
        <v>46183</v>
      </c>
      <c r="L11" s="291">
        <v>1</v>
      </c>
      <c r="M11" s="291" t="str">
        <f ca="1">IF(L11=100%,"Completed",
IF(AND(L11&lt;100%,G11&lt;TODAY()),"Delayed",
IF(AND(OR(L11="",L11=0),F11&gt;TODAY()),"Not Started",
IF(AND(OR(L11="",L11=0),F11&lt;=TODAY()),"Delayed",
IF(AND(L11&gt;0,L11&lt;100%),"In Progress","")))))</f>
        <v>Completed</v>
      </c>
      <c r="N11" s="788"/>
      <c r="O11" s="781"/>
      <c r="P11" s="175"/>
      <c r="Q11" s="175"/>
      <c r="R11" s="175"/>
      <c r="S11" s="175"/>
      <c r="T11" s="175"/>
      <c r="U11" s="175"/>
      <c r="V11" s="175"/>
      <c r="W11" s="798"/>
      <c r="X11" s="1217"/>
      <c r="Y11" s="1217"/>
      <c r="Z11" s="1217"/>
      <c r="AA11" s="92"/>
      <c r="AB11" s="741"/>
      <c r="AE11" s="170" t="s">
        <v>62</v>
      </c>
      <c r="AF11" s="158" t="s">
        <v>69</v>
      </c>
      <c r="AG11" s="158"/>
      <c r="AI11" s="154">
        <v>46288</v>
      </c>
      <c r="AJ11" s="173"/>
    </row>
    <row r="12" spans="2:36" ht="45" customHeight="1">
      <c r="B12" s="1265"/>
      <c r="C12" s="789" t="s">
        <v>86</v>
      </c>
      <c r="D12" s="790" t="s">
        <v>114</v>
      </c>
      <c r="E12" s="791">
        <f>NETWORKDAYS.INTL(F12,G12,"0000100",$AI$5:$AI$11)</f>
        <v>18</v>
      </c>
      <c r="F12" s="256">
        <f>G11+1</f>
        <v>46184</v>
      </c>
      <c r="G12" s="256">
        <v>46204</v>
      </c>
      <c r="H12" s="256">
        <f>I11+1</f>
        <v>46184</v>
      </c>
      <c r="I12" s="256">
        <v>46204</v>
      </c>
      <c r="J12" s="1149">
        <v>46184</v>
      </c>
      <c r="K12" s="1148">
        <v>46204</v>
      </c>
      <c r="L12" s="285">
        <v>1</v>
      </c>
      <c r="M12" s="285" t="str">
        <f ca="1">IF(L12=100%,"Completed",
IF(AND(L12&lt;100%,G12&lt;TODAY()),"Delayed",
IF(AND(OR(L12="",L12=0),F12&gt;TODAY()),"Not Started",
IF(AND(OR(L12="",L12=0),F12&lt;=TODAY()),"Delayed",
IF(AND(L12&gt;0,L12&lt;100%),"In Progress","")))))</f>
        <v>Completed</v>
      </c>
      <c r="N12" s="792"/>
      <c r="O12" s="781"/>
      <c r="P12" s="176"/>
      <c r="Q12" s="176"/>
      <c r="R12" s="176"/>
      <c r="S12" s="176"/>
      <c r="T12" s="176"/>
      <c r="U12" s="176"/>
      <c r="V12" s="176"/>
      <c r="W12" s="799"/>
      <c r="X12" s="1218"/>
      <c r="Y12" s="1218"/>
      <c r="Z12" s="1218"/>
      <c r="AA12" s="97"/>
      <c r="AB12" s="745"/>
      <c r="AE12" s="170" t="s">
        <v>63</v>
      </c>
      <c r="AF12" s="158" t="s">
        <v>69</v>
      </c>
      <c r="AG12" s="158"/>
    </row>
    <row r="13" spans="2:36" ht="104.1" customHeight="1">
      <c r="B13" s="1265"/>
      <c r="C13" s="789" t="s">
        <v>86</v>
      </c>
      <c r="D13" s="793" t="s">
        <v>120</v>
      </c>
      <c r="E13" s="791">
        <f>NETWORKDAYS.INTL(F13,G13,"0000110",$AI$5:$AI$11)</f>
        <v>3</v>
      </c>
      <c r="F13" s="256">
        <f>WORKDAY.INTL(G8,1,"0000110",$AI$5:$AI$9)</f>
        <v>46232</v>
      </c>
      <c r="G13" s="256">
        <f>WORKDAY.INTL(F13,2,"0000110",$AI$5:$AI$10)</f>
        <v>46236</v>
      </c>
      <c r="H13" s="256">
        <f>WORKDAY.INTL(I8,1,"0000110",$AI$5:$AI$9)</f>
        <v>46236</v>
      </c>
      <c r="I13" s="256">
        <f>WORKDAY.INTL(H13,2,"0000110",$AI$5:$AI$10)</f>
        <v>46238</v>
      </c>
      <c r="J13" s="256"/>
      <c r="K13" s="256"/>
      <c r="L13" s="285"/>
      <c r="M13" s="285" t="str">
        <f ca="1">IF(L13=100%,"Completed",
IF(AND(L13&lt;100%,G13&lt;TODAY()),"Delayed",
IF(AND(OR(L13="",L13=0),F13&gt;TODAY()),"Not Started",
IF(AND(OR(L13="",L13=0),F13&lt;=TODAY()),"Delayed",
IF(AND(L13&gt;0,L13&lt;100%),"In Progress","")))))</f>
        <v>Not Started</v>
      </c>
      <c r="N13" s="792"/>
      <c r="O13" s="781"/>
      <c r="P13" s="177"/>
      <c r="Q13" s="177"/>
      <c r="R13" s="177"/>
      <c r="S13" s="177"/>
      <c r="T13" s="177"/>
      <c r="U13" s="177"/>
      <c r="V13" s="177"/>
      <c r="W13" s="799" t="s">
        <v>129</v>
      </c>
      <c r="X13" s="1218">
        <v>1</v>
      </c>
      <c r="Y13" s="1218"/>
      <c r="Z13" s="1218"/>
      <c r="AA13" s="97" t="s">
        <v>277</v>
      </c>
      <c r="AB13" s="745" t="s">
        <v>123</v>
      </c>
      <c r="AE13" s="170" t="s">
        <v>64</v>
      </c>
      <c r="AF13" s="158" t="s">
        <v>69</v>
      </c>
      <c r="AG13" s="158"/>
    </row>
    <row r="14" spans="2:36" ht="126.95" customHeight="1" thickBot="1">
      <c r="B14" s="1266"/>
      <c r="C14" s="794" t="s">
        <v>86</v>
      </c>
      <c r="D14" s="795" t="s">
        <v>125</v>
      </c>
      <c r="E14" s="796">
        <f>NETWORKDAYS.INTL(F14,G14,"0000110",$AI$5:$AI$11)</f>
        <v>2</v>
      </c>
      <c r="F14" s="259">
        <f>WORKDAY.INTL(G13,1,"0000110",$AI$5:$AI$9)</f>
        <v>46237</v>
      </c>
      <c r="G14" s="259">
        <f>WORKDAY.INTL(F14,1,"0000110",$AI$5:$AI$10)</f>
        <v>46238</v>
      </c>
      <c r="H14" s="259">
        <f>WORKDAY.INTL(I13,1,"0000110",$AI$5:$AI$9)</f>
        <v>46239</v>
      </c>
      <c r="I14" s="259">
        <f>WORKDAY.INTL(H14,1,"0000110",$AI$5:$AI$10)</f>
        <v>46240</v>
      </c>
      <c r="J14" s="259"/>
      <c r="K14" s="259"/>
      <c r="L14" s="292"/>
      <c r="M14" s="292" t="str">
        <f ca="1">IF(L14=100%,"Completed",
IF(AND(L14&lt;100%,G14&lt;TODAY()),"Delayed",
IF(AND(OR(L14="",L14=0),F14&gt;TODAY()),"Not Started",
IF(AND(OR(L14="",L14=0),F14&lt;=TODAY()),"Delayed",
IF(AND(L14&gt;0,L14&lt;100%),"In Progress","")))))</f>
        <v>Not Started</v>
      </c>
      <c r="N14" s="797"/>
      <c r="O14" s="781"/>
      <c r="P14" s="177"/>
      <c r="Q14" s="177"/>
      <c r="R14" s="177"/>
      <c r="S14" s="177"/>
      <c r="T14" s="177"/>
      <c r="U14" s="177"/>
      <c r="V14" s="177"/>
      <c r="W14" s="800" t="s">
        <v>126</v>
      </c>
      <c r="X14" s="1219">
        <v>1</v>
      </c>
      <c r="Y14" s="1219"/>
      <c r="Z14" s="1219"/>
      <c r="AA14" s="99"/>
      <c r="AB14" s="747"/>
      <c r="AE14" s="170" t="s">
        <v>65</v>
      </c>
      <c r="AF14" s="158" t="s">
        <v>69</v>
      </c>
      <c r="AG14" s="158"/>
    </row>
    <row r="15" spans="2:36" s="153" customFormat="1" ht="4.5" customHeight="1" thickBot="1">
      <c r="B15" s="205"/>
      <c r="C15" s="205"/>
      <c r="D15" s="313"/>
      <c r="E15" s="314"/>
      <c r="F15" s="313"/>
      <c r="G15" s="313"/>
      <c r="H15" s="313"/>
      <c r="I15" s="313"/>
      <c r="J15" s="313"/>
      <c r="K15" s="313"/>
      <c r="L15" s="315"/>
      <c r="M15" s="315"/>
      <c r="N15" s="315"/>
      <c r="O15" s="773"/>
      <c r="P15" s="167"/>
      <c r="Q15" s="167"/>
      <c r="R15" s="167"/>
      <c r="S15" s="167"/>
      <c r="T15" s="167"/>
      <c r="U15" s="167"/>
      <c r="V15" s="167"/>
      <c r="W15" s="205"/>
      <c r="X15" s="1216"/>
      <c r="Y15" s="1216"/>
      <c r="Z15" s="1216"/>
      <c r="AA15" s="205"/>
      <c r="AB15" s="205"/>
      <c r="AE15" s="168"/>
      <c r="AF15" s="168"/>
    </row>
    <row r="16" spans="2:36" ht="45" customHeight="1">
      <c r="B16" s="1261" t="s">
        <v>279</v>
      </c>
      <c r="C16" s="421" t="s">
        <v>86</v>
      </c>
      <c r="D16" s="273" t="s">
        <v>275</v>
      </c>
      <c r="E16" s="274">
        <f>NETWORKDAYS.INTL(F16,G16,"0000100",$AI$5:$AI$11)</f>
        <v>7</v>
      </c>
      <c r="F16" s="198">
        <f>WORKDAY.INTL(G12,1,"0000100",$AI$5:$AI$10)</f>
        <v>46205</v>
      </c>
      <c r="G16" s="198">
        <f>WORKDAY.INTL(F16,6,"0000100",$AI$5:$AI$10)</f>
        <v>46212</v>
      </c>
      <c r="H16" s="198">
        <f>WORKDAY.INTL(I12,1,"0000100",$AI$5:$AI$10)</f>
        <v>46205</v>
      </c>
      <c r="I16" s="198">
        <f>WORKDAY.INTL(H16,6,"0000100",$AI$5:$AI$10)</f>
        <v>46212</v>
      </c>
      <c r="J16" s="198">
        <f>WORKDAY.INTL(K12,1,"0000100",$AI$5:$AI$10)</f>
        <v>46205</v>
      </c>
      <c r="K16" s="198">
        <f>WORKDAY.INTL(J16,6,"0000100",$AI$5:$AI$10)</f>
        <v>46212</v>
      </c>
      <c r="L16" s="275">
        <v>1</v>
      </c>
      <c r="M16" s="275" t="str">
        <f ca="1">IF(L16=100%,"Completed",
IF(AND(L16&lt;100%,G16&lt;TODAY()),"Delayed",
IF(AND(OR(L16="",L16=0),F16&gt;TODAY()),"Not Started",
IF(AND(OR(L16="",L16=0),F16&lt;=TODAY()),"Delayed",
IF(AND(L16&gt;0,L16&lt;100%),"In Progress","")))))</f>
        <v>Completed</v>
      </c>
      <c r="N16" s="782"/>
      <c r="O16" s="781"/>
      <c r="P16" s="171"/>
      <c r="Q16" s="171"/>
      <c r="R16" s="171"/>
      <c r="S16" s="171"/>
      <c r="T16" s="171"/>
      <c r="U16" s="171"/>
      <c r="V16" s="171"/>
      <c r="W16" s="663"/>
      <c r="X16" s="1185"/>
      <c r="Y16" s="1185"/>
      <c r="Z16" s="1185"/>
      <c r="AA16" s="169"/>
      <c r="AB16" s="468"/>
      <c r="AE16" s="170" t="s">
        <v>62</v>
      </c>
      <c r="AF16" s="158" t="s">
        <v>70</v>
      </c>
      <c r="AG16" s="158"/>
    </row>
    <row r="17" spans="2:36" ht="45" customHeight="1">
      <c r="B17" s="1262"/>
      <c r="C17" s="422" t="s">
        <v>86</v>
      </c>
      <c r="D17" s="276" t="s">
        <v>114</v>
      </c>
      <c r="E17" s="277">
        <f>NETWORKDAYS.INTL(F17,G17,"0000100",$AI$5:$AI$11)</f>
        <v>2</v>
      </c>
      <c r="F17" s="200">
        <f>WORKDAY.INTL(G16,1,"0000100",$AI$5:$AI$10)</f>
        <v>46214</v>
      </c>
      <c r="G17" s="200">
        <f>WORKDAY.INTL(F17,1,"0000100",$AI$5:$AI$10)</f>
        <v>46215</v>
      </c>
      <c r="H17" s="200">
        <f>WORKDAY.INTL(I16,1,"0000100",$AI$5:$AI$10)</f>
        <v>46214</v>
      </c>
      <c r="I17" s="200">
        <f>WORKDAY.INTL(H17,1,"0000100",$AI$5:$AI$10)</f>
        <v>46215</v>
      </c>
      <c r="J17" s="200">
        <f>WORKDAY.INTL(K16,1,"0000100",$AI$5:$AI$10)</f>
        <v>46214</v>
      </c>
      <c r="K17" s="200">
        <f>WORKDAY.INTL(J17,0,"0000100",$AI$5:$AI$10)</f>
        <v>46214</v>
      </c>
      <c r="L17" s="278">
        <v>1</v>
      </c>
      <c r="M17" s="278" t="str">
        <f ca="1">IF(L17=100%,"Completed",
IF(AND(L17&lt;100%,G17&lt;TODAY()),"Delayed",
IF(AND(OR(L17="",L17=0),F17&gt;TODAY()),"Not Started",
IF(AND(OR(L17="",L17=0),F17&lt;=TODAY()),"Delayed",
IF(AND(L17&gt;0,L17&lt;100%),"In Progress","")))))</f>
        <v>Completed</v>
      </c>
      <c r="N17" s="783"/>
      <c r="O17" s="781"/>
      <c r="P17" s="171"/>
      <c r="Q17" s="171"/>
      <c r="R17" s="171"/>
      <c r="S17" s="171"/>
      <c r="T17" s="171"/>
      <c r="U17" s="171"/>
      <c r="V17" s="171"/>
      <c r="W17" s="664"/>
      <c r="X17" s="1186"/>
      <c r="Y17" s="1186"/>
      <c r="Z17" s="1186"/>
      <c r="AA17" s="170"/>
      <c r="AB17" s="469"/>
      <c r="AE17" s="170" t="s">
        <v>63</v>
      </c>
      <c r="AF17" s="158" t="s">
        <v>70</v>
      </c>
      <c r="AG17" s="158"/>
    </row>
    <row r="18" spans="2:36" ht="45" customHeight="1">
      <c r="B18" s="1262"/>
      <c r="C18" s="422" t="s">
        <v>86</v>
      </c>
      <c r="D18" s="276" t="s">
        <v>120</v>
      </c>
      <c r="E18" s="277">
        <f>NETWORKDAYS.INTL(F18,G18,"0000110",$AI$5:$AI$11)</f>
        <v>4</v>
      </c>
      <c r="F18" s="200">
        <f>MAX(WORKDAY.INTL(G17,1,"0000100",$AI$5:$AI$10),WORKDAY.INTL(G13,1,"0000100",$AI$5:$AI$10))</f>
        <v>46237</v>
      </c>
      <c r="G18" s="200">
        <f>WORKDAY.INTL(F18,3,"0000110",$AI$5:$AI$10)</f>
        <v>46240</v>
      </c>
      <c r="H18" s="200">
        <f>MAX(WORKDAY.INTL(I17,1,"0000100",$AI$5:$AI$10),WORKDAY.INTL(I13,1,"0000100",$AI$5:$AI$10))</f>
        <v>46239</v>
      </c>
      <c r="I18" s="200">
        <f>WORKDAY.INTL(H18,3,"0000110",$AI$5:$AI$10)</f>
        <v>46244</v>
      </c>
      <c r="J18" s="200"/>
      <c r="K18" s="200"/>
      <c r="L18" s="278"/>
      <c r="M18" s="278" t="str">
        <f ca="1">IF(L18=100%,"Completed",
IF(AND(L18&lt;100%,G18&lt;TODAY()),"Delayed",
IF(AND(OR(L18="",L18=0),F18&gt;TODAY()),"Not Started",
IF(AND(OR(L18="",L18=0),F18&lt;=TODAY()),"Delayed",
IF(AND(L18&gt;0,L18&lt;100%),"In Progress","")))))</f>
        <v>Not Started</v>
      </c>
      <c r="N18" s="783"/>
      <c r="O18" s="781"/>
      <c r="P18" s="171"/>
      <c r="Q18" s="171"/>
      <c r="R18" s="171"/>
      <c r="S18" s="171"/>
      <c r="T18" s="171"/>
      <c r="U18" s="171"/>
      <c r="V18" s="171"/>
      <c r="W18" s="664" t="s">
        <v>129</v>
      </c>
      <c r="X18" s="1186">
        <v>1</v>
      </c>
      <c r="Y18" s="1186"/>
      <c r="Z18" s="1186"/>
      <c r="AA18" s="170" t="s">
        <v>277</v>
      </c>
      <c r="AB18" s="469" t="s">
        <v>123</v>
      </c>
      <c r="AE18" s="170" t="s">
        <v>64</v>
      </c>
      <c r="AF18" s="158" t="s">
        <v>70</v>
      </c>
      <c r="AG18" s="158"/>
    </row>
    <row r="19" spans="2:36" ht="45" customHeight="1" thickBot="1">
      <c r="B19" s="1263"/>
      <c r="C19" s="423" t="s">
        <v>86</v>
      </c>
      <c r="D19" s="280" t="s">
        <v>125</v>
      </c>
      <c r="E19" s="281">
        <f>NETWORKDAYS.INTL(F19,G19,"0000110",$AI$5:$AI$11)</f>
        <v>4</v>
      </c>
      <c r="F19" s="255">
        <f>WORKDAY.INTL(G18,1,"0000110",$AI$5:$AI$9)</f>
        <v>46243</v>
      </c>
      <c r="G19" s="255">
        <f>WORKDAY.INTL(F19,3,"0000110",$AI$5:$AI$10)</f>
        <v>46246</v>
      </c>
      <c r="H19" s="255">
        <f>WORKDAY.INTL(I18,1,"0000110",$AI$5:$AI$9)</f>
        <v>46245</v>
      </c>
      <c r="I19" s="255">
        <f>WORKDAY.INTL(H19,3,"0000110",$AI$5:$AI$10)</f>
        <v>46250</v>
      </c>
      <c r="J19" s="255"/>
      <c r="K19" s="255"/>
      <c r="L19" s="282"/>
      <c r="M19" s="282" t="str">
        <f ca="1">IF(L19=100%,"Completed",
IF(AND(L19&lt;100%,G19&lt;TODAY()),"Delayed",
IF(AND(OR(L19="",L19=0),F19&gt;TODAY()),"Not Started",
IF(AND(OR(L19="",L19=0),F19&lt;=TODAY()),"Delayed",
IF(AND(L19&gt;0,L19&lt;100%),"In Progress","")))))</f>
        <v>Not Started</v>
      </c>
      <c r="N19" s="784"/>
      <c r="O19" s="781"/>
      <c r="P19" s="174"/>
      <c r="Q19" s="174"/>
      <c r="R19" s="174"/>
      <c r="S19" s="174"/>
      <c r="T19" s="174"/>
      <c r="U19" s="174"/>
      <c r="V19" s="174"/>
      <c r="W19" s="785" t="s">
        <v>126</v>
      </c>
      <c r="X19" s="1189">
        <v>1</v>
      </c>
      <c r="Y19" s="1189"/>
      <c r="Z19" s="1189"/>
      <c r="AA19" s="189"/>
      <c r="AB19" s="470"/>
      <c r="AE19" s="170" t="s">
        <v>65</v>
      </c>
      <c r="AF19" s="158" t="s">
        <v>70</v>
      </c>
      <c r="AG19" s="158"/>
    </row>
    <row r="20" spans="2:36" s="153" customFormat="1" ht="4.5" customHeight="1" thickBot="1">
      <c r="B20" s="205"/>
      <c r="C20" s="205"/>
      <c r="D20" s="313"/>
      <c r="E20" s="314"/>
      <c r="F20" s="313"/>
      <c r="G20" s="313"/>
      <c r="H20" s="313"/>
      <c r="I20" s="313"/>
      <c r="J20" s="313"/>
      <c r="K20" s="313"/>
      <c r="L20" s="315"/>
      <c r="M20" s="315"/>
      <c r="N20" s="315"/>
      <c r="O20" s="773"/>
      <c r="P20" s="167"/>
      <c r="Q20" s="167"/>
      <c r="R20" s="167"/>
      <c r="S20" s="167"/>
      <c r="T20" s="167"/>
      <c r="U20" s="167"/>
      <c r="V20" s="167"/>
      <c r="W20" s="205"/>
      <c r="X20" s="1216"/>
      <c r="Y20" s="1216"/>
      <c r="Z20" s="1216"/>
      <c r="AA20" s="205"/>
      <c r="AB20" s="205"/>
      <c r="AE20" s="168"/>
      <c r="AF20" s="168"/>
    </row>
    <row r="21" spans="2:36" ht="68.099999999999994" customHeight="1">
      <c r="B21" s="1267" t="s">
        <v>235</v>
      </c>
      <c r="C21" s="786" t="s">
        <v>86</v>
      </c>
      <c r="D21" s="787" t="s">
        <v>275</v>
      </c>
      <c r="E21" s="316">
        <f>NETWORKDAYS.INTL(F21,G21,"0000100",$AI$5:$AI$11)</f>
        <v>5</v>
      </c>
      <c r="F21" s="258">
        <f>WORKDAY.INTL(G17,1,"0000100",$AI$5:$AI$10)</f>
        <v>46216</v>
      </c>
      <c r="G21" s="258">
        <f>WORKDAY.INTL(F21,4,"0000100",$AI$5:$AI$10)</f>
        <v>46221</v>
      </c>
      <c r="H21" s="258">
        <f>WORKDAY.INTL(I17,1,"0000100",$AI$5:$AI$10)</f>
        <v>46216</v>
      </c>
      <c r="I21" s="258">
        <f>WORKDAY.INTL(H21,4,"0000100",$AI$5:$AI$10)</f>
        <v>46221</v>
      </c>
      <c r="J21" s="1147">
        <v>46215</v>
      </c>
      <c r="K21" s="1148">
        <v>46215</v>
      </c>
      <c r="L21" s="291">
        <v>1</v>
      </c>
      <c r="M21" s="291" t="str">
        <f ca="1">IF(L21=100%,"Completed",
IF(AND(L21&lt;100%,G21&lt;TODAY()),"Delayed",
IF(AND(OR(L21="",L21=0),F21&gt;TODAY()),"Not Started",
IF(AND(OR(L21="",L21=0),F21&lt;=TODAY()),"Delayed",
IF(AND(L21&gt;0,L21&lt;100%),"In Progress","")))))</f>
        <v>Completed</v>
      </c>
      <c r="N21" s="788"/>
      <c r="O21" s="781"/>
      <c r="P21" s="175"/>
      <c r="Q21" s="175"/>
      <c r="R21" s="175"/>
      <c r="S21" s="175"/>
      <c r="T21" s="175"/>
      <c r="U21" s="175"/>
      <c r="V21" s="175"/>
      <c r="W21" s="798"/>
      <c r="X21" s="1217"/>
      <c r="Y21" s="1217"/>
      <c r="Z21" s="1217"/>
      <c r="AA21" s="92" t="s">
        <v>280</v>
      </c>
      <c r="AB21" s="741" t="s">
        <v>281</v>
      </c>
      <c r="AE21" s="170" t="s">
        <v>62</v>
      </c>
      <c r="AF21" s="158" t="s">
        <v>71</v>
      </c>
      <c r="AG21" s="158"/>
      <c r="AJ21" s="173"/>
    </row>
    <row r="22" spans="2:36" ht="45" customHeight="1">
      <c r="B22" s="1268"/>
      <c r="C22" s="789" t="s">
        <v>86</v>
      </c>
      <c r="D22" s="790" t="s">
        <v>114</v>
      </c>
      <c r="E22" s="791">
        <f>NETWORKDAYS.INTL(F22,G22,"0000100",$AI$5:$AI$11)</f>
        <v>2</v>
      </c>
      <c r="F22" s="256">
        <f>WORKDAY.INTL(G21,1,"0000100",$AI$5:$AI$10)</f>
        <v>46222</v>
      </c>
      <c r="G22" s="256">
        <f>WORKDAY.INTL(F22,1,"0000100",$AI$5:$AI$10)</f>
        <v>46223</v>
      </c>
      <c r="H22" s="256">
        <f>WORKDAY.INTL(I21,1,"0000100",$AI$5:$AI$10)</f>
        <v>46222</v>
      </c>
      <c r="I22" s="256">
        <f>WORKDAY.INTL(H22,1,"0000100",$AI$5:$AI$10)</f>
        <v>46223</v>
      </c>
      <c r="J22" s="1149">
        <v>46216</v>
      </c>
      <c r="K22" s="1148">
        <v>46217</v>
      </c>
      <c r="L22" s="285">
        <v>1</v>
      </c>
      <c r="M22" s="285" t="str">
        <f ca="1">IF(L22=100%,"Completed",
IF(AND(L22&lt;100%,G22&lt;TODAY()),"Delayed",
IF(AND(OR(L22="",L22=0),F22&gt;TODAY()),"Not Started",
IF(AND(OR(L22="",L22=0),F22&lt;=TODAY()),"Delayed",
IF(AND(L22&gt;0,L22&lt;100%),"In Progress","")))))</f>
        <v>Completed</v>
      </c>
      <c r="N22" s="792"/>
      <c r="O22" s="781"/>
      <c r="P22" s="176"/>
      <c r="Q22" s="176"/>
      <c r="R22" s="176"/>
      <c r="S22" s="176"/>
      <c r="T22" s="176"/>
      <c r="U22" s="176"/>
      <c r="V22" s="176"/>
      <c r="W22" s="799"/>
      <c r="X22" s="1218"/>
      <c r="Y22" s="1218"/>
      <c r="Z22" s="1218"/>
      <c r="AA22" s="97"/>
      <c r="AB22" s="745"/>
      <c r="AE22" s="170" t="s">
        <v>63</v>
      </c>
      <c r="AF22" s="158" t="s">
        <v>71</v>
      </c>
      <c r="AG22" s="158"/>
    </row>
    <row r="23" spans="2:36" ht="45" customHeight="1">
      <c r="B23" s="1268"/>
      <c r="C23" s="789" t="s">
        <v>86</v>
      </c>
      <c r="D23" s="793" t="s">
        <v>120</v>
      </c>
      <c r="E23" s="791">
        <f>NETWORKDAYS.INTL(F23,G23,"0000110",$AI$5:$AI$11)</f>
        <v>4</v>
      </c>
      <c r="F23" s="256">
        <f>MAX(WORKDAY.INTL(G22,1,"0000100",$AI$5:$AI$10),WORKDAY.INTL(G18,1,"0000100",$AI$5:$AI$10))</f>
        <v>46242</v>
      </c>
      <c r="G23" s="256">
        <f>WORKDAY.INTL(F23,4,"0000110",$AI$5:$AI$10)</f>
        <v>46246</v>
      </c>
      <c r="H23" s="256">
        <f>MAX(WORKDAY.INTL(I22,1,"0000100",$AI$5:$AI$10),WORKDAY.INTL(I18,1,"0000100",$AI$5:$AI$10))</f>
        <v>46245</v>
      </c>
      <c r="I23" s="256">
        <f>WORKDAY.INTL(H23,4,"0000110",$AI$5:$AI$10)</f>
        <v>46251</v>
      </c>
      <c r="J23" s="256"/>
      <c r="K23" s="256"/>
      <c r="L23" s="285"/>
      <c r="M23" s="285" t="str">
        <f ca="1">IF(L23=100%,"Completed",
IF(AND(L23&lt;100%,G23&lt;TODAY()),"Delayed",
IF(AND(OR(L23="",L23=0),F23&gt;TODAY()),"Not Started",
IF(AND(OR(L23="",L23=0),F23&lt;=TODAY()),"Delayed",
IF(AND(L23&gt;0,L23&lt;100%),"In Progress","")))))</f>
        <v>Not Started</v>
      </c>
      <c r="N23" s="792"/>
      <c r="O23" s="781"/>
      <c r="P23" s="177"/>
      <c r="Q23" s="177"/>
      <c r="R23" s="177"/>
      <c r="S23" s="177"/>
      <c r="T23" s="177"/>
      <c r="U23" s="177"/>
      <c r="V23" s="177"/>
      <c r="W23" s="799" t="s">
        <v>129</v>
      </c>
      <c r="X23" s="1218" t="s">
        <v>169</v>
      </c>
      <c r="Y23" s="1218"/>
      <c r="Z23" s="1218"/>
      <c r="AA23" s="97" t="s">
        <v>282</v>
      </c>
      <c r="AB23" s="745" t="s">
        <v>123</v>
      </c>
      <c r="AE23" s="170" t="s">
        <v>64</v>
      </c>
      <c r="AF23" s="158" t="s">
        <v>71</v>
      </c>
      <c r="AG23" s="158"/>
    </row>
    <row r="24" spans="2:36" ht="45" customHeight="1" thickBot="1">
      <c r="B24" s="1269"/>
      <c r="C24" s="794" t="s">
        <v>86</v>
      </c>
      <c r="D24" s="795" t="s">
        <v>125</v>
      </c>
      <c r="E24" s="796">
        <f>NETWORKDAYS.INTL(F24,G24,"0000110",$AI$5:$AI$11)</f>
        <v>2</v>
      </c>
      <c r="F24" s="259">
        <f>WORKDAY.INTL(G23,1,"0000110",$AI$5:$AI$10)</f>
        <v>46247</v>
      </c>
      <c r="G24" s="259">
        <f>WORKDAY.INTL(F24,1,"0000110",$AI$5:$AI$10)</f>
        <v>46250</v>
      </c>
      <c r="H24" s="259">
        <f>WORKDAY.INTL(I23,1,"0000110",$AI$5:$AI$10)</f>
        <v>46252</v>
      </c>
      <c r="I24" s="259">
        <f>WORKDAY.INTL(H24,1,"0000110",$AI$5:$AI$10)</f>
        <v>46253</v>
      </c>
      <c r="J24" s="259"/>
      <c r="K24" s="259"/>
      <c r="L24" s="292"/>
      <c r="M24" s="292" t="str">
        <f ca="1">IF(L24=100%,"Completed",
IF(AND(L24&lt;100%,G24&lt;TODAY()),"Delayed",
IF(AND(OR(L24="",L24=0),F24&gt;TODAY()),"Not Started",
IF(AND(OR(L24="",L24=0),F24&lt;=TODAY()),"Delayed",
IF(AND(L24&gt;0,L24&lt;100%),"In Progress","")))))</f>
        <v>Not Started</v>
      </c>
      <c r="N24" s="797"/>
      <c r="O24" s="781"/>
      <c r="P24" s="177"/>
      <c r="Q24" s="177"/>
      <c r="R24" s="177"/>
      <c r="S24" s="177"/>
      <c r="T24" s="177"/>
      <c r="U24" s="177"/>
      <c r="V24" s="177"/>
      <c r="W24" s="800" t="s">
        <v>126</v>
      </c>
      <c r="X24" s="1219">
        <v>1</v>
      </c>
      <c r="Y24" s="1219"/>
      <c r="Z24" s="1219"/>
      <c r="AA24" s="99"/>
      <c r="AB24" s="747"/>
      <c r="AE24" s="170" t="s">
        <v>65</v>
      </c>
      <c r="AF24" s="158" t="s">
        <v>71</v>
      </c>
      <c r="AG24" s="158"/>
    </row>
    <row r="25" spans="2:36" s="153" customFormat="1" ht="4.5" customHeight="1" thickBot="1">
      <c r="B25" s="205"/>
      <c r="C25" s="205"/>
      <c r="D25" s="313"/>
      <c r="E25" s="314"/>
      <c r="F25" s="313"/>
      <c r="G25" s="313"/>
      <c r="H25" s="313"/>
      <c r="I25" s="313"/>
      <c r="J25" s="313"/>
      <c r="K25" s="313"/>
      <c r="L25" s="315"/>
      <c r="M25" s="315"/>
      <c r="N25" s="315"/>
      <c r="O25" s="773"/>
      <c r="P25" s="167"/>
      <c r="Q25" s="167"/>
      <c r="R25" s="167"/>
      <c r="S25" s="167"/>
      <c r="T25" s="167"/>
      <c r="U25" s="167"/>
      <c r="V25" s="167"/>
      <c r="W25" s="205"/>
      <c r="X25" s="1216"/>
      <c r="Y25" s="1216"/>
      <c r="Z25" s="1216"/>
      <c r="AA25" s="205"/>
      <c r="AB25" s="205"/>
      <c r="AE25" s="168"/>
      <c r="AF25" s="168"/>
    </row>
    <row r="26" spans="2:36" ht="45" customHeight="1">
      <c r="B26" s="1261" t="s">
        <v>283</v>
      </c>
      <c r="C26" s="421" t="s">
        <v>86</v>
      </c>
      <c r="D26" s="273" t="s">
        <v>275</v>
      </c>
      <c r="E26" s="274">
        <f>NETWORKDAYS.INTL(F26,G26,"0000100",$AI$5:$AI$11)</f>
        <v>5</v>
      </c>
      <c r="F26" s="198">
        <f>WORKDAY.INTL(G22,1,"0000100",$AI$5:$AI$10)</f>
        <v>46224</v>
      </c>
      <c r="G26" s="198">
        <f>WORKDAY.INTL(F26,4,"0000100",$AI$5:$AI$10)</f>
        <v>46229</v>
      </c>
      <c r="H26" s="198">
        <f>WORKDAY.INTL(I22,1,"0000100",$AI$5:$AI$10)</f>
        <v>46224</v>
      </c>
      <c r="I26" s="198">
        <f>WORKDAY.INTL(H26,4,"0000100",$AI$5:$AI$10)</f>
        <v>46229</v>
      </c>
      <c r="J26" s="1150">
        <v>46217</v>
      </c>
      <c r="K26" s="1151">
        <v>46217</v>
      </c>
      <c r="L26" s="275">
        <v>1</v>
      </c>
      <c r="M26" s="275" t="str">
        <f ca="1">IF(L26=100%,"Completed",
IF(AND(L26&lt;100%,G26&lt;TODAY()),"Delayed",
IF(AND(OR(L26="",L26=0),F26&gt;TODAY()),"Not Started",
IF(AND(OR(L26="",L26=0),F26&lt;=TODAY()),"Delayed",
IF(AND(L26&gt;0,L26&lt;100%),"In Progress","")))))</f>
        <v>Completed</v>
      </c>
      <c r="N26" s="782"/>
      <c r="O26" s="781"/>
      <c r="P26" s="171"/>
      <c r="Q26" s="171"/>
      <c r="R26" s="171"/>
      <c r="S26" s="171"/>
      <c r="T26" s="171"/>
      <c r="U26" s="171"/>
      <c r="V26" s="171"/>
      <c r="W26" s="663"/>
      <c r="X26" s="1185" t="s">
        <v>133</v>
      </c>
      <c r="Y26" s="1185"/>
      <c r="Z26" s="1185"/>
      <c r="AA26" s="169" t="s">
        <v>280</v>
      </c>
      <c r="AB26" s="468" t="s">
        <v>240</v>
      </c>
      <c r="AE26" s="170" t="s">
        <v>62</v>
      </c>
      <c r="AF26" s="158" t="s">
        <v>72</v>
      </c>
      <c r="AG26" s="158"/>
    </row>
    <row r="27" spans="2:36" ht="45" customHeight="1">
      <c r="B27" s="1262"/>
      <c r="C27" s="422" t="s">
        <v>86</v>
      </c>
      <c r="D27" s="276" t="s">
        <v>114</v>
      </c>
      <c r="E27" s="277">
        <f>NETWORKDAYS.INTL(F27,G27,"0000100",$AI$5:$AI$11)</f>
        <v>2</v>
      </c>
      <c r="F27" s="200">
        <f>WORKDAY.INTL(G26,1,"0000100",$AI$5:$AI$10)</f>
        <v>46230</v>
      </c>
      <c r="G27" s="200">
        <f>WORKDAY.INTL(F27,1,"0000100",$AI$5:$AI$10)</f>
        <v>46231</v>
      </c>
      <c r="H27" s="200">
        <f>WORKDAY.INTL(I26,1,"0000100",$AI$5:$AI$10)</f>
        <v>46230</v>
      </c>
      <c r="I27" s="200">
        <f>WORKDAY.INTL(H27,1,"0000100",$AI$5:$AI$10)</f>
        <v>46231</v>
      </c>
      <c r="J27" s="1145">
        <v>46218</v>
      </c>
      <c r="K27" s="1146">
        <v>46219</v>
      </c>
      <c r="L27" s="278">
        <v>1</v>
      </c>
      <c r="M27" s="278" t="str">
        <f ca="1">IF(L27=100%,"Completed",
IF(AND(L27&lt;100%,G27&lt;TODAY()),"Delayed",
IF(AND(OR(L27="",L27=0),F27&gt;TODAY()),"Not Started",
IF(AND(OR(L27="",L27=0),F27&lt;=TODAY()),"Delayed",
IF(AND(L27&gt;0,L27&lt;100%),"In Progress","")))))</f>
        <v>Completed</v>
      </c>
      <c r="N27" s="783"/>
      <c r="O27" s="781"/>
      <c r="P27" s="171"/>
      <c r="Q27" s="171"/>
      <c r="R27" s="171"/>
      <c r="S27" s="171"/>
      <c r="T27" s="171"/>
      <c r="U27" s="171"/>
      <c r="V27" s="171"/>
      <c r="W27" s="664" t="s">
        <v>284</v>
      </c>
      <c r="X27" s="1186">
        <v>1</v>
      </c>
      <c r="Y27" s="1186"/>
      <c r="Z27" s="1186"/>
      <c r="AA27" s="170"/>
      <c r="AB27" s="469"/>
      <c r="AE27" s="170" t="s">
        <v>63</v>
      </c>
      <c r="AF27" s="158" t="s">
        <v>72</v>
      </c>
      <c r="AG27" s="158"/>
    </row>
    <row r="28" spans="2:36" ht="45" customHeight="1">
      <c r="B28" s="1262"/>
      <c r="C28" s="422" t="s">
        <v>86</v>
      </c>
      <c r="D28" s="276" t="s">
        <v>120</v>
      </c>
      <c r="E28" s="277">
        <f>NETWORKDAYS.INTL(F28,G28,"0000110",$AI$5:$AI$11)</f>
        <v>4</v>
      </c>
      <c r="F28" s="200">
        <f>MAX(WORKDAY.INTL(G27,1,"0000100",$AI$5:$AI$10),WORKDAY.INTL(G23,1,"0000100",$AI$5:$AI$10))</f>
        <v>46247</v>
      </c>
      <c r="G28" s="200">
        <f t="shared" ref="G28" si="0">WORKDAY.INTL(F28,3,"0000110")</f>
        <v>46252</v>
      </c>
      <c r="H28" s="200">
        <f>MAX(WORKDAY.INTL(I27,1,"0000100",$AI$5:$AI$10),WORKDAY.INTL(I23,1,"0000100",$AI$5:$AI$10))</f>
        <v>46252</v>
      </c>
      <c r="I28" s="200">
        <f>WORKDAY.INTL(H28,3,"0000110")</f>
        <v>46257</v>
      </c>
      <c r="J28" s="200"/>
      <c r="K28" s="200"/>
      <c r="L28" s="278"/>
      <c r="M28" s="278" t="str">
        <f ca="1">IF(L28=100%,"Completed",
IF(AND(L28&lt;100%,G28&lt;TODAY()),"Delayed",
IF(AND(OR(L28="",L28=0),F28&gt;TODAY()),"Not Started",
IF(AND(OR(L28="",L28=0),F28&lt;=TODAY()),"Delayed",
IF(AND(L28&gt;0,L28&lt;100%),"In Progress","")))))</f>
        <v>Not Started</v>
      </c>
      <c r="N28" s="783"/>
      <c r="O28" s="781"/>
      <c r="P28" s="171"/>
      <c r="Q28" s="171"/>
      <c r="R28" s="171"/>
      <c r="S28" s="171"/>
      <c r="T28" s="171"/>
      <c r="U28" s="171"/>
      <c r="V28" s="171"/>
      <c r="W28" s="664" t="s">
        <v>129</v>
      </c>
      <c r="X28" s="1186" t="s">
        <v>169</v>
      </c>
      <c r="Y28" s="1186"/>
      <c r="Z28" s="1186"/>
      <c r="AA28" s="170" t="s">
        <v>282</v>
      </c>
      <c r="AB28" s="469" t="s">
        <v>123</v>
      </c>
      <c r="AE28" s="170" t="s">
        <v>64</v>
      </c>
      <c r="AF28" s="158" t="s">
        <v>72</v>
      </c>
      <c r="AG28" s="158"/>
    </row>
    <row r="29" spans="2:36" ht="45" customHeight="1" thickBot="1">
      <c r="B29" s="1263"/>
      <c r="C29" s="423" t="s">
        <v>86</v>
      </c>
      <c r="D29" s="280" t="s">
        <v>125</v>
      </c>
      <c r="E29" s="281">
        <f>NETWORKDAYS.INTL(F29,G29,"0000110",$AI$5:$AI$11)</f>
        <v>2</v>
      </c>
      <c r="F29" s="255">
        <f t="shared" ref="F29" si="1">WORKDAY.INTL(G28,1,"0000110")</f>
        <v>46253</v>
      </c>
      <c r="G29" s="255">
        <f t="shared" ref="G29" si="2">WORKDAY.INTL(F29,1,"0000110")</f>
        <v>46254</v>
      </c>
      <c r="H29" s="255">
        <f>WORKDAY.INTL(I28,1,"0000110")</f>
        <v>46258</v>
      </c>
      <c r="I29" s="255">
        <f>WORKDAY.INTL(H29,1,"0000110")</f>
        <v>46259</v>
      </c>
      <c r="J29" s="255"/>
      <c r="K29" s="255"/>
      <c r="L29" s="282"/>
      <c r="M29" s="282" t="str">
        <f ca="1">IF(L29=100%,"Completed",
IF(AND(L29&lt;100%,G29&lt;TODAY()),"Delayed",
IF(AND(OR(L29="",L29=0),F29&gt;TODAY()),"Not Started",
IF(AND(OR(L29="",L29=0),F29&lt;=TODAY()),"Delayed",
IF(AND(L29&gt;0,L29&lt;100%),"In Progress","")))))</f>
        <v>Not Started</v>
      </c>
      <c r="N29" s="784"/>
      <c r="O29" s="781"/>
      <c r="P29" s="174"/>
      <c r="Q29" s="174"/>
      <c r="R29" s="174"/>
      <c r="S29" s="174"/>
      <c r="T29" s="174"/>
      <c r="U29" s="174"/>
      <c r="V29" s="174"/>
      <c r="W29" s="785" t="s">
        <v>126</v>
      </c>
      <c r="X29" s="1189">
        <v>1</v>
      </c>
      <c r="Y29" s="1189"/>
      <c r="Z29" s="1189"/>
      <c r="AA29" s="189"/>
      <c r="AB29" s="470"/>
      <c r="AE29" s="170" t="s">
        <v>65</v>
      </c>
      <c r="AF29" s="158" t="s">
        <v>72</v>
      </c>
      <c r="AG29" s="158"/>
    </row>
    <row r="30" spans="2:36" s="153" customFormat="1" ht="4.5" customHeight="1" thickBot="1">
      <c r="B30" s="205"/>
      <c r="C30" s="205"/>
      <c r="D30" s="313"/>
      <c r="E30" s="314"/>
      <c r="F30" s="313"/>
      <c r="G30" s="313"/>
      <c r="H30" s="313"/>
      <c r="I30" s="313"/>
      <c r="J30" s="313"/>
      <c r="K30" s="313"/>
      <c r="L30" s="315"/>
      <c r="M30" s="315"/>
      <c r="N30" s="315"/>
      <c r="O30" s="773"/>
      <c r="P30" s="167"/>
      <c r="Q30" s="167"/>
      <c r="R30" s="167"/>
      <c r="S30" s="167"/>
      <c r="T30" s="167"/>
      <c r="U30" s="167"/>
      <c r="V30" s="167"/>
      <c r="W30" s="205"/>
      <c r="X30" s="1216"/>
      <c r="Y30" s="1216"/>
      <c r="Z30" s="1216"/>
      <c r="AA30" s="205"/>
      <c r="AB30" s="205"/>
      <c r="AE30" s="168"/>
      <c r="AF30" s="168"/>
    </row>
    <row r="31" spans="2:36" ht="45" customHeight="1">
      <c r="B31" s="1267" t="s">
        <v>285</v>
      </c>
      <c r="C31" s="786" t="s">
        <v>86</v>
      </c>
      <c r="D31" s="787" t="s">
        <v>275</v>
      </c>
      <c r="E31" s="316">
        <f>NETWORKDAYS.INTL(F31,G31,"0000100",$AI$5:$AI$11)</f>
        <v>5</v>
      </c>
      <c r="F31" s="258">
        <f>WORKDAY.INTL(G27,1,"0000100",$AI$5:$AI$10)</f>
        <v>46232</v>
      </c>
      <c r="G31" s="258">
        <f>WORKDAY.INTL(F31,4,"0000100",$AI$5:$AI$10)</f>
        <v>46237</v>
      </c>
      <c r="H31" s="258">
        <f>WORKDAY.INTL(I27,1,"0000100",$AI$5:$AI$10)</f>
        <v>46232</v>
      </c>
      <c r="I31" s="258">
        <f>WORKDAY.INTL(H31,4,"0000100",$AI$5:$AI$10)</f>
        <v>46237</v>
      </c>
      <c r="J31" s="258">
        <v>46219</v>
      </c>
      <c r="K31" s="258">
        <v>46221</v>
      </c>
      <c r="L31" s="291">
        <v>1</v>
      </c>
      <c r="M31" s="291" t="str">
        <f ca="1">IF(L31=100%,"Completed",
IF(AND(L31&lt;100%,G31&lt;TODAY()),"Delayed",
IF(AND(OR(L31="",L31=0),F31&gt;TODAY()),"Not Started",
IF(AND(OR(L31="",L31=0),F31&lt;=TODAY()),"Delayed",
IF(AND(L31&gt;0,L31&lt;100%),"In Progress","")))))</f>
        <v>Completed</v>
      </c>
      <c r="N31" s="788"/>
      <c r="O31" s="781"/>
      <c r="P31" s="175"/>
      <c r="Q31" s="175"/>
      <c r="R31" s="175"/>
      <c r="S31" s="175"/>
      <c r="T31" s="175"/>
      <c r="U31" s="175"/>
      <c r="V31" s="175"/>
      <c r="W31" s="798"/>
      <c r="X31" s="1217" t="s">
        <v>133</v>
      </c>
      <c r="Y31" s="1217"/>
      <c r="Z31" s="1217"/>
      <c r="AA31" s="92" t="s">
        <v>280</v>
      </c>
      <c r="AB31" s="741" t="s">
        <v>240</v>
      </c>
      <c r="AE31" s="170" t="s">
        <v>62</v>
      </c>
      <c r="AF31" s="158" t="s">
        <v>73</v>
      </c>
      <c r="AG31" s="158"/>
      <c r="AJ31" s="173"/>
    </row>
    <row r="32" spans="2:36" ht="45" customHeight="1">
      <c r="B32" s="1268"/>
      <c r="C32" s="789" t="s">
        <v>86</v>
      </c>
      <c r="D32" s="790" t="s">
        <v>114</v>
      </c>
      <c r="E32" s="791">
        <f>NETWORKDAYS.INTL(F32,G32,"0000100",$AI$5:$AI$11)</f>
        <v>2</v>
      </c>
      <c r="F32" s="256">
        <f>WORKDAY.INTL(G31,1,"0000100",$AI$5:$AI$10)</f>
        <v>46238</v>
      </c>
      <c r="G32" s="256">
        <f>WORKDAY.INTL(F32,1,"0000100",$AI$5:$AI$10)</f>
        <v>46239</v>
      </c>
      <c r="H32" s="256">
        <f>WORKDAY.INTL(I31,1,"0000100",$AI$5:$AI$10)</f>
        <v>46238</v>
      </c>
      <c r="I32" s="256">
        <f>WORKDAY.INTL(H32,1,"0000100",$AI$5:$AI$10)</f>
        <v>46239</v>
      </c>
      <c r="J32" s="256">
        <v>46222</v>
      </c>
      <c r="K32" s="256">
        <v>46226</v>
      </c>
      <c r="L32" s="285">
        <v>1</v>
      </c>
      <c r="M32" s="285" t="str">
        <f ca="1">IF(L32=100%,"Completed",
IF(AND(L32&lt;100%,G32&lt;TODAY()),"Delayed",
IF(AND(OR(L32="",L32=0),F32&gt;TODAY()),"Not Started",
IF(AND(OR(L32="",L32=0),F32&lt;=TODAY()),"Delayed",
IF(AND(L32&gt;0,L32&lt;100%),"In Progress","")))))</f>
        <v>Completed</v>
      </c>
      <c r="N32" s="792"/>
      <c r="O32" s="781"/>
      <c r="P32" s="176"/>
      <c r="Q32" s="176"/>
      <c r="R32" s="176"/>
      <c r="S32" s="176"/>
      <c r="T32" s="176"/>
      <c r="U32" s="176"/>
      <c r="V32" s="176"/>
      <c r="W32" s="799"/>
      <c r="X32" s="1218">
        <v>1</v>
      </c>
      <c r="Y32" s="1218"/>
      <c r="Z32" s="1218"/>
      <c r="AA32" s="97"/>
      <c r="AB32" s="745"/>
      <c r="AE32" s="170" t="s">
        <v>63</v>
      </c>
      <c r="AF32" s="158" t="s">
        <v>73</v>
      </c>
      <c r="AG32" s="158"/>
    </row>
    <row r="33" spans="2:36" ht="45" customHeight="1">
      <c r="B33" s="1268"/>
      <c r="C33" s="789" t="s">
        <v>86</v>
      </c>
      <c r="D33" s="793" t="s">
        <v>120</v>
      </c>
      <c r="E33" s="791">
        <f>NETWORKDAYS.INTL(F33,G33,"0000110",$AI$5:$AI$11)</f>
        <v>4</v>
      </c>
      <c r="F33" s="256">
        <f>MAX(WORKDAY.INTL(G32,1,"0000100",$AI$5:$AI$10),WORKDAY.INTL(G28,1,"0000100",$AI$5:$AI$10))</f>
        <v>46253</v>
      </c>
      <c r="G33" s="256">
        <f>WORKDAY.INTL(F33,3,"0000110",$AI$5:$AI$10)</f>
        <v>46258</v>
      </c>
      <c r="H33" s="256">
        <f>MAX(WORKDAY.INTL(I32,1,"0000100",$AI$5:$AI$10),WORKDAY.INTL(I28,1,"0000100",$AI$5:$AI$10))</f>
        <v>46258</v>
      </c>
      <c r="I33" s="256">
        <f>WORKDAY.INTL(H33,3,"0000110",$AI$5:$AI$10)</f>
        <v>46261</v>
      </c>
      <c r="J33" s="256"/>
      <c r="K33" s="256"/>
      <c r="L33" s="285"/>
      <c r="M33" s="285" t="str">
        <f ca="1">IF(L33=100%,"Completed",
IF(AND(L33&lt;100%,G33&lt;TODAY()),"Delayed",
IF(AND(OR(L33="",L33=0),F33&gt;TODAY()),"Not Started",
IF(AND(OR(L33="",L33=0),F33&lt;=TODAY()),"Delayed",
IF(AND(L33&gt;0,L33&lt;100%),"In Progress","")))))</f>
        <v>Not Started</v>
      </c>
      <c r="N33" s="792"/>
      <c r="O33" s="781"/>
      <c r="P33" s="177"/>
      <c r="Q33" s="177"/>
      <c r="R33" s="177"/>
      <c r="S33" s="177"/>
      <c r="T33" s="177"/>
      <c r="U33" s="177"/>
      <c r="V33" s="177"/>
      <c r="W33" s="799" t="s">
        <v>129</v>
      </c>
      <c r="X33" s="1218" t="s">
        <v>169</v>
      </c>
      <c r="Y33" s="1218"/>
      <c r="Z33" s="1218"/>
      <c r="AA33" s="97" t="s">
        <v>282</v>
      </c>
      <c r="AB33" s="745" t="s">
        <v>123</v>
      </c>
      <c r="AE33" s="170" t="s">
        <v>64</v>
      </c>
      <c r="AF33" s="158" t="s">
        <v>73</v>
      </c>
      <c r="AG33" s="158"/>
    </row>
    <row r="34" spans="2:36" ht="45" customHeight="1" thickBot="1">
      <c r="B34" s="1269"/>
      <c r="C34" s="794" t="s">
        <v>86</v>
      </c>
      <c r="D34" s="795" t="s">
        <v>125</v>
      </c>
      <c r="E34" s="796">
        <f>NETWORKDAYS.INTL(F34,G34,"0000110",$AI$5:$AI$11)</f>
        <v>2</v>
      </c>
      <c r="F34" s="259">
        <f>WORKDAY.INTL(G33,1,"0000110",$AI$5:$AI$10)</f>
        <v>46259</v>
      </c>
      <c r="G34" s="259">
        <f>WORKDAY.INTL(F34,1,"0000110",$AI$5:$AI$10)</f>
        <v>46260</v>
      </c>
      <c r="H34" s="259">
        <f>WORKDAY.INTL(I33,1,"0000110",$AI$5:$AI$10)</f>
        <v>46264</v>
      </c>
      <c r="I34" s="259">
        <f>WORKDAY.INTL(H34,1,"0000110",$AI$5:$AI$10)</f>
        <v>46265</v>
      </c>
      <c r="J34" s="259"/>
      <c r="K34" s="259"/>
      <c r="L34" s="292"/>
      <c r="M34" s="292" t="str">
        <f ca="1">IF(L34=100%,"Completed",
IF(AND(L34&lt;100%,G34&lt;TODAY()),"Delayed",
IF(AND(OR(L34="",L34=0),F34&gt;TODAY()),"Not Started",
IF(AND(OR(L34="",L34=0),F34&lt;=TODAY()),"Delayed",
IF(AND(L34&gt;0,L34&lt;100%),"In Progress","")))))</f>
        <v>Not Started</v>
      </c>
      <c r="N34" s="797"/>
      <c r="O34" s="781"/>
      <c r="P34" s="177"/>
      <c r="Q34" s="177"/>
      <c r="R34" s="177"/>
      <c r="S34" s="177"/>
      <c r="T34" s="177"/>
      <c r="U34" s="177"/>
      <c r="V34" s="177"/>
      <c r="W34" s="800" t="s">
        <v>126</v>
      </c>
      <c r="X34" s="1219">
        <v>1</v>
      </c>
      <c r="Y34" s="1219"/>
      <c r="Z34" s="1219"/>
      <c r="AA34" s="99"/>
      <c r="AB34" s="747"/>
      <c r="AE34" s="170" t="s">
        <v>65</v>
      </c>
      <c r="AF34" s="158" t="s">
        <v>73</v>
      </c>
      <c r="AG34" s="158"/>
    </row>
    <row r="35" spans="2:36" s="153" customFormat="1" ht="4.5" customHeight="1" thickBot="1">
      <c r="B35" s="205"/>
      <c r="C35" s="205"/>
      <c r="D35" s="313"/>
      <c r="E35" s="314"/>
      <c r="F35" s="313"/>
      <c r="G35" s="313"/>
      <c r="H35" s="313"/>
      <c r="I35" s="313"/>
      <c r="J35" s="313"/>
      <c r="K35" s="313"/>
      <c r="L35" s="315"/>
      <c r="M35" s="315"/>
      <c r="N35" s="315"/>
      <c r="O35" s="773"/>
      <c r="P35" s="167"/>
      <c r="Q35" s="167"/>
      <c r="R35" s="167"/>
      <c r="S35" s="167"/>
      <c r="T35" s="167"/>
      <c r="U35" s="167"/>
      <c r="V35" s="167"/>
      <c r="W35" s="205"/>
      <c r="X35" s="1216"/>
      <c r="Y35" s="1216"/>
      <c r="Z35" s="1216"/>
      <c r="AA35" s="205"/>
      <c r="AB35" s="205"/>
      <c r="AE35" s="168"/>
      <c r="AF35" s="168"/>
    </row>
    <row r="36" spans="2:36" ht="45" customHeight="1">
      <c r="B36" s="1261" t="s">
        <v>286</v>
      </c>
      <c r="C36" s="421" t="s">
        <v>86</v>
      </c>
      <c r="D36" s="273" t="s">
        <v>275</v>
      </c>
      <c r="E36" s="274">
        <f>NETWORKDAYS.INTL(F36,G36,"0000100",$AI$5:$AI$11)</f>
        <v>5</v>
      </c>
      <c r="F36" s="198">
        <f>WORKDAY.INTL(G32,1,"0000100",$AI$5:$AI$10)</f>
        <v>46240</v>
      </c>
      <c r="G36" s="198">
        <f>WORKDAY.INTL(F36,4,"0000100",$AI$5:$AI$10)</f>
        <v>46245</v>
      </c>
      <c r="H36" s="198">
        <f>WORKDAY.INTL(I32,1,"0000100",$AI$5:$AI$10)</f>
        <v>46240</v>
      </c>
      <c r="I36" s="198">
        <f>WORKDAY.INTL(H36,4,"0000100",$AI$5:$AI$10)</f>
        <v>46245</v>
      </c>
      <c r="J36" s="198">
        <v>46222</v>
      </c>
      <c r="K36" s="198">
        <v>46226</v>
      </c>
      <c r="L36" s="275">
        <v>1</v>
      </c>
      <c r="M36" s="275" t="str">
        <f ca="1">IF(L36=100%,"Completed",
IF(AND(L36&lt;100%,G36&lt;TODAY()),"Delayed",
IF(AND(OR(L36="",L36=0),F36&gt;TODAY()),"Not Started",
IF(AND(OR(L36="",L36=0),F36&lt;=TODAY()),"Delayed",
IF(AND(L36&gt;0,L36&lt;100%),"In Progress","")))))</f>
        <v>Completed</v>
      </c>
      <c r="N36" s="782"/>
      <c r="O36" s="781"/>
      <c r="P36" s="171"/>
      <c r="Q36" s="171"/>
      <c r="R36" s="171"/>
      <c r="S36" s="171"/>
      <c r="T36" s="171"/>
      <c r="U36" s="171"/>
      <c r="V36" s="171"/>
      <c r="W36" s="663"/>
      <c r="X36" s="1185" t="s">
        <v>133</v>
      </c>
      <c r="Y36" s="1185"/>
      <c r="Z36" s="1185"/>
      <c r="AA36" s="169" t="s">
        <v>280</v>
      </c>
      <c r="AB36" s="468" t="s">
        <v>240</v>
      </c>
      <c r="AE36" s="170" t="s">
        <v>62</v>
      </c>
      <c r="AF36" s="158" t="s">
        <v>74</v>
      </c>
      <c r="AG36" s="158"/>
    </row>
    <row r="37" spans="2:36" ht="45" customHeight="1">
      <c r="B37" s="1262"/>
      <c r="C37" s="422" t="s">
        <v>86</v>
      </c>
      <c r="D37" s="276" t="s">
        <v>114</v>
      </c>
      <c r="E37" s="277">
        <f>NETWORKDAYS.INTL(F37,G37,"0000100",$AI$5:$AI$11)</f>
        <v>2</v>
      </c>
      <c r="F37" s="200">
        <f>WORKDAY.INTL(G36,1,"0000100",$AI$5:$AI$10)</f>
        <v>46246</v>
      </c>
      <c r="G37" s="200">
        <f>WORKDAY.INTL(F37,1,"0000100",$AI$5:$AI$10)</f>
        <v>46247</v>
      </c>
      <c r="H37" s="200">
        <f>WORKDAY.INTL(I36,1,"0000100",$AI$5:$AI$10)</f>
        <v>46246</v>
      </c>
      <c r="I37" s="200">
        <f>WORKDAY.INTL(H37,1,"0000100",$AI$5:$AI$10)</f>
        <v>46247</v>
      </c>
      <c r="J37" s="200">
        <v>46226</v>
      </c>
      <c r="K37" s="200"/>
      <c r="L37" s="278">
        <v>0.3</v>
      </c>
      <c r="M37" s="278" t="str">
        <f ca="1">IF(L37=100%,"Completed",
IF(AND(L37&lt;100%,G37&lt;TODAY()),"Delayed",
IF(AND(OR(L37="",L37=0),F37&gt;TODAY()),"Not Started",
IF(AND(OR(L37="",L37=0),F37&lt;=TODAY()),"Delayed",
IF(AND(L37&gt;0,L37&lt;100%),"In Progress","")))))</f>
        <v>In Progress</v>
      </c>
      <c r="N37" s="783"/>
      <c r="O37" s="781"/>
      <c r="P37" s="171"/>
      <c r="Q37" s="171"/>
      <c r="R37" s="171"/>
      <c r="S37" s="171"/>
      <c r="T37" s="171"/>
      <c r="U37" s="171"/>
      <c r="V37" s="171"/>
      <c r="W37" s="664"/>
      <c r="X37" s="1186">
        <v>1</v>
      </c>
      <c r="Y37" s="1186"/>
      <c r="Z37" s="1186"/>
      <c r="AA37" s="170"/>
      <c r="AB37" s="469"/>
      <c r="AE37" s="170" t="s">
        <v>63</v>
      </c>
      <c r="AF37" s="158" t="s">
        <v>74</v>
      </c>
      <c r="AG37" s="158"/>
    </row>
    <row r="38" spans="2:36" ht="45" customHeight="1">
      <c r="B38" s="1262"/>
      <c r="C38" s="422" t="s">
        <v>86</v>
      </c>
      <c r="D38" s="276" t="s">
        <v>120</v>
      </c>
      <c r="E38" s="277">
        <f>NETWORKDAYS.INTL(F38,G38,"0000110",$AI$5:$AI$11)</f>
        <v>4</v>
      </c>
      <c r="F38" s="200">
        <f>MAX(WORKDAY.INTL(G37,1,"0000100",$AI$5:$AI$10),WORKDAY.INTL(G33,1,"0000100",$AI$5:$AI$10))</f>
        <v>46259</v>
      </c>
      <c r="G38" s="200">
        <f>WORKDAY.INTL(F38,3,"0000110",$AI$5:$AI$10)</f>
        <v>46264</v>
      </c>
      <c r="H38" s="200">
        <f>MAX(WORKDAY.INTL(I37,1,"0000100",$AI$5:$AI$10),WORKDAY.INTL(I33,1,"0000100",$AI$5:$AI$10))</f>
        <v>46263</v>
      </c>
      <c r="I38" s="200">
        <f>WORKDAY.INTL(H38,3,"0000110",$AI$5:$AI$10)</f>
        <v>46266</v>
      </c>
      <c r="J38" s="200"/>
      <c r="K38" s="200"/>
      <c r="L38" s="278"/>
      <c r="M38" s="278" t="str">
        <f ca="1">IF(L38=100%,"Completed",
IF(AND(L38&lt;100%,G38&lt;TODAY()),"Delayed",
IF(AND(OR(L38="",L38=0),F38&gt;TODAY()),"Not Started",
IF(AND(OR(L38="",L38=0),F38&lt;=TODAY()),"Delayed",
IF(AND(L38&gt;0,L38&lt;100%),"In Progress","")))))</f>
        <v>Not Started</v>
      </c>
      <c r="N38" s="783"/>
      <c r="O38" s="781"/>
      <c r="P38" s="171"/>
      <c r="Q38" s="171"/>
      <c r="R38" s="171"/>
      <c r="S38" s="171"/>
      <c r="T38" s="171"/>
      <c r="U38" s="171"/>
      <c r="V38" s="171"/>
      <c r="W38" s="664" t="s">
        <v>129</v>
      </c>
      <c r="X38" s="1186" t="s">
        <v>169</v>
      </c>
      <c r="Y38" s="1186"/>
      <c r="Z38" s="1186"/>
      <c r="AA38" s="170" t="s">
        <v>282</v>
      </c>
      <c r="AB38" s="469" t="s">
        <v>123</v>
      </c>
      <c r="AE38" s="170" t="s">
        <v>64</v>
      </c>
      <c r="AF38" s="158" t="s">
        <v>74</v>
      </c>
      <c r="AG38" s="158"/>
    </row>
    <row r="39" spans="2:36" ht="45" customHeight="1" thickBot="1">
      <c r="B39" s="1263"/>
      <c r="C39" s="423" t="s">
        <v>86</v>
      </c>
      <c r="D39" s="280" t="s">
        <v>125</v>
      </c>
      <c r="E39" s="281">
        <f>NETWORKDAYS.INTL(F39,G39,"0000110",$AI$5:$AI$11)</f>
        <v>2</v>
      </c>
      <c r="F39" s="255">
        <f>WORKDAY.INTL(G38,1,"0000110",$AI$5:$AI$10)</f>
        <v>46265</v>
      </c>
      <c r="G39" s="255">
        <f>WORKDAY.INTL(F39,1,"0000110",$AI$5:$AI$10)</f>
        <v>46266</v>
      </c>
      <c r="H39" s="255">
        <f>WORKDAY.INTL(I38,1,"0000110",$AI$5:$AI$10)</f>
        <v>46267</v>
      </c>
      <c r="I39" s="255">
        <f>WORKDAY.INTL(H39,1,"0000110",$AI$5:$AI$10)</f>
        <v>46268</v>
      </c>
      <c r="J39" s="255"/>
      <c r="K39" s="255"/>
      <c r="L39" s="282"/>
      <c r="M39" s="282" t="str">
        <f ca="1">IF(L39=100%,"Completed",
IF(AND(L39&lt;100%,G39&lt;TODAY()),"Delayed",
IF(AND(OR(L39="",L39=0),F39&gt;TODAY()),"Not Started",
IF(AND(OR(L39="",L39=0),F39&lt;=TODAY()),"Delayed",
IF(AND(L39&gt;0,L39&lt;100%),"In Progress","")))))</f>
        <v>Not Started</v>
      </c>
      <c r="N39" s="784"/>
      <c r="O39" s="781"/>
      <c r="P39" s="174"/>
      <c r="Q39" s="174"/>
      <c r="R39" s="174"/>
      <c r="S39" s="174"/>
      <c r="T39" s="174"/>
      <c r="U39" s="174"/>
      <c r="V39" s="174"/>
      <c r="W39" s="785" t="s">
        <v>126</v>
      </c>
      <c r="X39" s="1189">
        <v>1</v>
      </c>
      <c r="Y39" s="1189"/>
      <c r="Z39" s="1189"/>
      <c r="AA39" s="189"/>
      <c r="AB39" s="470"/>
      <c r="AE39" s="170" t="s">
        <v>65</v>
      </c>
      <c r="AF39" s="158" t="s">
        <v>74</v>
      </c>
      <c r="AG39" s="158"/>
    </row>
    <row r="40" spans="2:36" s="153" customFormat="1" ht="4.5" customHeight="1" thickBot="1">
      <c r="B40" s="205"/>
      <c r="C40" s="205"/>
      <c r="D40" s="313"/>
      <c r="E40" s="314"/>
      <c r="F40" s="313"/>
      <c r="G40" s="313"/>
      <c r="H40" s="313"/>
      <c r="I40" s="313"/>
      <c r="J40" s="313"/>
      <c r="K40" s="313"/>
      <c r="L40" s="315"/>
      <c r="M40" s="315"/>
      <c r="N40" s="315"/>
      <c r="O40" s="773"/>
      <c r="P40" s="167"/>
      <c r="Q40" s="167"/>
      <c r="R40" s="167"/>
      <c r="S40" s="167"/>
      <c r="T40" s="167"/>
      <c r="U40" s="167"/>
      <c r="V40" s="167"/>
      <c r="W40" s="205"/>
      <c r="X40" s="1216"/>
      <c r="Y40" s="1216"/>
      <c r="Z40" s="1216"/>
      <c r="AA40" s="205"/>
      <c r="AB40" s="205"/>
      <c r="AE40" s="168"/>
      <c r="AF40" s="168"/>
    </row>
    <row r="41" spans="2:36" ht="45" customHeight="1">
      <c r="B41" s="1267" t="s">
        <v>287</v>
      </c>
      <c r="C41" s="786" t="s">
        <v>86</v>
      </c>
      <c r="D41" s="787" t="s">
        <v>275</v>
      </c>
      <c r="E41" s="316">
        <f>NETWORKDAYS.INTL(F41,G41,"0000100",$AI$5:$AI$11)</f>
        <v>4</v>
      </c>
      <c r="F41" s="258">
        <f>WORKDAY.INTL(G37,1,"0000100",$AI$5:$AI$10)</f>
        <v>46249</v>
      </c>
      <c r="G41" s="258">
        <f>WORKDAY.INTL(F41,3,"0000100",$AI$5:$AI$10)</f>
        <v>46252</v>
      </c>
      <c r="H41" s="258">
        <f>WORKDAY.INTL(I37,1,"0000100",$AI$5:$AI$10)</f>
        <v>46249</v>
      </c>
      <c r="I41" s="258">
        <f>WORKDAY.INTL(H41,3,"0000100",$AI$5:$AI$10)</f>
        <v>46252</v>
      </c>
      <c r="J41" s="258">
        <v>46224</v>
      </c>
      <c r="K41" s="258"/>
      <c r="L41" s="291">
        <v>0.7</v>
      </c>
      <c r="M41" s="291" t="str">
        <f ca="1">IF(L41=100%,"Completed",
IF(AND(L41&lt;100%,G41&lt;TODAY()),"Delayed",
IF(AND(OR(L41="",L41=0),F41&gt;TODAY()),"Not Started",
IF(AND(OR(L41="",L41=0),F41&lt;=TODAY()),"Delayed",
IF(AND(L41&gt;0,L41&lt;100%),"In Progress","")))))</f>
        <v>In Progress</v>
      </c>
      <c r="N41" s="788"/>
      <c r="O41" s="781"/>
      <c r="P41" s="175"/>
      <c r="Q41" s="175"/>
      <c r="R41" s="175"/>
      <c r="S41" s="175"/>
      <c r="T41" s="175"/>
      <c r="U41" s="175"/>
      <c r="V41" s="175"/>
      <c r="W41" s="798"/>
      <c r="X41" s="1217" t="s">
        <v>133</v>
      </c>
      <c r="Y41" s="1217"/>
      <c r="Z41" s="1217"/>
      <c r="AA41" s="92" t="s">
        <v>280</v>
      </c>
      <c r="AB41" s="741" t="s">
        <v>137</v>
      </c>
      <c r="AE41" s="170" t="s">
        <v>62</v>
      </c>
      <c r="AF41" s="158" t="s">
        <v>75</v>
      </c>
      <c r="AG41" s="158"/>
      <c r="AJ41" s="173"/>
    </row>
    <row r="42" spans="2:36" ht="45" customHeight="1">
      <c r="B42" s="1268"/>
      <c r="C42" s="789" t="s">
        <v>86</v>
      </c>
      <c r="D42" s="790" t="s">
        <v>114</v>
      </c>
      <c r="E42" s="791">
        <f>NETWORKDAYS.INTL(F42,G42,"0000100",$AI$5:$AI$11)</f>
        <v>2</v>
      </c>
      <c r="F42" s="256">
        <f>WORKDAY.INTL(G41,1,"0000100",$AI$5:$AI$10)</f>
        <v>46253</v>
      </c>
      <c r="G42" s="256">
        <f>WORKDAY.INTL(F42,1,"0000100",$AI$5:$AI$10)</f>
        <v>46254</v>
      </c>
      <c r="H42" s="256">
        <f>WORKDAY.INTL(I41,1,"0000100",$AI$5:$AI$10)</f>
        <v>46253</v>
      </c>
      <c r="I42" s="256">
        <f>WORKDAY.INTL(H42,1,"0000100",$AI$5:$AI$10)</f>
        <v>46254</v>
      </c>
      <c r="J42" s="256"/>
      <c r="K42" s="256"/>
      <c r="L42" s="285"/>
      <c r="M42" s="285" t="str">
        <f ca="1">IF(L42=100%,"Completed",
IF(AND(L42&lt;100%,G42&lt;TODAY()),"Delayed",
IF(AND(OR(L42="",L42=0),F42&gt;TODAY()),"Not Started",
IF(AND(OR(L42="",L42=0),F42&lt;=TODAY()),"Delayed",
IF(AND(L42&gt;0,L42&lt;100%),"In Progress","")))))</f>
        <v>Not Started</v>
      </c>
      <c r="N42" s="792"/>
      <c r="O42" s="781"/>
      <c r="P42" s="176"/>
      <c r="Q42" s="176"/>
      <c r="R42" s="176"/>
      <c r="S42" s="176"/>
      <c r="T42" s="176"/>
      <c r="U42" s="176"/>
      <c r="V42" s="176"/>
      <c r="W42" s="799"/>
      <c r="X42" s="1218">
        <v>1</v>
      </c>
      <c r="Y42" s="1218"/>
      <c r="Z42" s="1218"/>
      <c r="AA42" s="97"/>
      <c r="AB42" s="745"/>
      <c r="AE42" s="170" t="s">
        <v>63</v>
      </c>
      <c r="AF42" s="158" t="s">
        <v>75</v>
      </c>
      <c r="AG42" s="158"/>
    </row>
    <row r="43" spans="2:36" ht="45" customHeight="1">
      <c r="B43" s="1268"/>
      <c r="C43" s="789" t="s">
        <v>86</v>
      </c>
      <c r="D43" s="793" t="s">
        <v>120</v>
      </c>
      <c r="E43" s="791">
        <f>NETWORKDAYS.INTL(F43,G43,"0000110",$AI$5:$AI$11)</f>
        <v>4</v>
      </c>
      <c r="F43" s="256">
        <f>MAX(WORKDAY.INTL(G42,1,"0000100",$AI$5:$AI$10),WORKDAY.INTL(G38,1,"0000100",$AI$5:$AI$10))</f>
        <v>46265</v>
      </c>
      <c r="G43" s="256">
        <f>WORKDAY.INTL(F43,3,"0000110",$AI$5:$AI$10)</f>
        <v>46268</v>
      </c>
      <c r="H43" s="256">
        <f>MAX(WORKDAY.INTL(I42,1,"0000100",$AI$5:$AI$10),WORKDAY.INTL(I38,1,"0000100",$AI$5:$AI$10))</f>
        <v>46267</v>
      </c>
      <c r="I43" s="256">
        <f>WORKDAY.INTL(H43,3,"0000110",$AI$5:$AI$10)</f>
        <v>46272</v>
      </c>
      <c r="J43" s="256"/>
      <c r="K43" s="256"/>
      <c r="L43" s="285"/>
      <c r="M43" s="285" t="str">
        <f ca="1">IF(L43=100%,"Completed",
IF(AND(L43&lt;100%,G43&lt;TODAY()),"Delayed",
IF(AND(OR(L43="",L43=0),F43&gt;TODAY()),"Not Started",
IF(AND(OR(L43="",L43=0),F43&lt;=TODAY()),"Delayed",
IF(AND(L43&gt;0,L43&lt;100%),"In Progress","")))))</f>
        <v>Not Started</v>
      </c>
      <c r="N43" s="792"/>
      <c r="O43" s="781"/>
      <c r="P43" s="177"/>
      <c r="Q43" s="177"/>
      <c r="R43" s="177"/>
      <c r="S43" s="177"/>
      <c r="T43" s="177"/>
      <c r="U43" s="177"/>
      <c r="V43" s="177"/>
      <c r="W43" s="799" t="s">
        <v>129</v>
      </c>
      <c r="X43" s="1218" t="s">
        <v>169</v>
      </c>
      <c r="Y43" s="1218"/>
      <c r="Z43" s="1218"/>
      <c r="AA43" s="97" t="s">
        <v>282</v>
      </c>
      <c r="AB43" s="745" t="s">
        <v>123</v>
      </c>
      <c r="AE43" s="170" t="s">
        <v>64</v>
      </c>
      <c r="AF43" s="158" t="s">
        <v>75</v>
      </c>
      <c r="AG43" s="158"/>
    </row>
    <row r="44" spans="2:36" ht="45" customHeight="1" thickBot="1">
      <c r="B44" s="1269"/>
      <c r="C44" s="794" t="s">
        <v>86</v>
      </c>
      <c r="D44" s="795" t="s">
        <v>125</v>
      </c>
      <c r="E44" s="796">
        <f>NETWORKDAYS.INTL(F44,G44,"0000110",$AI$5:$AI$11)</f>
        <v>2</v>
      </c>
      <c r="F44" s="259">
        <f>WORKDAY.INTL(G43,1,"0000110",$AI$5:$AI$10)</f>
        <v>46271</v>
      </c>
      <c r="G44" s="259">
        <f>WORKDAY.INTL(F44,1,"0000110",$AI$5:$AI$10)</f>
        <v>46272</v>
      </c>
      <c r="H44" s="259">
        <f>WORKDAY.INTL(I43,1,"0000110",$AI$5:$AI$10)</f>
        <v>46273</v>
      </c>
      <c r="I44" s="259">
        <f>WORKDAY.INTL(H44,1,"0000110",$AI$5:$AI$10)</f>
        <v>46274</v>
      </c>
      <c r="J44" s="259"/>
      <c r="K44" s="259"/>
      <c r="L44" s="292"/>
      <c r="M44" s="292" t="str">
        <f ca="1">IF(L44=100%,"Completed",
IF(AND(L44&lt;100%,G44&lt;TODAY()),"Delayed",
IF(AND(OR(L44="",L44=0),F44&gt;TODAY()),"Not Started",
IF(AND(OR(L44="",L44=0),F44&lt;=TODAY()),"Delayed",
IF(AND(L44&gt;0,L44&lt;100%),"In Progress","")))))</f>
        <v>Not Started</v>
      </c>
      <c r="N44" s="797"/>
      <c r="O44" s="781"/>
      <c r="P44" s="177"/>
      <c r="Q44" s="177"/>
      <c r="R44" s="177"/>
      <c r="S44" s="177"/>
      <c r="T44" s="177"/>
      <c r="U44" s="177"/>
      <c r="V44" s="177"/>
      <c r="W44" s="800" t="s">
        <v>126</v>
      </c>
      <c r="X44" s="1219">
        <v>1</v>
      </c>
      <c r="Y44" s="1219"/>
      <c r="Z44" s="1219"/>
      <c r="AA44" s="99"/>
      <c r="AB44" s="747"/>
      <c r="AE44" s="170" t="s">
        <v>65</v>
      </c>
      <c r="AF44" s="158" t="s">
        <v>75</v>
      </c>
      <c r="AG44" s="158"/>
    </row>
    <row r="45" spans="2:36" s="153" customFormat="1" ht="4.5" customHeight="1">
      <c r="B45" s="205"/>
      <c r="C45" s="205"/>
      <c r="D45" s="313"/>
      <c r="E45" s="314"/>
      <c r="F45" s="313"/>
      <c r="G45" s="313"/>
      <c r="H45" s="313"/>
      <c r="I45" s="313"/>
      <c r="J45" s="313"/>
      <c r="K45" s="313"/>
      <c r="L45" s="315"/>
      <c r="M45" s="315"/>
      <c r="N45" s="315"/>
      <c r="O45" s="773"/>
      <c r="P45" s="167"/>
      <c r="Q45" s="167"/>
      <c r="R45" s="167"/>
      <c r="S45" s="167"/>
      <c r="T45" s="167"/>
      <c r="U45" s="167"/>
      <c r="V45" s="167"/>
      <c r="W45" s="205"/>
      <c r="X45" s="1216"/>
      <c r="Y45" s="1216"/>
      <c r="Z45" s="1216"/>
      <c r="AA45" s="205"/>
      <c r="AB45" s="205"/>
      <c r="AE45" s="168"/>
      <c r="AF45" s="168"/>
    </row>
    <row r="46" spans="2:36" ht="45" customHeight="1">
      <c r="B46" s="1261" t="s">
        <v>288</v>
      </c>
      <c r="C46" s="421" t="s">
        <v>86</v>
      </c>
      <c r="D46" s="273" t="s">
        <v>275</v>
      </c>
      <c r="E46" s="274">
        <f>NETWORKDAYS.INTL(F46,G46,"0000100",$AI$5:$AI$11)</f>
        <v>3</v>
      </c>
      <c r="F46" s="198">
        <f>WORKDAY.INTL(G42,1,"0000100",$AI$5:$AI$10)</f>
        <v>46256</v>
      </c>
      <c r="G46" s="198">
        <f>WORKDAY.INTL(F46,2,"0000100",$AI$5:$AI$10)</f>
        <v>46258</v>
      </c>
      <c r="H46" s="198">
        <f>WORKDAY.INTL(I42,1,"0000100",$AI$5:$AI$10)</f>
        <v>46256</v>
      </c>
      <c r="I46" s="198">
        <f>WORKDAY.INTL(H46,2,"0000100",$AI$5:$AI$10)</f>
        <v>46258</v>
      </c>
      <c r="J46" s="200">
        <v>46224</v>
      </c>
      <c r="K46" s="198"/>
      <c r="L46" s="275">
        <v>0.4</v>
      </c>
      <c r="M46" s="275" t="str">
        <f ca="1">IF(L46=100%,"Completed",
IF(AND(L46&lt;100%,G46&lt;TODAY()),"Delayed",
IF(AND(OR(L46="",L46=0),F46&gt;TODAY()),"Not Started",
IF(AND(OR(L46="",L46=0),F46&lt;=TODAY()),"Delayed",
IF(AND(L46&gt;0,L46&lt;100%),"In Progress","")))))</f>
        <v>In Progress</v>
      </c>
      <c r="N46" s="782"/>
      <c r="O46" s="781"/>
      <c r="P46" s="171"/>
      <c r="Q46" s="171"/>
      <c r="R46" s="171"/>
      <c r="S46" s="171"/>
      <c r="T46" s="171"/>
      <c r="U46" s="171"/>
      <c r="V46" s="171"/>
      <c r="W46" s="663"/>
      <c r="X46" s="1185" t="s">
        <v>133</v>
      </c>
      <c r="Y46" s="1185"/>
      <c r="Z46" s="1185"/>
      <c r="AA46" s="169" t="s">
        <v>280</v>
      </c>
      <c r="AB46" s="468" t="s">
        <v>289</v>
      </c>
      <c r="AE46" s="170" t="s">
        <v>62</v>
      </c>
      <c r="AF46" s="158" t="s">
        <v>76</v>
      </c>
      <c r="AG46" s="158"/>
    </row>
    <row r="47" spans="2:36" ht="45" customHeight="1">
      <c r="B47" s="1262"/>
      <c r="C47" s="422" t="s">
        <v>86</v>
      </c>
      <c r="D47" s="276" t="s">
        <v>114</v>
      </c>
      <c r="E47" s="277">
        <f>NETWORKDAYS.INTL(F47,G47,"0000100",$AI$5:$AI$11)</f>
        <v>2</v>
      </c>
      <c r="F47" s="200">
        <f>WORKDAY.INTL(G46,1,"0000100",$AI$5:$AI$10)</f>
        <v>46259</v>
      </c>
      <c r="G47" s="200">
        <f>WORKDAY.INTL(F47,1,"0000100",$AI$5:$AI$10)</f>
        <v>46260</v>
      </c>
      <c r="H47" s="200">
        <f>WORKDAY.INTL(I46,1,"0000100",$AI$5:$AI$10)</f>
        <v>46259</v>
      </c>
      <c r="I47" s="200">
        <f>WORKDAY.INTL(H47,1,"0000100",$AI$5:$AI$10)</f>
        <v>46260</v>
      </c>
      <c r="J47" s="200"/>
      <c r="K47" s="200"/>
      <c r="L47" s="278"/>
      <c r="M47" s="278" t="str">
        <f ca="1">IF(L47=100%,"Completed",
IF(AND(L47&lt;100%,G47&lt;TODAY()),"Delayed",
IF(AND(OR(L47="",L47=0),F47&gt;TODAY()),"Not Started",
IF(AND(OR(L47="",L47=0),F47&lt;=TODAY()),"Delayed",
IF(AND(L47&gt;0,L47&lt;100%),"In Progress","")))))</f>
        <v>Not Started</v>
      </c>
      <c r="N47" s="783"/>
      <c r="O47" s="781"/>
      <c r="P47" s="171"/>
      <c r="Q47" s="171"/>
      <c r="R47" s="171"/>
      <c r="S47" s="171"/>
      <c r="T47" s="171"/>
      <c r="U47" s="171"/>
      <c r="V47" s="171"/>
      <c r="W47" s="664"/>
      <c r="X47" s="1186">
        <v>1</v>
      </c>
      <c r="Y47" s="1186"/>
      <c r="Z47" s="1186"/>
      <c r="AA47" s="170"/>
      <c r="AB47" s="469"/>
      <c r="AE47" s="170" t="s">
        <v>63</v>
      </c>
      <c r="AF47" s="158" t="s">
        <v>76</v>
      </c>
      <c r="AG47" s="158"/>
    </row>
    <row r="48" spans="2:36" ht="45" customHeight="1">
      <c r="B48" s="1262"/>
      <c r="C48" s="422" t="s">
        <v>86</v>
      </c>
      <c r="D48" s="276" t="s">
        <v>120</v>
      </c>
      <c r="E48" s="277">
        <f>NETWORKDAYS.INTL(F48,G48,"0000110",$AI$5:$AI$11)</f>
        <v>3</v>
      </c>
      <c r="F48" s="200">
        <f>MAX(WORKDAY.INTL(G47,1,"0000100",$AI$5:$AI$10),WORKDAY.INTL(G43,1,"0000100",$AI$5:$AI$10))</f>
        <v>46270</v>
      </c>
      <c r="G48" s="200">
        <f t="shared" ref="G48" si="3">WORKDAY.INTL(F48,3,"0000110")</f>
        <v>46273</v>
      </c>
      <c r="H48" s="200">
        <f>MAX(WORKDAY.INTL(I47,1,"0000100",$AI$5:$AI$10),WORKDAY.INTL(I43,1,"0000100",$AI$5:$AI$10))</f>
        <v>46273</v>
      </c>
      <c r="I48" s="200">
        <f>WORKDAY.INTL(H48,3,"0000110")</f>
        <v>46278</v>
      </c>
      <c r="J48" s="200"/>
      <c r="K48" s="200"/>
      <c r="L48" s="278"/>
      <c r="M48" s="278" t="str">
        <f ca="1">IF(L48=100%,"Completed",
IF(AND(L48&lt;100%,G48&lt;TODAY()),"Delayed",
IF(AND(OR(L48="",L48=0),F48&gt;TODAY()),"Not Started",
IF(AND(OR(L48="",L48=0),F48&lt;=TODAY()),"Delayed",
IF(AND(L48&gt;0,L48&lt;100%),"In Progress","")))))</f>
        <v>Not Started</v>
      </c>
      <c r="N48" s="783"/>
      <c r="O48" s="781"/>
      <c r="P48" s="171"/>
      <c r="Q48" s="171"/>
      <c r="R48" s="171"/>
      <c r="S48" s="171"/>
      <c r="T48" s="171"/>
      <c r="U48" s="171"/>
      <c r="V48" s="171"/>
      <c r="W48" s="664" t="s">
        <v>129</v>
      </c>
      <c r="X48" s="1186" t="s">
        <v>169</v>
      </c>
      <c r="Y48" s="1186"/>
      <c r="Z48" s="1186"/>
      <c r="AA48" s="170" t="s">
        <v>282</v>
      </c>
      <c r="AB48" s="469" t="s">
        <v>242</v>
      </c>
      <c r="AE48" s="170" t="s">
        <v>64</v>
      </c>
      <c r="AF48" s="158" t="s">
        <v>76</v>
      </c>
      <c r="AG48" s="158"/>
    </row>
    <row r="49" spans="2:36" ht="45" customHeight="1" thickBot="1">
      <c r="B49" s="1263"/>
      <c r="C49" s="423" t="s">
        <v>86</v>
      </c>
      <c r="D49" s="280" t="s">
        <v>125</v>
      </c>
      <c r="E49" s="281">
        <f>NETWORKDAYS.INTL(F49,G49,"0000110",$AI$5:$AI$11)</f>
        <v>2</v>
      </c>
      <c r="F49" s="255">
        <f t="shared" ref="F49" si="4">WORKDAY.INTL(G48,1,"0000110")</f>
        <v>46274</v>
      </c>
      <c r="G49" s="255">
        <f t="shared" ref="G49" si="5">WORKDAY.INTL(F49,1,"0000110")</f>
        <v>46275</v>
      </c>
      <c r="H49" s="255">
        <f>WORKDAY.INTL(I48,1,"0000110")</f>
        <v>46279</v>
      </c>
      <c r="I49" s="255">
        <f>WORKDAY.INTL(H49,1,"0000110")</f>
        <v>46280</v>
      </c>
      <c r="J49" s="255"/>
      <c r="K49" s="255"/>
      <c r="L49" s="282"/>
      <c r="M49" s="282" t="str">
        <f ca="1">IF(L49=100%,"Completed",
IF(AND(L49&lt;100%,G49&lt;TODAY()),"Delayed",
IF(AND(OR(L49="",L49=0),F49&gt;TODAY()),"Not Started",
IF(AND(OR(L49="",L49=0),F49&lt;=TODAY()),"Delayed",
IF(AND(L49&gt;0,L49&lt;100%),"In Progress","")))))</f>
        <v>Not Started</v>
      </c>
      <c r="N49" s="784"/>
      <c r="O49" s="781"/>
      <c r="P49" s="174"/>
      <c r="Q49" s="174"/>
      <c r="R49" s="174"/>
      <c r="S49" s="174"/>
      <c r="T49" s="174"/>
      <c r="U49" s="174"/>
      <c r="V49" s="174"/>
      <c r="W49" s="785" t="s">
        <v>126</v>
      </c>
      <c r="X49" s="1189">
        <v>1</v>
      </c>
      <c r="Y49" s="1189"/>
      <c r="Z49" s="1189"/>
      <c r="AA49" s="189"/>
      <c r="AB49" s="470"/>
      <c r="AE49" s="170" t="s">
        <v>65</v>
      </c>
      <c r="AF49" s="158" t="s">
        <v>76</v>
      </c>
      <c r="AG49" s="158"/>
    </row>
    <row r="50" spans="2:36" s="153" customFormat="1" ht="4.5" customHeight="1" thickBot="1">
      <c r="B50" s="205"/>
      <c r="C50" s="205"/>
      <c r="D50" s="313"/>
      <c r="E50" s="314"/>
      <c r="F50" s="313"/>
      <c r="G50" s="313"/>
      <c r="H50" s="313"/>
      <c r="I50" s="313"/>
      <c r="J50" s="313"/>
      <c r="K50" s="313"/>
      <c r="L50" s="315"/>
      <c r="M50" s="315"/>
      <c r="N50" s="315"/>
      <c r="O50" s="773"/>
      <c r="P50" s="167"/>
      <c r="Q50" s="167"/>
      <c r="R50" s="167"/>
      <c r="S50" s="167"/>
      <c r="T50" s="167"/>
      <c r="U50" s="167"/>
      <c r="V50" s="167"/>
      <c r="W50" s="205"/>
      <c r="X50" s="1216"/>
      <c r="Y50" s="1216"/>
      <c r="Z50" s="1216"/>
      <c r="AA50" s="205"/>
      <c r="AB50" s="205"/>
      <c r="AC50" s="179"/>
      <c r="AI50" s="154"/>
    </row>
    <row r="51" spans="2:36" ht="45" customHeight="1">
      <c r="B51" s="1267" t="s">
        <v>290</v>
      </c>
      <c r="C51" s="786" t="s">
        <v>86</v>
      </c>
      <c r="D51" s="787" t="s">
        <v>275</v>
      </c>
      <c r="E51" s="316">
        <f>NETWORKDAYS.INTL(F51,G51,"0000100",$AI$5:$AI$11)</f>
        <v>3</v>
      </c>
      <c r="F51" s="258">
        <f>WORKDAY.INTL(G47,1,"0000100",$AI$5:$AI$10)</f>
        <v>46261</v>
      </c>
      <c r="G51" s="258">
        <f>WORKDAY.INTL(F51,2,"0000100",$AI$5:$AI$10)</f>
        <v>46264</v>
      </c>
      <c r="H51" s="258">
        <f>WORKDAY.INTL(I47,1,"0000100",$AI$5:$AI$10)</f>
        <v>46261</v>
      </c>
      <c r="I51" s="258">
        <f>WORKDAY.INTL(H51,2,"0000100",$AI$5:$AI$10)</f>
        <v>46264</v>
      </c>
      <c r="J51" s="258">
        <v>46224</v>
      </c>
      <c r="K51" s="258"/>
      <c r="L51" s="291">
        <v>0.55000000000000004</v>
      </c>
      <c r="M51" s="291" t="str">
        <f ca="1">IF(L51=100%,"Completed",
IF(AND(L51&lt;100%,G51&lt;TODAY()),"Delayed",
IF(AND(OR(L51="",L51=0),F51&gt;TODAY()),"Not Started",
IF(AND(OR(L51="",L51=0),F51&lt;=TODAY()),"Delayed",
IF(AND(L51&gt;0,L51&lt;100%),"In Progress","")))))</f>
        <v>In Progress</v>
      </c>
      <c r="N51" s="788"/>
      <c r="O51" s="781"/>
      <c r="P51" s="175"/>
      <c r="Q51" s="175"/>
      <c r="R51" s="175"/>
      <c r="S51" s="175"/>
      <c r="T51" s="175"/>
      <c r="U51" s="175"/>
      <c r="V51" s="175"/>
      <c r="W51" s="798"/>
      <c r="X51" s="1217" t="s">
        <v>133</v>
      </c>
      <c r="Y51" s="1217"/>
      <c r="Z51" s="1217"/>
      <c r="AA51" s="92" t="s">
        <v>280</v>
      </c>
      <c r="AB51" s="741" t="s">
        <v>289</v>
      </c>
      <c r="AE51" s="170" t="s">
        <v>62</v>
      </c>
      <c r="AF51" s="158" t="s">
        <v>77</v>
      </c>
      <c r="AG51" s="158"/>
      <c r="AJ51" s="173"/>
    </row>
    <row r="52" spans="2:36" ht="45" customHeight="1">
      <c r="B52" s="1268"/>
      <c r="C52" s="789" t="s">
        <v>86</v>
      </c>
      <c r="D52" s="790" t="s">
        <v>114</v>
      </c>
      <c r="E52" s="791">
        <f>NETWORKDAYS.INTL(F52,G52,"0000100",$AI$5:$AI$11)</f>
        <v>2</v>
      </c>
      <c r="F52" s="256">
        <f>WORKDAY.INTL(G51,1,"0000100",$AI$5:$AI$10)</f>
        <v>46265</v>
      </c>
      <c r="G52" s="256">
        <f>WORKDAY.INTL(F52,1,"0000100",$AI$5:$AI$10)</f>
        <v>46266</v>
      </c>
      <c r="H52" s="256">
        <f>WORKDAY.INTL(I51,1,"0000100",$AI$5:$AI$10)</f>
        <v>46265</v>
      </c>
      <c r="I52" s="256">
        <f>WORKDAY.INTL(H52,1,"0000100",$AI$5:$AI$10)</f>
        <v>46266</v>
      </c>
      <c r="J52" s="256"/>
      <c r="K52" s="256"/>
      <c r="L52" s="285"/>
      <c r="M52" s="285" t="str">
        <f ca="1">IF(L52=100%,"Completed",
IF(AND(L52&lt;100%,G52&lt;TODAY()),"Delayed",
IF(AND(OR(L52="",L52=0),F52&gt;TODAY()),"Not Started",
IF(AND(OR(L52="",L52=0),F52&lt;=TODAY()),"Delayed",
IF(AND(L52&gt;0,L52&lt;100%),"In Progress","")))))</f>
        <v>Not Started</v>
      </c>
      <c r="N52" s="792"/>
      <c r="O52" s="781"/>
      <c r="P52" s="176"/>
      <c r="Q52" s="176"/>
      <c r="R52" s="176"/>
      <c r="S52" s="176"/>
      <c r="T52" s="176"/>
      <c r="U52" s="176"/>
      <c r="V52" s="176"/>
      <c r="W52" s="799" t="s">
        <v>291</v>
      </c>
      <c r="X52" s="1218">
        <v>1</v>
      </c>
      <c r="Y52" s="1218"/>
      <c r="Z52" s="1218"/>
      <c r="AA52" s="97"/>
      <c r="AB52" s="745"/>
      <c r="AE52" s="170" t="s">
        <v>63</v>
      </c>
      <c r="AF52" s="158" t="s">
        <v>77</v>
      </c>
      <c r="AG52" s="158"/>
    </row>
    <row r="53" spans="2:36" ht="45" customHeight="1">
      <c r="B53" s="1268"/>
      <c r="C53" s="789" t="s">
        <v>86</v>
      </c>
      <c r="D53" s="793" t="s">
        <v>120</v>
      </c>
      <c r="E53" s="791">
        <f>NETWORKDAYS.INTL(F53,G53,"0000110",$AI$5:$AI$11)</f>
        <v>4</v>
      </c>
      <c r="F53" s="256">
        <f>MAX(WORKDAY.INTL(G52,1,"0000100",$AI$5:$AI$10),WORKDAY.INTL(G48,1,"0000100",$AI$5:$AI$10))</f>
        <v>46274</v>
      </c>
      <c r="G53" s="256">
        <f t="shared" ref="G53" si="6">WORKDAY.INTL(F53,3,"0000110")</f>
        <v>46279</v>
      </c>
      <c r="H53" s="256">
        <f>MAX(WORKDAY.INTL(I52,1,"0000100",$AI$5:$AI$10),WORKDAY.INTL(I48,1,"0000100",$AI$5:$AI$10))</f>
        <v>46279</v>
      </c>
      <c r="I53" s="256">
        <f>WORKDAY.INTL(H53,3,"0000110")</f>
        <v>46282</v>
      </c>
      <c r="J53" s="256"/>
      <c r="K53" s="256"/>
      <c r="L53" s="285"/>
      <c r="M53" s="285" t="str">
        <f ca="1">IF(L53=100%,"Completed",
IF(AND(L53&lt;100%,G53&lt;TODAY()),"Delayed",
IF(AND(OR(L53="",L53=0),F53&gt;TODAY()),"Not Started",
IF(AND(OR(L53="",L53=0),F53&lt;=TODAY()),"Delayed",
IF(AND(L53&gt;0,L53&lt;100%),"In Progress","")))))</f>
        <v>Not Started</v>
      </c>
      <c r="N53" s="792"/>
      <c r="O53" s="781"/>
      <c r="P53" s="177"/>
      <c r="Q53" s="177"/>
      <c r="R53" s="177"/>
      <c r="S53" s="177"/>
      <c r="T53" s="177"/>
      <c r="U53" s="177"/>
      <c r="V53" s="177"/>
      <c r="W53" s="799" t="s">
        <v>129</v>
      </c>
      <c r="X53" s="1218" t="s">
        <v>169</v>
      </c>
      <c r="Y53" s="1218"/>
      <c r="Z53" s="1218"/>
      <c r="AA53" s="97" t="s">
        <v>282</v>
      </c>
      <c r="AB53" s="745" t="s">
        <v>123</v>
      </c>
      <c r="AE53" s="170" t="s">
        <v>64</v>
      </c>
      <c r="AF53" s="158" t="s">
        <v>77</v>
      </c>
      <c r="AG53" s="158"/>
    </row>
    <row r="54" spans="2:36" ht="45" customHeight="1" thickBot="1">
      <c r="B54" s="1269"/>
      <c r="C54" s="794" t="s">
        <v>86</v>
      </c>
      <c r="D54" s="795" t="s">
        <v>125</v>
      </c>
      <c r="E54" s="796">
        <f>NETWORKDAYS.INTL(F54,G54,"0000110",$AI$5:$AI$11)</f>
        <v>2</v>
      </c>
      <c r="F54" s="259">
        <f t="shared" ref="F54" si="7">WORKDAY.INTL(G53,1,"0000110")</f>
        <v>46280</v>
      </c>
      <c r="G54" s="259">
        <f t="shared" ref="G54" si="8">WORKDAY.INTL(F54,1,"0000110")</f>
        <v>46281</v>
      </c>
      <c r="H54" s="259">
        <f>WORKDAY.INTL(I53,1,"0000110")</f>
        <v>46285</v>
      </c>
      <c r="I54" s="259">
        <f>WORKDAY.INTL(H54,1,"0000110")</f>
        <v>46286</v>
      </c>
      <c r="J54" s="259"/>
      <c r="K54" s="259"/>
      <c r="L54" s="292"/>
      <c r="M54" s="292" t="str">
        <f ca="1">IF(L54=100%,"Completed",
IF(AND(L54&lt;100%,G54&lt;TODAY()),"Delayed",
IF(AND(OR(L54="",L54=0),F54&gt;TODAY()),"Not Started",
IF(AND(OR(L54="",L54=0),F54&lt;=TODAY()),"Delayed",
IF(AND(L54&gt;0,L54&lt;100%),"In Progress","")))))</f>
        <v>Not Started</v>
      </c>
      <c r="N54" s="797"/>
      <c r="O54" s="781"/>
      <c r="P54" s="177"/>
      <c r="Q54" s="177"/>
      <c r="R54" s="177"/>
      <c r="S54" s="177"/>
      <c r="T54" s="177"/>
      <c r="U54" s="177"/>
      <c r="V54" s="177"/>
      <c r="W54" s="800" t="s">
        <v>126</v>
      </c>
      <c r="X54" s="1219">
        <v>1</v>
      </c>
      <c r="Y54" s="1219"/>
      <c r="Z54" s="1219"/>
      <c r="AA54" s="99"/>
      <c r="AB54" s="747"/>
      <c r="AE54" s="170" t="s">
        <v>65</v>
      </c>
      <c r="AF54" s="158" t="s">
        <v>77</v>
      </c>
      <c r="AG54" s="158"/>
    </row>
    <row r="55" spans="2:36" s="153" customFormat="1" ht="4.5" customHeight="1" thickBot="1">
      <c r="B55" s="205"/>
      <c r="C55" s="205"/>
      <c r="D55" s="313"/>
      <c r="E55" s="314"/>
      <c r="F55" s="313"/>
      <c r="G55" s="313"/>
      <c r="H55" s="313"/>
      <c r="I55" s="313"/>
      <c r="J55" s="313"/>
      <c r="K55" s="313"/>
      <c r="L55" s="315"/>
      <c r="M55" s="315"/>
      <c r="N55" s="315"/>
      <c r="O55" s="773"/>
      <c r="P55" s="167"/>
      <c r="Q55" s="167"/>
      <c r="R55" s="167"/>
      <c r="S55" s="167"/>
      <c r="T55" s="167"/>
      <c r="U55" s="167"/>
      <c r="V55" s="167"/>
      <c r="W55" s="205"/>
      <c r="X55" s="1216"/>
      <c r="Y55" s="1216"/>
      <c r="Z55" s="1216"/>
      <c r="AA55" s="205"/>
      <c r="AB55" s="205"/>
      <c r="AC55" s="179"/>
      <c r="AI55" s="154"/>
    </row>
    <row r="56" spans="2:36" ht="45" customHeight="1">
      <c r="B56" s="1261" t="s">
        <v>143</v>
      </c>
      <c r="C56" s="421" t="s">
        <v>143</v>
      </c>
      <c r="D56" s="273" t="s">
        <v>144</v>
      </c>
      <c r="E56" s="274">
        <f>NETWORKDAYS.INTL(F56,G56,"0000100",$AI$5:$AI$11)</f>
        <v>19</v>
      </c>
      <c r="F56" s="198">
        <f>WORKDAY.INTL(G75,1,"0000100",$AI$5:$AI$10)</f>
        <v>46237</v>
      </c>
      <c r="G56" s="198">
        <f>WORKDAY.INTL(F56,18,"0000100",$AI$5:$AI$9)</f>
        <v>46258</v>
      </c>
      <c r="H56" s="198">
        <f>WORKDAY.INTL(I75,1,"0000100",$AI$5:$AI$10)</f>
        <v>46237</v>
      </c>
      <c r="I56" s="198">
        <f>WORKDAY.INTL(H56,18,"0000100",$AI$5:$AI$9)</f>
        <v>46258</v>
      </c>
      <c r="J56" s="198"/>
      <c r="K56" s="198"/>
      <c r="L56" s="275"/>
      <c r="M56" s="275" t="str">
        <f ca="1">IF(L56=100%,"Completed",
IF(AND(L56&lt;100%,G56&lt;TODAY()),"Delayed",
IF(AND(OR(L56="",L56=0),F56&gt;TODAY()),"Not Started",
IF(AND(OR(L56="",L56=0),F56&lt;=TODAY()),"Delayed",
IF(AND(L56&gt;0,L56&lt;100%),"In Progress","")))))</f>
        <v>Not Started</v>
      </c>
      <c r="N56" s="782"/>
      <c r="O56" s="781"/>
      <c r="P56" s="172"/>
      <c r="Q56" s="180"/>
      <c r="R56" s="180"/>
      <c r="S56" s="180"/>
      <c r="T56" s="180"/>
      <c r="U56" s="180"/>
      <c r="V56" s="802"/>
      <c r="W56" s="663" t="s">
        <v>145</v>
      </c>
      <c r="X56" s="1185">
        <v>1</v>
      </c>
      <c r="Y56" s="1185"/>
      <c r="Z56" s="1185"/>
      <c r="AA56" s="169" t="s">
        <v>292</v>
      </c>
      <c r="AB56" s="468"/>
      <c r="AC56" s="155"/>
      <c r="AE56" s="170"/>
      <c r="AG56" s="158"/>
    </row>
    <row r="57" spans="2:36" ht="43.5" customHeight="1">
      <c r="B57" s="1262"/>
      <c r="C57" s="422" t="s">
        <v>143</v>
      </c>
      <c r="D57" s="276" t="s">
        <v>147</v>
      </c>
      <c r="E57" s="277">
        <f>NETWORKDAYS.INTL(F57,G57,"0000100",$AI$5:$AI$11)</f>
        <v>19</v>
      </c>
      <c r="F57" s="200">
        <f>WORKDAY.INTL(G75,10,"0000100",$AI$5:$AI$10)</f>
        <v>46247</v>
      </c>
      <c r="G57" s="200">
        <f>WORKDAY.INTL(F57,18,"0000100",$AI$5:$AI$9)</f>
        <v>46268</v>
      </c>
      <c r="H57" s="200">
        <f>WORKDAY.INTL(I75,10,"0000100",$AI$5:$AI$10)</f>
        <v>46247</v>
      </c>
      <c r="I57" s="200">
        <f>WORKDAY.INTL(H57,18,"0000100",$AI$5:$AI$9)</f>
        <v>46268</v>
      </c>
      <c r="J57" s="200"/>
      <c r="K57" s="200"/>
      <c r="L57" s="278"/>
      <c r="M57" s="278" t="str">
        <f ca="1">IF(L57=100%,"Completed",
IF(AND(L57&lt;100%,G57&lt;TODAY()),"Delayed",
IF(AND(OR(L57="",L57=0),F57&gt;TODAY()),"Not Started",
IF(AND(OR(L57="",L57=0),F57&lt;=TODAY()),"Delayed",
IF(AND(L57&gt;0,L57&lt;100%),"In Progress","")))))</f>
        <v>Not Started</v>
      </c>
      <c r="N57" s="783"/>
      <c r="O57" s="781"/>
      <c r="P57" s="172"/>
      <c r="Q57" s="180"/>
      <c r="R57" s="180"/>
      <c r="S57" s="180"/>
      <c r="T57" s="180"/>
      <c r="U57" s="180"/>
      <c r="V57" s="802"/>
      <c r="W57" s="664" t="s">
        <v>145</v>
      </c>
      <c r="X57" s="1186">
        <v>1</v>
      </c>
      <c r="Y57" s="1186"/>
      <c r="Z57" s="1186"/>
      <c r="AA57" s="170" t="s">
        <v>293</v>
      </c>
      <c r="AB57" s="469"/>
      <c r="AC57" s="155"/>
      <c r="AE57" s="170"/>
      <c r="AG57" s="158"/>
    </row>
    <row r="58" spans="2:36" ht="56.25">
      <c r="B58" s="1263"/>
      <c r="C58" s="423" t="s">
        <v>143</v>
      </c>
      <c r="D58" s="801" t="s">
        <v>148</v>
      </c>
      <c r="E58" s="281">
        <f>NETWORKDAYS.INTL(F58,G58,"0000100",$AI$5:$AI$11)</f>
        <v>60</v>
      </c>
      <c r="F58" s="255">
        <f>F57</f>
        <v>46247</v>
      </c>
      <c r="G58" s="255">
        <f>WORKDAY.INTL(F58,60,"0000100",$AI$5:$AI$9)</f>
        <v>46317</v>
      </c>
      <c r="H58" s="255">
        <f>H57</f>
        <v>46247</v>
      </c>
      <c r="I58" s="255">
        <f>WORKDAY.INTL(H58,60,"0000100",$AI$5:$AI$9)</f>
        <v>46317</v>
      </c>
      <c r="J58" s="255"/>
      <c r="K58" s="255"/>
      <c r="L58" s="282"/>
      <c r="M58" s="282" t="str">
        <f ca="1">IF(L58=100%,"Completed",
IF(AND(L58&lt;100%,G58&lt;TODAY()),"Delayed",
IF(AND(OR(L58="",L58=0),F58&gt;TODAY()),"Not Started",
IF(AND(OR(L58="",L58=0),F58&lt;=TODAY()),"Delayed",
IF(AND(L58&gt;0,L58&lt;100%),"In Progress","")))))</f>
        <v>Not Started</v>
      </c>
      <c r="N58" s="784"/>
      <c r="O58" s="781"/>
      <c r="P58" s="171"/>
      <c r="Q58" s="171"/>
      <c r="R58" s="171"/>
      <c r="S58" s="171"/>
      <c r="T58" s="171"/>
      <c r="U58" s="171"/>
      <c r="V58" s="171"/>
      <c r="W58" s="785" t="s">
        <v>294</v>
      </c>
      <c r="X58" s="1189">
        <v>1</v>
      </c>
      <c r="Y58" s="1189"/>
      <c r="Z58" s="1189"/>
      <c r="AA58" s="189" t="s">
        <v>293</v>
      </c>
      <c r="AB58" s="803"/>
      <c r="AC58" s="155"/>
      <c r="AE58" s="170"/>
      <c r="AG58" s="158"/>
    </row>
    <row r="59" spans="2:36" s="153" customFormat="1" ht="4.5" customHeight="1" thickBot="1">
      <c r="B59" s="205"/>
      <c r="C59" s="205"/>
      <c r="D59" s="313"/>
      <c r="E59" s="314"/>
      <c r="F59" s="313"/>
      <c r="G59" s="313"/>
      <c r="H59" s="313"/>
      <c r="I59" s="313"/>
      <c r="J59" s="313"/>
      <c r="K59" s="313"/>
      <c r="L59" s="315"/>
      <c r="M59" s="315"/>
      <c r="N59" s="315"/>
      <c r="O59" s="774"/>
      <c r="P59" s="181"/>
      <c r="Q59" s="181"/>
      <c r="R59" s="181"/>
      <c r="S59" s="181"/>
      <c r="T59" s="181"/>
      <c r="U59" s="181"/>
      <c r="V59" s="181"/>
      <c r="W59" s="181"/>
      <c r="X59" s="1220"/>
      <c r="Y59" s="1220"/>
      <c r="Z59" s="1220"/>
      <c r="AA59" s="181"/>
      <c r="AB59" s="181"/>
      <c r="AE59" s="168"/>
      <c r="AF59" s="168"/>
    </row>
    <row r="60" spans="2:36" s="153" customFormat="1" ht="85.5" customHeight="1" thickBot="1">
      <c r="B60" s="804" t="s">
        <v>150</v>
      </c>
      <c r="C60" s="808" t="s">
        <v>151</v>
      </c>
      <c r="D60" s="809" t="s">
        <v>295</v>
      </c>
      <c r="E60" s="810">
        <f>NETWORKDAYS.INTL(F60,G60,"0000110",$AI$5:$AI$11)</f>
        <v>3</v>
      </c>
      <c r="F60" s="805">
        <f>MAX(WORKDAY.INTL(G54,1,"0000110"),WORKDAY.INTL(G67,1,"0000110"),WORKDAY.INTL(G114,0,"0000110"))</f>
        <v>46293</v>
      </c>
      <c r="G60" s="805">
        <f t="shared" ref="G60" si="9">WORKDAY.INTL(F60,2,"0000110")</f>
        <v>46295</v>
      </c>
      <c r="H60" s="805">
        <f>MAX(WORKDAY.INTL(I54,1,"0000110"),WORKDAY.INTL(I67,1,"0000110"),WORKDAY.INTL(I114,0,"0000110"))</f>
        <v>46295</v>
      </c>
      <c r="I60" s="805">
        <f>WORKDAY.INTL(H60,2,"0000110")</f>
        <v>46299</v>
      </c>
      <c r="J60" s="805"/>
      <c r="K60" s="805"/>
      <c r="L60" s="806"/>
      <c r="M60" s="806" t="str">
        <f ca="1">IF(L60=100%,"Completed",
IF(AND(L60&lt;100%,G60&lt;TODAY()),"Delayed",
IF(AND(OR(L60="",L60=0),F60&gt;TODAY()),"Not Started",
IF(AND(OR(L60="",L60=0),F60&lt;=TODAY()),"Delayed",
IF(AND(L60&gt;0,L60&lt;100%),"In Progress","")))))</f>
        <v>Not Started</v>
      </c>
      <c r="N60" s="811"/>
      <c r="O60" s="807"/>
      <c r="P60" s="236"/>
      <c r="Q60" s="236"/>
      <c r="R60" s="236"/>
      <c r="S60" s="236"/>
      <c r="T60" s="236"/>
      <c r="U60" s="236"/>
      <c r="V60" s="236"/>
      <c r="W60" s="812" t="s">
        <v>296</v>
      </c>
      <c r="X60" s="1221" t="s">
        <v>169</v>
      </c>
      <c r="Y60" s="1221"/>
      <c r="Z60" s="1221"/>
      <c r="AA60" s="813" t="s">
        <v>282</v>
      </c>
      <c r="AB60" s="814"/>
      <c r="AE60" s="168"/>
      <c r="AF60" s="168"/>
    </row>
    <row r="61" spans="2:36" s="153" customFormat="1" ht="4.5" customHeight="1" thickBot="1">
      <c r="B61" s="205"/>
      <c r="C61" s="205"/>
      <c r="D61" s="313"/>
      <c r="E61" s="314"/>
      <c r="F61" s="313"/>
      <c r="G61" s="313"/>
      <c r="H61" s="313"/>
      <c r="I61" s="313"/>
      <c r="J61" s="313"/>
      <c r="K61" s="313"/>
      <c r="L61" s="315"/>
      <c r="M61" s="315"/>
      <c r="N61" s="315"/>
      <c r="O61" s="774"/>
      <c r="P61" s="181"/>
      <c r="Q61" s="181"/>
      <c r="R61" s="181"/>
      <c r="S61" s="181"/>
      <c r="T61" s="181"/>
      <c r="U61" s="181"/>
      <c r="V61" s="181"/>
      <c r="W61" s="205"/>
      <c r="X61" s="1216"/>
      <c r="Y61" s="1216"/>
      <c r="Z61" s="1216"/>
      <c r="AA61" s="205"/>
      <c r="AB61" s="205"/>
      <c r="AE61" s="170"/>
      <c r="AF61" s="158"/>
    </row>
    <row r="62" spans="2:36" ht="29.1" hidden="1" customHeight="1">
      <c r="B62" s="1264"/>
      <c r="C62" s="182"/>
      <c r="D62" s="289"/>
      <c r="E62" s="290"/>
      <c r="F62" s="258"/>
      <c r="G62" s="258"/>
      <c r="H62" s="258"/>
      <c r="I62" s="258"/>
      <c r="J62" s="258"/>
      <c r="K62" s="258"/>
      <c r="L62" s="291"/>
      <c r="M62" s="291"/>
      <c r="N62" s="291"/>
      <c r="O62" s="775"/>
      <c r="P62" s="183"/>
      <c r="Q62" s="183"/>
      <c r="R62" s="183"/>
      <c r="S62" s="183"/>
      <c r="T62" s="183"/>
      <c r="U62" s="183"/>
      <c r="V62" s="184"/>
      <c r="W62" s="419"/>
      <c r="X62" s="419"/>
      <c r="Y62" s="419"/>
      <c r="Z62" s="419"/>
      <c r="AA62" s="92"/>
      <c r="AB62" s="92"/>
      <c r="AC62" s="155"/>
      <c r="AE62" s="170"/>
      <c r="AG62" s="158"/>
    </row>
    <row r="63" spans="2:36" ht="135.94999999999999" hidden="1" customHeight="1">
      <c r="B63" s="1265"/>
      <c r="C63" s="185"/>
      <c r="D63" s="284"/>
      <c r="E63" s="283"/>
      <c r="F63" s="256"/>
      <c r="G63" s="256"/>
      <c r="H63" s="256"/>
      <c r="I63" s="256"/>
      <c r="J63" s="256"/>
      <c r="K63" s="256"/>
      <c r="L63" s="285"/>
      <c r="M63" s="285"/>
      <c r="N63" s="285"/>
      <c r="O63" s="772"/>
      <c r="P63" s="177"/>
      <c r="Q63" s="177"/>
      <c r="R63" s="177"/>
      <c r="S63" s="177"/>
      <c r="T63" s="177"/>
      <c r="U63" s="177"/>
      <c r="V63" s="178"/>
      <c r="W63" s="227" t="s">
        <v>297</v>
      </c>
      <c r="X63" s="420"/>
      <c r="Y63" s="420"/>
      <c r="Z63" s="420"/>
      <c r="AA63" s="97"/>
      <c r="AB63" s="97"/>
      <c r="AC63" s="155"/>
      <c r="AE63" s="153"/>
      <c r="AF63" s="153"/>
      <c r="AG63" s="158"/>
    </row>
    <row r="64" spans="2:36" ht="29.1" hidden="1" customHeight="1">
      <c r="B64" s="1265"/>
      <c r="C64" s="185"/>
      <c r="D64" s="284"/>
      <c r="E64" s="283"/>
      <c r="F64" s="256"/>
      <c r="G64" s="256"/>
      <c r="H64" s="256"/>
      <c r="I64" s="256"/>
      <c r="J64" s="256"/>
      <c r="K64" s="256"/>
      <c r="L64" s="285"/>
      <c r="M64" s="285"/>
      <c r="N64" s="285"/>
      <c r="O64" s="772"/>
      <c r="P64" s="177"/>
      <c r="Q64" s="177"/>
      <c r="R64" s="177"/>
      <c r="S64" s="177"/>
      <c r="T64" s="177"/>
      <c r="U64" s="177"/>
      <c r="V64" s="178"/>
      <c r="W64" s="420"/>
      <c r="X64" s="420"/>
      <c r="Y64" s="420"/>
      <c r="Z64" s="420"/>
      <c r="AA64" s="97"/>
      <c r="AB64" s="97"/>
      <c r="AC64" s="155" t="s">
        <v>124</v>
      </c>
      <c r="AE64" s="170"/>
      <c r="AG64" s="158"/>
    </row>
    <row r="65" spans="2:33" ht="29.1" hidden="1" customHeight="1">
      <c r="B65" s="1265"/>
      <c r="C65" s="185"/>
      <c r="D65" s="284"/>
      <c r="E65" s="283"/>
      <c r="F65" s="256"/>
      <c r="G65" s="256"/>
      <c r="H65" s="256"/>
      <c r="I65" s="256"/>
      <c r="J65" s="256"/>
      <c r="K65" s="256"/>
      <c r="L65" s="285"/>
      <c r="M65" s="285"/>
      <c r="N65" s="285"/>
      <c r="O65" s="772"/>
      <c r="P65" s="177"/>
      <c r="Q65" s="177"/>
      <c r="R65" s="177"/>
      <c r="S65" s="177"/>
      <c r="T65" s="177"/>
      <c r="U65" s="177"/>
      <c r="V65" s="178"/>
      <c r="W65" s="420"/>
      <c r="X65" s="420"/>
      <c r="Y65" s="420"/>
      <c r="Z65" s="420"/>
      <c r="AA65" s="97"/>
      <c r="AB65" s="97"/>
      <c r="AC65" s="155"/>
      <c r="AE65" s="170"/>
      <c r="AG65" s="158"/>
    </row>
    <row r="66" spans="2:33" ht="29.1" hidden="1" customHeight="1" thickBot="1">
      <c r="B66" s="1265"/>
      <c r="C66" s="185"/>
      <c r="D66" s="817"/>
      <c r="E66" s="818"/>
      <c r="F66" s="819"/>
      <c r="G66" s="819"/>
      <c r="H66" s="819"/>
      <c r="I66" s="819"/>
      <c r="J66" s="819"/>
      <c r="K66" s="819"/>
      <c r="L66" s="820"/>
      <c r="M66" s="820"/>
      <c r="N66" s="820"/>
      <c r="O66" s="776"/>
      <c r="P66" s="186"/>
      <c r="Q66" s="186"/>
      <c r="R66" s="186"/>
      <c r="S66" s="186"/>
      <c r="T66" s="186"/>
      <c r="U66" s="186"/>
      <c r="V66" s="187"/>
      <c r="W66" s="420"/>
      <c r="X66" s="420"/>
      <c r="Y66" s="420"/>
      <c r="Z66" s="420"/>
      <c r="AA66" s="590"/>
      <c r="AB66" s="590"/>
      <c r="AC66" s="155"/>
      <c r="AE66" s="170"/>
      <c r="AG66" s="158"/>
    </row>
    <row r="67" spans="2:33" ht="34.5" customHeight="1">
      <c r="B67" s="1261" t="s">
        <v>155</v>
      </c>
      <c r="C67" s="421" t="s">
        <v>155</v>
      </c>
      <c r="D67" s="293" t="s">
        <v>47</v>
      </c>
      <c r="E67" s="274">
        <f>NETWORKDAYS.INTL(F67,G67,"0000110",$AI$5:$AI$11)</f>
        <v>30</v>
      </c>
      <c r="F67" s="198">
        <v>46249</v>
      </c>
      <c r="G67" s="198">
        <f>WORKDAY.INTL(F67,31,"0000110",$AK$5:$AK$10)</f>
        <v>46292</v>
      </c>
      <c r="H67" s="198">
        <v>46249</v>
      </c>
      <c r="I67" s="198">
        <f>WORKDAY.INTL(H67,31,"0000110",$AK$5:$AK$10)</f>
        <v>46292</v>
      </c>
      <c r="J67" s="198"/>
      <c r="K67" s="198"/>
      <c r="L67" s="275"/>
      <c r="M67" s="275" t="str">
        <f ca="1">IF(L67=100%,"Completed",
IF(AND(L67&lt;100%,G67&lt;TODAY()),"Delayed",
IF(AND(OR(L67="",L67=0),F67&gt;TODAY()),"Not Started",
IF(AND(OR(L67="",L67=0),F67&lt;=TODAY()),"Delayed",
IF(AND(L67&gt;0,L67&lt;100%),"In Progress","")))))</f>
        <v>Not Started</v>
      </c>
      <c r="N67" s="782"/>
      <c r="O67" s="815"/>
      <c r="P67" s="188"/>
      <c r="Q67" s="188"/>
      <c r="R67" s="188"/>
      <c r="S67" s="188"/>
      <c r="T67" s="188"/>
      <c r="U67" s="188"/>
      <c r="V67" s="821"/>
      <c r="W67" s="663"/>
      <c r="X67" s="1185">
        <v>1</v>
      </c>
      <c r="Y67" s="1185"/>
      <c r="Z67" s="1185"/>
      <c r="AA67" s="169" t="s">
        <v>293</v>
      </c>
      <c r="AB67" s="468"/>
      <c r="AC67" s="155"/>
      <c r="AE67" s="154"/>
      <c r="AG67" s="158"/>
    </row>
    <row r="68" spans="2:33" ht="45.75" customHeight="1" thickBot="1">
      <c r="B68" s="1263"/>
      <c r="C68" s="423" t="s">
        <v>155</v>
      </c>
      <c r="D68" s="280" t="s">
        <v>158</v>
      </c>
      <c r="E68" s="281">
        <f>NETWORKDAYS.INTL(F68,G68,"0000110",$AI$5:$AI$11)</f>
        <v>30</v>
      </c>
      <c r="F68" s="255">
        <f>G106+32</f>
        <v>46327</v>
      </c>
      <c r="G68" s="255">
        <f>WORKDAY.INTL(F68,29,"0000110",$AK$5:$AK$10)</f>
        <v>46366</v>
      </c>
      <c r="H68" s="255">
        <f>I106+32</f>
        <v>46331</v>
      </c>
      <c r="I68" s="255">
        <f>WORKDAY.INTL(H68,29,"0000110",$AK$5:$AK$10)</f>
        <v>46372</v>
      </c>
      <c r="J68" s="255"/>
      <c r="K68" s="255"/>
      <c r="L68" s="282"/>
      <c r="M68" s="282" t="str">
        <f ca="1">IF(L68=100%,"Completed",
IF(AND(L68&lt;100%,G68&lt;TODAY()),"Delayed",
IF(AND(OR(L68="",L68=0),F68&gt;TODAY()),"Not Started",
IF(AND(OR(L68="",L68=0),F68&lt;=TODAY()),"Delayed",
IF(AND(L68&gt;0,L68&lt;100%),"In Progress","")))))</f>
        <v>Not Started</v>
      </c>
      <c r="N68" s="784"/>
      <c r="O68" s="816"/>
      <c r="P68" s="190"/>
      <c r="Q68" s="190"/>
      <c r="R68" s="190"/>
      <c r="S68" s="190"/>
      <c r="T68" s="190"/>
      <c r="U68" s="190"/>
      <c r="V68" s="822"/>
      <c r="W68" s="785" t="s">
        <v>159</v>
      </c>
      <c r="X68" s="1189">
        <v>1</v>
      </c>
      <c r="Y68" s="1189"/>
      <c r="Z68" s="1189"/>
      <c r="AA68" s="189"/>
      <c r="AB68" s="470"/>
      <c r="AC68" s="155"/>
      <c r="AE68" s="154"/>
      <c r="AG68" s="158"/>
    </row>
    <row r="69" spans="2:33" s="153" customFormat="1" ht="4.5" customHeight="1" thickBot="1">
      <c r="B69" s="205"/>
      <c r="C69" s="205"/>
      <c r="D69" s="313"/>
      <c r="E69" s="314"/>
      <c r="F69" s="313"/>
      <c r="G69" s="313"/>
      <c r="H69" s="313"/>
      <c r="I69" s="313"/>
      <c r="J69" s="313"/>
      <c r="K69" s="313"/>
      <c r="L69" s="315"/>
      <c r="M69" s="315"/>
      <c r="N69" s="315"/>
      <c r="O69" s="773"/>
      <c r="P69" s="167"/>
      <c r="Q69" s="167"/>
      <c r="R69" s="167"/>
      <c r="S69" s="167"/>
      <c r="T69" s="167"/>
      <c r="U69" s="167"/>
      <c r="V69" s="167"/>
      <c r="W69" s="204"/>
      <c r="X69" s="1222"/>
      <c r="Y69" s="1222"/>
      <c r="Z69" s="1222"/>
      <c r="AA69" s="204"/>
      <c r="AB69" s="204"/>
      <c r="AF69" s="158"/>
      <c r="AG69" s="158"/>
    </row>
    <row r="70" spans="2:33" ht="143.1" customHeight="1">
      <c r="B70" s="1270" t="s">
        <v>298</v>
      </c>
      <c r="C70" s="212" t="s">
        <v>160</v>
      </c>
      <c r="D70" s="306" t="s">
        <v>161</v>
      </c>
      <c r="E70" s="296">
        <f>NETWORKDAYS.INTL(F70,G70,"0000100",$AI$5:$AI$11)</f>
        <v>30</v>
      </c>
      <c r="F70" s="417">
        <v>46232</v>
      </c>
      <c r="G70" s="417">
        <f>WORKDAY.INTL(F70,24,"0000110",$AI$5:$AI$10)</f>
        <v>46266</v>
      </c>
      <c r="H70" s="297">
        <v>46232</v>
      </c>
      <c r="I70" s="297">
        <f>WORKDAY.INTL(H70,24,"0000110",$AI$5:$AI$10)</f>
        <v>46266</v>
      </c>
      <c r="J70" s="297"/>
      <c r="K70" s="297"/>
      <c r="L70" s="298"/>
      <c r="M70" s="298" t="str">
        <f ca="1">IF(L70=100%,"Completed",
IF(AND(L70&lt;100%,G70&lt;TODAY()),"Delayed",
IF(AND(OR(L70="",L70=0),F70&gt;TODAY()),"Not Started",
IF(AND(OR(L70="",L70=0),F70&lt;=TODAY()),"Delayed",
IF(AND(L70&gt;0,L70&lt;100%),"In Progress","")))))</f>
        <v>Not Started</v>
      </c>
      <c r="N70" s="823"/>
      <c r="O70" s="815"/>
      <c r="P70" s="191"/>
      <c r="Q70" s="191"/>
      <c r="R70" s="191"/>
      <c r="S70" s="191"/>
      <c r="T70" s="191"/>
      <c r="U70" s="191"/>
      <c r="V70" s="191"/>
      <c r="W70" s="435" t="s">
        <v>162</v>
      </c>
      <c r="X70" s="1223"/>
      <c r="Y70" s="1223"/>
      <c r="Z70" s="1223"/>
      <c r="AA70" s="192"/>
      <c r="AB70" s="192"/>
      <c r="AC70" s="155"/>
      <c r="AE70" s="154"/>
      <c r="AF70" s="168"/>
      <c r="AG70" s="168"/>
    </row>
    <row r="71" spans="2:33" ht="51" customHeight="1" thickBot="1">
      <c r="B71" s="1271"/>
      <c r="C71" s="215" t="s">
        <v>160</v>
      </c>
      <c r="D71" s="307" t="s">
        <v>51</v>
      </c>
      <c r="E71" s="308">
        <f>NETWORKDAYS.INTL(F71,G71,"0000110",$AI$5:$AI$11)</f>
        <v>16</v>
      </c>
      <c r="F71" s="418">
        <f>WORKDAY.INTL(G70,1,"0000110",$AI$5:$AI$10)</f>
        <v>46267</v>
      </c>
      <c r="G71" s="418">
        <f>WORKDAY.INTL(F71,15,"0000110",$AI$5:$AI$10)</f>
        <v>46289</v>
      </c>
      <c r="H71" s="301">
        <f>WORKDAY.INTL(I70,1,"0000110",$AI$5:$AI$10)</f>
        <v>46267</v>
      </c>
      <c r="I71" s="301">
        <f>WORKDAY.INTL(H71,15,"0000110",$AI$5:$AI$10)</f>
        <v>46289</v>
      </c>
      <c r="J71" s="301"/>
      <c r="K71" s="301"/>
      <c r="L71" s="302"/>
      <c r="M71" s="302" t="str">
        <f ca="1">IF(L71=100%,"Completed",
IF(AND(L71&lt;100%,G71&lt;TODAY()),"Delayed",
IF(AND(OR(L71="",L71=0),F71&gt;TODAY()),"Not Started",
IF(AND(OR(L71="",L71=0),F71&lt;=TODAY()),"Delayed",
IF(AND(L71&gt;0,L71&lt;100%),"In Progress","")))))</f>
        <v>Not Started</v>
      </c>
      <c r="N71" s="824"/>
      <c r="O71" s="816"/>
      <c r="P71" s="193"/>
      <c r="Q71" s="193"/>
      <c r="R71" s="193"/>
      <c r="S71" s="193"/>
      <c r="T71" s="193"/>
      <c r="U71" s="193"/>
      <c r="V71" s="193"/>
      <c r="W71" s="436" t="s">
        <v>163</v>
      </c>
      <c r="X71" s="1224"/>
      <c r="Y71" s="1224"/>
      <c r="Z71" s="1224"/>
      <c r="AA71" s="194"/>
      <c r="AB71" s="194"/>
      <c r="AC71" s="155"/>
      <c r="AE71" s="154"/>
      <c r="AG71" s="158"/>
    </row>
    <row r="72" spans="2:33" ht="3.75" customHeight="1" thickBot="1">
      <c r="B72" s="195"/>
      <c r="C72" s="195"/>
      <c r="D72" s="309"/>
      <c r="E72" s="310"/>
      <c r="F72" s="311"/>
      <c r="G72" s="311"/>
      <c r="H72" s="311"/>
      <c r="I72" s="311"/>
      <c r="J72" s="311"/>
      <c r="K72" s="311"/>
      <c r="L72" s="312"/>
      <c r="M72" s="312"/>
      <c r="N72" s="769"/>
      <c r="P72" s="196"/>
      <c r="Q72" s="196"/>
      <c r="R72" s="196"/>
      <c r="S72" s="196"/>
      <c r="T72" s="196"/>
      <c r="U72" s="196"/>
      <c r="V72" s="196"/>
      <c r="W72" s="228"/>
      <c r="X72" s="1213"/>
      <c r="Y72" s="1213"/>
      <c r="Z72" s="1213"/>
      <c r="AA72" s="197"/>
      <c r="AB72" s="197"/>
      <c r="AC72" s="155"/>
      <c r="AE72" s="154"/>
      <c r="AG72" s="158"/>
    </row>
    <row r="73" spans="2:33" ht="51" customHeight="1">
      <c r="B73" s="1272" t="s">
        <v>164</v>
      </c>
      <c r="C73" s="778" t="s">
        <v>91</v>
      </c>
      <c r="D73" s="293" t="s">
        <v>165</v>
      </c>
      <c r="E73" s="274">
        <f>NETWORKDAYS.INTL(F73,G73,"0000100",$AI$5:$AI$11)</f>
        <v>1</v>
      </c>
      <c r="F73" s="198">
        <f>G73</f>
        <v>46215</v>
      </c>
      <c r="G73" s="198">
        <v>46215</v>
      </c>
      <c r="H73" s="198">
        <f>I73</f>
        <v>46215</v>
      </c>
      <c r="I73" s="198">
        <v>46215</v>
      </c>
      <c r="J73" s="198"/>
      <c r="K73" s="198"/>
      <c r="L73" s="275">
        <v>1</v>
      </c>
      <c r="M73" s="275" t="str">
        <f ca="1">IF(L73=100%,"Completed",
IF(AND(L73&lt;100%,G73&lt;TODAY()),"Delayed",
IF(AND(OR(L73="",L73=0),F73&gt;TODAY()),"Not Started",
IF(AND(OR(L73="",L73=0),F73&lt;=TODAY()),"Delayed",
IF(AND(L73&gt;0,L73&lt;100%),"In Progress","")))))</f>
        <v>Completed</v>
      </c>
      <c r="N73" s="782"/>
      <c r="O73" s="815"/>
      <c r="P73" s="188"/>
      <c r="Q73" s="188"/>
      <c r="R73" s="188"/>
      <c r="S73" s="188"/>
      <c r="T73" s="188"/>
      <c r="U73" s="188"/>
      <c r="V73" s="821"/>
      <c r="W73" s="663"/>
      <c r="X73" s="1185">
        <v>1</v>
      </c>
      <c r="Y73" s="1185"/>
      <c r="Z73" s="1185"/>
      <c r="AA73" s="198"/>
      <c r="AB73" s="826"/>
      <c r="AC73" s="155"/>
      <c r="AE73" s="154"/>
      <c r="AG73" s="158"/>
    </row>
    <row r="74" spans="2:33" ht="68.25">
      <c r="B74" s="1262"/>
      <c r="C74" s="779" t="s">
        <v>91</v>
      </c>
      <c r="D74" s="279" t="s">
        <v>299</v>
      </c>
      <c r="E74" s="277">
        <f t="shared" ref="E74:E102" si="10">NETWORKDAYS.INTL(F74,G74,"0000100",$AI$5:$AI$12)</f>
        <v>6</v>
      </c>
      <c r="F74" s="200">
        <f>WORKDAY.INTL(G73,8,"0000100",$AI$5:$AI$11)</f>
        <v>46224</v>
      </c>
      <c r="G74" s="200">
        <f>WORKDAY.INTL(F74,5,"0000100",$AI$5:$AI$11)</f>
        <v>46230</v>
      </c>
      <c r="H74" s="200">
        <f>WORKDAY.INTL(I73,8,"0000100",$AI$5:$AI$11)</f>
        <v>46224</v>
      </c>
      <c r="I74" s="200">
        <f>WORKDAY.INTL(H74,5,"0000100",$AI$5:$AI$11)</f>
        <v>46230</v>
      </c>
      <c r="J74" s="200">
        <v>46224</v>
      </c>
      <c r="K74" s="200"/>
      <c r="L74" s="278">
        <v>0.6</v>
      </c>
      <c r="M74" s="278" t="str">
        <f ca="1">IF(L74=100%,"Completed",
IF(AND(L74&lt;100%,G74&lt;TODAY()),"Delayed",
IF(AND(OR(L74="",L74=0),F74&gt;TODAY()),"Not Started",
IF(AND(OR(L74="",L74=0),F74&lt;=TODAY()),"Delayed",
IF(AND(L74&gt;0,L74&lt;100%),"In Progress","")))))</f>
        <v>In Progress</v>
      </c>
      <c r="N74" s="1259" t="s">
        <v>300</v>
      </c>
      <c r="O74" s="825"/>
      <c r="P74" s="199"/>
      <c r="Q74" s="199"/>
      <c r="R74" s="199"/>
      <c r="S74" s="199"/>
      <c r="T74" s="199"/>
      <c r="U74" s="199"/>
      <c r="V74" s="830"/>
      <c r="W74" s="827" t="s">
        <v>168</v>
      </c>
      <c r="X74" s="1186">
        <v>1</v>
      </c>
      <c r="Y74" s="1186"/>
      <c r="Z74" s="1186"/>
      <c r="AA74" s="200" t="s">
        <v>301</v>
      </c>
      <c r="AB74" s="828" t="s">
        <v>302</v>
      </c>
      <c r="AC74" s="155"/>
      <c r="AE74" s="154"/>
      <c r="AG74" s="158"/>
    </row>
    <row r="75" spans="2:33" ht="51" customHeight="1" thickBot="1">
      <c r="B75" s="1263"/>
      <c r="C75" s="203" t="s">
        <v>91</v>
      </c>
      <c r="D75" s="280" t="s">
        <v>172</v>
      </c>
      <c r="E75" s="281">
        <f t="shared" si="10"/>
        <v>5</v>
      </c>
      <c r="F75" s="255">
        <f t="shared" ref="F75:F81" si="11">WORKDAY.INTL(G74,1,"0000100",$AI$5:$AI$11)</f>
        <v>46231</v>
      </c>
      <c r="G75" s="255">
        <f>WORKDAY.INTL(F75,4,"0000100",$AI$5:$AI$11)</f>
        <v>46236</v>
      </c>
      <c r="H75" s="255">
        <f>WORKDAY.INTL(I74,1,"0000100",$AI$5:$AI$11)</f>
        <v>46231</v>
      </c>
      <c r="I75" s="255">
        <f>WORKDAY.INTL(H75,4,"0000100",$AI$5:$AI$11)</f>
        <v>46236</v>
      </c>
      <c r="J75" s="255"/>
      <c r="K75" s="255"/>
      <c r="L75" s="282"/>
      <c r="M75" s="282" t="str">
        <f ca="1">IF(L75=100%,"Completed",
IF(AND(L75&lt;100%,G75&lt;TODAY()),"Delayed",
IF(AND(OR(L75="",L75=0),F75&gt;TODAY()),"Not Started",
IF(AND(OR(L75="",L75=0),F75&lt;=TODAY()),"Delayed",
IF(AND(L75&gt;0,L75&lt;100%),"In Progress","")))))</f>
        <v>Not Started</v>
      </c>
      <c r="N75" s="784"/>
      <c r="O75" s="825"/>
      <c r="P75" s="199"/>
      <c r="Q75" s="199"/>
      <c r="R75" s="199"/>
      <c r="S75" s="199"/>
      <c r="T75" s="199"/>
      <c r="U75" s="199"/>
      <c r="V75" s="830"/>
      <c r="W75" s="785"/>
      <c r="X75" s="1189">
        <v>1</v>
      </c>
      <c r="Y75" s="1189"/>
      <c r="Z75" s="1189"/>
      <c r="AA75" s="255"/>
      <c r="AB75" s="829"/>
      <c r="AC75" s="155"/>
      <c r="AE75" s="154"/>
      <c r="AG75" s="158"/>
    </row>
    <row r="76" spans="2:33" ht="51" customHeight="1" thickBot="1">
      <c r="B76" s="831"/>
      <c r="C76" s="831"/>
      <c r="D76" s="832"/>
      <c r="E76" s="833"/>
      <c r="F76" s="834"/>
      <c r="G76" s="834"/>
      <c r="H76" s="834"/>
      <c r="I76" s="834"/>
      <c r="J76" s="834"/>
      <c r="K76" s="834"/>
      <c r="L76" s="835"/>
      <c r="M76" s="835"/>
      <c r="N76" s="835"/>
      <c r="P76" s="836"/>
      <c r="Q76" s="836"/>
      <c r="R76" s="836"/>
      <c r="S76" s="836"/>
      <c r="T76" s="836"/>
      <c r="U76" s="836"/>
      <c r="V76" s="836"/>
      <c r="W76" s="837"/>
      <c r="X76" s="837">
        <v>1</v>
      </c>
      <c r="AA76" s="838"/>
      <c r="AB76" s="838"/>
      <c r="AC76" s="155"/>
      <c r="AE76" s="154"/>
      <c r="AG76" s="158"/>
    </row>
    <row r="77" spans="2:33" ht="51" customHeight="1">
      <c r="B77" s="1273" t="s">
        <v>303</v>
      </c>
      <c r="C77" s="878" t="s">
        <v>91</v>
      </c>
      <c r="D77" s="879" t="s">
        <v>304</v>
      </c>
      <c r="E77" s="880">
        <f t="shared" si="10"/>
        <v>5</v>
      </c>
      <c r="F77" s="417">
        <f>WORKDAY.INTL(G74,1,"0000100",$AI$5:$AI$11)</f>
        <v>46231</v>
      </c>
      <c r="G77" s="417">
        <f t="shared" ref="G77:G80" si="12">WORKDAY.INTL(F77,4,"0000100",$AI$5:$AI$11)</f>
        <v>46236</v>
      </c>
      <c r="H77" s="417">
        <f>WORKDAY.INTL(I74,1,"0000100",$AI$5:$AI$11)</f>
        <v>46231</v>
      </c>
      <c r="I77" s="417">
        <f>WORKDAY.INTL(H77,4,"0000100",$AI$5:$AI$11)</f>
        <v>46236</v>
      </c>
      <c r="J77" s="417"/>
      <c r="K77" s="417"/>
      <c r="L77" s="881"/>
      <c r="M77" s="881" t="str">
        <f ca="1">IF(L77=100%,"Completed",
IF(AND(L77&lt;100%,G77&lt;TODAY()),"Delayed",
IF(AND(OR(L77="",L77=0),F77&gt;TODAY()),"Not Started",
IF(AND(OR(L77="",L77=0),F77&lt;=TODAY()),"Delayed",
IF(AND(L77&gt;0,L77&lt;100%),"In Progress","")))))</f>
        <v>Not Started</v>
      </c>
      <c r="N77" s="882"/>
      <c r="O77" s="825"/>
      <c r="P77" s="201"/>
      <c r="Q77" s="201"/>
      <c r="R77" s="201"/>
      <c r="S77" s="201"/>
      <c r="T77" s="201"/>
      <c r="U77" s="201"/>
      <c r="V77" s="853"/>
      <c r="W77" s="888" t="s">
        <v>168</v>
      </c>
      <c r="X77" s="1214" t="s">
        <v>169</v>
      </c>
      <c r="Y77" s="1214"/>
      <c r="Z77" s="1214"/>
      <c r="AA77" s="417" t="s">
        <v>305</v>
      </c>
      <c r="AB77" s="889" t="s">
        <v>306</v>
      </c>
      <c r="AC77" s="155"/>
      <c r="AE77" s="154"/>
      <c r="AG77" s="158"/>
    </row>
    <row r="78" spans="2:33" ht="51" customHeight="1" thickBot="1">
      <c r="B78" s="1274"/>
      <c r="C78" s="883" t="s">
        <v>91</v>
      </c>
      <c r="D78" s="884" t="s">
        <v>172</v>
      </c>
      <c r="E78" s="885">
        <f t="shared" si="10"/>
        <v>5</v>
      </c>
      <c r="F78" s="418">
        <f t="shared" si="11"/>
        <v>46237</v>
      </c>
      <c r="G78" s="418">
        <f t="shared" ref="G78" si="13">WORKDAY.INTL(G77,5,"0000100",$AI$5:$AI$11)</f>
        <v>46242</v>
      </c>
      <c r="H78" s="418">
        <f>WORKDAY.INTL(I77,1,"0000100",$AI$5:$AI$11)</f>
        <v>46237</v>
      </c>
      <c r="I78" s="418">
        <f>WORKDAY.INTL(I77,5,"0000100",$AI$5:$AI$11)</f>
        <v>46242</v>
      </c>
      <c r="J78" s="418"/>
      <c r="K78" s="418"/>
      <c r="L78" s="886"/>
      <c r="M78" s="886" t="str">
        <f ca="1">IF(L78=100%,"Completed",
IF(AND(L78&lt;100%,G78&lt;TODAY()),"Delayed",
IF(AND(OR(L78="",L78=0),F78&gt;TODAY()),"Not Started",
IF(AND(OR(L78="",L78=0),F78&lt;=TODAY()),"Delayed",
IF(AND(L78&gt;0,L78&lt;100%),"In Progress","")))))</f>
        <v>Not Started</v>
      </c>
      <c r="N78" s="887"/>
      <c r="O78" s="825"/>
      <c r="P78" s="201"/>
      <c r="Q78" s="201"/>
      <c r="R78" s="201"/>
      <c r="S78" s="201"/>
      <c r="T78" s="201"/>
      <c r="U78" s="201"/>
      <c r="V78" s="853"/>
      <c r="W78" s="890"/>
      <c r="X78" s="1225">
        <v>1</v>
      </c>
      <c r="Y78" s="1225"/>
      <c r="Z78" s="1225"/>
      <c r="AA78" s="418"/>
      <c r="AB78" s="891"/>
      <c r="AC78" s="155"/>
      <c r="AE78" s="154"/>
      <c r="AG78" s="158"/>
    </row>
    <row r="79" spans="2:33" ht="51" customHeight="1" thickBot="1">
      <c r="B79" s="831"/>
      <c r="C79" s="831"/>
      <c r="D79" s="832"/>
      <c r="E79" s="833"/>
      <c r="F79" s="834"/>
      <c r="G79" s="834"/>
      <c r="H79" s="834"/>
      <c r="I79" s="834"/>
      <c r="J79" s="834"/>
      <c r="K79" s="834"/>
      <c r="L79" s="854"/>
      <c r="M79" s="854"/>
      <c r="N79" s="854"/>
      <c r="P79" s="836"/>
      <c r="Q79" s="836"/>
      <c r="R79" s="836"/>
      <c r="S79" s="836"/>
      <c r="T79" s="836"/>
      <c r="U79" s="836"/>
      <c r="V79" s="836"/>
      <c r="W79" s="837"/>
      <c r="AA79" s="838"/>
      <c r="AB79" s="838"/>
      <c r="AC79" s="155"/>
      <c r="AE79" s="154"/>
      <c r="AG79" s="158"/>
    </row>
    <row r="80" spans="2:33" ht="51" customHeight="1">
      <c r="B80" s="1272" t="s">
        <v>307</v>
      </c>
      <c r="C80" s="778" t="s">
        <v>91</v>
      </c>
      <c r="D80" s="293" t="s">
        <v>308</v>
      </c>
      <c r="E80" s="274">
        <f t="shared" si="10"/>
        <v>5</v>
      </c>
      <c r="F80" s="198">
        <f>WORKDAY.INTL(G77,1,"0000100",$AI$5:$AI$11)</f>
        <v>46237</v>
      </c>
      <c r="G80" s="198">
        <f t="shared" si="12"/>
        <v>46242</v>
      </c>
      <c r="H80" s="198">
        <f>WORKDAY.INTL(I77,1,"0000100",$AI$5:$AI$11)</f>
        <v>46237</v>
      </c>
      <c r="I80" s="198">
        <f>WORKDAY.INTL(H80,4,"0000100",$AI$5:$AI$11)</f>
        <v>46242</v>
      </c>
      <c r="J80" s="198"/>
      <c r="K80" s="198"/>
      <c r="L80" s="275"/>
      <c r="M80" s="275" t="str">
        <f ca="1">IF(L80=100%,"Completed",
IF(AND(L80&lt;100%,G80&lt;TODAY()),"Delayed",
IF(AND(OR(L80="",L80=0),F80&gt;TODAY()),"Not Started",
IF(AND(OR(L80="",L80=0),F80&lt;=TODAY()),"Delayed",
IF(AND(L80&gt;0,L80&lt;100%),"In Progress","")))))</f>
        <v>Not Started</v>
      </c>
      <c r="N80" s="782"/>
      <c r="O80" s="825"/>
      <c r="P80" s="199"/>
      <c r="Q80" s="199"/>
      <c r="R80" s="199"/>
      <c r="S80" s="199"/>
      <c r="T80" s="199"/>
      <c r="U80" s="199"/>
      <c r="V80" s="830"/>
      <c r="W80" s="663"/>
      <c r="X80" s="1185" t="s">
        <v>169</v>
      </c>
      <c r="Y80" s="1185"/>
      <c r="Z80" s="1185"/>
      <c r="AA80" s="198" t="s">
        <v>305</v>
      </c>
      <c r="AB80" s="826" t="s">
        <v>309</v>
      </c>
      <c r="AC80" s="155"/>
      <c r="AE80" s="154"/>
      <c r="AG80" s="158"/>
    </row>
    <row r="81" spans="2:33" ht="51" customHeight="1" thickBot="1">
      <c r="B81" s="1263"/>
      <c r="C81" s="203" t="s">
        <v>91</v>
      </c>
      <c r="D81" s="280" t="s">
        <v>172</v>
      </c>
      <c r="E81" s="281">
        <f t="shared" si="10"/>
        <v>3</v>
      </c>
      <c r="F81" s="255">
        <f t="shared" si="11"/>
        <v>46243</v>
      </c>
      <c r="G81" s="255">
        <f>WORKDAY.INTL(G80,3,"0000100",$AI$5:$AI$11)</f>
        <v>46245</v>
      </c>
      <c r="H81" s="255">
        <f>WORKDAY.INTL(I80,1,"0000100",$AI$5:$AI$11)</f>
        <v>46243</v>
      </c>
      <c r="I81" s="255">
        <f>WORKDAY.INTL(I80,3,"0000100",$AI$5:$AI$11)</f>
        <v>46245</v>
      </c>
      <c r="J81" s="255"/>
      <c r="K81" s="255"/>
      <c r="L81" s="282"/>
      <c r="M81" s="282" t="str">
        <f ca="1">IF(L81=100%,"Completed",
IF(AND(L81&lt;100%,G81&lt;TODAY()),"Delayed",
IF(AND(OR(L81="",L81=0),F81&gt;TODAY()),"Not Started",
IF(AND(OR(L81="",L81=0),F81&lt;=TODAY()),"Delayed",
IF(AND(L81&gt;0,L81&lt;100%),"In Progress","")))))</f>
        <v>Not Started</v>
      </c>
      <c r="N81" s="784"/>
      <c r="O81" s="825"/>
      <c r="P81" s="199"/>
      <c r="Q81" s="199"/>
      <c r="R81" s="199"/>
      <c r="S81" s="199"/>
      <c r="T81" s="199"/>
      <c r="U81" s="199"/>
      <c r="V81" s="830"/>
      <c r="W81" s="785"/>
      <c r="X81" s="1189">
        <v>1</v>
      </c>
      <c r="Y81" s="1189"/>
      <c r="Z81" s="1189"/>
      <c r="AA81" s="255"/>
      <c r="AB81" s="829"/>
      <c r="AC81" s="155"/>
      <c r="AE81" s="154"/>
      <c r="AG81" s="158"/>
    </row>
    <row r="82" spans="2:33" ht="51" customHeight="1" thickBot="1">
      <c r="B82" s="831"/>
      <c r="C82" s="831"/>
      <c r="D82" s="832"/>
      <c r="E82" s="833"/>
      <c r="F82" s="834"/>
      <c r="G82" s="834"/>
      <c r="H82" s="834"/>
      <c r="I82" s="834"/>
      <c r="J82" s="834"/>
      <c r="K82" s="834"/>
      <c r="L82" s="854"/>
      <c r="M82" s="854"/>
      <c r="N82" s="854"/>
      <c r="P82" s="836"/>
      <c r="Q82" s="836"/>
      <c r="R82" s="836"/>
      <c r="S82" s="836"/>
      <c r="T82" s="836"/>
      <c r="U82" s="836"/>
      <c r="V82" s="836"/>
      <c r="W82" s="837"/>
      <c r="AA82" s="838"/>
      <c r="AB82" s="838"/>
      <c r="AC82" s="155"/>
      <c r="AE82" s="154"/>
      <c r="AG82" s="158"/>
    </row>
    <row r="83" spans="2:33" ht="68.099999999999994" customHeight="1">
      <c r="B83" s="1273" t="s">
        <v>257</v>
      </c>
      <c r="C83" s="878" t="s">
        <v>91</v>
      </c>
      <c r="D83" s="879" t="s">
        <v>310</v>
      </c>
      <c r="E83" s="880">
        <f t="shared" si="10"/>
        <v>3</v>
      </c>
      <c r="F83" s="417">
        <f t="shared" ref="F83" si="14">WORKDAY.INTL(G80,1,"0000100",$AI$5:$AI$11)</f>
        <v>46243</v>
      </c>
      <c r="G83" s="417">
        <f>WORKDAY.INTL(F83,2,"0000100",$AI$5:$AI$11)</f>
        <v>46245</v>
      </c>
      <c r="H83" s="417">
        <f>WORKDAY.INTL(I80,1,"0000100",$AI$5:$AI$11)</f>
        <v>46243</v>
      </c>
      <c r="I83" s="417">
        <f>WORKDAY.INTL(H83,2,"0000100",$AI$5:$AI$11)</f>
        <v>46245</v>
      </c>
      <c r="J83" s="417"/>
      <c r="K83" s="417"/>
      <c r="L83" s="881"/>
      <c r="M83" s="881" t="str">
        <f ca="1">IF(L83=100%,"Completed",
IF(AND(L83&lt;100%,G83&lt;TODAY()),"Delayed",
IF(AND(OR(L83="",L83=0),F83&gt;TODAY()),"Not Started",
IF(AND(OR(L83="",L83=0),F83&lt;=TODAY()),"Delayed",
IF(AND(L83&gt;0,L83&lt;100%),"In Progress","")))))</f>
        <v>Not Started</v>
      </c>
      <c r="N83" s="882"/>
      <c r="O83" s="825"/>
      <c r="P83" s="201"/>
      <c r="Q83" s="201"/>
      <c r="R83" s="201"/>
      <c r="S83" s="201"/>
      <c r="T83" s="201"/>
      <c r="U83" s="201"/>
      <c r="V83" s="853"/>
      <c r="W83" s="892"/>
      <c r="X83" s="1214" t="s">
        <v>133</v>
      </c>
      <c r="Y83" s="1214"/>
      <c r="Z83" s="1214"/>
      <c r="AA83" s="417" t="s">
        <v>311</v>
      </c>
      <c r="AB83" s="889" t="s">
        <v>312</v>
      </c>
      <c r="AC83" s="155"/>
      <c r="AE83" s="154"/>
      <c r="AG83" s="158"/>
    </row>
    <row r="84" spans="2:33" ht="51" customHeight="1" thickBot="1">
      <c r="B84" s="1274"/>
      <c r="C84" s="883" t="s">
        <v>91</v>
      </c>
      <c r="D84" s="884" t="s">
        <v>172</v>
      </c>
      <c r="E84" s="885">
        <f t="shared" si="10"/>
        <v>3</v>
      </c>
      <c r="F84" s="418">
        <f t="shared" ref="F84:F90" si="15">WORKDAY.INTL(G83,1,"0000100",$AI$5:$AI$11)</f>
        <v>46246</v>
      </c>
      <c r="G84" s="418">
        <f>WORKDAY.INTL(G83,3,"0000100",$AI$5:$AI$11)</f>
        <v>46249</v>
      </c>
      <c r="H84" s="418">
        <f>WORKDAY.INTL(I83,1,"0000100",$AI$5:$AI$11)</f>
        <v>46246</v>
      </c>
      <c r="I84" s="418">
        <f>WORKDAY.INTL(I83,3,"0000100",$AI$5:$AI$11)</f>
        <v>46249</v>
      </c>
      <c r="J84" s="418"/>
      <c r="K84" s="418"/>
      <c r="L84" s="886"/>
      <c r="M84" s="886" t="str">
        <f ca="1">IF(L84=100%,"Completed",
IF(AND(L84&lt;100%,G84&lt;TODAY()),"Delayed",
IF(AND(OR(L84="",L84=0),F84&gt;TODAY()),"Not Started",
IF(AND(OR(L84="",L84=0),F84&lt;=TODAY()),"Delayed",
IF(AND(L84&gt;0,L84&lt;100%),"In Progress","")))))</f>
        <v>Not Started</v>
      </c>
      <c r="N84" s="887"/>
      <c r="O84" s="825"/>
      <c r="P84" s="201"/>
      <c r="Q84" s="201"/>
      <c r="R84" s="201"/>
      <c r="S84" s="201"/>
      <c r="T84" s="201"/>
      <c r="U84" s="201"/>
      <c r="V84" s="853"/>
      <c r="W84" s="890"/>
      <c r="X84" s="1225">
        <v>1</v>
      </c>
      <c r="Y84" s="1225"/>
      <c r="Z84" s="1225"/>
      <c r="AA84" s="418"/>
      <c r="AB84" s="891"/>
      <c r="AC84" s="155"/>
      <c r="AE84" s="154"/>
      <c r="AG84" s="158"/>
    </row>
    <row r="85" spans="2:33" ht="51" customHeight="1" thickBot="1">
      <c r="B85" s="831"/>
      <c r="C85" s="831"/>
      <c r="D85" s="832"/>
      <c r="E85" s="833"/>
      <c r="F85" s="834"/>
      <c r="G85" s="834"/>
      <c r="H85" s="834"/>
      <c r="I85" s="834"/>
      <c r="J85" s="834"/>
      <c r="K85" s="834"/>
      <c r="L85" s="854"/>
      <c r="M85" s="854"/>
      <c r="N85" s="854"/>
      <c r="P85" s="836"/>
      <c r="Q85" s="836"/>
      <c r="R85" s="836"/>
      <c r="S85" s="836"/>
      <c r="T85" s="836"/>
      <c r="U85" s="836"/>
      <c r="V85" s="836"/>
      <c r="W85" s="837"/>
      <c r="AA85" s="838"/>
      <c r="AB85" s="838"/>
      <c r="AC85" s="155"/>
      <c r="AE85" s="154"/>
      <c r="AG85" s="158"/>
    </row>
    <row r="86" spans="2:33" ht="78.95" customHeight="1">
      <c r="B86" s="1272" t="s">
        <v>313</v>
      </c>
      <c r="C86" s="778" t="s">
        <v>91</v>
      </c>
      <c r="D86" s="293" t="s">
        <v>314</v>
      </c>
      <c r="E86" s="274">
        <f t="shared" si="10"/>
        <v>3</v>
      </c>
      <c r="F86" s="198">
        <f>WORKDAY.INTL(G83,1,"0000100",$AI$5:$AI$11)</f>
        <v>46246</v>
      </c>
      <c r="G86" s="198">
        <f t="shared" ref="G86:G92" si="16">WORKDAY.INTL(F86,2,"0000100",$AI$5:$AI$11)</f>
        <v>46249</v>
      </c>
      <c r="H86" s="198">
        <f>WORKDAY.INTL(I83,1,"0000100",$AI$5:$AI$11)</f>
        <v>46246</v>
      </c>
      <c r="I86" s="198">
        <f>WORKDAY.INTL(H86,2,"0000100",$AI$5:$AI$11)</f>
        <v>46249</v>
      </c>
      <c r="J86" s="198"/>
      <c r="K86" s="198"/>
      <c r="L86" s="275"/>
      <c r="M86" s="275" t="str">
        <f ca="1">IF(L86=100%,"Completed",
IF(AND(L86&lt;100%,G86&lt;TODAY()),"Delayed",
IF(AND(OR(L86="",L86=0),F86&gt;TODAY()),"Not Started",
IF(AND(OR(L86="",L86=0),F86&lt;=TODAY()),"Delayed",
IF(AND(L86&gt;0,L86&lt;100%),"In Progress","")))))</f>
        <v>Not Started</v>
      </c>
      <c r="N86" s="782"/>
      <c r="O86" s="825"/>
      <c r="P86" s="199"/>
      <c r="Q86" s="199"/>
      <c r="R86" s="199"/>
      <c r="S86" s="199"/>
      <c r="T86" s="199"/>
      <c r="U86" s="199"/>
      <c r="V86" s="830"/>
      <c r="W86" s="663"/>
      <c r="X86" s="1185" t="s">
        <v>133</v>
      </c>
      <c r="Y86" s="1185"/>
      <c r="Z86" s="1185"/>
      <c r="AA86" s="198" t="s">
        <v>311</v>
      </c>
      <c r="AB86" s="826" t="s">
        <v>315</v>
      </c>
      <c r="AC86" s="155"/>
      <c r="AE86" s="154"/>
      <c r="AG86" s="158"/>
    </row>
    <row r="87" spans="2:33" ht="51" customHeight="1" thickBot="1">
      <c r="B87" s="1263"/>
      <c r="C87" s="203" t="s">
        <v>91</v>
      </c>
      <c r="D87" s="280" t="s">
        <v>172</v>
      </c>
      <c r="E87" s="281">
        <f t="shared" si="10"/>
        <v>3</v>
      </c>
      <c r="F87" s="255">
        <f t="shared" si="15"/>
        <v>46250</v>
      </c>
      <c r="G87" s="255">
        <f t="shared" ref="G87:G93" si="17">WORKDAY.INTL(G86,3,"0000100",$AI$5:$AI$11)</f>
        <v>46252</v>
      </c>
      <c r="H87" s="255">
        <f>WORKDAY.INTL(I86,1,"0000100",$AI$5:$AI$11)</f>
        <v>46250</v>
      </c>
      <c r="I87" s="255">
        <f>WORKDAY.INTL(I86,3,"0000100",$AI$5:$AI$11)</f>
        <v>46252</v>
      </c>
      <c r="J87" s="255"/>
      <c r="K87" s="255"/>
      <c r="L87" s="282"/>
      <c r="M87" s="282" t="str">
        <f ca="1">IF(L87=100%,"Completed",
IF(AND(L87&lt;100%,G87&lt;TODAY()),"Delayed",
IF(AND(OR(L87="",L87=0),F87&gt;TODAY()),"Not Started",
IF(AND(OR(L87="",L87=0),F87&lt;=TODAY()),"Delayed",
IF(AND(L87&gt;0,L87&lt;100%),"In Progress","")))))</f>
        <v>Not Started</v>
      </c>
      <c r="N87" s="784"/>
      <c r="O87" s="825"/>
      <c r="P87" s="199"/>
      <c r="Q87" s="199"/>
      <c r="R87" s="199"/>
      <c r="S87" s="199"/>
      <c r="T87" s="199"/>
      <c r="U87" s="199"/>
      <c r="V87" s="830"/>
      <c r="W87" s="785"/>
      <c r="X87" s="1189">
        <v>1</v>
      </c>
      <c r="Y87" s="1189"/>
      <c r="Z87" s="1189"/>
      <c r="AA87" s="255"/>
      <c r="AB87" s="829"/>
      <c r="AC87" s="155"/>
      <c r="AE87" s="154"/>
      <c r="AG87" s="158"/>
    </row>
    <row r="88" spans="2:33" ht="51" customHeight="1" thickBot="1">
      <c r="B88" s="831"/>
      <c r="C88" s="831"/>
      <c r="D88" s="832"/>
      <c r="E88" s="833"/>
      <c r="F88" s="834"/>
      <c r="G88" s="834"/>
      <c r="H88" s="834"/>
      <c r="I88" s="834"/>
      <c r="J88" s="834"/>
      <c r="K88" s="834"/>
      <c r="L88" s="854"/>
      <c r="M88" s="854"/>
      <c r="N88" s="854"/>
      <c r="P88" s="836"/>
      <c r="Q88" s="836"/>
      <c r="R88" s="836"/>
      <c r="S88" s="836"/>
      <c r="T88" s="836"/>
      <c r="U88" s="836"/>
      <c r="V88" s="836"/>
      <c r="W88" s="837"/>
      <c r="AA88" s="838"/>
      <c r="AB88" s="838"/>
      <c r="AC88" s="155"/>
      <c r="AE88" s="154"/>
      <c r="AG88" s="158"/>
    </row>
    <row r="89" spans="2:33" ht="71.099999999999994" customHeight="1">
      <c r="B89" s="1273" t="s">
        <v>316</v>
      </c>
      <c r="C89" s="878" t="s">
        <v>91</v>
      </c>
      <c r="D89" s="879" t="s">
        <v>317</v>
      </c>
      <c r="E89" s="880">
        <f t="shared" si="10"/>
        <v>3</v>
      </c>
      <c r="F89" s="417">
        <f>WORKDAY.INTL(G86,1,"0000100",$AI$5:$AI$11)</f>
        <v>46250</v>
      </c>
      <c r="G89" s="417">
        <f t="shared" si="16"/>
        <v>46252</v>
      </c>
      <c r="H89" s="417">
        <f>WORKDAY.INTL(I86,1,"0000100",$AI$5:$AI$11)</f>
        <v>46250</v>
      </c>
      <c r="I89" s="417">
        <f>WORKDAY.INTL(H89,2,"0000100",$AI$5:$AI$11)</f>
        <v>46252</v>
      </c>
      <c r="J89" s="417"/>
      <c r="K89" s="417"/>
      <c r="L89" s="881"/>
      <c r="M89" s="881" t="str">
        <f ca="1">IF(L89=100%,"Completed",
IF(AND(L89&lt;100%,G89&lt;TODAY()),"Delayed",
IF(AND(OR(L89="",L89=0),F89&gt;TODAY()),"Not Started",
IF(AND(OR(L89="",L89=0),F89&lt;=TODAY()),"Delayed",
IF(AND(L89&gt;0,L89&lt;100%),"In Progress","")))))</f>
        <v>Not Started</v>
      </c>
      <c r="N89" s="882"/>
      <c r="O89" s="825"/>
      <c r="P89" s="201"/>
      <c r="Q89" s="201"/>
      <c r="R89" s="201"/>
      <c r="S89" s="201"/>
      <c r="T89" s="201"/>
      <c r="U89" s="201"/>
      <c r="V89" s="853"/>
      <c r="W89" s="892"/>
      <c r="X89" s="1214" t="s">
        <v>133</v>
      </c>
      <c r="Y89" s="1214"/>
      <c r="Z89" s="1214"/>
      <c r="AA89" s="417" t="s">
        <v>311</v>
      </c>
      <c r="AB89" s="889" t="s">
        <v>315</v>
      </c>
      <c r="AC89" s="155"/>
      <c r="AE89" s="154"/>
      <c r="AG89" s="158"/>
    </row>
    <row r="90" spans="2:33" ht="51" customHeight="1" thickBot="1">
      <c r="B90" s="1274"/>
      <c r="C90" s="883" t="s">
        <v>91</v>
      </c>
      <c r="D90" s="884" t="s">
        <v>172</v>
      </c>
      <c r="E90" s="885">
        <f t="shared" si="10"/>
        <v>3</v>
      </c>
      <c r="F90" s="418">
        <f t="shared" si="15"/>
        <v>46253</v>
      </c>
      <c r="G90" s="418">
        <f t="shared" si="17"/>
        <v>46256</v>
      </c>
      <c r="H90" s="418">
        <f>WORKDAY.INTL(I89,1,"0000100",$AI$5:$AI$11)</f>
        <v>46253</v>
      </c>
      <c r="I90" s="418">
        <f>WORKDAY.INTL(I89,3,"0000100",$AI$5:$AI$11)</f>
        <v>46256</v>
      </c>
      <c r="J90" s="418"/>
      <c r="K90" s="418"/>
      <c r="L90" s="886"/>
      <c r="M90" s="886" t="str">
        <f ca="1">IF(L90=100%,"Completed",
IF(AND(L90&lt;100%,G90&lt;TODAY()),"Delayed",
IF(AND(OR(L90="",L90=0),F90&gt;TODAY()),"Not Started",
IF(AND(OR(L90="",L90=0),F90&lt;=TODAY()),"Delayed",
IF(AND(L90&gt;0,L90&lt;100%),"In Progress","")))))</f>
        <v>Not Started</v>
      </c>
      <c r="N90" s="887"/>
      <c r="O90" s="825"/>
      <c r="P90" s="201"/>
      <c r="Q90" s="201"/>
      <c r="R90" s="201"/>
      <c r="S90" s="201"/>
      <c r="T90" s="201"/>
      <c r="U90" s="201"/>
      <c r="V90" s="853"/>
      <c r="W90" s="890"/>
      <c r="X90" s="1225">
        <v>1</v>
      </c>
      <c r="Y90" s="1225"/>
      <c r="Z90" s="1225"/>
      <c r="AA90" s="418"/>
      <c r="AB90" s="891"/>
      <c r="AC90" s="155"/>
      <c r="AE90" s="154"/>
      <c r="AG90" s="158"/>
    </row>
    <row r="91" spans="2:33" ht="51" customHeight="1" thickBot="1">
      <c r="B91" s="831"/>
      <c r="C91" s="831"/>
      <c r="D91" s="832"/>
      <c r="E91" s="833"/>
      <c r="F91" s="834"/>
      <c r="G91" s="834"/>
      <c r="H91" s="834"/>
      <c r="I91" s="834"/>
      <c r="J91" s="834"/>
      <c r="K91" s="834"/>
      <c r="L91" s="854"/>
      <c r="M91" s="854"/>
      <c r="N91" s="854"/>
      <c r="P91" s="836"/>
      <c r="Q91" s="836"/>
      <c r="R91" s="836"/>
      <c r="S91" s="836"/>
      <c r="T91" s="836"/>
      <c r="U91" s="836"/>
      <c r="V91" s="836"/>
      <c r="W91" s="837"/>
      <c r="AA91" s="838"/>
      <c r="AB91" s="838"/>
      <c r="AC91" s="155"/>
      <c r="AE91" s="154"/>
      <c r="AG91" s="158"/>
    </row>
    <row r="92" spans="2:33" ht="75.95" customHeight="1">
      <c r="B92" s="1272" t="s">
        <v>318</v>
      </c>
      <c r="C92" s="778" t="s">
        <v>91</v>
      </c>
      <c r="D92" s="293" t="s">
        <v>319</v>
      </c>
      <c r="E92" s="274">
        <f t="shared" si="10"/>
        <v>3</v>
      </c>
      <c r="F92" s="198">
        <f t="shared" ref="F92" si="18">WORKDAY.INTL(G89,1,"0000100",$AI$5:$AI$11)</f>
        <v>46253</v>
      </c>
      <c r="G92" s="198">
        <f t="shared" si="16"/>
        <v>46256</v>
      </c>
      <c r="H92" s="198">
        <f>WORKDAY.INTL(I89,1,"0000100",$AI$5:$AI$11)</f>
        <v>46253</v>
      </c>
      <c r="I92" s="198">
        <f>WORKDAY.INTL(H92,2,"0000100",$AI$5:$AI$11)</f>
        <v>46256</v>
      </c>
      <c r="J92" s="198"/>
      <c r="K92" s="198"/>
      <c r="L92" s="275"/>
      <c r="M92" s="275" t="str">
        <f ca="1">IF(L92=100%,"Completed",
IF(AND(L92&lt;100%,G92&lt;TODAY()),"Delayed",
IF(AND(OR(L92="",L92=0),F92&gt;TODAY()),"Not Started",
IF(AND(OR(L92="",L92=0),F92&lt;=TODAY()),"Delayed",
IF(AND(L92&gt;0,L92&lt;100%),"In Progress","")))))</f>
        <v>Not Started</v>
      </c>
      <c r="N92" s="782"/>
      <c r="O92" s="825"/>
      <c r="P92" s="199"/>
      <c r="Q92" s="199"/>
      <c r="R92" s="199"/>
      <c r="S92" s="199"/>
      <c r="T92" s="199"/>
      <c r="U92" s="199"/>
      <c r="V92" s="830"/>
      <c r="W92" s="663"/>
      <c r="X92" s="1185" t="s">
        <v>133</v>
      </c>
      <c r="Y92" s="1185"/>
      <c r="Z92" s="1185"/>
      <c r="AA92" s="198" t="s">
        <v>311</v>
      </c>
      <c r="AB92" s="826" t="s">
        <v>320</v>
      </c>
      <c r="AC92" s="155"/>
      <c r="AE92" s="154"/>
      <c r="AG92" s="158"/>
    </row>
    <row r="93" spans="2:33" ht="51" customHeight="1" thickBot="1">
      <c r="B93" s="1263"/>
      <c r="C93" s="203" t="s">
        <v>91</v>
      </c>
      <c r="D93" s="280" t="s">
        <v>172</v>
      </c>
      <c r="E93" s="281">
        <f t="shared" si="10"/>
        <v>3</v>
      </c>
      <c r="F93" s="255">
        <f t="shared" ref="F93:F96" si="19">WORKDAY.INTL(G92,1,"0000100",$AI$5:$AI$11)</f>
        <v>46257</v>
      </c>
      <c r="G93" s="255">
        <f t="shared" si="17"/>
        <v>46259</v>
      </c>
      <c r="H93" s="255">
        <f>WORKDAY.INTL(I92,1,"0000100",$AI$5:$AI$11)</f>
        <v>46257</v>
      </c>
      <c r="I93" s="255">
        <f>WORKDAY.INTL(I92,3,"0000100",$AI$5:$AI$11)</f>
        <v>46259</v>
      </c>
      <c r="J93" s="255"/>
      <c r="K93" s="255"/>
      <c r="L93" s="282"/>
      <c r="M93" s="282" t="str">
        <f ca="1">IF(L93=100%,"Completed",
IF(AND(L93&lt;100%,G93&lt;TODAY()),"Delayed",
IF(AND(OR(L93="",L93=0),F93&gt;TODAY()),"Not Started",
IF(AND(OR(L93="",L93=0),F93&lt;=TODAY()),"Delayed",
IF(AND(L93&gt;0,L93&lt;100%),"In Progress","")))))</f>
        <v>Not Started</v>
      </c>
      <c r="N93" s="784"/>
      <c r="O93" s="825"/>
      <c r="P93" s="199"/>
      <c r="Q93" s="199"/>
      <c r="R93" s="199"/>
      <c r="S93" s="199"/>
      <c r="T93" s="199"/>
      <c r="U93" s="199"/>
      <c r="V93" s="830"/>
      <c r="W93" s="785"/>
      <c r="X93" s="1189">
        <v>1</v>
      </c>
      <c r="Y93" s="1189"/>
      <c r="Z93" s="1189"/>
      <c r="AA93" s="255"/>
      <c r="AB93" s="829"/>
      <c r="AC93" s="155"/>
      <c r="AE93" s="154"/>
      <c r="AG93" s="158"/>
    </row>
    <row r="94" spans="2:33" ht="51" customHeight="1" thickBot="1">
      <c r="B94" s="831"/>
      <c r="C94" s="831"/>
      <c r="D94" s="832"/>
      <c r="E94" s="833"/>
      <c r="F94" s="834"/>
      <c r="G94" s="834"/>
      <c r="H94" s="834"/>
      <c r="I94" s="834"/>
      <c r="J94" s="834"/>
      <c r="K94" s="834"/>
      <c r="L94" s="854"/>
      <c r="M94" s="854"/>
      <c r="N94" s="854"/>
      <c r="P94" s="836"/>
      <c r="Q94" s="836"/>
      <c r="R94" s="836"/>
      <c r="S94" s="836"/>
      <c r="T94" s="836"/>
      <c r="U94" s="836"/>
      <c r="V94" s="836"/>
      <c r="W94" s="837"/>
      <c r="AA94" s="838"/>
      <c r="AB94" s="838"/>
      <c r="AC94" s="155"/>
      <c r="AE94" s="154"/>
      <c r="AG94" s="158"/>
    </row>
    <row r="95" spans="2:33" ht="65.099999999999994" customHeight="1">
      <c r="B95" s="1273" t="s">
        <v>321</v>
      </c>
      <c r="C95" s="878" t="s">
        <v>91</v>
      </c>
      <c r="D95" s="879" t="s">
        <v>322</v>
      </c>
      <c r="E95" s="880">
        <f t="shared" si="10"/>
        <v>3</v>
      </c>
      <c r="F95" s="417">
        <f>WORKDAY.INTL(G92,1,"0000100",$AI$5:$AI$11)</f>
        <v>46257</v>
      </c>
      <c r="G95" s="417">
        <f>WORKDAY.INTL(F95,2,"0000100",$AI$5:$AI$11)</f>
        <v>46259</v>
      </c>
      <c r="H95" s="417">
        <f>WORKDAY.INTL(I92,1,"0000100",$AI$5:$AI$11)</f>
        <v>46257</v>
      </c>
      <c r="I95" s="417">
        <f>WORKDAY.INTL(H95,2,"0000100",$AI$5:$AI$11)</f>
        <v>46259</v>
      </c>
      <c r="J95" s="417"/>
      <c r="K95" s="417"/>
      <c r="L95" s="881"/>
      <c r="M95" s="881" t="str">
        <f ca="1">IF(L95=100%,"Completed",
IF(AND(L95&lt;100%,G95&lt;TODAY()),"Delayed",
IF(AND(OR(L95="",L95=0),F95&gt;TODAY()),"Not Started",
IF(AND(OR(L95="",L95=0),F95&lt;=TODAY()),"Delayed",
IF(AND(L95&gt;0,L95&lt;100%),"In Progress","")))))</f>
        <v>Not Started</v>
      </c>
      <c r="N95" s="882"/>
      <c r="O95" s="825"/>
      <c r="P95" s="201"/>
      <c r="Q95" s="201"/>
      <c r="R95" s="201"/>
      <c r="S95" s="201"/>
      <c r="T95" s="201"/>
      <c r="U95" s="201"/>
      <c r="V95" s="853"/>
      <c r="W95" s="892"/>
      <c r="X95" s="1214" t="s">
        <v>133</v>
      </c>
      <c r="Y95" s="1214"/>
      <c r="Z95" s="1214"/>
      <c r="AA95" s="417" t="s">
        <v>311</v>
      </c>
      <c r="AB95" s="889" t="s">
        <v>323</v>
      </c>
      <c r="AC95" s="155"/>
      <c r="AE95" s="154"/>
      <c r="AG95" s="158"/>
    </row>
    <row r="96" spans="2:33" ht="51" customHeight="1" thickBot="1">
      <c r="B96" s="1274"/>
      <c r="C96" s="883" t="s">
        <v>91</v>
      </c>
      <c r="D96" s="884" t="s">
        <v>172</v>
      </c>
      <c r="E96" s="885">
        <f t="shared" si="10"/>
        <v>3</v>
      </c>
      <c r="F96" s="418">
        <f t="shared" si="19"/>
        <v>46260</v>
      </c>
      <c r="G96" s="418">
        <f t="shared" ref="G96:G102" si="20">WORKDAY.INTL(G95,3,"0000100",$AI$5:$AI$11)</f>
        <v>46263</v>
      </c>
      <c r="H96" s="418">
        <f>WORKDAY.INTL(I95,1,"0000100",$AI$5:$AI$11)</f>
        <v>46260</v>
      </c>
      <c r="I96" s="418">
        <f>WORKDAY.INTL(I95,3,"0000100",$AI$5:$AI$11)</f>
        <v>46263</v>
      </c>
      <c r="J96" s="418"/>
      <c r="K96" s="418"/>
      <c r="L96" s="886"/>
      <c r="M96" s="886" t="str">
        <f ca="1">IF(L96=100%,"Completed",
IF(AND(L96&lt;100%,G96&lt;TODAY()),"Delayed",
IF(AND(OR(L96="",L96=0),F96&gt;TODAY()),"Not Started",
IF(AND(OR(L96="",L96=0),F96&lt;=TODAY()),"Delayed",
IF(AND(L96&gt;0,L96&lt;100%),"In Progress","")))))</f>
        <v>Not Started</v>
      </c>
      <c r="N96" s="887"/>
      <c r="O96" s="825"/>
      <c r="P96" s="201"/>
      <c r="Q96" s="201"/>
      <c r="R96" s="201"/>
      <c r="S96" s="201"/>
      <c r="T96" s="201"/>
      <c r="U96" s="201"/>
      <c r="V96" s="853"/>
      <c r="W96" s="890"/>
      <c r="X96" s="1225">
        <v>1</v>
      </c>
      <c r="Y96" s="1225"/>
      <c r="Z96" s="1225"/>
      <c r="AA96" s="418"/>
      <c r="AB96" s="891"/>
      <c r="AC96" s="155"/>
      <c r="AE96" s="154"/>
      <c r="AG96" s="158"/>
    </row>
    <row r="97" spans="2:33" ht="51" customHeight="1" thickBot="1">
      <c r="B97" s="831"/>
      <c r="C97" s="831"/>
      <c r="D97" s="832"/>
      <c r="E97" s="833"/>
      <c r="F97" s="834"/>
      <c r="G97" s="834"/>
      <c r="H97" s="834"/>
      <c r="I97" s="834"/>
      <c r="J97" s="834"/>
      <c r="K97" s="834"/>
      <c r="L97" s="854"/>
      <c r="M97" s="854"/>
      <c r="N97" s="854"/>
      <c r="P97" s="836"/>
      <c r="Q97" s="836"/>
      <c r="R97" s="836"/>
      <c r="S97" s="836"/>
      <c r="T97" s="836"/>
      <c r="U97" s="836"/>
      <c r="V97" s="836"/>
      <c r="W97" s="837"/>
      <c r="AA97" s="838"/>
      <c r="AB97" s="838"/>
      <c r="AC97" s="155"/>
      <c r="AE97" s="154"/>
      <c r="AG97" s="158"/>
    </row>
    <row r="98" spans="2:33" ht="68.099999999999994" customHeight="1">
      <c r="B98" s="1272" t="s">
        <v>324</v>
      </c>
      <c r="C98" s="778" t="s">
        <v>91</v>
      </c>
      <c r="D98" s="293" t="s">
        <v>325</v>
      </c>
      <c r="E98" s="274">
        <f t="shared" si="10"/>
        <v>3</v>
      </c>
      <c r="F98" s="198">
        <f>WORKDAY.INTL(G95,1,"0000100",$AI$5:$AI$11)</f>
        <v>46260</v>
      </c>
      <c r="G98" s="198">
        <f>WORKDAY.INTL(F98,2,"0000100",$AI$5:$AI$11)</f>
        <v>46263</v>
      </c>
      <c r="H98" s="198">
        <f>WORKDAY.INTL(I95,1,"0000100",$AI$5:$AI$11)</f>
        <v>46260</v>
      </c>
      <c r="I98" s="198">
        <f>WORKDAY.INTL(H98,2,"0000100",$AI$5:$AI$11)</f>
        <v>46263</v>
      </c>
      <c r="J98" s="198"/>
      <c r="K98" s="198"/>
      <c r="L98" s="275"/>
      <c r="M98" s="275" t="str">
        <f ca="1">IF(L98=100%,"Completed",
IF(AND(L98&lt;100%,G98&lt;TODAY()),"Delayed",
IF(AND(OR(L98="",L98=0),F98&gt;TODAY()),"Not Started",
IF(AND(OR(L98="",L98=0),F98&lt;=TODAY()),"Delayed",
IF(AND(L98&gt;0,L98&lt;100%),"In Progress","")))))</f>
        <v>Not Started</v>
      </c>
      <c r="N98" s="782"/>
      <c r="O98" s="825"/>
      <c r="P98" s="199"/>
      <c r="Q98" s="199"/>
      <c r="R98" s="199"/>
      <c r="S98" s="199"/>
      <c r="T98" s="199"/>
      <c r="U98" s="199"/>
      <c r="V98" s="830"/>
      <c r="W98" s="663"/>
      <c r="X98" s="1185" t="s">
        <v>133</v>
      </c>
      <c r="Y98" s="1185"/>
      <c r="Z98" s="1185"/>
      <c r="AA98" s="198" t="s">
        <v>311</v>
      </c>
      <c r="AB98" s="826" t="s">
        <v>315</v>
      </c>
      <c r="AC98" s="155"/>
      <c r="AE98" s="154"/>
      <c r="AG98" s="158"/>
    </row>
    <row r="99" spans="2:33" ht="51" customHeight="1" thickBot="1">
      <c r="B99" s="1263"/>
      <c r="C99" s="203" t="s">
        <v>91</v>
      </c>
      <c r="D99" s="280" t="s">
        <v>172</v>
      </c>
      <c r="E99" s="281">
        <f t="shared" si="10"/>
        <v>3</v>
      </c>
      <c r="F99" s="255">
        <f>WORKDAY.INTL(G98,1,"0000100",$AI$5:$AI$11)</f>
        <v>46264</v>
      </c>
      <c r="G99" s="255">
        <f t="shared" si="20"/>
        <v>46266</v>
      </c>
      <c r="H99" s="255">
        <f>WORKDAY.INTL(I98,1,"0000100",$AI$5:$AI$11)</f>
        <v>46264</v>
      </c>
      <c r="I99" s="255">
        <f>WORKDAY.INTL(I98,3,"0000100",$AI$5:$AI$11)</f>
        <v>46266</v>
      </c>
      <c r="J99" s="255"/>
      <c r="K99" s="255"/>
      <c r="L99" s="282"/>
      <c r="M99" s="282" t="str">
        <f ca="1">IF(L99=100%,"Completed",
IF(AND(L99&lt;100%,G99&lt;TODAY()),"Delayed",
IF(AND(OR(L99="",L99=0),F99&gt;TODAY()),"Not Started",
IF(AND(OR(L99="",L99=0),F99&lt;=TODAY()),"Delayed",
IF(AND(L99&gt;0,L99&lt;100%),"In Progress","")))))</f>
        <v>Not Started</v>
      </c>
      <c r="N99" s="784"/>
      <c r="O99" s="825"/>
      <c r="P99" s="199"/>
      <c r="Q99" s="199"/>
      <c r="R99" s="199"/>
      <c r="S99" s="199"/>
      <c r="T99" s="199"/>
      <c r="U99" s="199"/>
      <c r="V99" s="830"/>
      <c r="W99" s="785"/>
      <c r="X99" s="1189">
        <v>1</v>
      </c>
      <c r="Y99" s="1189"/>
      <c r="Z99" s="1189"/>
      <c r="AA99" s="255"/>
      <c r="AB99" s="829"/>
      <c r="AC99" s="155"/>
      <c r="AE99" s="154"/>
      <c r="AG99" s="158"/>
    </row>
    <row r="100" spans="2:33" ht="51" customHeight="1" thickBot="1">
      <c r="B100" s="831"/>
      <c r="C100" s="831"/>
      <c r="D100" s="832"/>
      <c r="E100" s="833"/>
      <c r="F100" s="834"/>
      <c r="G100" s="834"/>
      <c r="H100" s="834"/>
      <c r="I100" s="834"/>
      <c r="J100" s="834"/>
      <c r="K100" s="834"/>
      <c r="L100" s="854"/>
      <c r="M100" s="854"/>
      <c r="N100" s="854"/>
      <c r="P100" s="836"/>
      <c r="Q100" s="836"/>
      <c r="R100" s="836"/>
      <c r="S100" s="836"/>
      <c r="T100" s="836"/>
      <c r="U100" s="836"/>
      <c r="V100" s="836"/>
      <c r="W100" s="837"/>
      <c r="AA100" s="838"/>
      <c r="AB100" s="838"/>
      <c r="AC100" s="155"/>
      <c r="AE100" s="154"/>
      <c r="AG100" s="158"/>
    </row>
    <row r="101" spans="2:33" ht="69" customHeight="1">
      <c r="B101" s="1273" t="s">
        <v>326</v>
      </c>
      <c r="C101" s="878" t="s">
        <v>91</v>
      </c>
      <c r="D101" s="879" t="s">
        <v>327</v>
      </c>
      <c r="E101" s="880">
        <f t="shared" si="10"/>
        <v>3</v>
      </c>
      <c r="F101" s="417">
        <f t="shared" ref="F101" si="21">WORKDAY.INTL(G98,1,"0000100",$AI$5:$AI$11)</f>
        <v>46264</v>
      </c>
      <c r="G101" s="417">
        <f>WORKDAY.INTL(F101,2,"0000100",$AI$5:$AI$11)</f>
        <v>46266</v>
      </c>
      <c r="H101" s="417">
        <f>WORKDAY.INTL(I98,1,"0000100",$AI$5:$AI$11)</f>
        <v>46264</v>
      </c>
      <c r="I101" s="417">
        <f>WORKDAY.INTL(H101,2,"0000100",$AI$5:$AI$11)</f>
        <v>46266</v>
      </c>
      <c r="J101" s="417"/>
      <c r="K101" s="417"/>
      <c r="L101" s="881"/>
      <c r="M101" s="881" t="str">
        <f ca="1">IF(L101=100%,"Completed",
IF(AND(L101&lt;100%,G101&lt;TODAY()),"Delayed",
IF(AND(OR(L101="",L101=0),F101&gt;TODAY()),"Not Started",
IF(AND(OR(L101="",L101=0),F101&lt;=TODAY()),"Delayed",
IF(AND(L101&gt;0,L101&lt;100%),"In Progress","")))))</f>
        <v>Not Started</v>
      </c>
      <c r="N101" s="882"/>
      <c r="O101" s="825"/>
      <c r="P101" s="201"/>
      <c r="Q101" s="201"/>
      <c r="R101" s="201"/>
      <c r="S101" s="201"/>
      <c r="T101" s="201"/>
      <c r="U101" s="201"/>
      <c r="V101" s="853"/>
      <c r="W101" s="892"/>
      <c r="X101" s="1214" t="s">
        <v>133</v>
      </c>
      <c r="Y101" s="1214"/>
      <c r="Z101" s="1214"/>
      <c r="AA101" s="417" t="s">
        <v>311</v>
      </c>
      <c r="AB101" s="889" t="s">
        <v>323</v>
      </c>
      <c r="AC101" s="155"/>
      <c r="AE101" s="154"/>
      <c r="AG101" s="158"/>
    </row>
    <row r="102" spans="2:33" ht="51" customHeight="1" thickBot="1">
      <c r="B102" s="1274"/>
      <c r="C102" s="883" t="s">
        <v>91</v>
      </c>
      <c r="D102" s="884" t="s">
        <v>172</v>
      </c>
      <c r="E102" s="885">
        <f t="shared" si="10"/>
        <v>3</v>
      </c>
      <c r="F102" s="418">
        <f>WORKDAY.INTL(G101,1,"0000100",$AI$5:$AI$11)</f>
        <v>46267</v>
      </c>
      <c r="G102" s="418">
        <f t="shared" si="20"/>
        <v>46270</v>
      </c>
      <c r="H102" s="418">
        <f>WORKDAY.INTL(I101,1,"0000100",$AI$5:$AI$11)</f>
        <v>46267</v>
      </c>
      <c r="I102" s="418">
        <f>WORKDAY.INTL(I101,3,"0000100",$AI$5:$AI$11)</f>
        <v>46270</v>
      </c>
      <c r="J102" s="418"/>
      <c r="K102" s="418"/>
      <c r="L102" s="886"/>
      <c r="M102" s="886" t="str">
        <f ca="1">IF(L102=100%,"Completed",
IF(AND(L102&lt;100%,G102&lt;TODAY()),"Delayed",
IF(AND(OR(L102="",L102=0),F102&gt;TODAY()),"Not Started",
IF(AND(OR(L102="",L102=0),F102&lt;=TODAY()),"Delayed",
IF(AND(L102&gt;0,L102&lt;100%),"In Progress","")))))</f>
        <v>Not Started</v>
      </c>
      <c r="N102" s="887"/>
      <c r="O102" s="825"/>
      <c r="P102" s="201"/>
      <c r="Q102" s="201"/>
      <c r="R102" s="201"/>
      <c r="S102" s="201"/>
      <c r="T102" s="201"/>
      <c r="U102" s="201"/>
      <c r="V102" s="853"/>
      <c r="W102" s="890"/>
      <c r="X102" s="1225">
        <v>1</v>
      </c>
      <c r="Y102" s="1225"/>
      <c r="Z102" s="1225"/>
      <c r="AA102" s="418"/>
      <c r="AB102" s="891"/>
      <c r="AC102" s="155"/>
      <c r="AE102" s="154"/>
      <c r="AG102" s="158"/>
    </row>
    <row r="103" spans="2:33" ht="51" customHeight="1" thickBot="1">
      <c r="B103" s="831"/>
      <c r="C103" s="831"/>
      <c r="D103" s="832"/>
      <c r="E103" s="833"/>
      <c r="F103" s="834"/>
      <c r="G103" s="834"/>
      <c r="H103" s="834"/>
      <c r="I103" s="834"/>
      <c r="J103" s="834"/>
      <c r="K103" s="834"/>
      <c r="L103" s="854"/>
      <c r="M103" s="854"/>
      <c r="N103" s="854"/>
      <c r="P103" s="836"/>
      <c r="Q103" s="836"/>
      <c r="R103" s="836"/>
      <c r="S103" s="836"/>
      <c r="T103" s="836"/>
      <c r="U103" s="836"/>
      <c r="V103" s="836"/>
      <c r="W103" s="837"/>
      <c r="AA103" s="838"/>
      <c r="AB103" s="838"/>
      <c r="AC103" s="155"/>
      <c r="AE103" s="154"/>
      <c r="AG103" s="158"/>
    </row>
    <row r="104" spans="2:33" s="153" customFormat="1" ht="94.5">
      <c r="B104" s="856" t="s">
        <v>193</v>
      </c>
      <c r="C104" s="857" t="s">
        <v>91</v>
      </c>
      <c r="D104" s="858" t="s">
        <v>328</v>
      </c>
      <c r="E104" s="859">
        <f>NETWORKDAYS.INTL(F104,G104,"0000110",$AI$5:$AI$12)</f>
        <v>31</v>
      </c>
      <c r="F104" s="860">
        <f>WORKDAY.INTL(G75,1,"0000110")</f>
        <v>46237</v>
      </c>
      <c r="G104" s="860">
        <f>WORKDAY.INTL(F104,36,"0000100",$AI$5:$AI$11)</f>
        <v>46279</v>
      </c>
      <c r="H104" s="860">
        <f>WORKDAY.INTL(I75,1,"0000110")</f>
        <v>46237</v>
      </c>
      <c r="I104" s="860">
        <f>WORKDAY.INTL(H104,36,"0000100",$AI$5:$AI$11)</f>
        <v>46279</v>
      </c>
      <c r="J104" s="860"/>
      <c r="K104" s="860"/>
      <c r="L104" s="861"/>
      <c r="M104" s="861" t="str">
        <f ca="1">IF(L104=100%,"Completed",
IF(AND(L104&lt;100%,G104&lt;TODAY()),"Delayed",
IF(AND(OR(L104="",L104=0),F104&gt;TODAY()),"Not Started",
IF(AND(OR(L104="",L104=0),F104&lt;=TODAY()),"Delayed",
IF(AND(L104&gt;0,L104&lt;100%),"In Progress","")))))</f>
        <v>Not Started</v>
      </c>
      <c r="N104" s="862"/>
      <c r="O104" s="825"/>
      <c r="P104" s="199"/>
      <c r="Q104" s="199"/>
      <c r="R104" s="199"/>
      <c r="S104" s="199"/>
      <c r="T104" s="199"/>
      <c r="U104" s="199"/>
      <c r="V104" s="830"/>
      <c r="W104" s="459" t="s">
        <v>329</v>
      </c>
      <c r="X104" s="1193" t="s">
        <v>169</v>
      </c>
      <c r="Y104" s="1193"/>
      <c r="Z104" s="1193"/>
      <c r="AA104" s="860" t="s">
        <v>330</v>
      </c>
      <c r="AB104" s="863" t="s">
        <v>331</v>
      </c>
      <c r="AF104" s="158"/>
      <c r="AG104" s="158"/>
    </row>
    <row r="105" spans="2:33" ht="15.75" customHeight="1" thickBot="1">
      <c r="B105" s="831"/>
      <c r="C105" s="831"/>
      <c r="D105" s="832"/>
      <c r="E105" s="833"/>
      <c r="F105" s="834"/>
      <c r="G105" s="834"/>
      <c r="H105" s="834"/>
      <c r="I105" s="834"/>
      <c r="J105" s="834"/>
      <c r="K105" s="834"/>
      <c r="L105" s="854"/>
      <c r="M105" s="854"/>
      <c r="N105" s="854"/>
      <c r="P105" s="836"/>
      <c r="Q105" s="836"/>
      <c r="R105" s="836"/>
      <c r="S105" s="836"/>
      <c r="T105" s="836"/>
      <c r="U105" s="836"/>
      <c r="V105" s="836"/>
      <c r="W105" s="837"/>
      <c r="AA105" s="838"/>
      <c r="AB105" s="838"/>
      <c r="AC105" s="155"/>
      <c r="AE105" s="154"/>
      <c r="AG105" s="158"/>
    </row>
    <row r="106" spans="2:33" ht="98.25" customHeight="1" thickBot="1">
      <c r="B106" s="865" t="s">
        <v>198</v>
      </c>
      <c r="C106" s="866" t="s">
        <v>199</v>
      </c>
      <c r="D106" s="809" t="s">
        <v>200</v>
      </c>
      <c r="E106" s="810">
        <f>NETWORKDAYS.INTL(F106,G106,"0000110",$AI$5:$AI$12)</f>
        <v>2</v>
      </c>
      <c r="F106" s="805">
        <f>MAX(WORKDAY.INTL(G104,1,"0000100"),WORKDAY.INTL(G114,1,"0000100"))</f>
        <v>46294</v>
      </c>
      <c r="G106" s="805">
        <f>WORKDAY.INTL(F106,1,"0000110")</f>
        <v>46295</v>
      </c>
      <c r="H106" s="805">
        <f>MAX(WORKDAY.INTL(I104,1,"0000100"),WORKDAY.INTL(I114,1,"0000100"))</f>
        <v>46296</v>
      </c>
      <c r="I106" s="805">
        <f>WORKDAY.INTL(H106,1,"0000110")</f>
        <v>46299</v>
      </c>
      <c r="J106" s="805"/>
      <c r="K106" s="805"/>
      <c r="L106" s="806"/>
      <c r="M106" s="806" t="str">
        <f ca="1">IF(L106=100%,"Completed",
IF(AND(L106&lt;100%,G106&lt;TODAY()),"Delayed",
IF(AND(OR(L106="",L106=0),F106&gt;TODAY()),"Not Started",
IF(AND(OR(L106="",L106=0),F106&lt;=TODAY()),"Delayed",
IF(AND(L106&gt;0,L106&lt;100%),"In Progress","")))))</f>
        <v>Not Started</v>
      </c>
      <c r="N106" s="811"/>
      <c r="O106" s="816"/>
      <c r="P106" s="202"/>
      <c r="Q106" s="202"/>
      <c r="R106" s="202"/>
      <c r="S106" s="202"/>
      <c r="T106" s="202"/>
      <c r="U106" s="202"/>
      <c r="V106" s="864"/>
      <c r="W106" s="812" t="s">
        <v>201</v>
      </c>
      <c r="X106" s="1221" t="s">
        <v>169</v>
      </c>
      <c r="Y106" s="1221"/>
      <c r="Z106" s="1221"/>
      <c r="AA106" s="805" t="s">
        <v>332</v>
      </c>
      <c r="AB106" s="867"/>
      <c r="AC106" s="155"/>
      <c r="AG106" s="158"/>
    </row>
    <row r="107" spans="2:33" s="153" customFormat="1" ht="9.75" customHeight="1" thickBot="1">
      <c r="B107" s="205"/>
      <c r="C107" s="205"/>
      <c r="D107" s="313"/>
      <c r="E107" s="314"/>
      <c r="F107" s="313"/>
      <c r="G107" s="313"/>
      <c r="H107" s="313"/>
      <c r="I107" s="313"/>
      <c r="J107" s="260"/>
      <c r="K107" s="260"/>
      <c r="L107" s="315"/>
      <c r="M107" s="315"/>
      <c r="N107" s="770"/>
      <c r="O107" s="777"/>
      <c r="P107" s="205"/>
      <c r="Q107" s="205"/>
      <c r="R107" s="205"/>
      <c r="S107" s="205"/>
      <c r="T107" s="205"/>
      <c r="U107" s="205"/>
      <c r="V107" s="205"/>
      <c r="W107" s="205"/>
      <c r="X107" s="1216"/>
      <c r="Y107" s="1216"/>
      <c r="Z107" s="1216"/>
      <c r="AA107" s="205"/>
      <c r="AB107" s="205"/>
      <c r="AF107" s="158"/>
      <c r="AG107" s="158"/>
    </row>
    <row r="108" spans="2:33" s="153" customFormat="1" ht="36.950000000000003" customHeight="1">
      <c r="B108" s="1261" t="s">
        <v>203</v>
      </c>
      <c r="C108" s="421" t="s">
        <v>34</v>
      </c>
      <c r="D108" s="293" t="s">
        <v>204</v>
      </c>
      <c r="E108" s="274">
        <f>NETWORKDAYS.INTL(F108,G108,"0000110",$AI$5:$AI$11)</f>
        <v>2</v>
      </c>
      <c r="F108" s="198">
        <f>MAX(WORKDAY.INTL(G95,1,"0000110",$AI$5:$AI$10),WORKDAY.INTL(G52,1,"0000110",$AI$5:$AI$10),WORKDAY.INTL(G44,1,"0000110",$AI$5:$AI$10))</f>
        <v>46273</v>
      </c>
      <c r="G108" s="198">
        <f>WORKDAY.INTL(F108,1,"0000110",$AI$5:$AI$10)</f>
        <v>46274</v>
      </c>
      <c r="H108" s="198">
        <f>MAX(WORKDAY.INTL(I95,1,"0000110",$AI$5:$AI$10),WORKDAY.INTL(I52,1,"0000110",$AI$5:$AI$10),WORKDAY.INTL(I44,1,"0000110",$AI$5:$AI$10))</f>
        <v>46275</v>
      </c>
      <c r="I108" s="198">
        <f>WORKDAY.INTL(H108,1,"0000110",$AI$5:$AI$10)</f>
        <v>46278</v>
      </c>
      <c r="J108" s="198"/>
      <c r="K108" s="198"/>
      <c r="L108" s="275"/>
      <c r="M108" s="275" t="str">
        <f t="shared" ref="M108:M114" ca="1" si="22">IF(L108=100%,"Completed",
IF(AND(L108&lt;100%,G108&lt;TODAY()),"Delayed",
IF(AND(OR(L108="",L108=0),F108&gt;TODAY()),"Not Started",
IF(AND(OR(L108="",L108=0),F108&lt;=TODAY()),"Delayed",
IF(AND(L108&gt;0,L108&lt;100%),"In Progress","")))))</f>
        <v>Not Started</v>
      </c>
      <c r="N108" s="782"/>
      <c r="O108" s="815"/>
      <c r="P108" s="91"/>
      <c r="Q108" s="91"/>
      <c r="R108" s="91"/>
      <c r="S108" s="91"/>
      <c r="T108" s="91"/>
      <c r="U108" s="91"/>
      <c r="V108" s="869"/>
      <c r="W108" s="893"/>
      <c r="X108" s="1185" t="s">
        <v>133</v>
      </c>
      <c r="Y108" s="1185"/>
      <c r="Z108" s="1185"/>
      <c r="AA108" s="1275" t="s">
        <v>333</v>
      </c>
      <c r="AB108" s="468"/>
      <c r="AC108" s="155"/>
      <c r="AE108" s="170"/>
      <c r="AF108" s="158"/>
      <c r="AG108" s="158"/>
    </row>
    <row r="109" spans="2:33" ht="30.75" customHeight="1">
      <c r="B109" s="1262"/>
      <c r="C109" s="422" t="s">
        <v>34</v>
      </c>
      <c r="D109" s="279" t="s">
        <v>206</v>
      </c>
      <c r="E109" s="277">
        <f t="shared" ref="E109:E114" si="23">NETWORKDAYS.INTL(F109,G109,"0000110",$AI$5:$AI$11)</f>
        <v>5</v>
      </c>
      <c r="F109" s="200">
        <f>WORKDAY.INTL(G108,1,"0000100",$AI$5:$AI$11)</f>
        <v>46275</v>
      </c>
      <c r="G109" s="200">
        <f>WORKDAY.INTL(F109,4,"0000110",$AI$5:$AI$9)</f>
        <v>46281</v>
      </c>
      <c r="H109" s="200">
        <f>WORKDAY.INTL(I108,1,"0000100",$AI$5:$AI$11)</f>
        <v>46279</v>
      </c>
      <c r="I109" s="200">
        <f>WORKDAY.INTL(H109,4,"0000110",$AI$5:$AI$9)</f>
        <v>46285</v>
      </c>
      <c r="J109" s="200"/>
      <c r="K109" s="200"/>
      <c r="L109" s="278"/>
      <c r="M109" s="278" t="str">
        <f t="shared" ca="1" si="22"/>
        <v>Not Started</v>
      </c>
      <c r="N109" s="783"/>
      <c r="O109" s="825"/>
      <c r="P109" s="94"/>
      <c r="Q109" s="94"/>
      <c r="R109" s="94"/>
      <c r="S109" s="94"/>
      <c r="T109" s="94"/>
      <c r="U109" s="94"/>
      <c r="V109" s="870"/>
      <c r="W109" s="894"/>
      <c r="X109" s="1186" t="s">
        <v>133</v>
      </c>
      <c r="Y109" s="1186"/>
      <c r="Z109" s="1186"/>
      <c r="AA109" s="1276"/>
      <c r="AB109" s="469"/>
      <c r="AC109" s="155"/>
      <c r="AF109" s="168"/>
      <c r="AG109" s="168"/>
    </row>
    <row r="110" spans="2:33" ht="79.5" customHeight="1">
      <c r="B110" s="1262"/>
      <c r="C110" s="422" t="s">
        <v>34</v>
      </c>
      <c r="D110" s="279" t="s">
        <v>207</v>
      </c>
      <c r="E110" s="277">
        <f t="shared" si="23"/>
        <v>5</v>
      </c>
      <c r="F110" s="200">
        <f>WORKDAY.INTL(G108,1,"0000100",$AI$5:$AI$11)</f>
        <v>46275</v>
      </c>
      <c r="G110" s="200">
        <f>WORKDAY.INTL(F110,4,"0000110",$AI$5:$AI$9)</f>
        <v>46281</v>
      </c>
      <c r="H110" s="200">
        <f>WORKDAY.INTL(I108,1,"0000100",$AI$5:$AI$11)</f>
        <v>46279</v>
      </c>
      <c r="I110" s="200">
        <f>WORKDAY.INTL(H110,4,"0000110",$AI$5:$AI$9)</f>
        <v>46285</v>
      </c>
      <c r="J110" s="200"/>
      <c r="K110" s="200"/>
      <c r="L110" s="278"/>
      <c r="M110" s="278" t="str">
        <f t="shared" ca="1" si="22"/>
        <v>Not Started</v>
      </c>
      <c r="N110" s="783"/>
      <c r="O110" s="825"/>
      <c r="P110" s="94"/>
      <c r="Q110" s="94"/>
      <c r="R110" s="94"/>
      <c r="S110" s="94"/>
      <c r="T110" s="94"/>
      <c r="U110" s="94"/>
      <c r="V110" s="870"/>
      <c r="W110" s="895" t="s">
        <v>208</v>
      </c>
      <c r="X110" s="1172" t="s">
        <v>133</v>
      </c>
      <c r="Y110" s="1172"/>
      <c r="Z110" s="1172"/>
      <c r="AA110" s="1276"/>
      <c r="AB110" s="469"/>
      <c r="AC110" s="155"/>
      <c r="AG110" s="158"/>
    </row>
    <row r="111" spans="2:33" ht="30.75" customHeight="1">
      <c r="B111" s="1262"/>
      <c r="C111" s="422" t="s">
        <v>34</v>
      </c>
      <c r="D111" s="279" t="s">
        <v>209</v>
      </c>
      <c r="E111" s="277">
        <f t="shared" si="23"/>
        <v>2</v>
      </c>
      <c r="F111" s="200">
        <f>WORKDAY.INTL(G110,1,"0000100",$AI$5:$AI$11)</f>
        <v>46282</v>
      </c>
      <c r="G111" s="200">
        <f>WORKDAY.INTL(F111,1,"0000110",$AI$5:$AI$9)</f>
        <v>46285</v>
      </c>
      <c r="H111" s="200">
        <f>WORKDAY.INTL(I110,1,"0000100",$AI$5:$AI$11)</f>
        <v>46286</v>
      </c>
      <c r="I111" s="200">
        <f>WORKDAY.INTL(H111,1,"0000110",$AI$5:$AI$9)</f>
        <v>46287</v>
      </c>
      <c r="J111" s="200"/>
      <c r="K111" s="200"/>
      <c r="L111" s="278"/>
      <c r="M111" s="278" t="str">
        <f t="shared" ca="1" si="22"/>
        <v>Not Started</v>
      </c>
      <c r="N111" s="783"/>
      <c r="O111" s="868"/>
      <c r="P111" s="96"/>
      <c r="Q111" s="96"/>
      <c r="R111" s="96"/>
      <c r="S111" s="96"/>
      <c r="T111" s="96"/>
      <c r="U111" s="96"/>
      <c r="V111" s="871"/>
      <c r="W111" s="894"/>
      <c r="X111" s="1186" t="s">
        <v>133</v>
      </c>
      <c r="Y111" s="1186"/>
      <c r="Z111" s="1186"/>
      <c r="AA111" s="1276"/>
      <c r="AB111" s="469"/>
      <c r="AC111" s="155"/>
      <c r="AF111" s="168"/>
      <c r="AG111" s="168"/>
    </row>
    <row r="112" spans="2:33" ht="30.75" customHeight="1">
      <c r="B112" s="1262"/>
      <c r="C112" s="422" t="s">
        <v>34</v>
      </c>
      <c r="D112" s="279" t="s">
        <v>210</v>
      </c>
      <c r="E112" s="277">
        <f t="shared" si="23"/>
        <v>3</v>
      </c>
      <c r="F112" s="200">
        <f>WORKDAY.INTL(G111,1,"0000100",$AI$5:$AI$11)</f>
        <v>46286</v>
      </c>
      <c r="G112" s="200">
        <f>WORKDAY.INTL(F112,3,"0000100",$AI$5:$AI$9)</f>
        <v>46289</v>
      </c>
      <c r="H112" s="200">
        <f>WORKDAY.INTL(I111,1,"0000100",$AI$5:$AI$11)</f>
        <v>46289</v>
      </c>
      <c r="I112" s="200">
        <f>WORKDAY.INTL(H112,3,"0000100",$AI$5:$AI$9)</f>
        <v>46293</v>
      </c>
      <c r="J112" s="200"/>
      <c r="K112" s="200"/>
      <c r="L112" s="278"/>
      <c r="M112" s="278" t="str">
        <f t="shared" ca="1" si="22"/>
        <v>Not Started</v>
      </c>
      <c r="N112" s="783"/>
      <c r="O112" s="825"/>
      <c r="P112" s="94"/>
      <c r="Q112" s="94"/>
      <c r="R112" s="94"/>
      <c r="S112" s="94"/>
      <c r="T112" s="94"/>
      <c r="U112" s="94"/>
      <c r="V112" s="870"/>
      <c r="W112" s="894"/>
      <c r="X112" s="1186" t="s">
        <v>133</v>
      </c>
      <c r="Y112" s="1186"/>
      <c r="Z112" s="1186"/>
      <c r="AA112" s="1276"/>
      <c r="AB112" s="469"/>
      <c r="AC112" s="155"/>
      <c r="AG112" s="158"/>
    </row>
    <row r="113" spans="2:33" ht="30.75" customHeight="1">
      <c r="B113" s="1262"/>
      <c r="C113" s="422" t="s">
        <v>34</v>
      </c>
      <c r="D113" s="279" t="s">
        <v>211</v>
      </c>
      <c r="E113" s="277">
        <f t="shared" si="23"/>
        <v>1</v>
      </c>
      <c r="F113" s="200">
        <f>WORKDAY.INTL(G112,1,"0000110",$AI$5:$AI$10)</f>
        <v>46292</v>
      </c>
      <c r="G113" s="200">
        <f>WORKDAY.INTL(F113,0,"0000110",$AI$5:$AI$10)</f>
        <v>46292</v>
      </c>
      <c r="H113" s="200">
        <f>WORKDAY.INTL(I112,1,"0000110",$AI$5:$AI$10)</f>
        <v>46294</v>
      </c>
      <c r="I113" s="200">
        <f>WORKDAY.INTL(H113,0,"0000110",$AI$5:$AI$10)</f>
        <v>46294</v>
      </c>
      <c r="J113" s="200"/>
      <c r="K113" s="200"/>
      <c r="L113" s="278"/>
      <c r="M113" s="278" t="str">
        <f t="shared" ca="1" si="22"/>
        <v>Not Started</v>
      </c>
      <c r="N113" s="783"/>
      <c r="O113" s="825"/>
      <c r="P113" s="94"/>
      <c r="Q113" s="94"/>
      <c r="R113" s="94"/>
      <c r="S113" s="94"/>
      <c r="T113" s="94"/>
      <c r="U113" s="94"/>
      <c r="V113" s="870"/>
      <c r="W113" s="894"/>
      <c r="X113" s="1186" t="s">
        <v>133</v>
      </c>
      <c r="Y113" s="1186"/>
      <c r="Z113" s="1186"/>
      <c r="AA113" s="1276"/>
      <c r="AB113" s="469"/>
      <c r="AC113" s="155"/>
      <c r="AG113" s="158"/>
    </row>
    <row r="114" spans="2:33" ht="30.75" customHeight="1" thickBot="1">
      <c r="B114" s="1263"/>
      <c r="C114" s="423" t="s">
        <v>34</v>
      </c>
      <c r="D114" s="280" t="s">
        <v>212</v>
      </c>
      <c r="E114" s="281">
        <f t="shared" si="23"/>
        <v>1</v>
      </c>
      <c r="F114" s="255">
        <f>WORKDAY.INTL(G113,1,"0000110",$AI$5:$AI$10)</f>
        <v>46293</v>
      </c>
      <c r="G114" s="255">
        <f>WORKDAY.INTL(F114,0,"0000110",$AI$5:$AI$10)</f>
        <v>46293</v>
      </c>
      <c r="H114" s="255">
        <f>WORKDAY.INTL(I113,1,"0000110",$AI$5:$AI$10)</f>
        <v>46295</v>
      </c>
      <c r="I114" s="255">
        <f>WORKDAY.INTL(H114,0,"0000110",$AI$5:$AI$10)</f>
        <v>46295</v>
      </c>
      <c r="J114" s="255"/>
      <c r="K114" s="255"/>
      <c r="L114" s="282"/>
      <c r="M114" s="282" t="str">
        <f t="shared" ca="1" si="22"/>
        <v>Not Started</v>
      </c>
      <c r="N114" s="784"/>
      <c r="O114" s="816"/>
      <c r="P114" s="98"/>
      <c r="Q114" s="98"/>
      <c r="R114" s="98"/>
      <c r="S114" s="98"/>
      <c r="T114" s="98"/>
      <c r="U114" s="98"/>
      <c r="V114" s="872"/>
      <c r="W114" s="896"/>
      <c r="X114" s="1189" t="s">
        <v>133</v>
      </c>
      <c r="Y114" s="1189"/>
      <c r="Z114" s="1189"/>
      <c r="AA114" s="1277"/>
      <c r="AB114" s="470"/>
      <c r="AC114" s="155"/>
      <c r="AG114" s="158"/>
    </row>
    <row r="115" spans="2:33" ht="4.5" customHeight="1" thickBot="1">
      <c r="AA115" s="873"/>
      <c r="AB115" s="156"/>
    </row>
    <row r="116" spans="2:33" ht="66" customHeight="1">
      <c r="B116" s="1278" t="s">
        <v>213</v>
      </c>
      <c r="C116" s="897" t="s">
        <v>213</v>
      </c>
      <c r="D116" s="879" t="s">
        <v>214</v>
      </c>
      <c r="E116" s="880">
        <f>NETWORKDAYS.INTL(F116,G116,"0000110",$AI$5:$AI$11)</f>
        <v>16</v>
      </c>
      <c r="F116" s="417">
        <f>WORKDAY.INTL(G116,-15,"0000110",$AI$5:$AI$10)</f>
        <v>46251</v>
      </c>
      <c r="G116" s="417">
        <f>WORKDAY.INTL(F108,-1,"0000110",$AI$5:$AI$10)</f>
        <v>46272</v>
      </c>
      <c r="H116" s="417">
        <f>WORKDAY.INTL(I116,-15,"0000110",$AI$5:$AI$10)</f>
        <v>46253</v>
      </c>
      <c r="I116" s="417">
        <f>WORKDAY.INTL(H108,-1,"0000110",$AI$5:$AI$10)</f>
        <v>46274</v>
      </c>
      <c r="J116" s="417"/>
      <c r="K116" s="417"/>
      <c r="L116" s="881"/>
      <c r="M116" s="881" t="str">
        <f ca="1">IF(L116=100%,"Completed",
IF(AND(L116&lt;100%,G116&lt;TODAY()),"Delayed",
IF(AND(OR(L116="",L116=0),F116&gt;TODAY()),"Not Started",
IF(AND(OR(L116="",L116=0),F116&lt;=TODAY()),"Delayed",
IF(AND(L116&gt;0,L116&lt;100%),"In Progress","")))))</f>
        <v>Not Started</v>
      </c>
      <c r="N116" s="882"/>
      <c r="O116" s="815"/>
      <c r="P116" s="206"/>
      <c r="Q116" s="206"/>
      <c r="R116" s="206"/>
      <c r="S116" s="206"/>
      <c r="T116" s="206"/>
      <c r="U116" s="206"/>
      <c r="V116" s="232"/>
      <c r="W116" s="899" t="s">
        <v>215</v>
      </c>
      <c r="X116" s="1214"/>
      <c r="Y116" s="1214"/>
      <c r="Z116" s="1214"/>
      <c r="AA116" s="900"/>
      <c r="AB116" s="901"/>
    </row>
    <row r="117" spans="2:33" ht="50.1" customHeight="1" thickBot="1">
      <c r="B117" s="1274"/>
      <c r="C117" s="898" t="s">
        <v>213</v>
      </c>
      <c r="D117" s="884" t="s">
        <v>216</v>
      </c>
      <c r="E117" s="885">
        <f>NETWORKDAYS.INTL(F117,G117,"0000110",$AI$5:$AI$11)</f>
        <v>20</v>
      </c>
      <c r="F117" s="418">
        <f>WORKDAY.INTL(G121,10,"0000110",$AI$5:$AI$10)</f>
        <v>46366</v>
      </c>
      <c r="G117" s="418">
        <f>WORKDAY.INTL(F117,19,"0000110",$AI$5:$AI$10)</f>
        <v>46393</v>
      </c>
      <c r="H117" s="418">
        <f>WORKDAY.INTL(I121,10,"0000110",$AI$5:$AI$10)</f>
        <v>46366</v>
      </c>
      <c r="I117" s="418">
        <f>WORKDAY.INTL(H117,19,"0000110",$AI$5:$AI$10)</f>
        <v>46393</v>
      </c>
      <c r="J117" s="418"/>
      <c r="K117" s="418"/>
      <c r="L117" s="886"/>
      <c r="M117" s="886" t="str">
        <f ca="1">IF(L117=100%,"Completed",
IF(AND(L117&lt;100%,G117&lt;TODAY()),"Delayed",
IF(AND(OR(L117="",L117=0),F117&gt;TODAY()),"Not Started",
IF(AND(OR(L117="",L117=0),F117&lt;=TODAY()),"Delayed",
IF(AND(L117&gt;0,L117&lt;100%),"In Progress","")))))</f>
        <v>Not Started</v>
      </c>
      <c r="N117" s="887"/>
      <c r="O117" s="816"/>
      <c r="P117" s="207"/>
      <c r="Q117" s="207"/>
      <c r="R117" s="207"/>
      <c r="S117" s="207"/>
      <c r="T117" s="207"/>
      <c r="U117" s="207"/>
      <c r="V117" s="233"/>
      <c r="W117" s="945" t="s">
        <v>217</v>
      </c>
      <c r="X117" s="1225"/>
      <c r="Y117" s="1225"/>
      <c r="Z117" s="1225"/>
      <c r="AA117" s="902"/>
      <c r="AB117" s="903"/>
    </row>
    <row r="118" spans="2:33" ht="8.1" customHeight="1" thickBot="1">
      <c r="AA118" s="156"/>
      <c r="AB118" s="156"/>
    </row>
    <row r="119" spans="2:33" ht="96">
      <c r="B119" s="1279" t="s">
        <v>218</v>
      </c>
      <c r="C119" s="905" t="s">
        <v>218</v>
      </c>
      <c r="D119" s="906" t="s">
        <v>219</v>
      </c>
      <c r="E119" s="907">
        <f>NETWORKDAYS.INTL(F119,G119,"0000100",$AH$5:$AH$12)</f>
        <v>21</v>
      </c>
      <c r="F119" s="908">
        <f>WORKDAY.INTL(G119,-17,"0000110")</f>
        <v>46272</v>
      </c>
      <c r="G119" s="908">
        <f>WORKDAY.INTL(G106,0,"0000110")</f>
        <v>46295</v>
      </c>
      <c r="H119" s="908">
        <f>WORKDAY.INTL(I119,-17,"0000110")</f>
        <v>46274</v>
      </c>
      <c r="I119" s="908">
        <f>WORKDAY.INTL(I106,0,"0000110")</f>
        <v>46299</v>
      </c>
      <c r="J119" s="908"/>
      <c r="K119" s="909"/>
      <c r="L119" s="909"/>
      <c r="M119" s="909" t="str">
        <f ca="1">IF(L119=100%,"Completed",
IF(AND(L119&lt;100%,G119&lt;TODAY()),"Delayed",
IF(AND(OR(L119="",L119=0),F119&gt;TODAY()),"Not Started",
IF(AND(OR(L119="",L119=0),F119&lt;=TODAY()),"Delayed",
IF(AND(L119&gt;0,L119&lt;100%),"In Progress","")))))</f>
        <v>Not Started</v>
      </c>
      <c r="N119" s="910"/>
      <c r="O119" s="904"/>
      <c r="P119" s="231"/>
      <c r="Q119" s="231"/>
      <c r="R119" s="231"/>
      <c r="S119" s="231"/>
      <c r="T119" s="231"/>
      <c r="U119" s="231"/>
      <c r="V119" s="235"/>
      <c r="W119" s="766" t="s">
        <v>220</v>
      </c>
      <c r="X119" s="1198"/>
      <c r="Y119" s="1198"/>
      <c r="Z119" s="1198"/>
      <c r="AA119" s="920"/>
      <c r="AB119" s="921"/>
    </row>
    <row r="120" spans="2:33" ht="33.950000000000003" customHeight="1">
      <c r="B120" s="1280"/>
      <c r="C120" s="911" t="s">
        <v>218</v>
      </c>
      <c r="D120" s="303" t="s">
        <v>221</v>
      </c>
      <c r="E120" s="324">
        <f>NETWORKDAYS.INTL(F120,G120,"0000100",$AH$5:$AH$12)</f>
        <v>9</v>
      </c>
      <c r="F120" s="249">
        <v>46215</v>
      </c>
      <c r="G120" s="249">
        <f>WORKDAY.INTL(F120,7,"0000110")</f>
        <v>46224</v>
      </c>
      <c r="H120" s="249">
        <v>46215</v>
      </c>
      <c r="I120" s="249">
        <f>WORKDAY.INTL(H120,7,"0000110")</f>
        <v>46224</v>
      </c>
      <c r="J120" s="249">
        <v>46215</v>
      </c>
      <c r="K120" s="1260">
        <v>46224</v>
      </c>
      <c r="L120" s="304">
        <v>1</v>
      </c>
      <c r="M120" s="304" t="str">
        <f ca="1">IF(L120=100%,"Completed",
IF(AND(L120&lt;100%,G120&lt;TODAY()),"Delayed",
IF(AND(OR(L120="",L120=0),F120&gt;TODAY()),"Not Started",
IF(AND(OR(L120="",L120=0),F120&lt;=TODAY()),"Delayed",
IF(AND(L120&gt;0,L120&lt;100%),"In Progress","")))))</f>
        <v>Completed</v>
      </c>
      <c r="N120" s="912"/>
      <c r="O120" s="904"/>
      <c r="P120" s="231"/>
      <c r="Q120" s="231"/>
      <c r="R120" s="231"/>
      <c r="S120" s="231"/>
      <c r="T120" s="231"/>
      <c r="U120" s="231"/>
      <c r="V120" s="919"/>
      <c r="W120" s="767" t="s">
        <v>222</v>
      </c>
      <c r="X120" s="1199"/>
      <c r="Y120" s="1199"/>
      <c r="Z120" s="1199"/>
      <c r="AA120" s="208"/>
      <c r="AB120" s="922"/>
    </row>
    <row r="121" spans="2:33" ht="79.5" customHeight="1" thickBot="1">
      <c r="B121" s="1281"/>
      <c r="C121" s="913" t="s">
        <v>218</v>
      </c>
      <c r="D121" s="914" t="s">
        <v>223</v>
      </c>
      <c r="E121" s="915">
        <f>NETWORKDAYS.INTL(F121,G121,"0000100",$AH$5:$AH$12)</f>
        <v>37</v>
      </c>
      <c r="F121" s="916">
        <v>46310</v>
      </c>
      <c r="G121" s="916">
        <f>WORKDAY.INTL(F121,30,"0000110")</f>
        <v>46352</v>
      </c>
      <c r="H121" s="916">
        <v>46310</v>
      </c>
      <c r="I121" s="916">
        <f>WORKDAY.INTL(H121,30,"0000110")</f>
        <v>46352</v>
      </c>
      <c r="J121" s="916"/>
      <c r="K121" s="917"/>
      <c r="L121" s="917"/>
      <c r="M121" s="917" t="str">
        <f ca="1">IF(L121=100%,"Completed",
IF(AND(L121&lt;100%,G121&lt;TODAY()),"Delayed",
IF(AND(OR(L121="",L121=0),F121&gt;TODAY()),"Not Started",
IF(AND(OR(L121="",L121=0),F121&lt;=TODAY()),"Delayed",
IF(AND(L121&gt;0,L121&lt;100%),"In Progress","")))))</f>
        <v>Not Started</v>
      </c>
      <c r="N121" s="918"/>
      <c r="O121" s="904"/>
      <c r="P121" s="231"/>
      <c r="Q121" s="231"/>
      <c r="R121" s="231"/>
      <c r="S121" s="231"/>
      <c r="T121" s="231"/>
      <c r="U121" s="231"/>
      <c r="V121" s="235"/>
      <c r="W121" s="561" t="s">
        <v>224</v>
      </c>
      <c r="X121" s="1200"/>
      <c r="Y121" s="1200"/>
      <c r="Z121" s="1200"/>
      <c r="AA121" s="923"/>
      <c r="AB121" s="924"/>
    </row>
    <row r="122" spans="2:33">
      <c r="AA122" s="157"/>
      <c r="AB122" s="157"/>
    </row>
    <row r="123" spans="2:33">
      <c r="AA123" s="157"/>
      <c r="AB123" s="157"/>
    </row>
    <row r="124" spans="2:33">
      <c r="AA124" s="157"/>
      <c r="AB124" s="157"/>
    </row>
    <row r="125" spans="2:33">
      <c r="AA125" s="157"/>
      <c r="AB125" s="157"/>
    </row>
    <row r="126" spans="2:33">
      <c r="AA126" s="157"/>
      <c r="AB126" s="157"/>
    </row>
    <row r="127" spans="2:33">
      <c r="AA127" s="157"/>
      <c r="AB127" s="157"/>
    </row>
    <row r="128" spans="2:33">
      <c r="AA128" s="157"/>
      <c r="AB128" s="157"/>
    </row>
    <row r="129" spans="12:28">
      <c r="AA129" s="157"/>
      <c r="AB129" s="157"/>
    </row>
    <row r="130" spans="12:28">
      <c r="AA130" s="157"/>
      <c r="AB130" s="157"/>
    </row>
    <row r="131" spans="12:28">
      <c r="AA131" s="157"/>
      <c r="AB131" s="157"/>
    </row>
    <row r="132" spans="12:28">
      <c r="AA132" s="157"/>
      <c r="AB132" s="157"/>
    </row>
    <row r="133" spans="12:28">
      <c r="AA133" s="157"/>
      <c r="AB133" s="157"/>
    </row>
    <row r="134" spans="12:28">
      <c r="L134" s="305"/>
      <c r="M134" s="305"/>
      <c r="AA134" s="157"/>
      <c r="AB134" s="157"/>
    </row>
    <row r="135" spans="12:28">
      <c r="L135" s="305"/>
      <c r="M135" s="305"/>
      <c r="AA135" s="157"/>
      <c r="AB135" s="157"/>
    </row>
    <row r="136" spans="12:28">
      <c r="L136" s="305"/>
      <c r="M136" s="305"/>
      <c r="AA136" s="157"/>
      <c r="AB136" s="157"/>
    </row>
    <row r="137" spans="12:28">
      <c r="L137" s="305"/>
      <c r="M137" s="305"/>
      <c r="AA137" s="157"/>
      <c r="AB137" s="157"/>
    </row>
    <row r="138" spans="12:28">
      <c r="L138" s="305"/>
      <c r="M138" s="305"/>
      <c r="AA138" s="157"/>
      <c r="AB138" s="157"/>
    </row>
    <row r="139" spans="12:28">
      <c r="L139" s="305"/>
      <c r="M139" s="305"/>
      <c r="AA139" s="157"/>
      <c r="AB139" s="157"/>
    </row>
    <row r="140" spans="12:28">
      <c r="L140" s="305"/>
      <c r="M140" s="305"/>
      <c r="AA140" s="157"/>
      <c r="AB140" s="157"/>
    </row>
    <row r="141" spans="12:28">
      <c r="L141" s="305"/>
      <c r="M141" s="305"/>
      <c r="AA141" s="157"/>
      <c r="AB141" s="157"/>
    </row>
    <row r="142" spans="12:28">
      <c r="L142" s="305"/>
      <c r="M142" s="305"/>
      <c r="AA142" s="157"/>
      <c r="AB142" s="157"/>
    </row>
    <row r="143" spans="12:28">
      <c r="L143" s="305"/>
      <c r="M143" s="305"/>
      <c r="AA143" s="157"/>
      <c r="AB143" s="157"/>
    </row>
    <row r="144" spans="12:28">
      <c r="L144" s="305"/>
      <c r="M144" s="305"/>
      <c r="AA144" s="157"/>
      <c r="AB144" s="157"/>
    </row>
    <row r="145" spans="12:28">
      <c r="L145" s="305"/>
      <c r="M145" s="305"/>
      <c r="AA145" s="157"/>
      <c r="AB145" s="157"/>
    </row>
    <row r="146" spans="12:28">
      <c r="L146" s="305"/>
      <c r="M146" s="305"/>
      <c r="AA146" s="157"/>
      <c r="AB146" s="157"/>
    </row>
    <row r="147" spans="12:28">
      <c r="L147" s="305"/>
      <c r="M147" s="305"/>
      <c r="AA147" s="157"/>
      <c r="AB147" s="157"/>
    </row>
    <row r="148" spans="12:28">
      <c r="L148" s="305"/>
      <c r="M148" s="305"/>
      <c r="AA148" s="157"/>
      <c r="AB148" s="157"/>
    </row>
    <row r="149" spans="12:28">
      <c r="L149" s="305"/>
      <c r="M149" s="305"/>
      <c r="AA149" s="157"/>
      <c r="AB149" s="157"/>
    </row>
    <row r="150" spans="12:28">
      <c r="L150" s="305"/>
      <c r="M150" s="305"/>
      <c r="AA150" s="157"/>
      <c r="AB150" s="157"/>
    </row>
    <row r="151" spans="12:28">
      <c r="L151" s="305"/>
      <c r="M151" s="305"/>
      <c r="AA151" s="157"/>
      <c r="AB151" s="157"/>
    </row>
    <row r="152" spans="12:28">
      <c r="L152" s="305"/>
      <c r="M152" s="305"/>
      <c r="AA152" s="157"/>
      <c r="AB152" s="157"/>
    </row>
    <row r="153" spans="12:28">
      <c r="L153" s="305"/>
      <c r="M153" s="305"/>
      <c r="AA153" s="157"/>
      <c r="AB153" s="157"/>
    </row>
    <row r="154" spans="12:28">
      <c r="L154" s="305"/>
      <c r="M154" s="305"/>
      <c r="AA154" s="157"/>
      <c r="AB154" s="157"/>
    </row>
    <row r="155" spans="12:28">
      <c r="L155" s="305"/>
      <c r="M155" s="305"/>
      <c r="AA155" s="157"/>
      <c r="AB155" s="157"/>
    </row>
    <row r="156" spans="12:28">
      <c r="L156" s="305"/>
      <c r="M156" s="305"/>
      <c r="AA156" s="157"/>
      <c r="AB156" s="157"/>
    </row>
    <row r="157" spans="12:28">
      <c r="L157" s="305"/>
      <c r="M157" s="305"/>
      <c r="AA157" s="157"/>
      <c r="AB157" s="157"/>
    </row>
    <row r="158" spans="12:28">
      <c r="L158" s="305"/>
      <c r="M158" s="305"/>
      <c r="AA158" s="157"/>
      <c r="AB158" s="157"/>
    </row>
    <row r="159" spans="12:28">
      <c r="L159" s="305"/>
      <c r="M159" s="305"/>
      <c r="AA159" s="157"/>
      <c r="AB159" s="157"/>
    </row>
    <row r="160" spans="12:28">
      <c r="L160" s="305"/>
      <c r="M160" s="305"/>
      <c r="AA160" s="157"/>
      <c r="AB160" s="157"/>
    </row>
    <row r="161" spans="12:28">
      <c r="L161" s="305"/>
      <c r="M161" s="305"/>
      <c r="AA161" s="157"/>
      <c r="AB161" s="157"/>
    </row>
    <row r="162" spans="12:28">
      <c r="L162" s="305"/>
      <c r="M162" s="305"/>
      <c r="AA162" s="157"/>
      <c r="AB162" s="157"/>
    </row>
    <row r="163" spans="12:28">
      <c r="L163" s="305"/>
      <c r="M163" s="305"/>
      <c r="AA163" s="157"/>
      <c r="AB163" s="157"/>
    </row>
    <row r="164" spans="12:28">
      <c r="L164" s="305"/>
      <c r="M164" s="305"/>
      <c r="AA164" s="157"/>
      <c r="AB164" s="157"/>
    </row>
    <row r="165" spans="12:28">
      <c r="L165" s="305"/>
      <c r="M165" s="305"/>
      <c r="AA165" s="157"/>
      <c r="AB165" s="157"/>
    </row>
    <row r="166" spans="12:28">
      <c r="L166" s="305"/>
      <c r="M166" s="305"/>
      <c r="AA166" s="157"/>
      <c r="AB166" s="157"/>
    </row>
    <row r="167" spans="12:28">
      <c r="L167" s="305"/>
      <c r="M167" s="305"/>
      <c r="AA167" s="157"/>
      <c r="AB167" s="157"/>
    </row>
    <row r="168" spans="12:28">
      <c r="L168" s="305"/>
      <c r="M168" s="305"/>
      <c r="AA168" s="157"/>
      <c r="AB168" s="157"/>
    </row>
    <row r="169" spans="12:28">
      <c r="L169" s="305"/>
      <c r="M169" s="305"/>
      <c r="AA169" s="157"/>
      <c r="AB169" s="157"/>
    </row>
    <row r="170" spans="12:28">
      <c r="L170" s="305"/>
      <c r="M170" s="305"/>
      <c r="AA170" s="157"/>
      <c r="AB170" s="157"/>
    </row>
    <row r="171" spans="12:28">
      <c r="L171" s="305"/>
      <c r="M171" s="305"/>
      <c r="AA171" s="157"/>
      <c r="AB171" s="157"/>
    </row>
    <row r="172" spans="12:28">
      <c r="L172" s="305"/>
      <c r="M172" s="305"/>
      <c r="AA172" s="157"/>
      <c r="AB172" s="157"/>
    </row>
    <row r="173" spans="12:28">
      <c r="L173" s="305"/>
      <c r="M173" s="305"/>
      <c r="AA173" s="157"/>
      <c r="AB173" s="157"/>
    </row>
    <row r="174" spans="12:28">
      <c r="L174" s="305"/>
      <c r="M174" s="305"/>
      <c r="AA174" s="157"/>
      <c r="AB174" s="157"/>
    </row>
    <row r="175" spans="12:28">
      <c r="L175" s="305"/>
      <c r="M175" s="305"/>
      <c r="AA175" s="157"/>
      <c r="AB175" s="157"/>
    </row>
    <row r="176" spans="12:28">
      <c r="L176" s="305"/>
      <c r="M176" s="305"/>
      <c r="AA176" s="157"/>
      <c r="AB176" s="157"/>
    </row>
    <row r="177" spans="12:28">
      <c r="L177" s="305"/>
      <c r="M177" s="305"/>
      <c r="AA177" s="157"/>
      <c r="AB177" s="157"/>
    </row>
    <row r="178" spans="12:28">
      <c r="L178" s="305"/>
      <c r="M178" s="305"/>
      <c r="AA178" s="157"/>
      <c r="AB178" s="157"/>
    </row>
    <row r="179" spans="12:28">
      <c r="L179" s="305"/>
      <c r="M179" s="305"/>
      <c r="AA179" s="157"/>
      <c r="AB179" s="157"/>
    </row>
    <row r="180" spans="12:28">
      <c r="L180" s="305"/>
      <c r="M180" s="305"/>
      <c r="AA180" s="157"/>
      <c r="AB180" s="157"/>
    </row>
    <row r="181" spans="12:28">
      <c r="L181" s="305"/>
      <c r="M181" s="305"/>
      <c r="AA181" s="157"/>
      <c r="AB181" s="157"/>
    </row>
    <row r="182" spans="12:28">
      <c r="L182" s="305"/>
      <c r="M182" s="305"/>
      <c r="AA182" s="157"/>
      <c r="AB182" s="157"/>
    </row>
    <row r="183" spans="12:28">
      <c r="L183" s="305"/>
      <c r="M183" s="305"/>
      <c r="AA183" s="157"/>
      <c r="AB183" s="157"/>
    </row>
    <row r="184" spans="12:28">
      <c r="L184" s="305"/>
      <c r="M184" s="305"/>
      <c r="AA184" s="157"/>
      <c r="AB184" s="157"/>
    </row>
    <row r="185" spans="12:28">
      <c r="L185" s="305"/>
      <c r="M185" s="305"/>
      <c r="AA185" s="157"/>
      <c r="AB185" s="157"/>
    </row>
    <row r="186" spans="12:28">
      <c r="L186" s="305"/>
      <c r="M186" s="305"/>
      <c r="AA186" s="157"/>
      <c r="AB186" s="157"/>
    </row>
    <row r="187" spans="12:28">
      <c r="L187" s="305"/>
      <c r="M187" s="305"/>
      <c r="AA187" s="157"/>
      <c r="AB187" s="157"/>
    </row>
    <row r="188" spans="12:28">
      <c r="L188" s="305"/>
      <c r="M188" s="305"/>
      <c r="AA188" s="157"/>
      <c r="AB188" s="157"/>
    </row>
    <row r="189" spans="12:28">
      <c r="L189" s="305"/>
      <c r="M189" s="305"/>
      <c r="AA189" s="157"/>
      <c r="AB189" s="157"/>
    </row>
    <row r="190" spans="12:28">
      <c r="L190" s="305"/>
      <c r="M190" s="305"/>
      <c r="AA190" s="157"/>
      <c r="AB190" s="157"/>
    </row>
    <row r="191" spans="12:28">
      <c r="L191" s="305"/>
      <c r="M191" s="305"/>
      <c r="AA191" s="157"/>
      <c r="AB191" s="157"/>
    </row>
    <row r="192" spans="12:28">
      <c r="L192" s="305"/>
      <c r="M192" s="305"/>
      <c r="AA192" s="157"/>
      <c r="AB192" s="157"/>
    </row>
    <row r="193" spans="12:28">
      <c r="L193" s="305"/>
      <c r="M193" s="305"/>
      <c r="AA193" s="157"/>
      <c r="AB193" s="157"/>
    </row>
    <row r="194" spans="12:28">
      <c r="L194" s="305"/>
      <c r="M194" s="305"/>
      <c r="AA194" s="157"/>
      <c r="AB194" s="157"/>
    </row>
    <row r="195" spans="12:28">
      <c r="L195" s="305"/>
      <c r="M195" s="305"/>
      <c r="AA195" s="157"/>
      <c r="AB195" s="157"/>
    </row>
    <row r="196" spans="12:28">
      <c r="L196" s="305"/>
      <c r="M196" s="305"/>
      <c r="AA196" s="157"/>
      <c r="AB196" s="157"/>
    </row>
    <row r="197" spans="12:28">
      <c r="L197" s="305"/>
      <c r="M197" s="305"/>
      <c r="AA197" s="157"/>
      <c r="AB197" s="157"/>
    </row>
    <row r="198" spans="12:28">
      <c r="L198" s="305"/>
      <c r="M198" s="305"/>
      <c r="AA198" s="157"/>
      <c r="AB198" s="157"/>
    </row>
    <row r="199" spans="12:28">
      <c r="L199" s="305"/>
      <c r="M199" s="305"/>
      <c r="AA199" s="157"/>
      <c r="AB199" s="157"/>
    </row>
    <row r="200" spans="12:28">
      <c r="L200" s="305"/>
      <c r="M200" s="305"/>
      <c r="AA200" s="157"/>
      <c r="AB200" s="157"/>
    </row>
    <row r="201" spans="12:28">
      <c r="L201" s="305"/>
      <c r="M201" s="305"/>
      <c r="AA201" s="157"/>
      <c r="AB201" s="157"/>
    </row>
    <row r="202" spans="12:28">
      <c r="L202" s="305"/>
      <c r="M202" s="305"/>
      <c r="AA202" s="157"/>
      <c r="AB202" s="157"/>
    </row>
    <row r="203" spans="12:28">
      <c r="L203" s="305"/>
      <c r="M203" s="305"/>
      <c r="AA203" s="157"/>
      <c r="AB203" s="157"/>
    </row>
    <row r="204" spans="12:28">
      <c r="L204" s="305"/>
      <c r="M204" s="305"/>
      <c r="AA204" s="157"/>
      <c r="AB204" s="157"/>
    </row>
    <row r="205" spans="12:28">
      <c r="L205" s="305"/>
      <c r="M205" s="305"/>
      <c r="AA205" s="157"/>
      <c r="AB205" s="157"/>
    </row>
    <row r="206" spans="12:28">
      <c r="L206" s="305"/>
      <c r="M206" s="305"/>
      <c r="AA206" s="157"/>
      <c r="AB206" s="157"/>
    </row>
    <row r="207" spans="12:28">
      <c r="L207" s="305"/>
      <c r="M207" s="305"/>
      <c r="AA207" s="157"/>
      <c r="AB207" s="157"/>
    </row>
    <row r="208" spans="12:28">
      <c r="L208" s="305"/>
      <c r="M208" s="305"/>
      <c r="AA208" s="157"/>
      <c r="AB208" s="157"/>
    </row>
    <row r="209" spans="12:28">
      <c r="L209" s="305"/>
      <c r="M209" s="305"/>
      <c r="AA209" s="157"/>
      <c r="AB209" s="157"/>
    </row>
    <row r="210" spans="12:28">
      <c r="L210" s="305"/>
      <c r="M210" s="305"/>
      <c r="AA210" s="157"/>
      <c r="AB210" s="157"/>
    </row>
    <row r="211" spans="12:28">
      <c r="L211" s="305"/>
      <c r="M211" s="305"/>
      <c r="AA211" s="157"/>
      <c r="AB211" s="157"/>
    </row>
    <row r="212" spans="12:28">
      <c r="L212" s="305"/>
      <c r="M212" s="305"/>
      <c r="AA212" s="157"/>
      <c r="AB212" s="157"/>
    </row>
    <row r="213" spans="12:28">
      <c r="L213" s="305"/>
      <c r="M213" s="305"/>
      <c r="AA213" s="157"/>
      <c r="AB213" s="157"/>
    </row>
    <row r="214" spans="12:28">
      <c r="L214" s="305"/>
      <c r="M214" s="305"/>
      <c r="AA214" s="157"/>
      <c r="AB214" s="157"/>
    </row>
    <row r="215" spans="12:28">
      <c r="L215" s="305"/>
      <c r="M215" s="305"/>
      <c r="AA215" s="157"/>
      <c r="AB215" s="157"/>
    </row>
    <row r="216" spans="12:28">
      <c r="L216" s="305"/>
      <c r="M216" s="305"/>
      <c r="AA216" s="157"/>
      <c r="AB216" s="157"/>
    </row>
    <row r="217" spans="12:28">
      <c r="L217" s="305"/>
      <c r="M217" s="305"/>
      <c r="AA217" s="157"/>
      <c r="AB217" s="157"/>
    </row>
    <row r="218" spans="12:28">
      <c r="L218" s="305"/>
      <c r="M218" s="305"/>
      <c r="AA218" s="157"/>
      <c r="AB218" s="157"/>
    </row>
    <row r="219" spans="12:28">
      <c r="L219" s="305"/>
      <c r="M219" s="305"/>
      <c r="AA219" s="157"/>
      <c r="AB219" s="157"/>
    </row>
    <row r="220" spans="12:28">
      <c r="L220" s="305"/>
      <c r="M220" s="305"/>
      <c r="AA220" s="157"/>
      <c r="AB220" s="157"/>
    </row>
    <row r="221" spans="12:28">
      <c r="L221" s="305"/>
      <c r="M221" s="305"/>
      <c r="AA221" s="157"/>
      <c r="AB221" s="157"/>
    </row>
    <row r="222" spans="12:28">
      <c r="L222" s="305"/>
      <c r="M222" s="305"/>
      <c r="AA222" s="157"/>
      <c r="AB222" s="157"/>
    </row>
    <row r="223" spans="12:28">
      <c r="L223" s="305"/>
      <c r="M223" s="305"/>
      <c r="AA223" s="157"/>
      <c r="AB223" s="157"/>
    </row>
    <row r="224" spans="12:28">
      <c r="L224" s="305"/>
      <c r="M224" s="305"/>
      <c r="AA224" s="157"/>
      <c r="AB224" s="157"/>
    </row>
    <row r="225" spans="12:28">
      <c r="L225" s="305"/>
      <c r="M225" s="305"/>
      <c r="AA225" s="157"/>
      <c r="AB225" s="157"/>
    </row>
    <row r="226" spans="12:28">
      <c r="L226" s="305"/>
      <c r="M226" s="305"/>
      <c r="AA226" s="157"/>
      <c r="AB226" s="157"/>
    </row>
    <row r="227" spans="12:28">
      <c r="L227" s="305"/>
      <c r="M227" s="305"/>
      <c r="AA227" s="157"/>
      <c r="AB227" s="157"/>
    </row>
    <row r="228" spans="12:28">
      <c r="L228" s="305"/>
      <c r="M228" s="305"/>
      <c r="AA228" s="157"/>
      <c r="AB228" s="157"/>
    </row>
    <row r="229" spans="12:28">
      <c r="L229" s="305"/>
      <c r="M229" s="305"/>
      <c r="AA229" s="157"/>
      <c r="AB229" s="157"/>
    </row>
    <row r="230" spans="12:28">
      <c r="L230" s="305"/>
      <c r="M230" s="305"/>
      <c r="AA230" s="157"/>
      <c r="AB230" s="157"/>
    </row>
    <row r="231" spans="12:28">
      <c r="L231" s="305"/>
      <c r="M231" s="305"/>
      <c r="AA231" s="157"/>
      <c r="AB231" s="157"/>
    </row>
    <row r="232" spans="12:28">
      <c r="L232" s="305"/>
      <c r="M232" s="305"/>
      <c r="AA232" s="157"/>
      <c r="AB232" s="157"/>
    </row>
    <row r="233" spans="12:28">
      <c r="L233" s="305"/>
      <c r="M233" s="305"/>
      <c r="AA233" s="157"/>
      <c r="AB233" s="157"/>
    </row>
    <row r="234" spans="12:28">
      <c r="L234" s="305"/>
      <c r="M234" s="305"/>
      <c r="AA234" s="157"/>
      <c r="AB234" s="157"/>
    </row>
    <row r="235" spans="12:28">
      <c r="L235" s="305"/>
      <c r="M235" s="305"/>
      <c r="AA235" s="157"/>
      <c r="AB235" s="157"/>
    </row>
    <row r="236" spans="12:28">
      <c r="L236" s="305"/>
      <c r="M236" s="305"/>
      <c r="AA236" s="157"/>
      <c r="AB236" s="157"/>
    </row>
    <row r="237" spans="12:28">
      <c r="L237" s="305"/>
      <c r="M237" s="305"/>
      <c r="AA237" s="157"/>
      <c r="AB237" s="157"/>
    </row>
    <row r="238" spans="12:28">
      <c r="L238" s="305"/>
      <c r="M238" s="305"/>
      <c r="AA238" s="157"/>
      <c r="AB238" s="157"/>
    </row>
    <row r="239" spans="12:28">
      <c r="L239" s="305"/>
      <c r="M239" s="305"/>
      <c r="AA239" s="157"/>
      <c r="AB239" s="157"/>
    </row>
    <row r="240" spans="12:28">
      <c r="L240" s="305"/>
      <c r="M240" s="305"/>
      <c r="AA240" s="157"/>
      <c r="AB240" s="157"/>
    </row>
    <row r="241" spans="12:28">
      <c r="L241" s="305"/>
      <c r="M241" s="305"/>
      <c r="AA241" s="157"/>
      <c r="AB241" s="157"/>
    </row>
    <row r="242" spans="12:28">
      <c r="L242" s="305"/>
      <c r="M242" s="305"/>
      <c r="AA242" s="157"/>
      <c r="AB242" s="157"/>
    </row>
    <row r="243" spans="12:28">
      <c r="L243" s="305"/>
      <c r="M243" s="305"/>
      <c r="AA243" s="157"/>
      <c r="AB243" s="157"/>
    </row>
    <row r="244" spans="12:28">
      <c r="L244" s="305"/>
      <c r="M244" s="305"/>
      <c r="AA244" s="157"/>
      <c r="AB244" s="157"/>
    </row>
    <row r="245" spans="12:28">
      <c r="L245" s="305"/>
      <c r="M245" s="305"/>
      <c r="AA245" s="157"/>
      <c r="AB245" s="157"/>
    </row>
    <row r="246" spans="12:28">
      <c r="L246" s="305"/>
      <c r="M246" s="305"/>
      <c r="AA246" s="157"/>
      <c r="AB246" s="157"/>
    </row>
    <row r="247" spans="12:28">
      <c r="L247" s="305"/>
      <c r="M247" s="305"/>
      <c r="AA247" s="157"/>
      <c r="AB247" s="157"/>
    </row>
    <row r="248" spans="12:28">
      <c r="L248" s="305"/>
      <c r="M248" s="305"/>
      <c r="AA248" s="157"/>
      <c r="AB248" s="157"/>
    </row>
    <row r="249" spans="12:28">
      <c r="L249" s="305"/>
      <c r="M249" s="305"/>
      <c r="AA249" s="157"/>
      <c r="AB249" s="157"/>
    </row>
    <row r="250" spans="12:28">
      <c r="L250" s="305"/>
      <c r="M250" s="305"/>
      <c r="AA250" s="157"/>
      <c r="AB250" s="157"/>
    </row>
    <row r="251" spans="12:28">
      <c r="L251" s="305"/>
      <c r="M251" s="305"/>
      <c r="AA251" s="157"/>
      <c r="AB251" s="157"/>
    </row>
    <row r="252" spans="12:28">
      <c r="L252" s="305"/>
      <c r="M252" s="305"/>
      <c r="AA252" s="157"/>
      <c r="AB252" s="157"/>
    </row>
    <row r="253" spans="12:28">
      <c r="L253" s="305"/>
      <c r="M253" s="305"/>
      <c r="AA253" s="157"/>
      <c r="AB253" s="157"/>
    </row>
    <row r="254" spans="12:28">
      <c r="L254" s="305"/>
      <c r="M254" s="305"/>
      <c r="AA254" s="157"/>
      <c r="AB254" s="157"/>
    </row>
    <row r="255" spans="12:28">
      <c r="L255" s="305"/>
      <c r="M255" s="305"/>
      <c r="AA255" s="157"/>
      <c r="AB255" s="157"/>
    </row>
    <row r="256" spans="12:28">
      <c r="L256" s="305"/>
      <c r="M256" s="305"/>
      <c r="AA256" s="157"/>
      <c r="AB256" s="157"/>
    </row>
    <row r="257" spans="12:28">
      <c r="L257" s="305"/>
      <c r="M257" s="305"/>
      <c r="AA257" s="157"/>
      <c r="AB257" s="157"/>
    </row>
    <row r="258" spans="12:28">
      <c r="L258" s="305"/>
      <c r="M258" s="305"/>
      <c r="AA258" s="157"/>
      <c r="AB258" s="157"/>
    </row>
    <row r="259" spans="12:28">
      <c r="L259" s="305"/>
      <c r="M259" s="305"/>
      <c r="AA259" s="157"/>
      <c r="AB259" s="157"/>
    </row>
    <row r="260" spans="12:28">
      <c r="L260" s="305"/>
      <c r="M260" s="305"/>
      <c r="AA260" s="157"/>
      <c r="AB260" s="157"/>
    </row>
    <row r="261" spans="12:28">
      <c r="L261" s="305"/>
      <c r="M261" s="305"/>
      <c r="AA261" s="157"/>
      <c r="AB261" s="157"/>
    </row>
    <row r="262" spans="12:28">
      <c r="L262" s="305"/>
      <c r="M262" s="305"/>
      <c r="AA262" s="157"/>
      <c r="AB262" s="157"/>
    </row>
    <row r="263" spans="12:28">
      <c r="L263" s="305"/>
      <c r="M263" s="305"/>
      <c r="AA263" s="157"/>
      <c r="AB263" s="157"/>
    </row>
    <row r="264" spans="12:28">
      <c r="L264" s="305"/>
      <c r="M264" s="305"/>
      <c r="AA264" s="157"/>
      <c r="AB264" s="157"/>
    </row>
    <row r="265" spans="12:28">
      <c r="L265" s="305"/>
      <c r="M265" s="305"/>
      <c r="AA265" s="157"/>
      <c r="AB265" s="157"/>
    </row>
    <row r="266" spans="12:28">
      <c r="AA266" s="246"/>
      <c r="AB266" s="246"/>
    </row>
  </sheetData>
  <sheetProtection formatCells="0" formatColumns="0" formatRows="0" insertColumns="0" insertRows="0" insertHyperlinks="0" deleteColumns="0" deleteRows="0" sort="0" autoFilter="0" pivotTables="0"/>
  <mergeCells count="28">
    <mergeCell ref="AA108:AA114"/>
    <mergeCell ref="B116:B117"/>
    <mergeCell ref="B119:B121"/>
    <mergeCell ref="B92:B93"/>
    <mergeCell ref="B95:B96"/>
    <mergeCell ref="B98:B99"/>
    <mergeCell ref="B101:B102"/>
    <mergeCell ref="B108:B114"/>
    <mergeCell ref="B77:B78"/>
    <mergeCell ref="B80:B81"/>
    <mergeCell ref="B83:B84"/>
    <mergeCell ref="B86:B87"/>
    <mergeCell ref="B89:B90"/>
    <mergeCell ref="B56:B58"/>
    <mergeCell ref="B62:B66"/>
    <mergeCell ref="B67:B68"/>
    <mergeCell ref="B70:B71"/>
    <mergeCell ref="B73:B75"/>
    <mergeCell ref="B31:B34"/>
    <mergeCell ref="B36:B39"/>
    <mergeCell ref="B41:B44"/>
    <mergeCell ref="B46:B49"/>
    <mergeCell ref="B51:B54"/>
    <mergeCell ref="B5:B9"/>
    <mergeCell ref="B11:B14"/>
    <mergeCell ref="B16:B19"/>
    <mergeCell ref="B21:B24"/>
    <mergeCell ref="B26:B29"/>
  </mergeCells>
  <phoneticPr fontId="29" type="noConversion"/>
  <conditionalFormatting sqref="L119:L121">
    <cfRule type="cellIs" dxfId="33" priority="10" operator="equal">
      <formula>"In Progress"</formula>
    </cfRule>
    <cfRule type="cellIs" dxfId="32" priority="11" operator="equal">
      <formula>"Delayed"</formula>
    </cfRule>
    <cfRule type="cellIs" dxfId="31" priority="12" operator="equal">
      <formula>"Completed"</formula>
    </cfRule>
  </conditionalFormatting>
  <conditionalFormatting sqref="M1:N1048576">
    <cfRule type="cellIs" dxfId="30" priority="1" operator="equal">
      <formula>"Delayed"</formula>
    </cfRule>
    <cfRule type="cellIs" dxfId="29" priority="2" operator="equal">
      <formula>"In Progress"</formula>
    </cfRule>
    <cfRule type="cellIs" dxfId="28" priority="3" operator="equal">
      <formula>"Completed"</formula>
    </cfRule>
  </conditionalFormatting>
  <dataValidations disablePrompts="1" count="2">
    <dataValidation type="list" allowBlank="1" showInputMessage="1" showErrorMessage="1" sqref="AC64" xr:uid="{00000000-0002-0000-0200-000000000000}">
      <formula1>$AE$2:$AE$4</formula1>
    </dataValidation>
    <dataValidation type="list" allowBlank="1" showInputMessage="1" showErrorMessage="1" sqref="AC105:AC106 AC65:AC103 AC3:AC63 AC108:AC114" xr:uid="{00000000-0002-0000-0200-000001000000}">
      <formula1>$AD$2:$AD$5</formula1>
    </dataValidation>
  </dataValidations>
  <pageMargins left="0.7" right="0.7" top="0.75" bottom="0.75" header="0.3" footer="0.3"/>
  <pageSetup paperSize="8" scale="42" fitToHeight="0" orientation="landscape" r:id="rId1"/>
  <rowBreaks count="5" manualBreakCount="5">
    <brk id="25" max="16383" man="1"/>
    <brk id="55" max="16383" man="1"/>
    <brk id="85" max="16383" man="1"/>
    <brk id="107" max="16383" man="1"/>
    <brk id="11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K123"/>
  <sheetViews>
    <sheetView showGridLines="0" tabSelected="1" zoomScale="70" zoomScaleNormal="70" workbookViewId="0">
      <pane ySplit="2" topLeftCell="A12" activePane="bottomLeft" state="frozen"/>
      <selection pane="bottomLeft" activeCell="L15" sqref="L15"/>
    </sheetView>
  </sheetViews>
  <sheetFormatPr defaultColWidth="9" defaultRowHeight="15.75" customHeight="1"/>
  <cols>
    <col min="1" max="1" width="0.625" style="20" customWidth="1"/>
    <col min="2" max="2" width="16" style="20" customWidth="1"/>
    <col min="3" max="3" width="3.625" style="20" bestFit="1" customWidth="1"/>
    <col min="4" max="4" width="48.125" style="325" customWidth="1"/>
    <col min="5" max="5" width="14.625" style="326" customWidth="1"/>
    <col min="6" max="6" width="12.75" style="397" customWidth="1"/>
    <col min="7" max="7" width="14.5" style="397" customWidth="1"/>
    <col min="8" max="8" width="14.625" style="397" bestFit="1" customWidth="1"/>
    <col min="9" max="9" width="15.75" style="397" bestFit="1" customWidth="1"/>
    <col min="10" max="10" width="20.125" style="397" customWidth="1"/>
    <col min="11" max="11" width="14.25" style="397" customWidth="1"/>
    <col min="12" max="12" width="11.25" style="401" customWidth="1"/>
    <col min="13" max="13" width="16.125" style="401" customWidth="1"/>
    <col min="14" max="14" width="0.125" style="20" customWidth="1"/>
    <col min="15" max="21" width="9.125" style="20" hidden="1" customWidth="1"/>
    <col min="22" max="22" width="20.625" style="401" bestFit="1" customWidth="1"/>
    <col min="23" max="23" width="1" style="515" customWidth="1"/>
    <col min="24" max="24" width="52.125" style="23" customWidth="1"/>
    <col min="25" max="25" width="18.875" style="1171" bestFit="1" customWidth="1"/>
    <col min="26" max="26" width="19.25" style="1171" customWidth="1"/>
    <col min="27" max="27" width="16.125" style="1171" customWidth="1"/>
    <col min="28" max="28" width="54" style="23" customWidth="1"/>
    <col min="29" max="29" width="52.125" style="23" customWidth="1"/>
    <col min="30" max="30" width="9" style="20" hidden="1" customWidth="1"/>
    <col min="31" max="31" width="9" style="20"/>
    <col min="32" max="32" width="9.125" style="20" hidden="1" customWidth="1"/>
    <col min="33" max="33" width="12.125" style="24" hidden="1" customWidth="1"/>
    <col min="34" max="34" width="10.125" style="24" hidden="1" customWidth="1"/>
    <col min="35" max="35" width="10.125" style="20" hidden="1" customWidth="1"/>
    <col min="36" max="36" width="9.125" style="20" hidden="1" customWidth="1"/>
    <col min="37" max="37" width="9" style="20" hidden="1" customWidth="1"/>
    <col min="38" max="16384" width="9" style="20"/>
  </cols>
  <sheetData>
    <row r="1" spans="2:37" ht="6" customHeight="1" thickBot="1">
      <c r="F1" s="361"/>
      <c r="G1" s="361"/>
      <c r="H1" s="361"/>
      <c r="I1" s="361"/>
      <c r="J1" s="361"/>
      <c r="K1" s="361"/>
      <c r="L1" s="362"/>
      <c r="M1" s="362"/>
      <c r="N1" s="105"/>
      <c r="V1" s="362"/>
      <c r="W1" s="507"/>
    </row>
    <row r="2" spans="2:37" ht="77.25" thickBot="1">
      <c r="B2" s="538"/>
      <c r="C2" s="539" t="s">
        <v>96</v>
      </c>
      <c r="D2" s="540" t="s">
        <v>1</v>
      </c>
      <c r="E2" s="540" t="s">
        <v>97</v>
      </c>
      <c r="F2" s="540" t="s">
        <v>98</v>
      </c>
      <c r="G2" s="540" t="s">
        <v>83</v>
      </c>
      <c r="H2" s="540" t="s">
        <v>99</v>
      </c>
      <c r="I2" s="540" t="s">
        <v>84</v>
      </c>
      <c r="J2" s="1068" t="s">
        <v>100</v>
      </c>
      <c r="K2" s="1068" t="s">
        <v>101</v>
      </c>
      <c r="L2" s="1069" t="s">
        <v>82</v>
      </c>
      <c r="M2" s="541" t="s">
        <v>102</v>
      </c>
      <c r="N2" s="439"/>
      <c r="O2" s="542">
        <v>46113</v>
      </c>
      <c r="P2" s="542">
        <v>46143</v>
      </c>
      <c r="Q2" s="542">
        <v>46174</v>
      </c>
      <c r="R2" s="542">
        <v>46204</v>
      </c>
      <c r="S2" s="542">
        <v>46235</v>
      </c>
      <c r="T2" s="542">
        <v>46266</v>
      </c>
      <c r="U2" s="542">
        <v>46296</v>
      </c>
      <c r="V2" s="543" t="s">
        <v>103</v>
      </c>
      <c r="W2" s="531"/>
      <c r="X2" s="528" t="s">
        <v>2</v>
      </c>
      <c r="Y2" s="1165" t="s">
        <v>104</v>
      </c>
      <c r="Z2" s="1165" t="s">
        <v>105</v>
      </c>
      <c r="AA2" s="1165" t="s">
        <v>106</v>
      </c>
      <c r="AB2" s="529" t="s">
        <v>107</v>
      </c>
      <c r="AC2" s="530" t="s">
        <v>108</v>
      </c>
      <c r="AD2" s="20" t="s">
        <v>226</v>
      </c>
    </row>
    <row r="3" spans="2:37" ht="1.5" customHeight="1" thickBot="1">
      <c r="B3" s="107"/>
      <c r="C3" s="107"/>
      <c r="D3" s="532" t="s">
        <v>334</v>
      </c>
      <c r="E3" s="533"/>
      <c r="F3" s="534">
        <v>46160</v>
      </c>
      <c r="G3" s="534">
        <v>46172</v>
      </c>
      <c r="H3" s="534">
        <v>46160</v>
      </c>
      <c r="I3" s="534">
        <v>46172</v>
      </c>
      <c r="J3" s="534"/>
      <c r="K3" s="534"/>
      <c r="L3" s="535">
        <v>1</v>
      </c>
      <c r="M3" s="535" t="str">
        <f ca="1">IF(OR(L3=100%,K3&lt;&gt;""),"Completed",IF(AND(OR(L3="",L3=0),F3&gt;TODAY()),"Not Started",IF(AND(OR(L3="",L3=0),F3&lt;=TODAY()),"Delayed",IF(AND(L3&gt;0,L3&lt;100%,G3&lt;TODAY()),"Delayed",IF(AND(L3&gt;0,L3&lt;100%),"In Progress","")))))</f>
        <v>Completed</v>
      </c>
      <c r="N3" s="106"/>
      <c r="O3" s="536"/>
      <c r="P3" s="537"/>
      <c r="Q3" s="537"/>
      <c r="R3" s="537"/>
      <c r="S3" s="537"/>
      <c r="T3" s="537"/>
      <c r="U3" s="537"/>
      <c r="V3" s="535"/>
      <c r="W3" s="508"/>
      <c r="X3" s="526" t="s">
        <v>335</v>
      </c>
      <c r="Y3" s="1229"/>
      <c r="Z3" s="1229"/>
      <c r="AA3" s="1229"/>
      <c r="AB3" s="527"/>
      <c r="AC3" s="527"/>
      <c r="AD3" s="20" t="s">
        <v>113</v>
      </c>
    </row>
    <row r="4" spans="2:37" s="19" customFormat="1" ht="3.75" customHeight="1" thickBot="1">
      <c r="B4" s="51"/>
      <c r="C4" s="51"/>
      <c r="D4" s="338"/>
      <c r="E4" s="339"/>
      <c r="F4" s="338"/>
      <c r="G4" s="338"/>
      <c r="H4" s="338"/>
      <c r="I4" s="338"/>
      <c r="J4" s="338"/>
      <c r="K4" s="338"/>
      <c r="L4" s="374"/>
      <c r="M4" s="374"/>
      <c r="N4" s="51"/>
      <c r="O4" s="51"/>
      <c r="P4" s="51"/>
      <c r="Q4" s="51"/>
      <c r="R4" s="51"/>
      <c r="S4" s="51"/>
      <c r="T4" s="51"/>
      <c r="U4" s="51"/>
      <c r="V4" s="374"/>
      <c r="W4" s="509"/>
      <c r="X4" s="53"/>
      <c r="Y4" s="661"/>
      <c r="Z4" s="661"/>
      <c r="AA4" s="661"/>
      <c r="AB4" s="520"/>
      <c r="AC4" s="520"/>
      <c r="AG4" s="33"/>
      <c r="AH4" s="33"/>
    </row>
    <row r="5" spans="2:37" ht="61.5">
      <c r="B5" s="1343" t="s">
        <v>229</v>
      </c>
      <c r="C5" s="427" t="s">
        <v>86</v>
      </c>
      <c r="D5" s="375" t="s">
        <v>112</v>
      </c>
      <c r="E5" s="346">
        <f>NETWORKDAYS.INTL(F5,G5,"0000100",$AI$5:$AI$12)</f>
        <v>8</v>
      </c>
      <c r="F5" s="81">
        <f>WORKDAY.INTL("27-Jun-26",0,"0000100")</f>
        <v>46200</v>
      </c>
      <c r="G5" s="81">
        <f>WORKDAY.INTL(F5,7,"0000100",$AI$5:$AI$11)</f>
        <v>46208</v>
      </c>
      <c r="H5" s="81">
        <f>WORKDAY.INTL("27-Jun-26",0,"0000100")</f>
        <v>46200</v>
      </c>
      <c r="I5" s="81">
        <f>WORKDAY.INTL(H5,7,"0000100",$AI$5:$AI$11)</f>
        <v>46208</v>
      </c>
      <c r="J5" s="81">
        <v>46200</v>
      </c>
      <c r="K5" s="81">
        <v>46208</v>
      </c>
      <c r="L5" s="376">
        <v>1</v>
      </c>
      <c r="M5" s="376" t="str">
        <f t="shared" ref="M5:M11" ca="1" si="0">IF(L5=100%,"Completed",
IF(AND(L5&lt;100%,G5&lt;TODAY()),"Delayed",
IF(AND(OR(L5="",L5=0),F5&gt;TODAY()),"Not Started",
IF(AND(OR(L5="",L5=0),F5&lt;=TODAY()),"Delayed",
IF(AND(L5&gt;0,L5&lt;100%),"In Progress","")))))</f>
        <v>Completed</v>
      </c>
      <c r="N5" s="68"/>
      <c r="O5" s="112"/>
      <c r="P5" s="112"/>
      <c r="Q5" s="112"/>
      <c r="R5" s="112"/>
      <c r="S5" s="112"/>
      <c r="T5" s="112"/>
      <c r="U5" s="112"/>
      <c r="V5" s="516"/>
      <c r="W5" s="1352"/>
      <c r="X5" s="521"/>
      <c r="Y5" s="1180"/>
      <c r="Z5" s="1180"/>
      <c r="AA5" s="1180"/>
      <c r="AB5" s="67"/>
      <c r="AC5" s="497"/>
      <c r="AD5" s="20" t="s">
        <v>124</v>
      </c>
      <c r="AF5" s="34" t="s">
        <v>62</v>
      </c>
      <c r="AG5" s="24" t="s">
        <v>68</v>
      </c>
      <c r="AI5" s="37">
        <v>46166</v>
      </c>
    </row>
    <row r="6" spans="2:37" ht="59.25">
      <c r="B6" s="1344"/>
      <c r="C6" s="428" t="s">
        <v>86</v>
      </c>
      <c r="D6" s="517" t="s">
        <v>336</v>
      </c>
      <c r="E6" s="354">
        <f>NETWORKDAYS.INTL(F6,G6,"0000100",$AI$5:$AI$12)</f>
        <v>12</v>
      </c>
      <c r="F6" s="84">
        <f>WORKDAY.INTL("16-Jun-26",0,"0000100")</f>
        <v>46189</v>
      </c>
      <c r="G6" s="84">
        <f>WORKDAY.INTL(F6,11,"0000100",$AI$5:$AI$11)</f>
        <v>46202</v>
      </c>
      <c r="H6" s="84">
        <f>WORKDAY.INTL("16-Jun-26",0,"0000100")</f>
        <v>46189</v>
      </c>
      <c r="I6" s="84">
        <f>WORKDAY.INTL(H6,11,"0000100",$AI$5:$AI$11)</f>
        <v>46202</v>
      </c>
      <c r="J6" s="84">
        <v>46189</v>
      </c>
      <c r="K6" s="84">
        <v>46232</v>
      </c>
      <c r="L6" s="366">
        <v>1</v>
      </c>
      <c r="M6" s="366" t="str">
        <f t="shared" ca="1" si="0"/>
        <v>Completed</v>
      </c>
      <c r="N6" s="85"/>
      <c r="O6" s="50"/>
      <c r="P6" s="50"/>
      <c r="Q6" s="50"/>
      <c r="R6" s="50"/>
      <c r="S6" s="50"/>
      <c r="T6" s="50"/>
      <c r="U6" s="50"/>
      <c r="V6" s="518"/>
      <c r="W6" s="1353"/>
      <c r="X6" s="522"/>
      <c r="Y6" s="1172"/>
      <c r="Z6" s="1172"/>
      <c r="AA6" s="1172"/>
      <c r="AB6" s="34"/>
      <c r="AC6" s="498"/>
      <c r="AF6" s="24"/>
      <c r="AI6" s="37">
        <v>46167</v>
      </c>
    </row>
    <row r="7" spans="2:37" ht="59.25">
      <c r="B7" s="1344"/>
      <c r="C7" s="428" t="s">
        <v>86</v>
      </c>
      <c r="D7" s="517" t="s">
        <v>337</v>
      </c>
      <c r="E7" s="354">
        <f>NETWORKDAYS.INTL(F7,G7,"0000100",$AI$5:$AI$12)</f>
        <v>11</v>
      </c>
      <c r="F7" s="84">
        <f>WORKDAY.INTL(G6,5,"0000100",$AI$5:$AI$11)</f>
        <v>46208</v>
      </c>
      <c r="G7" s="84">
        <f>WORKDAY.INTL(F7,10,"0000100",$AI$5:$AI$11)</f>
        <v>46219</v>
      </c>
      <c r="H7" s="84">
        <f>WORKDAY.INTL(I6,5,"0000100",$AI$5:$AI$11)</f>
        <v>46208</v>
      </c>
      <c r="I7" s="84">
        <f>WORKDAY.INTL(H7,16,"0000100",$AI$5:$AI$11)</f>
        <v>46226</v>
      </c>
      <c r="J7" s="84"/>
      <c r="K7" s="84">
        <v>46226</v>
      </c>
      <c r="L7" s="366">
        <v>1</v>
      </c>
      <c r="M7" s="366" t="str">
        <f t="shared" ca="1" si="0"/>
        <v>Completed</v>
      </c>
      <c r="N7" s="85"/>
      <c r="O7" s="50"/>
      <c r="P7" s="50"/>
      <c r="Q7" s="50"/>
      <c r="R7" s="50"/>
      <c r="S7" s="50"/>
      <c r="T7" s="50"/>
      <c r="U7" s="50"/>
      <c r="V7" s="518"/>
      <c r="W7" s="1353"/>
      <c r="X7" s="522"/>
      <c r="Y7" s="1172"/>
      <c r="Z7" s="1172"/>
      <c r="AA7" s="1172"/>
      <c r="AB7" s="34"/>
      <c r="AC7" s="498"/>
      <c r="AF7" s="24"/>
      <c r="AI7" s="37"/>
    </row>
    <row r="8" spans="2:37" ht="61.5">
      <c r="B8" s="1344"/>
      <c r="C8" s="428" t="s">
        <v>86</v>
      </c>
      <c r="D8" s="517" t="s">
        <v>114</v>
      </c>
      <c r="E8" s="354">
        <f>NETWORKDAYS.INTL(F8,G8,"0000100",$AI$5:$AI$12)</f>
        <v>9</v>
      </c>
      <c r="F8" s="84">
        <f>WORKDAY.INTL(G5,1,"0000100",$AI$5:$AI$12)</f>
        <v>46209</v>
      </c>
      <c r="G8" s="84">
        <f>WORKDAY.INTL(F8,8,"0000100",$AK$5:$AK$11)</f>
        <v>46218</v>
      </c>
      <c r="H8" s="84">
        <f>WORKDAY.INTL(I5,1,"0000100",$AI$5:$AI$12)</f>
        <v>46209</v>
      </c>
      <c r="I8" s="84">
        <f>WORKDAY.INTL(H8,8,"0000100",$AK$5:$AK$11)</f>
        <v>46218</v>
      </c>
      <c r="J8" s="84">
        <v>46209</v>
      </c>
      <c r="K8" s="84">
        <v>46219</v>
      </c>
      <c r="L8" s="366">
        <v>1</v>
      </c>
      <c r="M8" s="366" t="str">
        <f t="shared" ca="1" si="0"/>
        <v>Completed</v>
      </c>
      <c r="N8" s="85"/>
      <c r="O8" s="50"/>
      <c r="P8" s="50"/>
      <c r="Q8" s="50"/>
      <c r="R8" s="50"/>
      <c r="S8" s="50"/>
      <c r="T8" s="50"/>
      <c r="U8" s="50"/>
      <c r="V8" s="518"/>
      <c r="W8" s="1353"/>
      <c r="X8" s="522" t="s">
        <v>131</v>
      </c>
      <c r="Y8" s="1172"/>
      <c r="Z8" s="1172"/>
      <c r="AA8" s="1172"/>
      <c r="AB8" s="34"/>
      <c r="AC8" s="498"/>
      <c r="AF8" s="34" t="s">
        <v>63</v>
      </c>
      <c r="AG8" s="24" t="s">
        <v>68</v>
      </c>
      <c r="AI8" s="37">
        <v>46168</v>
      </c>
    </row>
    <row r="9" spans="2:37" ht="61.5">
      <c r="B9" s="1344"/>
      <c r="C9" s="428" t="s">
        <v>86</v>
      </c>
      <c r="D9" s="517" t="s">
        <v>115</v>
      </c>
      <c r="E9" s="354"/>
      <c r="F9" s="84" t="s">
        <v>116</v>
      </c>
      <c r="G9" s="84">
        <v>46229</v>
      </c>
      <c r="H9" s="84" t="s">
        <v>116</v>
      </c>
      <c r="I9" s="84">
        <v>46229</v>
      </c>
      <c r="J9" s="84"/>
      <c r="K9" s="84"/>
      <c r="L9" s="366">
        <v>0.94</v>
      </c>
      <c r="M9" s="366" t="str">
        <f t="shared" ca="1" si="0"/>
        <v>In Progress</v>
      </c>
      <c r="N9" s="85"/>
      <c r="O9" s="50"/>
      <c r="P9" s="50"/>
      <c r="Q9" s="50"/>
      <c r="R9" s="50"/>
      <c r="S9" s="50"/>
      <c r="T9" s="50"/>
      <c r="U9" s="50"/>
      <c r="V9" s="518"/>
      <c r="W9" s="1353"/>
      <c r="X9" s="522" t="s">
        <v>338</v>
      </c>
      <c r="Y9" s="1172"/>
      <c r="Z9" s="1172"/>
      <c r="AA9" s="1172"/>
      <c r="AB9" s="34"/>
      <c r="AC9" s="498"/>
      <c r="AF9" s="24"/>
      <c r="AI9" s="37">
        <v>46169</v>
      </c>
    </row>
    <row r="10" spans="2:37" ht="61.5">
      <c r="B10" s="1344"/>
      <c r="C10" s="428" t="s">
        <v>86</v>
      </c>
      <c r="D10" s="353" t="s">
        <v>120</v>
      </c>
      <c r="E10" s="354">
        <f>NETWORKDAYS.INTL(F10,G10,"0000110",$AI$5:$AI$12)</f>
        <v>3</v>
      </c>
      <c r="F10" s="84">
        <f>MAX(WORKDAY.INTL(G7,1,"0000110"),WORKDAY.INTL(G8,1,"0000110"),WORKDAY.INTL(G9,1,"0000110"))</f>
        <v>46230</v>
      </c>
      <c r="G10" s="84">
        <f t="shared" ref="G10" si="1">WORKDAY.INTL(F10,2,"0000110")</f>
        <v>46232</v>
      </c>
      <c r="H10" s="84">
        <f>MAX(WORKDAY.INTL(I7,1,"0000110"),WORKDAY.INTL(I8,1,"0000110"),WORKDAY.INTL(I9,1,"0000110"))</f>
        <v>46230</v>
      </c>
      <c r="I10" s="84">
        <f t="shared" ref="I10" si="2">WORKDAY.INTL(H10,2,"0000110")</f>
        <v>46232</v>
      </c>
      <c r="J10" s="84"/>
      <c r="K10" s="84"/>
      <c r="L10" s="366"/>
      <c r="M10" s="366" t="str">
        <f t="shared" ca="1" si="0"/>
        <v>Not Started</v>
      </c>
      <c r="N10" s="85"/>
      <c r="O10" s="82"/>
      <c r="P10" s="82"/>
      <c r="Q10" s="82"/>
      <c r="R10" s="82"/>
      <c r="S10" s="82"/>
      <c r="T10" s="82"/>
      <c r="U10" s="82"/>
      <c r="V10" s="518"/>
      <c r="W10" s="1353"/>
      <c r="X10" s="523" t="s">
        <v>339</v>
      </c>
      <c r="Y10" s="1172">
        <v>1</v>
      </c>
      <c r="Z10" s="1172"/>
      <c r="AA10" s="1172"/>
      <c r="AB10" s="34" t="s">
        <v>340</v>
      </c>
      <c r="AC10" s="498" t="s">
        <v>123</v>
      </c>
      <c r="AF10" s="34" t="s">
        <v>64</v>
      </c>
      <c r="AG10" s="24" t="s">
        <v>68</v>
      </c>
      <c r="AI10" s="37">
        <v>46170</v>
      </c>
    </row>
    <row r="11" spans="2:37" ht="61.5">
      <c r="B11" s="1345"/>
      <c r="C11" s="429" t="s">
        <v>86</v>
      </c>
      <c r="D11" s="489" t="s">
        <v>125</v>
      </c>
      <c r="E11" s="347">
        <f>NETWORKDAYS.INTL(F11,G11,"0000110",$AI$5:$AI$12)</f>
        <v>2</v>
      </c>
      <c r="F11" s="378">
        <f t="shared" ref="F11" si="3">WORKDAY.INTL(G10,1,"0000110")</f>
        <v>46233</v>
      </c>
      <c r="G11" s="378">
        <f t="shared" ref="G11" si="4">WORKDAY.INTL(F11,1,"0000110")</f>
        <v>46236</v>
      </c>
      <c r="H11" s="378">
        <f t="shared" ref="H11" si="5">WORKDAY.INTL(I10,1,"0000110")</f>
        <v>46233</v>
      </c>
      <c r="I11" s="378">
        <f t="shared" ref="I11" si="6">WORKDAY.INTL(H11,1,"0000110")</f>
        <v>46236</v>
      </c>
      <c r="J11" s="378"/>
      <c r="K11" s="378"/>
      <c r="L11" s="379"/>
      <c r="M11" s="379" t="str">
        <f t="shared" ca="1" si="0"/>
        <v>Not Started</v>
      </c>
      <c r="N11" s="71"/>
      <c r="O11" s="72"/>
      <c r="P11" s="72"/>
      <c r="Q11" s="72"/>
      <c r="R11" s="72"/>
      <c r="S11" s="72"/>
      <c r="T11" s="72"/>
      <c r="U11" s="72"/>
      <c r="V11" s="519"/>
      <c r="W11" s="1354"/>
      <c r="X11" s="524" t="s">
        <v>126</v>
      </c>
      <c r="Y11" s="1181">
        <v>1</v>
      </c>
      <c r="Z11" s="1181"/>
      <c r="AA11" s="1181"/>
      <c r="AB11" s="70"/>
      <c r="AC11" s="525"/>
      <c r="AF11" s="34" t="s">
        <v>65</v>
      </c>
      <c r="AG11" s="24" t="s">
        <v>68</v>
      </c>
      <c r="AI11" s="37">
        <v>46171</v>
      </c>
    </row>
    <row r="12" spans="2:37" s="19" customFormat="1" ht="9" customHeight="1" thickBot="1">
      <c r="B12" s="114"/>
      <c r="C12" s="114"/>
      <c r="D12" s="380"/>
      <c r="E12" s="381"/>
      <c r="F12" s="380"/>
      <c r="G12" s="380"/>
      <c r="H12" s="380"/>
      <c r="I12" s="380"/>
      <c r="J12" s="380"/>
      <c r="K12" s="380"/>
      <c r="L12" s="382"/>
      <c r="M12" s="382"/>
      <c r="N12" s="114"/>
      <c r="O12" s="114"/>
      <c r="P12" s="114"/>
      <c r="Q12" s="114"/>
      <c r="R12" s="114"/>
      <c r="S12" s="114"/>
      <c r="T12" s="114"/>
      <c r="U12" s="114"/>
      <c r="V12" s="382"/>
      <c r="W12" s="509"/>
      <c r="X12" s="660"/>
      <c r="Y12" s="661"/>
      <c r="Z12" s="661"/>
      <c r="AA12" s="661"/>
      <c r="AB12" s="114"/>
      <c r="AC12" s="114"/>
      <c r="AE12" s="20"/>
      <c r="AG12" s="24" t="s">
        <v>69</v>
      </c>
      <c r="AI12" s="37">
        <v>46288</v>
      </c>
    </row>
    <row r="13" spans="2:37" ht="59.25">
      <c r="B13" s="1368" t="s">
        <v>341</v>
      </c>
      <c r="C13" s="962" t="s">
        <v>86</v>
      </c>
      <c r="D13" s="963" t="s">
        <v>112</v>
      </c>
      <c r="E13" s="964">
        <f>NETWORKDAYS.INTL(F13,G13,"0000100",$AI$5:$AI$12)</f>
        <v>3</v>
      </c>
      <c r="F13" s="383">
        <f>WORKDAY.INTL(G8,1,"0000100")</f>
        <v>46219</v>
      </c>
      <c r="G13" s="383">
        <f>WORKDAY.INTL(F13,2,"0000100",$AI$5:$AI$11)</f>
        <v>46222</v>
      </c>
      <c r="H13" s="383">
        <f>WORKDAY.INTL(I8,1,"0000100")</f>
        <v>46219</v>
      </c>
      <c r="I13" s="383">
        <f>WORKDAY.INTL(H13,2,"0000100",$AI$5:$AI$11)</f>
        <v>46222</v>
      </c>
      <c r="J13" s="383">
        <v>46221</v>
      </c>
      <c r="K13" s="383">
        <v>46224</v>
      </c>
      <c r="L13" s="384">
        <v>1</v>
      </c>
      <c r="M13" s="384" t="str">
        <f t="shared" ref="M13:M60" ca="1" si="7">IF(L13=100%,"Completed",
IF(AND(L13&lt;100%,G13&lt;TODAY()),"Delayed",
IF(AND(OR(L13="",L13=0),F13&gt;TODAY()),"Not Started",
IF(AND(OR(L13="",L13=0),F13&lt;=TODAY()),"Delayed",
IF(AND(L13&gt;0,L13&lt;100%),"In Progress","")))))</f>
        <v>Completed</v>
      </c>
      <c r="N13" s="965"/>
      <c r="O13" s="966"/>
      <c r="P13" s="966"/>
      <c r="Q13" s="966"/>
      <c r="R13" s="966"/>
      <c r="S13" s="966"/>
      <c r="T13" s="966"/>
      <c r="U13" s="966"/>
      <c r="V13" s="967"/>
      <c r="W13" s="624"/>
      <c r="X13" s="982"/>
      <c r="Y13" s="1230" t="s">
        <v>169</v>
      </c>
      <c r="Z13" s="1230"/>
      <c r="AA13" s="1230"/>
      <c r="AB13" s="93" t="s">
        <v>342</v>
      </c>
      <c r="AC13" s="983" t="s">
        <v>343</v>
      </c>
      <c r="AF13" s="34" t="s">
        <v>62</v>
      </c>
      <c r="AG13" s="24" t="s">
        <v>69</v>
      </c>
      <c r="AK13" s="37"/>
    </row>
    <row r="14" spans="2:37" ht="59.25">
      <c r="B14" s="1369"/>
      <c r="C14" s="968" t="s">
        <v>86</v>
      </c>
      <c r="D14" s="969" t="s">
        <v>114</v>
      </c>
      <c r="E14" s="970">
        <f>NETWORKDAYS.INTL(F14,G14,"0000100",$AI$5:$AI$12)</f>
        <v>3</v>
      </c>
      <c r="F14" s="369">
        <f>WORKDAY.INTL(G13,1,"0000100",$AI$5:$AI$11)</f>
        <v>46223</v>
      </c>
      <c r="G14" s="369">
        <f>WORKDAY.INTL(F14,2,"0000100",$AI$5:$AI$11)</f>
        <v>46225</v>
      </c>
      <c r="H14" s="369">
        <f>WORKDAY.INTL(I13,3,"0000100",$AI$5:$AI$11)</f>
        <v>46225</v>
      </c>
      <c r="I14" s="369">
        <f>WORKDAY.INTL(H14,5,"0000100",$AI$5:$AI$11)</f>
        <v>46231</v>
      </c>
      <c r="J14" s="369">
        <v>46225</v>
      </c>
      <c r="K14" s="369"/>
      <c r="L14" s="373">
        <v>0.9</v>
      </c>
      <c r="M14" s="373" t="str">
        <f t="shared" ca="1" si="7"/>
        <v>Delayed</v>
      </c>
      <c r="N14" s="971"/>
      <c r="O14" s="972"/>
      <c r="P14" s="972"/>
      <c r="Q14" s="972"/>
      <c r="R14" s="972"/>
      <c r="S14" s="972"/>
      <c r="T14" s="972"/>
      <c r="U14" s="972"/>
      <c r="V14" s="967" t="s">
        <v>344</v>
      </c>
      <c r="W14" s="650"/>
      <c r="X14" s="984"/>
      <c r="Y14" s="1231">
        <v>1</v>
      </c>
      <c r="Z14" s="1231"/>
      <c r="AA14" s="1231"/>
      <c r="AB14" s="95"/>
      <c r="AC14" s="985"/>
      <c r="AF14" s="34" t="s">
        <v>63</v>
      </c>
      <c r="AG14" s="24" t="s">
        <v>69</v>
      </c>
    </row>
    <row r="15" spans="2:37" ht="61.5">
      <c r="B15" s="1369"/>
      <c r="C15" s="968" t="s">
        <v>86</v>
      </c>
      <c r="D15" s="974" t="s">
        <v>120</v>
      </c>
      <c r="E15" s="970">
        <f>NETWORKDAYS.INTL(F15,G15,"0000110",$AI$5:$AI$12)</f>
        <v>5</v>
      </c>
      <c r="F15" s="369">
        <f>MAX(WORKDAY.INTL(G14,1,"0000100",$AL$5:$AL$10),WORKDAY.INTL(G10,1,"0000100",$AL$5:$AL$10))</f>
        <v>46233</v>
      </c>
      <c r="G15" s="369">
        <f t="shared" ref="G15" si="8">WORKDAY.INTL(F15,4,"0000110")</f>
        <v>46239</v>
      </c>
      <c r="H15" s="369">
        <f>MAX(WORKDAY.INTL(I14,1,"0000100",$AL$5:$AL$10),WORKDAY.INTL(I10,1,"0000100",$AL$5:$AL$10))</f>
        <v>46233</v>
      </c>
      <c r="I15" s="369">
        <f t="shared" ref="I15" si="9">WORKDAY.INTL(H15,4,"0000110")</f>
        <v>46239</v>
      </c>
      <c r="J15" s="369"/>
      <c r="K15" s="369"/>
      <c r="L15" s="373"/>
      <c r="M15" s="373" t="str">
        <f t="shared" ca="1" si="7"/>
        <v>Not Started</v>
      </c>
      <c r="N15" s="971"/>
      <c r="O15" s="975"/>
      <c r="P15" s="975"/>
      <c r="Q15" s="975"/>
      <c r="R15" s="975"/>
      <c r="S15" s="975"/>
      <c r="T15" s="975"/>
      <c r="U15" s="975"/>
      <c r="V15" s="973"/>
      <c r="W15" s="625"/>
      <c r="X15" s="984" t="s">
        <v>339</v>
      </c>
      <c r="Y15" s="1231">
        <v>1</v>
      </c>
      <c r="Z15" s="1231"/>
      <c r="AA15" s="1231"/>
      <c r="AB15" s="95" t="s">
        <v>340</v>
      </c>
      <c r="AC15" s="985" t="s">
        <v>123</v>
      </c>
      <c r="AF15" s="34" t="s">
        <v>64</v>
      </c>
      <c r="AG15" s="24" t="s">
        <v>69</v>
      </c>
    </row>
    <row r="16" spans="2:37" ht="61.5">
      <c r="B16" s="1365"/>
      <c r="C16" s="976" t="s">
        <v>86</v>
      </c>
      <c r="D16" s="977" t="s">
        <v>125</v>
      </c>
      <c r="E16" s="978">
        <f>NETWORKDAYS.INTL(F16,G16,"0000110",$AI$5:$AI$12)</f>
        <v>2</v>
      </c>
      <c r="F16" s="387">
        <f t="shared" ref="F16" si="10">WORKDAY.INTL(G15,1,"0000110")</f>
        <v>46240</v>
      </c>
      <c r="G16" s="387">
        <f t="shared" ref="G16" si="11">WORKDAY.INTL(F16,1,"0000110")</f>
        <v>46243</v>
      </c>
      <c r="H16" s="387">
        <f t="shared" ref="H16" si="12">WORKDAY.INTL(I15,1,"0000110")</f>
        <v>46240</v>
      </c>
      <c r="I16" s="387">
        <f t="shared" ref="I16" si="13">WORKDAY.INTL(H16,1,"0000110")</f>
        <v>46243</v>
      </c>
      <c r="J16" s="387"/>
      <c r="K16" s="387"/>
      <c r="L16" s="388"/>
      <c r="M16" s="388" t="str">
        <f t="shared" ca="1" si="7"/>
        <v>Not Started</v>
      </c>
      <c r="N16" s="979"/>
      <c r="O16" s="980"/>
      <c r="P16" s="980"/>
      <c r="Q16" s="980"/>
      <c r="R16" s="980"/>
      <c r="S16" s="980"/>
      <c r="T16" s="980"/>
      <c r="U16" s="980"/>
      <c r="V16" s="981"/>
      <c r="W16" s="626"/>
      <c r="X16" s="986" t="s">
        <v>126</v>
      </c>
      <c r="Y16" s="1232">
        <v>1</v>
      </c>
      <c r="Z16" s="1232"/>
      <c r="AA16" s="1232"/>
      <c r="AB16" s="100"/>
      <c r="AC16" s="987"/>
      <c r="AF16" s="34" t="s">
        <v>65</v>
      </c>
      <c r="AG16" s="24" t="s">
        <v>69</v>
      </c>
    </row>
    <row r="17" spans="2:37" s="19" customFormat="1" ht="6.75" customHeight="1" thickBot="1">
      <c r="B17" s="114"/>
      <c r="C17" s="114"/>
      <c r="D17" s="380"/>
      <c r="E17" s="381"/>
      <c r="F17" s="380"/>
      <c r="G17" s="380"/>
      <c r="H17" s="380"/>
      <c r="I17" s="380"/>
      <c r="J17" s="380"/>
      <c r="K17" s="380"/>
      <c r="L17" s="382"/>
      <c r="M17" s="382"/>
      <c r="N17" s="114"/>
      <c r="O17" s="114"/>
      <c r="P17" s="114"/>
      <c r="Q17" s="114"/>
      <c r="R17" s="114"/>
      <c r="S17" s="114"/>
      <c r="T17" s="114"/>
      <c r="U17" s="114"/>
      <c r="V17" s="382"/>
      <c r="W17" s="509"/>
      <c r="X17" s="660"/>
      <c r="Y17" s="661"/>
      <c r="Z17" s="661"/>
      <c r="AA17" s="661"/>
      <c r="AB17" s="114"/>
      <c r="AC17" s="114"/>
      <c r="AF17" s="33"/>
      <c r="AG17" s="33" t="s">
        <v>70</v>
      </c>
    </row>
    <row r="18" spans="2:37" ht="59.25">
      <c r="B18" s="1343" t="s">
        <v>345</v>
      </c>
      <c r="C18" s="427" t="s">
        <v>86</v>
      </c>
      <c r="D18" s="375" t="s">
        <v>112</v>
      </c>
      <c r="E18" s="346">
        <f>NETWORKDAYS.INTL(F18,G18,"0000100",$AI$5:$AI$12)</f>
        <v>5</v>
      </c>
      <c r="F18" s="81">
        <f>WORKDAY.INTL(G14,1,"0000100")</f>
        <v>46226</v>
      </c>
      <c r="G18" s="81">
        <f>WORKDAY.INTL(F18,4,"0000100",$AI$5:$AI$11)</f>
        <v>46231</v>
      </c>
      <c r="H18" s="81">
        <f>WORKDAY.INTL(I14,1,"0000100")</f>
        <v>46232</v>
      </c>
      <c r="I18" s="81">
        <f>WORKDAY.INTL(H18,4,"0000100",$AI$5:$AI$11)</f>
        <v>46237</v>
      </c>
      <c r="J18" s="81">
        <v>46225</v>
      </c>
      <c r="K18" s="81"/>
      <c r="L18" s="376">
        <v>0.6</v>
      </c>
      <c r="M18" s="376" t="str">
        <f t="shared" ca="1" si="7"/>
        <v>In Progress</v>
      </c>
      <c r="N18" s="68"/>
      <c r="O18" s="112"/>
      <c r="P18" s="112"/>
      <c r="Q18" s="112"/>
      <c r="R18" s="112"/>
      <c r="S18" s="112"/>
      <c r="T18" s="112"/>
      <c r="U18" s="112"/>
      <c r="V18" s="516"/>
      <c r="W18" s="1352"/>
      <c r="X18" s="521"/>
      <c r="Y18" s="1180" t="s">
        <v>271</v>
      </c>
      <c r="Z18" s="1180"/>
      <c r="AA18" s="1180"/>
      <c r="AB18" s="67" t="s">
        <v>346</v>
      </c>
      <c r="AC18" s="497" t="s">
        <v>242</v>
      </c>
      <c r="AF18" s="34" t="s">
        <v>62</v>
      </c>
      <c r="AG18" s="24" t="s">
        <v>70</v>
      </c>
    </row>
    <row r="19" spans="2:37" ht="61.5">
      <c r="B19" s="1344"/>
      <c r="C19" s="428" t="s">
        <v>86</v>
      </c>
      <c r="D19" s="517" t="s">
        <v>114</v>
      </c>
      <c r="E19" s="354">
        <f>NETWORKDAYS.INTL(F19,G19,"0000100",$AI$5:$AI$12)</f>
        <v>3</v>
      </c>
      <c r="F19" s="84">
        <f>WORKDAY.INTL(G18,1,"0000100",$AI$5:$AI$11)</f>
        <v>46232</v>
      </c>
      <c r="G19" s="84">
        <f>WORKDAY.INTL(F19,2,"0000100",$AI$5:$AI$11)</f>
        <v>46235</v>
      </c>
      <c r="H19" s="84">
        <f>WORKDAY.INTL(I18,1,"0000100",$AI$5:$AI$11)</f>
        <v>46238</v>
      </c>
      <c r="I19" s="84">
        <f>WORKDAY.INTL(H19,2,"0000100",$AI$5:$AI$11)</f>
        <v>46240</v>
      </c>
      <c r="J19" s="84"/>
      <c r="K19" s="84"/>
      <c r="L19" s="366"/>
      <c r="M19" s="366" t="str">
        <f t="shared" ca="1" si="7"/>
        <v>Not Started</v>
      </c>
      <c r="N19" s="85"/>
      <c r="O19" s="50"/>
      <c r="P19" s="50"/>
      <c r="Q19" s="50"/>
      <c r="R19" s="50"/>
      <c r="S19" s="50"/>
      <c r="T19" s="50"/>
      <c r="U19" s="50"/>
      <c r="V19" s="518"/>
      <c r="W19" s="1353"/>
      <c r="X19" s="522"/>
      <c r="Y19" s="1172">
        <v>1</v>
      </c>
      <c r="Z19" s="1172"/>
      <c r="AA19" s="1172"/>
      <c r="AB19" s="34"/>
      <c r="AC19" s="498"/>
      <c r="AF19" s="34" t="s">
        <v>63</v>
      </c>
      <c r="AG19" s="24" t="s">
        <v>70</v>
      </c>
    </row>
    <row r="20" spans="2:37" ht="61.5">
      <c r="B20" s="1344"/>
      <c r="C20" s="428" t="s">
        <v>86</v>
      </c>
      <c r="D20" s="517" t="s">
        <v>120</v>
      </c>
      <c r="E20" s="354">
        <f>NETWORKDAYS.INTL(F20,G20,"0000110",$AI$5:$AI$12)</f>
        <v>7</v>
      </c>
      <c r="F20" s="84">
        <f>MAX(WORKDAY.INTL(G19,1,"0000100",$AL$5:$AL$10),WORKDAY.INTL(G15,1,"0000100",$AL$5:$AL$10))</f>
        <v>46240</v>
      </c>
      <c r="G20" s="84">
        <f t="shared" ref="G20" si="14">WORKDAY.INTL(F20,6,"0000110")</f>
        <v>46250</v>
      </c>
      <c r="H20" s="84">
        <f>MAX(WORKDAY.INTL(I19,1,"0000100",$AL$5:$AL$10),WORKDAY.INTL(I15,1,"0000100",$AL$5:$AL$10))</f>
        <v>46242</v>
      </c>
      <c r="I20" s="84">
        <f t="shared" ref="I20" si="15">WORKDAY.INTL(H20,6,"0000110")</f>
        <v>46250</v>
      </c>
      <c r="J20" s="84"/>
      <c r="K20" s="84"/>
      <c r="L20" s="366"/>
      <c r="M20" s="366" t="str">
        <f t="shared" ca="1" si="7"/>
        <v>Not Started</v>
      </c>
      <c r="N20" s="85"/>
      <c r="O20" s="50"/>
      <c r="P20" s="50"/>
      <c r="Q20" s="50"/>
      <c r="R20" s="50"/>
      <c r="S20" s="50"/>
      <c r="T20" s="50"/>
      <c r="U20" s="50"/>
      <c r="V20" s="518"/>
      <c r="W20" s="1353"/>
      <c r="X20" s="522" t="s">
        <v>339</v>
      </c>
      <c r="Y20" s="1172">
        <v>1</v>
      </c>
      <c r="Z20" s="1172"/>
      <c r="AA20" s="1172"/>
      <c r="AB20" s="34" t="s">
        <v>340</v>
      </c>
      <c r="AC20" s="498" t="s">
        <v>123</v>
      </c>
      <c r="AF20" s="34" t="s">
        <v>64</v>
      </c>
      <c r="AG20" s="24" t="s">
        <v>70</v>
      </c>
    </row>
    <row r="21" spans="2:37" ht="61.5">
      <c r="B21" s="1345"/>
      <c r="C21" s="429" t="s">
        <v>86</v>
      </c>
      <c r="D21" s="489" t="s">
        <v>125</v>
      </c>
      <c r="E21" s="347">
        <f>NETWORKDAYS.INTL(F21,G21,"0000110",$AI$5:$AI$12)</f>
        <v>2</v>
      </c>
      <c r="F21" s="378">
        <f t="shared" ref="F21" si="16">WORKDAY.INTL(G20,1,"0000110")</f>
        <v>46251</v>
      </c>
      <c r="G21" s="378">
        <f t="shared" ref="G21" si="17">WORKDAY.INTL(F21,1,"0000110")</f>
        <v>46252</v>
      </c>
      <c r="H21" s="378">
        <f t="shared" ref="H21" si="18">WORKDAY.INTL(I20,1,"0000110")</f>
        <v>46251</v>
      </c>
      <c r="I21" s="378">
        <f t="shared" ref="I21" si="19">WORKDAY.INTL(H21,1,"0000110")</f>
        <v>46252</v>
      </c>
      <c r="J21" s="378"/>
      <c r="K21" s="378"/>
      <c r="L21" s="379"/>
      <c r="M21" s="379" t="str">
        <f t="shared" ca="1" si="7"/>
        <v>Not Started</v>
      </c>
      <c r="N21" s="71"/>
      <c r="O21" s="72"/>
      <c r="P21" s="72"/>
      <c r="Q21" s="72"/>
      <c r="R21" s="72"/>
      <c r="S21" s="72"/>
      <c r="T21" s="72"/>
      <c r="U21" s="72"/>
      <c r="V21" s="519"/>
      <c r="W21" s="1354"/>
      <c r="X21" s="524" t="s">
        <v>126</v>
      </c>
      <c r="Y21" s="1181">
        <v>1</v>
      </c>
      <c r="Z21" s="1181"/>
      <c r="AA21" s="1181"/>
      <c r="AB21" s="70"/>
      <c r="AC21" s="525"/>
      <c r="AF21" s="34" t="s">
        <v>65</v>
      </c>
      <c r="AG21" s="24" t="s">
        <v>70</v>
      </c>
    </row>
    <row r="22" spans="2:37" s="19" customFormat="1" ht="9" customHeight="1" thickBot="1">
      <c r="B22" s="114"/>
      <c r="C22" s="114"/>
      <c r="D22" s="380"/>
      <c r="E22" s="381"/>
      <c r="F22" s="380"/>
      <c r="G22" s="380"/>
      <c r="H22" s="380"/>
      <c r="I22" s="380"/>
      <c r="J22" s="380"/>
      <c r="K22" s="380"/>
      <c r="L22" s="382"/>
      <c r="M22" s="382"/>
      <c r="N22" s="114"/>
      <c r="O22" s="114"/>
      <c r="P22" s="114"/>
      <c r="Q22" s="114"/>
      <c r="R22" s="114"/>
      <c r="S22" s="114"/>
      <c r="T22" s="114"/>
      <c r="U22" s="114"/>
      <c r="V22" s="382"/>
      <c r="W22" s="509"/>
      <c r="X22" s="660"/>
      <c r="Y22" s="661"/>
      <c r="Z22" s="661"/>
      <c r="AA22" s="661"/>
      <c r="AB22" s="114"/>
      <c r="AC22" s="114"/>
      <c r="AF22" s="33"/>
      <c r="AG22" s="33" t="s">
        <v>71</v>
      </c>
    </row>
    <row r="23" spans="2:37" ht="61.5">
      <c r="B23" s="1368" t="s">
        <v>347</v>
      </c>
      <c r="C23" s="962" t="s">
        <v>86</v>
      </c>
      <c r="D23" s="963" t="s">
        <v>112</v>
      </c>
      <c r="E23" s="964">
        <f>NETWORKDAYS.INTL(F23,G23,"0000100",$AI$5:$AI$12)</f>
        <v>5</v>
      </c>
      <c r="F23" s="383">
        <f>WORKDAY.INTL(G19,1,"0000100",$AI$5:$AI$11)</f>
        <v>46236</v>
      </c>
      <c r="G23" s="383">
        <f>WORKDAY.INTL(F23,4,"0000100",$AI$5:$AI$11)</f>
        <v>46240</v>
      </c>
      <c r="H23" s="383">
        <f>WORKDAY.INTL(I19,1,"0000100",$AI$5:$AI$11)</f>
        <v>46242</v>
      </c>
      <c r="I23" s="383">
        <f>WORKDAY.INTL(H23,4,"0000100",$AI$5:$AI$11)</f>
        <v>46246</v>
      </c>
      <c r="J23" s="383"/>
      <c r="K23" s="383"/>
      <c r="L23" s="384"/>
      <c r="M23" s="384" t="str">
        <f t="shared" ca="1" si="7"/>
        <v>Not Started</v>
      </c>
      <c r="N23" s="965"/>
      <c r="O23" s="966"/>
      <c r="P23" s="966"/>
      <c r="Q23" s="966"/>
      <c r="R23" s="966"/>
      <c r="S23" s="966"/>
      <c r="T23" s="966"/>
      <c r="U23" s="966"/>
      <c r="V23" s="967"/>
      <c r="W23" s="1352"/>
      <c r="X23" s="982"/>
      <c r="Y23" s="1230" t="s">
        <v>271</v>
      </c>
      <c r="Z23" s="1230"/>
      <c r="AA23" s="1230"/>
      <c r="AB23" s="93" t="s">
        <v>346</v>
      </c>
      <c r="AC23" s="983" t="s">
        <v>242</v>
      </c>
      <c r="AF23" s="34" t="s">
        <v>62</v>
      </c>
      <c r="AG23" s="24" t="s">
        <v>71</v>
      </c>
      <c r="AK23" s="37"/>
    </row>
    <row r="24" spans="2:37" ht="61.5">
      <c r="B24" s="1369"/>
      <c r="C24" s="968" t="s">
        <v>86</v>
      </c>
      <c r="D24" s="969" t="s">
        <v>114</v>
      </c>
      <c r="E24" s="970">
        <f>NETWORKDAYS.INTL(F24,G24,"0000100",$AI$5:$AI$12)</f>
        <v>3</v>
      </c>
      <c r="F24" s="369">
        <f>WORKDAY.INTL(G23,1,"0000100",$AI$5:$AI$11)</f>
        <v>46242</v>
      </c>
      <c r="G24" s="369">
        <f>WORKDAY.INTL(F24,2,"0000100",$AI$5:$AI$11)</f>
        <v>46244</v>
      </c>
      <c r="H24" s="369">
        <f>WORKDAY.INTL(I23,1,"0000100",$AI$5:$AI$11)</f>
        <v>46247</v>
      </c>
      <c r="I24" s="369">
        <f>WORKDAY.INTL(H24,2,"0000100",$AI$5:$AI$11)</f>
        <v>46250</v>
      </c>
      <c r="J24" s="369"/>
      <c r="K24" s="369"/>
      <c r="L24" s="373"/>
      <c r="M24" s="373" t="str">
        <f t="shared" ca="1" si="7"/>
        <v>Not Started</v>
      </c>
      <c r="N24" s="971"/>
      <c r="O24" s="972"/>
      <c r="P24" s="972"/>
      <c r="Q24" s="972"/>
      <c r="R24" s="972"/>
      <c r="S24" s="972"/>
      <c r="T24" s="972"/>
      <c r="U24" s="972"/>
      <c r="V24" s="973"/>
      <c r="W24" s="1353"/>
      <c r="X24" s="984"/>
      <c r="Y24" s="1231">
        <v>1</v>
      </c>
      <c r="Z24" s="1231"/>
      <c r="AA24" s="1231"/>
      <c r="AB24" s="95"/>
      <c r="AC24" s="985"/>
      <c r="AF24" s="34" t="s">
        <v>63</v>
      </c>
      <c r="AG24" s="24" t="s">
        <v>71</v>
      </c>
    </row>
    <row r="25" spans="2:37" ht="61.5">
      <c r="B25" s="1369"/>
      <c r="C25" s="968" t="s">
        <v>86</v>
      </c>
      <c r="D25" s="974" t="s">
        <v>120</v>
      </c>
      <c r="E25" s="970">
        <f>NETWORKDAYS.INTL(F25,G25,"0000110",$AI$5:$AI$12)</f>
        <v>7</v>
      </c>
      <c r="F25" s="369">
        <f>MAX(WORKDAY.INTL(G24,1,"0000100",$AL$5:$AL$10),WORKDAY.INTL(G20,1,"0000100",$AL$5:$AL$10))</f>
        <v>46251</v>
      </c>
      <c r="G25" s="369">
        <f t="shared" ref="G25" si="20">WORKDAY.INTL(F25,6,"0000110")</f>
        <v>46259</v>
      </c>
      <c r="H25" s="369">
        <f>MAX(WORKDAY.INTL(I24,1,"0000100",$AL$5:$AL$10),WORKDAY.INTL(I20,1,"0000100",$AL$5:$AL$10))</f>
        <v>46251</v>
      </c>
      <c r="I25" s="369">
        <f t="shared" ref="I25" si="21">WORKDAY.INTL(H25,6,"0000110")</f>
        <v>46259</v>
      </c>
      <c r="J25" s="369"/>
      <c r="K25" s="369"/>
      <c r="L25" s="373"/>
      <c r="M25" s="373" t="str">
        <f t="shared" ca="1" si="7"/>
        <v>Not Started</v>
      </c>
      <c r="N25" s="971"/>
      <c r="O25" s="975"/>
      <c r="P25" s="975"/>
      <c r="Q25" s="975"/>
      <c r="R25" s="975"/>
      <c r="S25" s="975"/>
      <c r="T25" s="975"/>
      <c r="U25" s="975"/>
      <c r="V25" s="973"/>
      <c r="W25" s="1353"/>
      <c r="X25" s="984" t="s">
        <v>339</v>
      </c>
      <c r="Y25" s="1231">
        <v>1</v>
      </c>
      <c r="Z25" s="1231"/>
      <c r="AA25" s="1231"/>
      <c r="AB25" s="95" t="s">
        <v>340</v>
      </c>
      <c r="AC25" s="985" t="s">
        <v>123</v>
      </c>
      <c r="AF25" s="34" t="s">
        <v>64</v>
      </c>
      <c r="AG25" s="24" t="s">
        <v>71</v>
      </c>
    </row>
    <row r="26" spans="2:37" ht="61.5">
      <c r="B26" s="1365"/>
      <c r="C26" s="976" t="s">
        <v>86</v>
      </c>
      <c r="D26" s="977" t="s">
        <v>125</v>
      </c>
      <c r="E26" s="978">
        <f>NETWORKDAYS.INTL(F26,G26,"0000110",$AI$5:$AI$12)</f>
        <v>2</v>
      </c>
      <c r="F26" s="387">
        <f t="shared" ref="F26" si="22">WORKDAY.INTL(G25,1,"0000110")</f>
        <v>46260</v>
      </c>
      <c r="G26" s="387">
        <f t="shared" ref="G26" si="23">WORKDAY.INTL(F26,1,"0000110")</f>
        <v>46261</v>
      </c>
      <c r="H26" s="387">
        <f t="shared" ref="H26" si="24">WORKDAY.INTL(I25,1,"0000110")</f>
        <v>46260</v>
      </c>
      <c r="I26" s="387">
        <f t="shared" ref="I26" si="25">WORKDAY.INTL(H26,1,"0000110")</f>
        <v>46261</v>
      </c>
      <c r="J26" s="387"/>
      <c r="K26" s="387"/>
      <c r="L26" s="388"/>
      <c r="M26" s="388" t="str">
        <f t="shared" ca="1" si="7"/>
        <v>Not Started</v>
      </c>
      <c r="N26" s="979"/>
      <c r="O26" s="980"/>
      <c r="P26" s="980"/>
      <c r="Q26" s="980"/>
      <c r="R26" s="980"/>
      <c r="S26" s="980"/>
      <c r="T26" s="980"/>
      <c r="U26" s="980"/>
      <c r="V26" s="981"/>
      <c r="W26" s="1354"/>
      <c r="X26" s="986" t="s">
        <v>126</v>
      </c>
      <c r="Y26" s="1232">
        <v>1</v>
      </c>
      <c r="Z26" s="1232"/>
      <c r="AA26" s="1232"/>
      <c r="AB26" s="100"/>
      <c r="AC26" s="987"/>
      <c r="AF26" s="34" t="s">
        <v>65</v>
      </c>
      <c r="AG26" s="24" t="s">
        <v>71</v>
      </c>
    </row>
    <row r="27" spans="2:37" s="19" customFormat="1" ht="8.25" customHeight="1" thickBot="1">
      <c r="B27" s="114"/>
      <c r="C27" s="114"/>
      <c r="D27" s="380"/>
      <c r="E27" s="381"/>
      <c r="F27" s="380"/>
      <c r="G27" s="380"/>
      <c r="H27" s="380"/>
      <c r="I27" s="380"/>
      <c r="J27" s="380"/>
      <c r="K27" s="380"/>
      <c r="L27" s="382"/>
      <c r="M27" s="382"/>
      <c r="N27" s="114"/>
      <c r="O27" s="114"/>
      <c r="P27" s="114"/>
      <c r="Q27" s="114"/>
      <c r="R27" s="114"/>
      <c r="S27" s="114"/>
      <c r="T27" s="114"/>
      <c r="U27" s="114"/>
      <c r="V27" s="382"/>
      <c r="W27" s="509"/>
      <c r="X27" s="660"/>
      <c r="Y27" s="661"/>
      <c r="Z27" s="661"/>
      <c r="AA27" s="661"/>
      <c r="AB27" s="114"/>
      <c r="AC27" s="114"/>
      <c r="AF27" s="33"/>
      <c r="AG27" s="33" t="s">
        <v>72</v>
      </c>
    </row>
    <row r="28" spans="2:37" ht="61.5">
      <c r="B28" s="1343" t="s">
        <v>348</v>
      </c>
      <c r="C28" s="427" t="s">
        <v>86</v>
      </c>
      <c r="D28" s="375" t="s">
        <v>112</v>
      </c>
      <c r="E28" s="346">
        <f>NETWORKDAYS.INTL(F28,G28,"0000100",$AI$5:$AI$12)</f>
        <v>5</v>
      </c>
      <c r="F28" s="81">
        <f>WORKDAY.INTL(G24,1,"0000100",$AI$5:$AI$11)</f>
        <v>46245</v>
      </c>
      <c r="G28" s="81">
        <f>WORKDAY.INTL(F28,4,"0000100",$AI$5:$AI$11)</f>
        <v>46250</v>
      </c>
      <c r="H28" s="81">
        <f>WORKDAY.INTL(I24,1,"0000100",$AI$5:$AI$11)</f>
        <v>46251</v>
      </c>
      <c r="I28" s="81">
        <f>WORKDAY.INTL(H28,4,"0000100",$AI$5:$AI$11)</f>
        <v>46256</v>
      </c>
      <c r="J28" s="81"/>
      <c r="K28" s="81"/>
      <c r="L28" s="376"/>
      <c r="M28" s="376" t="str">
        <f t="shared" ca="1" si="7"/>
        <v>Not Started</v>
      </c>
      <c r="N28" s="68"/>
      <c r="O28" s="112"/>
      <c r="P28" s="112"/>
      <c r="Q28" s="112"/>
      <c r="R28" s="112"/>
      <c r="S28" s="112"/>
      <c r="T28" s="112"/>
      <c r="U28" s="112"/>
      <c r="V28" s="516"/>
      <c r="W28" s="1352"/>
      <c r="X28" s="521"/>
      <c r="Y28" s="1180" t="s">
        <v>271</v>
      </c>
      <c r="Z28" s="1180"/>
      <c r="AA28" s="1180"/>
      <c r="AB28" s="67" t="s">
        <v>346</v>
      </c>
      <c r="AC28" s="497" t="s">
        <v>242</v>
      </c>
      <c r="AF28" s="34" t="s">
        <v>62</v>
      </c>
      <c r="AG28" s="24" t="s">
        <v>72</v>
      </c>
    </row>
    <row r="29" spans="2:37" ht="61.5">
      <c r="B29" s="1344"/>
      <c r="C29" s="428" t="s">
        <v>86</v>
      </c>
      <c r="D29" s="517" t="s">
        <v>114</v>
      </c>
      <c r="E29" s="354">
        <f>NETWORKDAYS.INTL(F29,G29,"0000100",$AI$5:$AI$12)</f>
        <v>3</v>
      </c>
      <c r="F29" s="84">
        <f>WORKDAY.INTL(G28,1,"0000100",$AI$5:$AI$11)</f>
        <v>46251</v>
      </c>
      <c r="G29" s="84">
        <f>WORKDAY.INTL(F29,2,"0000100",$AI$5:$AI$11)</f>
        <v>46253</v>
      </c>
      <c r="H29" s="84">
        <f>WORKDAY.INTL(I28,1,"0000100",$AI$5:$AI$11)</f>
        <v>46257</v>
      </c>
      <c r="I29" s="84">
        <f>WORKDAY.INTL(H29,2,"0000100",$AI$5:$AI$11)</f>
        <v>46259</v>
      </c>
      <c r="J29" s="84"/>
      <c r="K29" s="84"/>
      <c r="L29" s="366"/>
      <c r="M29" s="366" t="str">
        <f t="shared" ca="1" si="7"/>
        <v>Not Started</v>
      </c>
      <c r="N29" s="85"/>
      <c r="O29" s="50"/>
      <c r="P29" s="50"/>
      <c r="Q29" s="50"/>
      <c r="R29" s="50"/>
      <c r="S29" s="50"/>
      <c r="T29" s="50"/>
      <c r="U29" s="50"/>
      <c r="V29" s="518"/>
      <c r="W29" s="1353"/>
      <c r="X29" s="522"/>
      <c r="Y29" s="1172">
        <v>1</v>
      </c>
      <c r="Z29" s="1172"/>
      <c r="AA29" s="1172"/>
      <c r="AB29" s="34"/>
      <c r="AC29" s="498"/>
      <c r="AF29" s="34" t="s">
        <v>63</v>
      </c>
      <c r="AG29" s="24" t="s">
        <v>72</v>
      </c>
    </row>
    <row r="30" spans="2:37" ht="61.5">
      <c r="B30" s="1344"/>
      <c r="C30" s="428" t="s">
        <v>86</v>
      </c>
      <c r="D30" s="517" t="s">
        <v>120</v>
      </c>
      <c r="E30" s="354">
        <f>NETWORKDAYS.INTL(F30,G30,"0000110",$AI$5:$AI$12)</f>
        <v>7</v>
      </c>
      <c r="F30" s="84">
        <f>MAX(WORKDAY.INTL(G29,1,"0000100",$AL$5:$AL$10),WORKDAY.INTL(G25,1,"0000100",$AL$5:$AL$10))</f>
        <v>46260</v>
      </c>
      <c r="G30" s="84">
        <f t="shared" ref="G30" si="26">WORKDAY.INTL(F30,6,"0000110")</f>
        <v>46268</v>
      </c>
      <c r="H30" s="84">
        <f>MAX(WORKDAY.INTL(I29,1,"0000100",$AL$5:$AL$10),WORKDAY.INTL(I25,1,"0000100",$AL$5:$AL$10))</f>
        <v>46260</v>
      </c>
      <c r="I30" s="84">
        <f t="shared" ref="I30" si="27">WORKDAY.INTL(H30,6,"0000110")</f>
        <v>46268</v>
      </c>
      <c r="J30" s="84"/>
      <c r="K30" s="84"/>
      <c r="L30" s="366"/>
      <c r="M30" s="366" t="str">
        <f t="shared" ca="1" si="7"/>
        <v>Not Started</v>
      </c>
      <c r="N30" s="85"/>
      <c r="O30" s="50"/>
      <c r="P30" s="50"/>
      <c r="Q30" s="50"/>
      <c r="R30" s="50"/>
      <c r="S30" s="50"/>
      <c r="T30" s="50"/>
      <c r="U30" s="50"/>
      <c r="V30" s="518"/>
      <c r="W30" s="1353"/>
      <c r="X30" s="522" t="s">
        <v>339</v>
      </c>
      <c r="Y30" s="1172">
        <v>1</v>
      </c>
      <c r="Z30" s="1172"/>
      <c r="AA30" s="1172"/>
      <c r="AB30" s="34" t="s">
        <v>340</v>
      </c>
      <c r="AC30" s="498" t="s">
        <v>137</v>
      </c>
      <c r="AF30" s="34" t="s">
        <v>64</v>
      </c>
      <c r="AG30" s="24" t="s">
        <v>72</v>
      </c>
    </row>
    <row r="31" spans="2:37" ht="61.5">
      <c r="B31" s="1345"/>
      <c r="C31" s="429" t="s">
        <v>86</v>
      </c>
      <c r="D31" s="489" t="s">
        <v>125</v>
      </c>
      <c r="E31" s="347">
        <f>NETWORKDAYS.INTL(F31,G31,"0000110",$AI$5:$AI$12)</f>
        <v>2</v>
      </c>
      <c r="F31" s="378">
        <f t="shared" ref="F31" si="28">WORKDAY.INTL(G30,1,"0000110")</f>
        <v>46271</v>
      </c>
      <c r="G31" s="378">
        <f t="shared" ref="G31" si="29">WORKDAY.INTL(F31,1,"0000110")</f>
        <v>46272</v>
      </c>
      <c r="H31" s="378">
        <f t="shared" ref="H31" si="30">WORKDAY.INTL(I30,1,"0000110")</f>
        <v>46271</v>
      </c>
      <c r="I31" s="378">
        <f t="shared" ref="I31" si="31">WORKDAY.INTL(H31,1,"0000110")</f>
        <v>46272</v>
      </c>
      <c r="J31" s="378"/>
      <c r="K31" s="378"/>
      <c r="L31" s="379"/>
      <c r="M31" s="379" t="str">
        <f t="shared" ca="1" si="7"/>
        <v>Not Started</v>
      </c>
      <c r="N31" s="71"/>
      <c r="O31" s="72"/>
      <c r="P31" s="72"/>
      <c r="Q31" s="72"/>
      <c r="R31" s="72"/>
      <c r="S31" s="72"/>
      <c r="T31" s="72"/>
      <c r="U31" s="72"/>
      <c r="V31" s="519"/>
      <c r="W31" s="1354"/>
      <c r="X31" s="524" t="s">
        <v>126</v>
      </c>
      <c r="Y31" s="1181">
        <v>1</v>
      </c>
      <c r="Z31" s="1181"/>
      <c r="AA31" s="1181"/>
      <c r="AB31" s="70"/>
      <c r="AC31" s="525"/>
      <c r="AF31" s="34" t="s">
        <v>65</v>
      </c>
      <c r="AG31" s="24" t="s">
        <v>72</v>
      </c>
    </row>
    <row r="32" spans="2:37" s="19" customFormat="1" ht="9" customHeight="1" thickBot="1">
      <c r="B32" s="114"/>
      <c r="C32" s="114"/>
      <c r="D32" s="380"/>
      <c r="E32" s="381"/>
      <c r="F32" s="380"/>
      <c r="G32" s="380"/>
      <c r="H32" s="380"/>
      <c r="I32" s="380"/>
      <c r="J32" s="380"/>
      <c r="K32" s="380"/>
      <c r="L32" s="382"/>
      <c r="M32" s="382"/>
      <c r="N32" s="114"/>
      <c r="O32" s="114"/>
      <c r="P32" s="114"/>
      <c r="Q32" s="114"/>
      <c r="R32" s="114"/>
      <c r="S32" s="114"/>
      <c r="T32" s="114"/>
      <c r="U32" s="114"/>
      <c r="V32" s="382"/>
      <c r="W32" s="509"/>
      <c r="X32" s="660"/>
      <c r="Y32" s="661"/>
      <c r="Z32" s="661"/>
      <c r="AA32" s="661"/>
      <c r="AB32" s="114"/>
      <c r="AC32" s="114"/>
      <c r="AF32" s="33"/>
      <c r="AG32" s="33" t="s">
        <v>73</v>
      </c>
    </row>
    <row r="33" spans="2:37" ht="61.5">
      <c r="B33" s="1368" t="s">
        <v>349</v>
      </c>
      <c r="C33" s="962" t="s">
        <v>86</v>
      </c>
      <c r="D33" s="963" t="s">
        <v>112</v>
      </c>
      <c r="E33" s="964">
        <f>NETWORKDAYS.INTL(F33,G33,"0000100",$AI$5:$AI$12)</f>
        <v>5</v>
      </c>
      <c r="F33" s="383">
        <f>WORKDAY.INTL(G29,1,"0000100",$AI$5:$AI$11)</f>
        <v>46254</v>
      </c>
      <c r="G33" s="383">
        <f>WORKDAY.INTL(F33,4,"0000100",$AI$5:$AI$11)</f>
        <v>46259</v>
      </c>
      <c r="H33" s="383">
        <f>WORKDAY.INTL(I29,1,"0000100",$AI$5:$AI$11)</f>
        <v>46260</v>
      </c>
      <c r="I33" s="383">
        <f>WORKDAY.INTL(H33,4,"0000100",$AI$5:$AI$11)</f>
        <v>46265</v>
      </c>
      <c r="J33" s="383"/>
      <c r="K33" s="383"/>
      <c r="L33" s="384"/>
      <c r="M33" s="384" t="str">
        <f t="shared" ca="1" si="7"/>
        <v>Not Started</v>
      </c>
      <c r="N33" s="965"/>
      <c r="O33" s="966"/>
      <c r="P33" s="966"/>
      <c r="Q33" s="966"/>
      <c r="R33" s="966"/>
      <c r="S33" s="966"/>
      <c r="T33" s="966"/>
      <c r="U33" s="966"/>
      <c r="V33" s="967"/>
      <c r="W33" s="1352"/>
      <c r="X33" s="982"/>
      <c r="Y33" s="1230" t="s">
        <v>271</v>
      </c>
      <c r="Z33" s="1230"/>
      <c r="AA33" s="1230"/>
      <c r="AB33" s="93" t="s">
        <v>346</v>
      </c>
      <c r="AC33" s="983" t="s">
        <v>343</v>
      </c>
      <c r="AF33" s="34" t="s">
        <v>62</v>
      </c>
      <c r="AG33" s="24" t="s">
        <v>73</v>
      </c>
      <c r="AK33" s="37"/>
    </row>
    <row r="34" spans="2:37" ht="61.5">
      <c r="B34" s="1369"/>
      <c r="C34" s="968" t="s">
        <v>86</v>
      </c>
      <c r="D34" s="969" t="s">
        <v>114</v>
      </c>
      <c r="E34" s="970">
        <f>NETWORKDAYS.INTL(F34,G34,"0000100",$AI$5:$AI$12)</f>
        <v>3</v>
      </c>
      <c r="F34" s="369">
        <f>WORKDAY.INTL(G33,1,"0000100",$AI$5:$AI$11)</f>
        <v>46260</v>
      </c>
      <c r="G34" s="369">
        <f>WORKDAY.INTL(F34,2,"0000100",$AI$5:$AI$11)</f>
        <v>46263</v>
      </c>
      <c r="H34" s="369">
        <f>WORKDAY.INTL(I33,1,"0000100",$AI$5:$AI$11)</f>
        <v>46266</v>
      </c>
      <c r="I34" s="369">
        <f>WORKDAY.INTL(H34,2,"0000100",$AI$5:$AI$11)</f>
        <v>46268</v>
      </c>
      <c r="J34" s="369"/>
      <c r="K34" s="369"/>
      <c r="L34" s="373"/>
      <c r="M34" s="373" t="str">
        <f t="shared" ca="1" si="7"/>
        <v>Not Started</v>
      </c>
      <c r="N34" s="971"/>
      <c r="O34" s="972"/>
      <c r="P34" s="972"/>
      <c r="Q34" s="972"/>
      <c r="R34" s="972"/>
      <c r="S34" s="972"/>
      <c r="T34" s="972"/>
      <c r="U34" s="972"/>
      <c r="V34" s="973"/>
      <c r="W34" s="1353"/>
      <c r="X34" s="984"/>
      <c r="Y34" s="1231">
        <v>1</v>
      </c>
      <c r="Z34" s="1231"/>
      <c r="AA34" s="1231"/>
      <c r="AB34" s="95"/>
      <c r="AC34" s="985"/>
      <c r="AF34" s="34" t="s">
        <v>63</v>
      </c>
      <c r="AG34" s="24" t="s">
        <v>73</v>
      </c>
    </row>
    <row r="35" spans="2:37" ht="61.5">
      <c r="B35" s="1369"/>
      <c r="C35" s="968" t="s">
        <v>86</v>
      </c>
      <c r="D35" s="974" t="s">
        <v>120</v>
      </c>
      <c r="E35" s="970">
        <f>NETWORKDAYS.INTL(F35,G35,"0000110",$AI$5:$AI$12)</f>
        <v>7</v>
      </c>
      <c r="F35" s="369">
        <f>MAX(WORKDAY.INTL(G34,1,"0000100",$AL$5:$AL$10),WORKDAY.INTL(G30,1,"0000100",$AL$5:$AL$10))</f>
        <v>46270</v>
      </c>
      <c r="G35" s="369">
        <f t="shared" ref="G35" si="32">WORKDAY.INTL(F35,7,"0000110")</f>
        <v>46279</v>
      </c>
      <c r="H35" s="369">
        <f>MAX(WORKDAY.INTL(I34,1,"0000100",$AL$5:$AL$10),WORKDAY.INTL(I30,1,"0000100",$AL$5:$AL$10))</f>
        <v>46270</v>
      </c>
      <c r="I35" s="369">
        <f t="shared" ref="I35" si="33">WORKDAY.INTL(H35,7,"0000110")</f>
        <v>46279</v>
      </c>
      <c r="J35" s="369"/>
      <c r="K35" s="369"/>
      <c r="L35" s="373"/>
      <c r="M35" s="373" t="str">
        <f t="shared" ca="1" si="7"/>
        <v>Not Started</v>
      </c>
      <c r="N35" s="971"/>
      <c r="O35" s="975"/>
      <c r="P35" s="975"/>
      <c r="Q35" s="975"/>
      <c r="R35" s="975"/>
      <c r="S35" s="975"/>
      <c r="T35" s="975"/>
      <c r="U35" s="975"/>
      <c r="V35" s="973"/>
      <c r="W35" s="1353"/>
      <c r="X35" s="984" t="s">
        <v>339</v>
      </c>
      <c r="Y35" s="1231">
        <v>1</v>
      </c>
      <c r="Z35" s="1231"/>
      <c r="AA35" s="1231"/>
      <c r="AB35" s="95" t="s">
        <v>340</v>
      </c>
      <c r="AC35" s="985" t="s">
        <v>350</v>
      </c>
      <c r="AF35" s="34" t="s">
        <v>64</v>
      </c>
      <c r="AG35" s="24" t="s">
        <v>73</v>
      </c>
    </row>
    <row r="36" spans="2:37" ht="61.5">
      <c r="B36" s="1365"/>
      <c r="C36" s="976" t="s">
        <v>86</v>
      </c>
      <c r="D36" s="977" t="s">
        <v>125</v>
      </c>
      <c r="E36" s="978">
        <f>NETWORKDAYS.INTL(F36,G36,"0000110",$AI$5:$AI$12)</f>
        <v>2</v>
      </c>
      <c r="F36" s="387">
        <f t="shared" ref="F36" si="34">WORKDAY.INTL(G35,1,"0000110")</f>
        <v>46280</v>
      </c>
      <c r="G36" s="387">
        <f t="shared" ref="G36" si="35">WORKDAY.INTL(F36,1,"0000110")</f>
        <v>46281</v>
      </c>
      <c r="H36" s="387">
        <f t="shared" ref="H36" si="36">WORKDAY.INTL(I35,1,"0000110")</f>
        <v>46280</v>
      </c>
      <c r="I36" s="387">
        <f t="shared" ref="I36" si="37">WORKDAY.INTL(H36,1,"0000110")</f>
        <v>46281</v>
      </c>
      <c r="J36" s="387"/>
      <c r="K36" s="387"/>
      <c r="L36" s="388"/>
      <c r="M36" s="388" t="str">
        <f t="shared" ca="1" si="7"/>
        <v>Not Started</v>
      </c>
      <c r="N36" s="979"/>
      <c r="O36" s="980"/>
      <c r="P36" s="980"/>
      <c r="Q36" s="980"/>
      <c r="R36" s="980"/>
      <c r="S36" s="980"/>
      <c r="T36" s="980"/>
      <c r="U36" s="980"/>
      <c r="V36" s="981"/>
      <c r="W36" s="1354"/>
      <c r="X36" s="986" t="s">
        <v>126</v>
      </c>
      <c r="Y36" s="1232">
        <v>1</v>
      </c>
      <c r="Z36" s="1232"/>
      <c r="AA36" s="1232"/>
      <c r="AB36" s="100"/>
      <c r="AC36" s="987"/>
      <c r="AF36" s="34" t="s">
        <v>65</v>
      </c>
      <c r="AG36" s="24" t="s">
        <v>73</v>
      </c>
    </row>
    <row r="37" spans="2:37" s="19" customFormat="1" ht="6" customHeight="1" thickBot="1">
      <c r="B37" s="114"/>
      <c r="C37" s="114"/>
      <c r="D37" s="380"/>
      <c r="E37" s="381"/>
      <c r="F37" s="380"/>
      <c r="G37" s="380"/>
      <c r="H37" s="380"/>
      <c r="I37" s="380"/>
      <c r="J37" s="380"/>
      <c r="K37" s="380"/>
      <c r="L37" s="382"/>
      <c r="M37" s="382"/>
      <c r="N37" s="114"/>
      <c r="O37" s="114"/>
      <c r="P37" s="114"/>
      <c r="Q37" s="114"/>
      <c r="R37" s="114"/>
      <c r="S37" s="114"/>
      <c r="T37" s="114"/>
      <c r="U37" s="114"/>
      <c r="V37" s="382"/>
      <c r="W37" s="509"/>
      <c r="X37" s="660"/>
      <c r="Y37" s="661"/>
      <c r="Z37" s="661"/>
      <c r="AA37" s="661"/>
      <c r="AB37" s="114"/>
      <c r="AC37" s="114"/>
      <c r="AF37" s="33"/>
      <c r="AG37" s="33" t="s">
        <v>74</v>
      </c>
    </row>
    <row r="38" spans="2:37" ht="61.5">
      <c r="B38" s="1343" t="s">
        <v>351</v>
      </c>
      <c r="C38" s="427" t="s">
        <v>86</v>
      </c>
      <c r="D38" s="375" t="s">
        <v>112</v>
      </c>
      <c r="E38" s="346">
        <f>NETWORKDAYS.INTL(F38,G38,"0000100",$AI$5:$AI$12)</f>
        <v>5</v>
      </c>
      <c r="F38" s="81">
        <f>WORKDAY.INTL(G34,1,"0000100",$AI$5:$AI$11)</f>
        <v>46264</v>
      </c>
      <c r="G38" s="81">
        <f>WORKDAY.INTL(F38,4,"0000100",$AI$5:$AI$11)</f>
        <v>46268</v>
      </c>
      <c r="H38" s="81">
        <f>WORKDAY.INTL(I34,1,"0000100",$AI$5:$AI$11)</f>
        <v>46270</v>
      </c>
      <c r="I38" s="81">
        <f>WORKDAY.INTL(H38,4,"0000100",$AI$5:$AI$11)</f>
        <v>46274</v>
      </c>
      <c r="J38" s="81"/>
      <c r="K38" s="81"/>
      <c r="L38" s="376"/>
      <c r="M38" s="376" t="str">
        <f t="shared" ca="1" si="7"/>
        <v>Not Started</v>
      </c>
      <c r="N38" s="68"/>
      <c r="O38" s="112"/>
      <c r="P38" s="112"/>
      <c r="Q38" s="112"/>
      <c r="R38" s="112"/>
      <c r="S38" s="112"/>
      <c r="T38" s="112"/>
      <c r="U38" s="112"/>
      <c r="V38" s="516"/>
      <c r="W38" s="1352"/>
      <c r="X38" s="521"/>
      <c r="Y38" s="1180" t="s">
        <v>271</v>
      </c>
      <c r="Z38" s="1180"/>
      <c r="AA38" s="1180"/>
      <c r="AB38" s="67" t="s">
        <v>346</v>
      </c>
      <c r="AC38" s="497" t="s">
        <v>352</v>
      </c>
      <c r="AF38" s="34" t="s">
        <v>62</v>
      </c>
      <c r="AG38" s="24" t="s">
        <v>74</v>
      </c>
    </row>
    <row r="39" spans="2:37" ht="61.5">
      <c r="B39" s="1344"/>
      <c r="C39" s="428" t="s">
        <v>86</v>
      </c>
      <c r="D39" s="517" t="s">
        <v>114</v>
      </c>
      <c r="E39" s="354">
        <f>NETWORKDAYS.INTL(F39,G39,"0000100",$AI$5:$AI$12)</f>
        <v>3</v>
      </c>
      <c r="F39" s="84">
        <f>WORKDAY.INTL(G38,1,"0000100",$AI$5:$AI$11)</f>
        <v>46270</v>
      </c>
      <c r="G39" s="84">
        <f>WORKDAY.INTL(F39,2,"0000100",$AI$5:$AI$11)</f>
        <v>46272</v>
      </c>
      <c r="H39" s="84">
        <f>WORKDAY.INTL(I38,1,"0000100",$AI$5:$AI$11)</f>
        <v>46275</v>
      </c>
      <c r="I39" s="84">
        <f>WORKDAY.INTL(H39,2,"0000100",$AI$5:$AI$11)</f>
        <v>46278</v>
      </c>
      <c r="J39" s="84"/>
      <c r="K39" s="84"/>
      <c r="L39" s="366"/>
      <c r="M39" s="366" t="str">
        <f t="shared" ca="1" si="7"/>
        <v>Not Started</v>
      </c>
      <c r="N39" s="85"/>
      <c r="O39" s="50"/>
      <c r="P39" s="50"/>
      <c r="Q39" s="50"/>
      <c r="R39" s="50"/>
      <c r="S39" s="50"/>
      <c r="T39" s="50"/>
      <c r="U39" s="50"/>
      <c r="V39" s="518"/>
      <c r="W39" s="1353"/>
      <c r="X39" s="522"/>
      <c r="Y39" s="1172">
        <v>1</v>
      </c>
      <c r="Z39" s="1172"/>
      <c r="AA39" s="1172"/>
      <c r="AB39" s="34"/>
      <c r="AC39" s="498"/>
      <c r="AF39" s="34" t="s">
        <v>63</v>
      </c>
      <c r="AG39" s="24" t="s">
        <v>74</v>
      </c>
    </row>
    <row r="40" spans="2:37" ht="61.5">
      <c r="B40" s="1344"/>
      <c r="C40" s="428" t="s">
        <v>86</v>
      </c>
      <c r="D40" s="517" t="s">
        <v>120</v>
      </c>
      <c r="E40" s="354">
        <f>NETWORKDAYS.INTL(F40,G40,"0000110",$AI$5:$AI$12)</f>
        <v>6</v>
      </c>
      <c r="F40" s="84">
        <f>MAX(WORKDAY.INTL(G39,1,"0000100",$AL$5:$AL$10),WORKDAY.INTL(G35,1,"0000100",$AL$5:$AL$10))</f>
        <v>46280</v>
      </c>
      <c r="G40" s="84">
        <f t="shared" ref="G40" si="38">WORKDAY.INTL(F40,5,"0000110")</f>
        <v>46287</v>
      </c>
      <c r="H40" s="84">
        <f>MAX(WORKDAY.INTL(I39,1,"0000100",$AL$5:$AL$10),WORKDAY.INTL(I35,1,"0000100",$AL$5:$AL$10))</f>
        <v>46280</v>
      </c>
      <c r="I40" s="84">
        <f t="shared" ref="I40" si="39">WORKDAY.INTL(H40,5,"0000110")</f>
        <v>46287</v>
      </c>
      <c r="J40" s="84"/>
      <c r="K40" s="84"/>
      <c r="L40" s="366"/>
      <c r="M40" s="366" t="str">
        <f t="shared" ca="1" si="7"/>
        <v>Not Started</v>
      </c>
      <c r="N40" s="85"/>
      <c r="O40" s="50"/>
      <c r="P40" s="50"/>
      <c r="Q40" s="50"/>
      <c r="R40" s="50"/>
      <c r="S40" s="50"/>
      <c r="T40" s="50"/>
      <c r="U40" s="50"/>
      <c r="V40" s="518"/>
      <c r="W40" s="1353"/>
      <c r="X40" s="522" t="s">
        <v>339</v>
      </c>
      <c r="Y40" s="1172">
        <v>1</v>
      </c>
      <c r="Z40" s="1172"/>
      <c r="AA40" s="1172"/>
      <c r="AB40" s="34" t="s">
        <v>340</v>
      </c>
      <c r="AC40" s="498" t="s">
        <v>137</v>
      </c>
      <c r="AF40" s="34" t="s">
        <v>64</v>
      </c>
      <c r="AG40" s="24" t="s">
        <v>74</v>
      </c>
    </row>
    <row r="41" spans="2:37" ht="61.5">
      <c r="B41" s="1345"/>
      <c r="C41" s="429" t="s">
        <v>86</v>
      </c>
      <c r="D41" s="489" t="s">
        <v>125</v>
      </c>
      <c r="E41" s="347">
        <f>NETWORKDAYS.INTL(F41,G41,"0000110",$AI$5:$AI$12)</f>
        <v>1</v>
      </c>
      <c r="F41" s="378">
        <f t="shared" ref="F41" si="40">WORKDAY.INTL(G40,1,"0000110")</f>
        <v>46288</v>
      </c>
      <c r="G41" s="378">
        <f t="shared" ref="G41" si="41">WORKDAY.INTL(F41,1,"0000110")</f>
        <v>46289</v>
      </c>
      <c r="H41" s="378">
        <f t="shared" ref="H41" si="42">WORKDAY.INTL(I40,1,"0000110")</f>
        <v>46288</v>
      </c>
      <c r="I41" s="378">
        <f t="shared" ref="I41" si="43">WORKDAY.INTL(H41,1,"0000110")</f>
        <v>46289</v>
      </c>
      <c r="J41" s="378"/>
      <c r="K41" s="378"/>
      <c r="L41" s="379"/>
      <c r="M41" s="379" t="str">
        <f t="shared" ca="1" si="7"/>
        <v>Not Started</v>
      </c>
      <c r="N41" s="71"/>
      <c r="O41" s="72"/>
      <c r="P41" s="72"/>
      <c r="Q41" s="72"/>
      <c r="R41" s="72"/>
      <c r="S41" s="72"/>
      <c r="T41" s="72"/>
      <c r="U41" s="72"/>
      <c r="V41" s="519"/>
      <c r="W41" s="1354"/>
      <c r="X41" s="524" t="s">
        <v>126</v>
      </c>
      <c r="Y41" s="1181">
        <v>1</v>
      </c>
      <c r="Z41" s="1181"/>
      <c r="AA41" s="1181"/>
      <c r="AB41" s="70"/>
      <c r="AC41" s="525"/>
      <c r="AF41" s="34" t="s">
        <v>65</v>
      </c>
      <c r="AG41" s="24" t="s">
        <v>74</v>
      </c>
    </row>
    <row r="42" spans="2:37" s="19" customFormat="1" ht="8.25" customHeight="1" thickBot="1">
      <c r="B42" s="114"/>
      <c r="C42" s="114"/>
      <c r="D42" s="380"/>
      <c r="E42" s="381"/>
      <c r="F42" s="380"/>
      <c r="G42" s="380"/>
      <c r="H42" s="380"/>
      <c r="I42" s="380"/>
      <c r="J42" s="380"/>
      <c r="K42" s="380"/>
      <c r="L42" s="382"/>
      <c r="M42" s="382"/>
      <c r="N42" s="114"/>
      <c r="O42" s="114"/>
      <c r="P42" s="114"/>
      <c r="Q42" s="114"/>
      <c r="R42" s="114"/>
      <c r="S42" s="114"/>
      <c r="T42" s="114"/>
      <c r="U42" s="114"/>
      <c r="V42" s="382"/>
      <c r="W42" s="509"/>
      <c r="X42" s="660"/>
      <c r="Y42" s="661"/>
      <c r="Z42" s="661"/>
      <c r="AA42" s="661"/>
      <c r="AB42" s="114"/>
      <c r="AC42" s="114"/>
      <c r="AF42" s="33"/>
      <c r="AG42" s="33" t="s">
        <v>75</v>
      </c>
    </row>
    <row r="43" spans="2:37" ht="61.5">
      <c r="B43" s="1368" t="s">
        <v>353</v>
      </c>
      <c r="C43" s="962" t="s">
        <v>86</v>
      </c>
      <c r="D43" s="963" t="s">
        <v>112</v>
      </c>
      <c r="E43" s="964">
        <f>NETWORKDAYS.INTL(F43,G43,"0000100",$AI$5:$AI$12)</f>
        <v>5</v>
      </c>
      <c r="F43" s="383">
        <f>WORKDAY.INTL(G39,1,"0000100",$AI$5:$AI$11)</f>
        <v>46273</v>
      </c>
      <c r="G43" s="383">
        <f>WORKDAY.INTL(F43,4,"0000100",$AI$5:$AI$11)</f>
        <v>46278</v>
      </c>
      <c r="H43" s="383">
        <f>WORKDAY.INTL(I39,1,"0000100",$AI$5:$AI$11)</f>
        <v>46279</v>
      </c>
      <c r="I43" s="383">
        <f>WORKDAY.INTL(H43,4,"0000100",$AI$5:$AI$11)</f>
        <v>46284</v>
      </c>
      <c r="J43" s="383"/>
      <c r="K43" s="383"/>
      <c r="L43" s="384"/>
      <c r="M43" s="384" t="str">
        <f t="shared" ca="1" si="7"/>
        <v>Not Started</v>
      </c>
      <c r="N43" s="965"/>
      <c r="O43" s="966"/>
      <c r="P43" s="966"/>
      <c r="Q43" s="966"/>
      <c r="R43" s="966"/>
      <c r="S43" s="966"/>
      <c r="T43" s="966"/>
      <c r="U43" s="966"/>
      <c r="V43" s="967"/>
      <c r="W43" s="1352"/>
      <c r="X43" s="982"/>
      <c r="Y43" s="1230" t="s">
        <v>271</v>
      </c>
      <c r="Z43" s="1230"/>
      <c r="AA43" s="1230"/>
      <c r="AB43" s="93" t="s">
        <v>346</v>
      </c>
      <c r="AC43" s="983" t="s">
        <v>352</v>
      </c>
      <c r="AF43" s="34" t="s">
        <v>62</v>
      </c>
      <c r="AG43" s="24" t="s">
        <v>75</v>
      </c>
      <c r="AK43" s="37"/>
    </row>
    <row r="44" spans="2:37" ht="61.5">
      <c r="B44" s="1369"/>
      <c r="C44" s="968" t="s">
        <v>86</v>
      </c>
      <c r="D44" s="969" t="s">
        <v>114</v>
      </c>
      <c r="E44" s="970">
        <f>NETWORKDAYS.INTL(F44,G44,"0000100",$AI$5:$AI$12)</f>
        <v>3</v>
      </c>
      <c r="F44" s="369">
        <f>WORKDAY.INTL(G43,1,"0000100",$AI$5:$AI$11)</f>
        <v>46279</v>
      </c>
      <c r="G44" s="369">
        <f>WORKDAY.INTL(F44,2,"0000100",$AI$5:$AI$11)</f>
        <v>46281</v>
      </c>
      <c r="H44" s="369">
        <f>WORKDAY.INTL(I43,1,"0000100",$AI$5:$AI$11)</f>
        <v>46285</v>
      </c>
      <c r="I44" s="369">
        <f>WORKDAY.INTL(H44,2,"0000100",$AI$5:$AI$11)</f>
        <v>46287</v>
      </c>
      <c r="J44" s="369"/>
      <c r="K44" s="369"/>
      <c r="L44" s="373"/>
      <c r="M44" s="373" t="str">
        <f t="shared" ca="1" si="7"/>
        <v>Not Started</v>
      </c>
      <c r="N44" s="971"/>
      <c r="O44" s="972"/>
      <c r="P44" s="972"/>
      <c r="Q44" s="972"/>
      <c r="R44" s="972"/>
      <c r="S44" s="972"/>
      <c r="T44" s="972"/>
      <c r="U44" s="972"/>
      <c r="V44" s="973"/>
      <c r="W44" s="1353"/>
      <c r="X44" s="984"/>
      <c r="Y44" s="1231">
        <v>1</v>
      </c>
      <c r="Z44" s="1231"/>
      <c r="AA44" s="1231"/>
      <c r="AB44" s="95"/>
      <c r="AC44" s="985"/>
      <c r="AF44" s="34" t="s">
        <v>63</v>
      </c>
      <c r="AG44" s="24" t="s">
        <v>75</v>
      </c>
    </row>
    <row r="45" spans="2:37" ht="61.5">
      <c r="B45" s="1369"/>
      <c r="C45" s="968" t="s">
        <v>86</v>
      </c>
      <c r="D45" s="974" t="s">
        <v>120</v>
      </c>
      <c r="E45" s="970">
        <f>NETWORKDAYS.INTL(F45,G45,"0000110",$AI$5:$AI$12)</f>
        <v>6</v>
      </c>
      <c r="F45" s="369">
        <f>MAX(WORKDAY.INTL(G44,1,"0000100",$AL$5:$AL$10),WORKDAY.INTL(G40,1,"0000100",$AL$5:$AL$10))</f>
        <v>46288</v>
      </c>
      <c r="G45" s="369">
        <f t="shared" ref="G45" si="44">WORKDAY.INTL(F45,6,"0000110")</f>
        <v>46296</v>
      </c>
      <c r="H45" s="369">
        <f>MAX(WORKDAY.INTL(I44,1,"0000100",$AL$5:$AL$10),WORKDAY.INTL(I40,1,"0000100",$AL$5:$AL$10))</f>
        <v>46288</v>
      </c>
      <c r="I45" s="369">
        <f t="shared" ref="I45" si="45">WORKDAY.INTL(H45,6,"0000110")</f>
        <v>46296</v>
      </c>
      <c r="J45" s="369"/>
      <c r="K45" s="369"/>
      <c r="L45" s="373"/>
      <c r="M45" s="373" t="str">
        <f t="shared" ca="1" si="7"/>
        <v>Not Started</v>
      </c>
      <c r="N45" s="971"/>
      <c r="O45" s="975"/>
      <c r="P45" s="975"/>
      <c r="Q45" s="975"/>
      <c r="R45" s="975"/>
      <c r="S45" s="975"/>
      <c r="T45" s="975"/>
      <c r="U45" s="975"/>
      <c r="V45" s="973"/>
      <c r="W45" s="1353"/>
      <c r="X45" s="984" t="s">
        <v>339</v>
      </c>
      <c r="Y45" s="1231">
        <v>1</v>
      </c>
      <c r="Z45" s="1231"/>
      <c r="AA45" s="1231"/>
      <c r="AB45" s="95" t="s">
        <v>340</v>
      </c>
      <c r="AC45" s="985" t="s">
        <v>123</v>
      </c>
      <c r="AF45" s="34" t="s">
        <v>64</v>
      </c>
      <c r="AG45" s="24" t="s">
        <v>75</v>
      </c>
    </row>
    <row r="46" spans="2:37" ht="61.5">
      <c r="B46" s="1365"/>
      <c r="C46" s="976" t="s">
        <v>86</v>
      </c>
      <c r="D46" s="977" t="s">
        <v>125</v>
      </c>
      <c r="E46" s="978">
        <f>NETWORKDAYS.INTL(F46,G46,"0000110",$AI$5:$AI$12)</f>
        <v>2</v>
      </c>
      <c r="F46" s="387">
        <f t="shared" ref="F46" si="46">WORKDAY.INTL(G45,1,"0000110")</f>
        <v>46299</v>
      </c>
      <c r="G46" s="387">
        <f t="shared" ref="G46" si="47">WORKDAY.INTL(F46,1,"0000110")</f>
        <v>46300</v>
      </c>
      <c r="H46" s="387">
        <f t="shared" ref="H46" si="48">WORKDAY.INTL(I45,1,"0000110")</f>
        <v>46299</v>
      </c>
      <c r="I46" s="387">
        <f t="shared" ref="I46" si="49">WORKDAY.INTL(H46,1,"0000110")</f>
        <v>46300</v>
      </c>
      <c r="J46" s="387"/>
      <c r="K46" s="387"/>
      <c r="L46" s="388"/>
      <c r="M46" s="388" t="str">
        <f t="shared" ca="1" si="7"/>
        <v>Not Started</v>
      </c>
      <c r="N46" s="979"/>
      <c r="O46" s="980"/>
      <c r="P46" s="980"/>
      <c r="Q46" s="980"/>
      <c r="R46" s="980"/>
      <c r="S46" s="980"/>
      <c r="T46" s="980"/>
      <c r="U46" s="980"/>
      <c r="V46" s="981"/>
      <c r="W46" s="1354"/>
      <c r="X46" s="986" t="s">
        <v>126</v>
      </c>
      <c r="Y46" s="1232">
        <v>1</v>
      </c>
      <c r="Z46" s="1232"/>
      <c r="AA46" s="1232"/>
      <c r="AB46" s="100"/>
      <c r="AC46" s="987"/>
      <c r="AF46" s="34" t="s">
        <v>65</v>
      </c>
      <c r="AG46" s="24" t="s">
        <v>75</v>
      </c>
    </row>
    <row r="47" spans="2:37" s="19" customFormat="1" ht="8.25" customHeight="1" thickBot="1">
      <c r="B47" s="114"/>
      <c r="C47" s="114"/>
      <c r="D47" s="380"/>
      <c r="E47" s="381"/>
      <c r="F47" s="380"/>
      <c r="G47" s="380"/>
      <c r="H47" s="380"/>
      <c r="I47" s="380"/>
      <c r="J47" s="380"/>
      <c r="K47" s="380"/>
      <c r="L47" s="382"/>
      <c r="M47" s="382"/>
      <c r="N47" s="114"/>
      <c r="O47" s="114"/>
      <c r="P47" s="114"/>
      <c r="Q47" s="114"/>
      <c r="R47" s="114"/>
      <c r="S47" s="114"/>
      <c r="T47" s="114"/>
      <c r="U47" s="114"/>
      <c r="V47" s="382"/>
      <c r="W47" s="509"/>
      <c r="X47" s="660"/>
      <c r="Y47" s="661"/>
      <c r="Z47" s="661"/>
      <c r="AA47" s="661"/>
      <c r="AB47" s="114"/>
      <c r="AC47" s="114"/>
      <c r="AF47" s="33"/>
      <c r="AG47" s="33" t="s">
        <v>76</v>
      </c>
    </row>
    <row r="48" spans="2:37" ht="61.5">
      <c r="B48" s="1343" t="s">
        <v>354</v>
      </c>
      <c r="C48" s="427" t="s">
        <v>86</v>
      </c>
      <c r="D48" s="375" t="s">
        <v>112</v>
      </c>
      <c r="E48" s="346">
        <f>NETWORKDAYS.INTL(F48,G48,"0000100",$AI$5:$AI$12)</f>
        <v>5</v>
      </c>
      <c r="F48" s="81">
        <f>WORKDAY.INTL(G44,1,"0000100",$AI$5:$AI$11)</f>
        <v>46282</v>
      </c>
      <c r="G48" s="81">
        <f>WORKDAY.INTL(F48,4,"0000100",$AI$5:$AI$11)</f>
        <v>46287</v>
      </c>
      <c r="H48" s="81">
        <f>WORKDAY.INTL(I44,1,"0000100",$AI$5:$AI$11)</f>
        <v>46288</v>
      </c>
      <c r="I48" s="81">
        <f>WORKDAY.INTL(H48,4,"0000100",$AI$5:$AI$11)</f>
        <v>46293</v>
      </c>
      <c r="J48" s="81"/>
      <c r="K48" s="81"/>
      <c r="L48" s="376"/>
      <c r="M48" s="376" t="str">
        <f t="shared" ca="1" si="7"/>
        <v>Not Started</v>
      </c>
      <c r="N48" s="68"/>
      <c r="O48" s="112"/>
      <c r="P48" s="112"/>
      <c r="Q48" s="112"/>
      <c r="R48" s="112"/>
      <c r="S48" s="112"/>
      <c r="T48" s="112"/>
      <c r="U48" s="112"/>
      <c r="V48" s="516"/>
      <c r="W48" s="1352"/>
      <c r="X48" s="521"/>
      <c r="Y48" s="1180" t="s">
        <v>271</v>
      </c>
      <c r="Z48" s="1180"/>
      <c r="AA48" s="1180"/>
      <c r="AB48" s="67" t="s">
        <v>346</v>
      </c>
      <c r="AC48" s="497" t="s">
        <v>242</v>
      </c>
      <c r="AF48" s="34" t="s">
        <v>62</v>
      </c>
      <c r="AG48" s="24" t="s">
        <v>76</v>
      </c>
    </row>
    <row r="49" spans="2:37" ht="61.5">
      <c r="B49" s="1344"/>
      <c r="C49" s="428" t="s">
        <v>86</v>
      </c>
      <c r="D49" s="517" t="s">
        <v>114</v>
      </c>
      <c r="E49" s="354">
        <f>NETWORKDAYS.INTL(F49,G49,"0000100",$AI$5:$AI$12)</f>
        <v>2</v>
      </c>
      <c r="F49" s="84">
        <f>WORKDAY.INTL(G48,1,"0000100",$AI$5:$AI$11)</f>
        <v>46288</v>
      </c>
      <c r="G49" s="84">
        <f>WORKDAY.INTL(F49,2,"0000100",$AI$5:$AI$11)</f>
        <v>46291</v>
      </c>
      <c r="H49" s="84">
        <f>WORKDAY.INTL(I48,1,"0000100",$AI$5:$AI$11)</f>
        <v>46294</v>
      </c>
      <c r="I49" s="84">
        <f>WORKDAY.INTL(H49,2,"0000100",$AI$5:$AI$11)</f>
        <v>46296</v>
      </c>
      <c r="J49" s="84"/>
      <c r="K49" s="84"/>
      <c r="L49" s="366"/>
      <c r="M49" s="366" t="str">
        <f t="shared" ca="1" si="7"/>
        <v>Not Started</v>
      </c>
      <c r="N49" s="85"/>
      <c r="O49" s="50"/>
      <c r="P49" s="50"/>
      <c r="Q49" s="50"/>
      <c r="R49" s="50"/>
      <c r="S49" s="50"/>
      <c r="T49" s="50"/>
      <c r="U49" s="50"/>
      <c r="V49" s="518"/>
      <c r="W49" s="1353"/>
      <c r="X49" s="522"/>
      <c r="Y49" s="1172">
        <v>1</v>
      </c>
      <c r="Z49" s="1172"/>
      <c r="AA49" s="1172"/>
      <c r="AB49" s="34"/>
      <c r="AC49" s="498"/>
      <c r="AF49" s="34" t="s">
        <v>63</v>
      </c>
      <c r="AG49" s="24" t="s">
        <v>76</v>
      </c>
    </row>
    <row r="50" spans="2:37" ht="61.5">
      <c r="B50" s="1344"/>
      <c r="C50" s="428" t="s">
        <v>86</v>
      </c>
      <c r="D50" s="517" t="s">
        <v>120</v>
      </c>
      <c r="E50" s="354">
        <f>NETWORKDAYS.INTL(F50,G50,"0000110",$AI$5:$AI$12)</f>
        <v>6</v>
      </c>
      <c r="F50" s="84">
        <f>MAX(WORKDAY.INTL(G49,1,"0000100",$AL$5:$AL$10),WORKDAY.INTL(G45,1,"0000100",$AL$5:$AL$10))</f>
        <v>46298</v>
      </c>
      <c r="G50" s="84">
        <f t="shared" ref="G50" si="50">WORKDAY.INTL(F50,6,"0000110")</f>
        <v>46306</v>
      </c>
      <c r="H50" s="84">
        <f>MAX(WORKDAY.INTL(I49,1,"0000100",$AL$5:$AL$10),WORKDAY.INTL(I45,1,"0000100",$AL$5:$AL$10))</f>
        <v>46298</v>
      </c>
      <c r="I50" s="84">
        <f t="shared" ref="I50" si="51">WORKDAY.INTL(H50,6,"0000110")</f>
        <v>46306</v>
      </c>
      <c r="J50" s="84"/>
      <c r="K50" s="84"/>
      <c r="L50" s="366"/>
      <c r="M50" s="366" t="str">
        <f t="shared" ca="1" si="7"/>
        <v>Not Started</v>
      </c>
      <c r="N50" s="85"/>
      <c r="O50" s="50"/>
      <c r="P50" s="50"/>
      <c r="Q50" s="50"/>
      <c r="R50" s="50"/>
      <c r="S50" s="50"/>
      <c r="T50" s="50"/>
      <c r="U50" s="50"/>
      <c r="V50" s="518"/>
      <c r="W50" s="1353"/>
      <c r="X50" s="522" t="s">
        <v>339</v>
      </c>
      <c r="Y50" s="1172">
        <v>1</v>
      </c>
      <c r="Z50" s="1172"/>
      <c r="AA50" s="1172"/>
      <c r="AB50" s="34" t="s">
        <v>340</v>
      </c>
      <c r="AC50" s="498" t="s">
        <v>350</v>
      </c>
      <c r="AF50" s="34" t="s">
        <v>64</v>
      </c>
      <c r="AG50" s="24" t="s">
        <v>76</v>
      </c>
    </row>
    <row r="51" spans="2:37" ht="61.5">
      <c r="B51" s="1345"/>
      <c r="C51" s="429" t="s">
        <v>86</v>
      </c>
      <c r="D51" s="489" t="s">
        <v>125</v>
      </c>
      <c r="E51" s="347">
        <f>NETWORKDAYS.INTL(F51,G51,"0000110",$AI$5:$AI$12)</f>
        <v>2</v>
      </c>
      <c r="F51" s="378">
        <f t="shared" ref="F51" si="52">WORKDAY.INTL(G50,1,"0000110")</f>
        <v>46307</v>
      </c>
      <c r="G51" s="378">
        <f t="shared" ref="G51" si="53">WORKDAY.INTL(F51,1,"0000110")</f>
        <v>46308</v>
      </c>
      <c r="H51" s="378">
        <f t="shared" ref="H51" si="54">WORKDAY.INTL(I50,1,"0000110")</f>
        <v>46307</v>
      </c>
      <c r="I51" s="378">
        <f t="shared" ref="I51" si="55">WORKDAY.INTL(H51,1,"0000110")</f>
        <v>46308</v>
      </c>
      <c r="J51" s="378"/>
      <c r="K51" s="378"/>
      <c r="L51" s="379"/>
      <c r="M51" s="379" t="str">
        <f t="shared" ca="1" si="7"/>
        <v>Not Started</v>
      </c>
      <c r="N51" s="71"/>
      <c r="O51" s="72"/>
      <c r="P51" s="72"/>
      <c r="Q51" s="72"/>
      <c r="R51" s="72"/>
      <c r="S51" s="72"/>
      <c r="T51" s="72"/>
      <c r="U51" s="72"/>
      <c r="V51" s="519"/>
      <c r="W51" s="1354"/>
      <c r="X51" s="524" t="s">
        <v>126</v>
      </c>
      <c r="Y51" s="1181">
        <v>1</v>
      </c>
      <c r="Z51" s="1181"/>
      <c r="AA51" s="1181"/>
      <c r="AB51" s="70"/>
      <c r="AC51" s="525"/>
      <c r="AF51" s="34" t="s">
        <v>65</v>
      </c>
      <c r="AG51" s="24" t="s">
        <v>76</v>
      </c>
    </row>
    <row r="52" spans="2:37" s="19" customFormat="1" ht="6.95" customHeight="1" thickBot="1">
      <c r="B52" s="114"/>
      <c r="C52" s="114"/>
      <c r="D52" s="380" t="s">
        <v>233</v>
      </c>
      <c r="E52" s="381"/>
      <c r="F52" s="380"/>
      <c r="G52" s="380"/>
      <c r="H52" s="380"/>
      <c r="I52" s="380"/>
      <c r="J52" s="380"/>
      <c r="K52" s="380"/>
      <c r="L52" s="382"/>
      <c r="M52" s="382"/>
      <c r="N52" s="114"/>
      <c r="O52" s="114"/>
      <c r="P52" s="114"/>
      <c r="Q52" s="114"/>
      <c r="R52" s="114"/>
      <c r="S52" s="114"/>
      <c r="T52" s="114"/>
      <c r="U52" s="114"/>
      <c r="V52" s="382"/>
      <c r="W52" s="509"/>
      <c r="X52" s="660"/>
      <c r="Y52" s="661"/>
      <c r="Z52" s="661"/>
      <c r="AA52" s="661"/>
      <c r="AB52" s="114"/>
      <c r="AC52" s="114"/>
      <c r="AD52" s="49"/>
      <c r="AG52" s="19" t="s">
        <v>77</v>
      </c>
      <c r="AJ52" s="20"/>
    </row>
    <row r="53" spans="2:37" ht="61.5">
      <c r="B53" s="1368" t="s">
        <v>355</v>
      </c>
      <c r="C53" s="962" t="s">
        <v>86</v>
      </c>
      <c r="D53" s="963" t="s">
        <v>112</v>
      </c>
      <c r="E53" s="964">
        <f>NETWORKDAYS.INTL(F53,G53,"0000100",$AI$5:$AI$12)</f>
        <v>5</v>
      </c>
      <c r="F53" s="383">
        <f>WORKDAY.INTL(G49,1,"0000100",$AI$5:$AI$11)</f>
        <v>46292</v>
      </c>
      <c r="G53" s="383">
        <f>WORKDAY.INTL(F53,4,"0000100",$AI$5:$AI$11)</f>
        <v>46296</v>
      </c>
      <c r="H53" s="383">
        <f>WORKDAY.INTL(I49,1,"0000100",$AI$5:$AI$11)</f>
        <v>46298</v>
      </c>
      <c r="I53" s="383">
        <f>WORKDAY.INTL(H53,4,"0000100",$AI$5:$AI$11)</f>
        <v>46302</v>
      </c>
      <c r="J53" s="383"/>
      <c r="K53" s="383"/>
      <c r="L53" s="384"/>
      <c r="M53" s="384" t="str">
        <f t="shared" ca="1" si="7"/>
        <v>Not Started</v>
      </c>
      <c r="N53" s="965"/>
      <c r="O53" s="966"/>
      <c r="P53" s="966"/>
      <c r="Q53" s="966"/>
      <c r="R53" s="966"/>
      <c r="S53" s="966"/>
      <c r="T53" s="966"/>
      <c r="U53" s="966"/>
      <c r="V53" s="967"/>
      <c r="W53" s="624"/>
      <c r="X53" s="982"/>
      <c r="Y53" s="1230" t="s">
        <v>271</v>
      </c>
      <c r="Z53" s="1230"/>
      <c r="AA53" s="1230"/>
      <c r="AB53" s="93" t="s">
        <v>346</v>
      </c>
      <c r="AC53" s="983" t="s">
        <v>343</v>
      </c>
      <c r="AF53" s="34" t="s">
        <v>62</v>
      </c>
      <c r="AG53" s="24" t="s">
        <v>77</v>
      </c>
      <c r="AK53" s="37"/>
    </row>
    <row r="54" spans="2:37" ht="61.5">
      <c r="B54" s="1369"/>
      <c r="C54" s="968" t="s">
        <v>86</v>
      </c>
      <c r="D54" s="969" t="s">
        <v>114</v>
      </c>
      <c r="E54" s="970">
        <f>NETWORKDAYS.INTL(F54,G54,"0000100",$AI$5:$AI$12)</f>
        <v>3</v>
      </c>
      <c r="F54" s="369">
        <f>WORKDAY.INTL(G53,1,"0000100",$AI$5:$AI$11)</f>
        <v>46298</v>
      </c>
      <c r="G54" s="369">
        <f>WORKDAY.INTL(F54,2,"0000100",$AI$5:$AI$11)</f>
        <v>46300</v>
      </c>
      <c r="H54" s="369">
        <f>WORKDAY.INTL(I53,1,"0000100",$AI$5:$AI$11)</f>
        <v>46303</v>
      </c>
      <c r="I54" s="369">
        <f>WORKDAY.INTL(H54,2,"0000100",$AI$5:$AI$11)</f>
        <v>46306</v>
      </c>
      <c r="J54" s="369"/>
      <c r="K54" s="369"/>
      <c r="L54" s="373"/>
      <c r="M54" s="373" t="str">
        <f t="shared" ca="1" si="7"/>
        <v>Not Started</v>
      </c>
      <c r="N54" s="971"/>
      <c r="O54" s="972"/>
      <c r="P54" s="972"/>
      <c r="Q54" s="972"/>
      <c r="R54" s="972"/>
      <c r="S54" s="972"/>
      <c r="T54" s="972"/>
      <c r="U54" s="972"/>
      <c r="V54" s="973"/>
      <c r="W54" s="650"/>
      <c r="X54" s="984"/>
      <c r="Y54" s="1231">
        <v>1</v>
      </c>
      <c r="Z54" s="1231"/>
      <c r="AA54" s="1231"/>
      <c r="AB54" s="95"/>
      <c r="AC54" s="985"/>
      <c r="AF54" s="34" t="s">
        <v>63</v>
      </c>
      <c r="AG54" s="24" t="s">
        <v>77</v>
      </c>
    </row>
    <row r="55" spans="2:37" ht="61.5">
      <c r="B55" s="1369"/>
      <c r="C55" s="968" t="s">
        <v>86</v>
      </c>
      <c r="D55" s="974" t="s">
        <v>120</v>
      </c>
      <c r="E55" s="970">
        <f>NETWORKDAYS.INTL(F55,G55,"0000110",$AI$5:$AI$12)</f>
        <v>8</v>
      </c>
      <c r="F55" s="369">
        <f>MAX(WORKDAY.INTL(G54,1,"0000100",$AL$5:$AL$10),WORKDAY.INTL(G50,1,"0000100",$AL$5:$AL$10))</f>
        <v>46307</v>
      </c>
      <c r="G55" s="369">
        <f>WORKDAY.INTL(F55,7,"0000110")</f>
        <v>46316</v>
      </c>
      <c r="H55" s="369">
        <f>MAX(WORKDAY.INTL(I54,1,"0000100",$AL$5:$AL$10),WORKDAY.INTL(I50,1,"0000100",$AL$5:$AL$10))</f>
        <v>46307</v>
      </c>
      <c r="I55" s="369">
        <f>WORKDAY.INTL(H55,7,"0000110")</f>
        <v>46316</v>
      </c>
      <c r="J55" s="369"/>
      <c r="K55" s="369"/>
      <c r="L55" s="373"/>
      <c r="M55" s="373" t="str">
        <f t="shared" ca="1" si="7"/>
        <v>Not Started</v>
      </c>
      <c r="N55" s="971"/>
      <c r="O55" s="975"/>
      <c r="P55" s="975"/>
      <c r="Q55" s="975"/>
      <c r="R55" s="975"/>
      <c r="S55" s="975"/>
      <c r="T55" s="975"/>
      <c r="U55" s="975"/>
      <c r="V55" s="973"/>
      <c r="W55" s="625"/>
      <c r="X55" s="984" t="s">
        <v>339</v>
      </c>
      <c r="Y55" s="1231">
        <v>1</v>
      </c>
      <c r="Z55" s="1231"/>
      <c r="AA55" s="1231"/>
      <c r="AB55" s="95" t="s">
        <v>340</v>
      </c>
      <c r="AC55" s="985" t="s">
        <v>356</v>
      </c>
      <c r="AF55" s="34" t="s">
        <v>64</v>
      </c>
      <c r="AG55" s="24" t="s">
        <v>77</v>
      </c>
    </row>
    <row r="56" spans="2:37" ht="61.5">
      <c r="B56" s="1365"/>
      <c r="C56" s="976" t="s">
        <v>86</v>
      </c>
      <c r="D56" s="977" t="s">
        <v>125</v>
      </c>
      <c r="E56" s="978">
        <f>NETWORKDAYS.INTL(F56,G56,"0000110",$AI$5:$AI$12)</f>
        <v>2</v>
      </c>
      <c r="F56" s="387">
        <f>WORKDAY.INTL(G55,1,"0000110")</f>
        <v>46317</v>
      </c>
      <c r="G56" s="387">
        <f t="shared" ref="G56" si="56">WORKDAY.INTL(F56,1,"0000110")</f>
        <v>46320</v>
      </c>
      <c r="H56" s="387">
        <f>WORKDAY.INTL(I55,1,"0000110")</f>
        <v>46317</v>
      </c>
      <c r="I56" s="387">
        <f t="shared" ref="I56" si="57">WORKDAY.INTL(H56,1,"0000110")</f>
        <v>46320</v>
      </c>
      <c r="J56" s="387"/>
      <c r="K56" s="387"/>
      <c r="L56" s="388"/>
      <c r="M56" s="388" t="str">
        <f t="shared" ca="1" si="7"/>
        <v>Not Started</v>
      </c>
      <c r="N56" s="979"/>
      <c r="O56" s="980"/>
      <c r="P56" s="980"/>
      <c r="Q56" s="980"/>
      <c r="R56" s="980"/>
      <c r="S56" s="980"/>
      <c r="T56" s="980"/>
      <c r="U56" s="980"/>
      <c r="V56" s="981"/>
      <c r="W56" s="626"/>
      <c r="X56" s="986" t="s">
        <v>126</v>
      </c>
      <c r="Y56" s="1232">
        <v>1</v>
      </c>
      <c r="Z56" s="1232"/>
      <c r="AA56" s="1232"/>
      <c r="AB56" s="100"/>
      <c r="AC56" s="987"/>
      <c r="AF56" s="34" t="s">
        <v>65</v>
      </c>
      <c r="AG56" s="24" t="s">
        <v>77</v>
      </c>
    </row>
    <row r="57" spans="2:37" s="19" customFormat="1" ht="11.25" customHeight="1" thickBot="1">
      <c r="B57" s="114"/>
      <c r="C57" s="114"/>
      <c r="D57" s="380"/>
      <c r="E57" s="381"/>
      <c r="F57" s="380"/>
      <c r="G57" s="380"/>
      <c r="H57" s="380"/>
      <c r="I57" s="380"/>
      <c r="J57" s="380"/>
      <c r="K57" s="380"/>
      <c r="L57" s="382"/>
      <c r="M57" s="382"/>
      <c r="N57" s="114"/>
      <c r="O57" s="114"/>
      <c r="P57" s="114"/>
      <c r="Q57" s="114"/>
      <c r="R57" s="114"/>
      <c r="S57" s="114"/>
      <c r="T57" s="114"/>
      <c r="U57" s="114"/>
      <c r="V57" s="382"/>
      <c r="W57" s="510"/>
      <c r="X57" s="660"/>
      <c r="Y57" s="661"/>
      <c r="Z57" s="661"/>
      <c r="AA57" s="661"/>
      <c r="AB57" s="114"/>
      <c r="AC57" s="114"/>
      <c r="AD57" s="49"/>
      <c r="AJ57" s="20"/>
    </row>
    <row r="58" spans="2:37" ht="58.5">
      <c r="B58" s="1343" t="s">
        <v>143</v>
      </c>
      <c r="C58" s="427" t="s">
        <v>143</v>
      </c>
      <c r="D58" s="375" t="s">
        <v>144</v>
      </c>
      <c r="E58" s="346">
        <f>NETWORKDAYS.INTL(F58,G58,"0000100",$AJ$5:$AJ$11)</f>
        <v>19</v>
      </c>
      <c r="F58" s="81">
        <f>WORKDAY.INTL(G59,25,"0000100",$AJ$5:$AJ$10)</f>
        <v>46303</v>
      </c>
      <c r="G58" s="81">
        <f>WORKDAY.INTL(F58,18,"0000100",$AJ$5:$AJ$10)</f>
        <v>46324</v>
      </c>
      <c r="H58" s="81">
        <f>WORKDAY.INTL(I59,25,"0000100",$AJ$5:$AJ$10)</f>
        <v>46303</v>
      </c>
      <c r="I58" s="81">
        <f>WORKDAY.INTL(H58,18,"0000100",$AJ$5:$AJ$10)</f>
        <v>46324</v>
      </c>
      <c r="J58" s="81"/>
      <c r="K58" s="81"/>
      <c r="L58" s="376"/>
      <c r="M58" s="376" t="str">
        <f t="shared" ca="1" si="7"/>
        <v>Not Started</v>
      </c>
      <c r="N58" s="68"/>
      <c r="O58" s="112"/>
      <c r="P58" s="112"/>
      <c r="Q58" s="112"/>
      <c r="R58" s="112"/>
      <c r="S58" s="112"/>
      <c r="T58" s="112"/>
      <c r="U58" s="112"/>
      <c r="V58" s="516"/>
      <c r="W58" s="1391"/>
      <c r="X58" s="521" t="s">
        <v>145</v>
      </c>
      <c r="Y58" s="1180">
        <v>1</v>
      </c>
      <c r="Z58" s="1180"/>
      <c r="AA58" s="1180"/>
      <c r="AB58" s="67" t="s">
        <v>357</v>
      </c>
      <c r="AC58" s="497"/>
      <c r="AD58" s="21"/>
      <c r="AF58" s="34"/>
    </row>
    <row r="59" spans="2:37" ht="58.5">
      <c r="B59" s="1344"/>
      <c r="C59" s="428" t="s">
        <v>143</v>
      </c>
      <c r="D59" s="517" t="s">
        <v>147</v>
      </c>
      <c r="E59" s="354">
        <f>NETWORKDAYS.INTL(F59,G59,"0000100",$AJ$5:$AJ$11)</f>
        <v>19</v>
      </c>
      <c r="F59" s="84">
        <f>WORKDAY.INTL(F76,25,"0000100",$AJ$5:$AJ$10)</f>
        <v>46253</v>
      </c>
      <c r="G59" s="84">
        <f>WORKDAY.INTL(F59,18,"0000100",$AJ$5:$AJ$10)</f>
        <v>46274</v>
      </c>
      <c r="H59" s="84">
        <f>WORKDAY.INTL(H76,25,"0000100",$AJ$5:$AJ$10)</f>
        <v>46253</v>
      </c>
      <c r="I59" s="84">
        <f>WORKDAY.INTL(H59,18,"0000100",$AJ$5:$AJ$10)</f>
        <v>46274</v>
      </c>
      <c r="J59" s="84"/>
      <c r="K59" s="84"/>
      <c r="L59" s="366"/>
      <c r="M59" s="366" t="str">
        <f t="shared" ca="1" si="7"/>
        <v>Not Started</v>
      </c>
      <c r="N59" s="85"/>
      <c r="O59" s="50"/>
      <c r="P59" s="50"/>
      <c r="Q59" s="50"/>
      <c r="R59" s="50"/>
      <c r="S59" s="50"/>
      <c r="T59" s="50"/>
      <c r="U59" s="50"/>
      <c r="V59" s="518"/>
      <c r="W59" s="1392"/>
      <c r="X59" s="522" t="s">
        <v>145</v>
      </c>
      <c r="Y59" s="1172">
        <v>1</v>
      </c>
      <c r="Z59" s="1172"/>
      <c r="AA59" s="1172"/>
      <c r="AB59" s="34" t="s">
        <v>357</v>
      </c>
      <c r="AC59" s="498"/>
      <c r="AD59" s="21"/>
      <c r="AF59" s="34"/>
    </row>
    <row r="60" spans="2:37" ht="58.5">
      <c r="B60" s="1345"/>
      <c r="C60" s="429" t="s">
        <v>143</v>
      </c>
      <c r="D60" s="377" t="s">
        <v>148</v>
      </c>
      <c r="E60" s="347">
        <f>NETWORKDAYS.INTL(F60,G60,"0000100",$AJ$5:$AJ$11)</f>
        <v>66</v>
      </c>
      <c r="F60" s="378">
        <f>F59</f>
        <v>46253</v>
      </c>
      <c r="G60" s="378">
        <f>WORKDAY.INTL(F60,65,"0000100",$AJ$5:$AJ$10)</f>
        <v>46329</v>
      </c>
      <c r="H60" s="378">
        <f>H59</f>
        <v>46253</v>
      </c>
      <c r="I60" s="378">
        <f>WORKDAY.INTL(H60,65,"0000100",$AJ$5:$AJ$10)</f>
        <v>46329</v>
      </c>
      <c r="J60" s="378"/>
      <c r="K60" s="378"/>
      <c r="L60" s="379"/>
      <c r="M60" s="379" t="str">
        <f t="shared" ca="1" si="7"/>
        <v>Not Started</v>
      </c>
      <c r="N60" s="71"/>
      <c r="O60" s="113"/>
      <c r="P60" s="113"/>
      <c r="Q60" s="113"/>
      <c r="R60" s="113"/>
      <c r="S60" s="113"/>
      <c r="T60" s="113"/>
      <c r="U60" s="113"/>
      <c r="V60" s="519"/>
      <c r="W60" s="1393"/>
      <c r="X60" s="524" t="s">
        <v>358</v>
      </c>
      <c r="Y60" s="1181">
        <v>1</v>
      </c>
      <c r="Z60" s="1181"/>
      <c r="AA60" s="1181"/>
      <c r="AB60" s="70" t="s">
        <v>357</v>
      </c>
      <c r="AC60" s="525"/>
      <c r="AD60" s="21"/>
      <c r="AF60" s="34"/>
    </row>
    <row r="61" spans="2:37" s="19" customFormat="1" ht="8.85" customHeight="1" thickBot="1">
      <c r="B61" s="114"/>
      <c r="C61" s="114"/>
      <c r="D61" s="380"/>
      <c r="E61" s="381"/>
      <c r="F61" s="380"/>
      <c r="G61" s="380"/>
      <c r="H61" s="380"/>
      <c r="I61" s="380"/>
      <c r="J61" s="380"/>
      <c r="K61" s="380"/>
      <c r="L61" s="382"/>
      <c r="M61" s="382"/>
      <c r="N61" s="114"/>
      <c r="O61" s="114"/>
      <c r="P61" s="114"/>
      <c r="Q61" s="114"/>
      <c r="R61" s="114"/>
      <c r="S61" s="114"/>
      <c r="T61" s="114"/>
      <c r="U61" s="114"/>
      <c r="V61" s="382"/>
      <c r="W61" s="511"/>
      <c r="X61" s="114"/>
      <c r="Y61" s="661"/>
      <c r="Z61" s="661"/>
      <c r="AA61" s="661"/>
      <c r="AB61" s="114"/>
      <c r="AC61" s="114"/>
      <c r="AF61" s="33"/>
      <c r="AG61" s="33"/>
    </row>
    <row r="62" spans="2:37" s="103" customFormat="1" ht="154.5" thickBot="1">
      <c r="B62" s="441" t="s">
        <v>150</v>
      </c>
      <c r="C62" s="544" t="s">
        <v>151</v>
      </c>
      <c r="D62" s="545" t="s">
        <v>359</v>
      </c>
      <c r="E62" s="546">
        <f>NETWORKDAYS.INTL(F62,G62,"0000110",$AJ$5:$AJ$11)</f>
        <v>3</v>
      </c>
      <c r="F62" s="442">
        <f>MAX(WORKDAY.INTL(G56,1,"0000110"),WORKDAY.INTL(G69,1,"0000110"))</f>
        <v>46321</v>
      </c>
      <c r="G62" s="442">
        <f t="shared" ref="G62" si="58">WORKDAY.INTL(F62,2,"0000110")</f>
        <v>46323</v>
      </c>
      <c r="H62" s="442">
        <f>MAX(WORKDAY.INTL(I56,1,"0000110"),WORKDAY.INTL(I69,1,"0000110"),WORKDAY.INTL(I67,1,"0000110"))</f>
        <v>46321</v>
      </c>
      <c r="I62" s="442">
        <f t="shared" ref="I62" si="59">WORKDAY.INTL(H62,2,"0000110")</f>
        <v>46323</v>
      </c>
      <c r="J62" s="442"/>
      <c r="K62" s="442"/>
      <c r="L62" s="443"/>
      <c r="M62" s="443" t="str">
        <f t="shared" ref="M62" ca="1" si="60">IF(L62=100%,"Completed",
IF(AND(L62&lt;100%,G62&lt;TODAY()),"Delayed",
IF(AND(OR(L62="",L62=0),F62&gt;TODAY()),"Not Started",
IF(AND(OR(L62="",L62=0),F62&lt;=TODAY()),"Delayed",
IF(AND(L62&gt;0,L62&lt;100%),"In Progress","")))))</f>
        <v>Not Started</v>
      </c>
      <c r="N62" s="547"/>
      <c r="O62" s="548"/>
      <c r="P62" s="548"/>
      <c r="Q62" s="548"/>
      <c r="R62" s="548"/>
      <c r="S62" s="548"/>
      <c r="T62" s="548"/>
      <c r="U62" s="548"/>
      <c r="V62" s="668"/>
      <c r="W62" s="667"/>
      <c r="X62" s="672" t="s">
        <v>153</v>
      </c>
      <c r="Y62" s="1188">
        <v>1</v>
      </c>
      <c r="Z62" s="1188"/>
      <c r="AA62" s="1188"/>
      <c r="AB62" s="444" t="s">
        <v>360</v>
      </c>
      <c r="AC62" s="991"/>
      <c r="AF62" s="115"/>
      <c r="AG62" s="115"/>
    </row>
    <row r="63" spans="2:37" ht="42" hidden="1" customHeight="1">
      <c r="B63" s="1370" t="s">
        <v>361</v>
      </c>
      <c r="C63" s="116"/>
      <c r="D63" s="988"/>
      <c r="E63" s="367"/>
      <c r="F63" s="368"/>
      <c r="G63" s="368"/>
      <c r="H63" s="368"/>
      <c r="I63" s="368"/>
      <c r="J63" s="368"/>
      <c r="K63" s="368"/>
      <c r="L63" s="370"/>
      <c r="M63" s="370"/>
      <c r="N63" s="109"/>
      <c r="O63" s="989"/>
      <c r="P63" s="989"/>
      <c r="Q63" s="989"/>
      <c r="R63" s="989"/>
      <c r="S63" s="989"/>
      <c r="T63" s="989"/>
      <c r="U63" s="990"/>
      <c r="V63" s="370"/>
      <c r="W63" s="512"/>
      <c r="X63" s="1373"/>
      <c r="Y63" s="1226"/>
      <c r="Z63" s="1226"/>
      <c r="AA63" s="1226"/>
      <c r="AB63" s="108"/>
      <c r="AC63" s="108"/>
      <c r="AD63" s="21"/>
      <c r="AF63" s="34"/>
    </row>
    <row r="64" spans="2:37" ht="42" hidden="1" customHeight="1">
      <c r="B64" s="1371"/>
      <c r="C64" s="116"/>
      <c r="D64" s="372"/>
      <c r="E64" s="371"/>
      <c r="F64" s="369"/>
      <c r="G64" s="369"/>
      <c r="H64" s="369"/>
      <c r="I64" s="369"/>
      <c r="J64" s="369"/>
      <c r="K64" s="369"/>
      <c r="L64" s="373"/>
      <c r="M64" s="373"/>
      <c r="N64" s="109"/>
      <c r="O64" s="110"/>
      <c r="P64" s="110"/>
      <c r="Q64" s="110"/>
      <c r="R64" s="110"/>
      <c r="S64" s="110"/>
      <c r="T64" s="110"/>
      <c r="U64" s="111"/>
      <c r="V64" s="373"/>
      <c r="W64" s="513"/>
      <c r="X64" s="1374"/>
      <c r="Y64" s="1226"/>
      <c r="Z64" s="1226"/>
      <c r="AA64" s="1226"/>
      <c r="AB64" s="95"/>
      <c r="AC64" s="95"/>
      <c r="AD64" s="21"/>
      <c r="AF64" s="19"/>
      <c r="AG64" s="19"/>
    </row>
    <row r="65" spans="2:34" ht="42" hidden="1" customHeight="1">
      <c r="B65" s="1371"/>
      <c r="C65" s="116"/>
      <c r="D65" s="372"/>
      <c r="E65" s="371"/>
      <c r="F65" s="369"/>
      <c r="G65" s="369"/>
      <c r="H65" s="369"/>
      <c r="I65" s="369"/>
      <c r="J65" s="369"/>
      <c r="K65" s="369"/>
      <c r="L65" s="373"/>
      <c r="M65" s="373"/>
      <c r="N65" s="109"/>
      <c r="O65" s="110"/>
      <c r="P65" s="110"/>
      <c r="Q65" s="110"/>
      <c r="R65" s="110"/>
      <c r="S65" s="110"/>
      <c r="T65" s="110"/>
      <c r="U65" s="111"/>
      <c r="V65" s="373"/>
      <c r="W65" s="513"/>
      <c r="X65" s="431"/>
      <c r="Y65" s="1226"/>
      <c r="Z65" s="1226"/>
      <c r="AA65" s="1226"/>
      <c r="AB65" s="95"/>
      <c r="AC65" s="95"/>
      <c r="AD65" s="21"/>
      <c r="AF65" s="34"/>
    </row>
    <row r="66" spans="2:34" ht="42" hidden="1" customHeight="1">
      <c r="B66" s="1371"/>
      <c r="C66" s="116"/>
      <c r="D66" s="372"/>
      <c r="E66" s="371"/>
      <c r="F66" s="369"/>
      <c r="G66" s="369"/>
      <c r="H66" s="369"/>
      <c r="I66" s="369"/>
      <c r="J66" s="369"/>
      <c r="K66" s="369"/>
      <c r="L66" s="373"/>
      <c r="M66" s="373"/>
      <c r="N66" s="109"/>
      <c r="O66" s="110"/>
      <c r="P66" s="110"/>
      <c r="Q66" s="110"/>
      <c r="R66" s="110"/>
      <c r="S66" s="110"/>
      <c r="T66" s="110"/>
      <c r="U66" s="111"/>
      <c r="V66" s="373"/>
      <c r="W66" s="513"/>
      <c r="X66" s="431"/>
      <c r="Y66" s="1226"/>
      <c r="Z66" s="1226"/>
      <c r="AA66" s="1226"/>
      <c r="AB66" s="95"/>
      <c r="AC66" s="95"/>
      <c r="AD66" s="21"/>
      <c r="AF66" s="34"/>
    </row>
    <row r="67" spans="2:34" ht="42" hidden="1" customHeight="1" thickBot="1">
      <c r="B67" s="1372"/>
      <c r="C67" s="117"/>
      <c r="D67" s="385"/>
      <c r="E67" s="386"/>
      <c r="F67" s="387"/>
      <c r="G67" s="387"/>
      <c r="H67" s="387"/>
      <c r="I67" s="387"/>
      <c r="J67" s="387"/>
      <c r="K67" s="387"/>
      <c r="L67" s="388"/>
      <c r="M67" s="388"/>
      <c r="N67" s="118"/>
      <c r="O67" s="119"/>
      <c r="P67" s="119"/>
      <c r="Q67" s="119"/>
      <c r="R67" s="119"/>
      <c r="S67" s="119"/>
      <c r="T67" s="119"/>
      <c r="U67" s="120"/>
      <c r="V67" s="388"/>
      <c r="W67" s="514"/>
      <c r="X67" s="121"/>
      <c r="Y67" s="1227"/>
      <c r="Z67" s="1227"/>
      <c r="AA67" s="1227"/>
      <c r="AB67" s="100"/>
      <c r="AC67" s="100"/>
      <c r="AD67" s="21"/>
      <c r="AF67" s="34"/>
    </row>
    <row r="68" spans="2:34" s="19" customFormat="1" ht="9" customHeight="1" thickBot="1">
      <c r="B68" s="51"/>
      <c r="C68" s="51"/>
      <c r="D68" s="338"/>
      <c r="E68" s="339"/>
      <c r="F68" s="338"/>
      <c r="G68" s="338"/>
      <c r="H68" s="338"/>
      <c r="I68" s="338"/>
      <c r="J68" s="338"/>
      <c r="K68" s="338"/>
      <c r="L68" s="374"/>
      <c r="M68" s="374"/>
      <c r="N68" s="51"/>
      <c r="O68" s="51"/>
      <c r="P68" s="51"/>
      <c r="Q68" s="51"/>
      <c r="R68" s="51"/>
      <c r="S68" s="51"/>
      <c r="T68" s="51"/>
      <c r="U68" s="51"/>
      <c r="V68" s="374"/>
      <c r="W68" s="509"/>
      <c r="X68" s="53"/>
      <c r="Y68" s="52"/>
      <c r="Z68" s="52"/>
      <c r="AA68" s="52"/>
      <c r="AB68" s="51"/>
      <c r="AC68" s="51"/>
    </row>
    <row r="69" spans="2:34" ht="49.5">
      <c r="B69" s="1343" t="s">
        <v>155</v>
      </c>
      <c r="C69" s="427" t="s">
        <v>155</v>
      </c>
      <c r="D69" s="345" t="s">
        <v>47</v>
      </c>
      <c r="E69" s="346">
        <f>NETWORKDAYS.INTL(F69,G69,"0000110",$AJ$5:$AJ$11)</f>
        <v>30</v>
      </c>
      <c r="F69" s="81">
        <v>46249</v>
      </c>
      <c r="G69" s="81">
        <f>WORKDAY.INTL(F69,30,"0000110",$AJ$5:$AJ$10)</f>
        <v>46289</v>
      </c>
      <c r="H69" s="81">
        <v>46249</v>
      </c>
      <c r="I69" s="81">
        <f>WORKDAY.INTL(H69,30,"0000110",$AJ$5:$AJ$10)</f>
        <v>46289</v>
      </c>
      <c r="J69" s="81"/>
      <c r="K69" s="81"/>
      <c r="L69" s="376"/>
      <c r="M69" s="376" t="str">
        <f t="shared" ref="M69:M70" ca="1" si="61">IF(L69=100%,"Completed",
IF(AND(L69&lt;100%,G69&lt;TODAY()),"Delayed",
IF(AND(OR(L69="",L69=0),F69&gt;TODAY()),"Not Started",
IF(AND(OR(L69="",L69=0),F69&lt;=TODAY()),"Delayed",
IF(AND(L69&gt;0,L69&lt;100%),"In Progress","")))))</f>
        <v>Not Started</v>
      </c>
      <c r="N69" s="68"/>
      <c r="O69" s="65"/>
      <c r="P69" s="65"/>
      <c r="Q69" s="65"/>
      <c r="R69" s="65"/>
      <c r="S69" s="65"/>
      <c r="T69" s="65"/>
      <c r="U69" s="65"/>
      <c r="V69" s="516"/>
      <c r="W69" s="1352"/>
      <c r="X69" s="521"/>
      <c r="Y69" s="1180">
        <v>1</v>
      </c>
      <c r="Z69" s="1180"/>
      <c r="AA69" s="1180"/>
      <c r="AB69" s="67" t="s">
        <v>357</v>
      </c>
      <c r="AC69" s="497"/>
      <c r="AD69" s="21"/>
    </row>
    <row r="70" spans="2:34" ht="49.5">
      <c r="B70" s="1345"/>
      <c r="C70" s="429" t="s">
        <v>155</v>
      </c>
      <c r="D70" s="489" t="s">
        <v>158</v>
      </c>
      <c r="E70" s="347">
        <f>NETWORKDAYS.INTL(F70,G70,"0000110",$AJ$5:$AJ$11)</f>
        <v>30</v>
      </c>
      <c r="F70" s="378">
        <f>G62+4</f>
        <v>46327</v>
      </c>
      <c r="G70" s="378">
        <f>WORKDAY.INTL(F70,29,"0000110",$AJ$5:$AJ$10)</f>
        <v>46366</v>
      </c>
      <c r="H70" s="378">
        <f>I62+4</f>
        <v>46327</v>
      </c>
      <c r="I70" s="378">
        <f>WORKDAY.INTL(H70,29,"0000110",$AJ$5:$AJ$10)</f>
        <v>46366</v>
      </c>
      <c r="J70" s="378"/>
      <c r="K70" s="378"/>
      <c r="L70" s="379"/>
      <c r="M70" s="379" t="str">
        <f t="shared" ca="1" si="61"/>
        <v>Not Started</v>
      </c>
      <c r="N70" s="71"/>
      <c r="O70" s="72"/>
      <c r="P70" s="72"/>
      <c r="Q70" s="72"/>
      <c r="R70" s="72"/>
      <c r="S70" s="72"/>
      <c r="T70" s="72"/>
      <c r="U70" s="72"/>
      <c r="V70" s="519"/>
      <c r="W70" s="1354"/>
      <c r="X70" s="524" t="s">
        <v>159</v>
      </c>
      <c r="Y70" s="1181">
        <v>1</v>
      </c>
      <c r="Z70" s="1181"/>
      <c r="AA70" s="1181"/>
      <c r="AB70" s="70"/>
      <c r="AC70" s="525"/>
      <c r="AD70" s="21"/>
    </row>
    <row r="71" spans="2:34" s="19" customFormat="1" ht="7.5" customHeight="1" thickBot="1">
      <c r="B71" s="114"/>
      <c r="C71" s="114"/>
      <c r="D71" s="380"/>
      <c r="E71" s="381"/>
      <c r="F71" s="380"/>
      <c r="G71" s="380"/>
      <c r="H71" s="380"/>
      <c r="I71" s="380"/>
      <c r="J71" s="380"/>
      <c r="K71" s="380"/>
      <c r="L71" s="382"/>
      <c r="M71" s="382"/>
      <c r="N71" s="114"/>
      <c r="O71" s="114"/>
      <c r="P71" s="114"/>
      <c r="Q71" s="114"/>
      <c r="R71" s="114"/>
      <c r="S71" s="114"/>
      <c r="T71" s="114"/>
      <c r="U71" s="114"/>
      <c r="V71" s="382"/>
      <c r="W71" s="509"/>
      <c r="X71" s="660"/>
      <c r="Y71" s="661"/>
      <c r="Z71" s="661"/>
      <c r="AA71" s="661"/>
      <c r="AB71" s="114"/>
      <c r="AC71" s="114"/>
      <c r="AG71" s="24"/>
      <c r="AH71" s="24"/>
    </row>
    <row r="72" spans="2:34" ht="142.5" customHeight="1">
      <c r="B72" s="1340" t="s">
        <v>160</v>
      </c>
      <c r="C72" s="563" t="s">
        <v>160</v>
      </c>
      <c r="D72" s="389" t="s">
        <v>161</v>
      </c>
      <c r="E72" s="390">
        <f>NETWORKDAYS.INTL(F72,G72,"0000100",$AI$5:$AI$12)</f>
        <v>19</v>
      </c>
      <c r="F72" s="417">
        <v>46246</v>
      </c>
      <c r="G72" s="417">
        <f>WORKDAY.INTL(F72,15,"0000110",$AJ$5:$AJ$10)</f>
        <v>46267</v>
      </c>
      <c r="H72" s="391">
        <v>46246</v>
      </c>
      <c r="I72" s="391">
        <f>WORKDAY.INTL(H72,15,"0000110",$AJ$5:$AJ$10)</f>
        <v>46267</v>
      </c>
      <c r="J72" s="391"/>
      <c r="K72" s="391"/>
      <c r="L72" s="392"/>
      <c r="M72" s="392" t="str">
        <f t="shared" ref="M72:M73" ca="1" si="62">IF(L72=100%,"Completed",
IF(AND(L72&lt;100%,G72&lt;TODAY()),"Delayed",
IF(AND(OR(L72="",L72=0),F72&gt;TODAY()),"Not Started",
IF(AND(OR(L72="",L72=0),F72&lt;=TODAY()),"Delayed",
IF(AND(L72&gt;0,L72&lt;100%),"In Progress","")))))</f>
        <v>Not Started</v>
      </c>
      <c r="N72" s="124"/>
      <c r="O72" s="122"/>
      <c r="P72" s="122"/>
      <c r="Q72" s="122"/>
      <c r="R72" s="122"/>
      <c r="S72" s="122"/>
      <c r="T72" s="122"/>
      <c r="U72" s="122"/>
      <c r="V72" s="564"/>
      <c r="W72" s="1352"/>
      <c r="X72" s="677" t="s">
        <v>162</v>
      </c>
      <c r="Y72" s="1190">
        <v>1</v>
      </c>
      <c r="Z72" s="1190"/>
      <c r="AA72" s="1190"/>
      <c r="AB72" s="123"/>
      <c r="AC72" s="992"/>
      <c r="AD72" s="21"/>
      <c r="AG72" s="33"/>
      <c r="AH72" s="33"/>
    </row>
    <row r="73" spans="2:34" ht="46.5">
      <c r="B73" s="1342"/>
      <c r="C73" s="567" t="s">
        <v>160</v>
      </c>
      <c r="D73" s="393" t="s">
        <v>51</v>
      </c>
      <c r="E73" s="394">
        <f>NETWORKDAYS.INTL(F73,G73,"0000110",$AI$5:$AI$12)</f>
        <v>15</v>
      </c>
      <c r="F73" s="418">
        <f>WORKDAY.INTL(G72,15,"0000110",$AJ$5:$AJ$10)</f>
        <v>46288</v>
      </c>
      <c r="G73" s="418">
        <f>WORKDAY.INTL(F73,15,"0000110",$AJ$5:$AJ$10)</f>
        <v>46309</v>
      </c>
      <c r="H73" s="395">
        <f>WORKDAY.INTL(I72,15,"0000110",$AJ$5:$AJ$10)</f>
        <v>46288</v>
      </c>
      <c r="I73" s="395">
        <f>WORKDAY.INTL(H73,15,"0000110",$AJ$5:$AJ$10)</f>
        <v>46309</v>
      </c>
      <c r="J73" s="395"/>
      <c r="K73" s="395"/>
      <c r="L73" s="396"/>
      <c r="M73" s="396" t="str">
        <f t="shared" ca="1" si="62"/>
        <v>Not Started</v>
      </c>
      <c r="N73" s="126"/>
      <c r="O73" s="125"/>
      <c r="P73" s="125"/>
      <c r="Q73" s="125"/>
      <c r="R73" s="125"/>
      <c r="S73" s="125"/>
      <c r="T73" s="125"/>
      <c r="U73" s="125"/>
      <c r="V73" s="568"/>
      <c r="W73" s="1354"/>
      <c r="X73" s="679" t="s">
        <v>163</v>
      </c>
      <c r="Y73" s="1191">
        <v>1</v>
      </c>
      <c r="Z73" s="1191"/>
      <c r="AA73" s="1191"/>
      <c r="AB73" s="60"/>
      <c r="AC73" s="993"/>
      <c r="AD73" s="21"/>
    </row>
    <row r="74" spans="2:34" s="19" customFormat="1" ht="7.5" customHeight="1" thickBot="1">
      <c r="B74" s="114"/>
      <c r="C74" s="114"/>
      <c r="D74" s="380"/>
      <c r="E74" s="381"/>
      <c r="F74" s="380"/>
      <c r="G74" s="380"/>
      <c r="H74" s="380"/>
      <c r="I74" s="380"/>
      <c r="J74" s="380"/>
      <c r="K74" s="380"/>
      <c r="L74" s="382"/>
      <c r="M74" s="382"/>
      <c r="N74" s="114"/>
      <c r="O74" s="114"/>
      <c r="P74" s="114"/>
      <c r="Q74" s="114"/>
      <c r="R74" s="114"/>
      <c r="S74" s="114"/>
      <c r="T74" s="114"/>
      <c r="U74" s="114"/>
      <c r="V74" s="382"/>
      <c r="W74" s="509"/>
      <c r="X74" s="660"/>
      <c r="Y74" s="661"/>
      <c r="Z74" s="661"/>
      <c r="AA74" s="661"/>
      <c r="AB74" s="114"/>
      <c r="AC74" s="114"/>
      <c r="AG74" s="24"/>
      <c r="AH74" s="24"/>
    </row>
    <row r="75" spans="2:34" ht="42.95" customHeight="1">
      <c r="B75" s="1351" t="s">
        <v>249</v>
      </c>
      <c r="C75" s="437" t="s">
        <v>91</v>
      </c>
      <c r="D75" s="345" t="s">
        <v>165</v>
      </c>
      <c r="E75" s="346">
        <f>NETWORKDAYS.INTL(F75,G75,"0000100",$AJ$5:$AJ$11)</f>
        <v>1</v>
      </c>
      <c r="F75" s="81">
        <f>G75</f>
        <v>46215</v>
      </c>
      <c r="G75" s="81">
        <v>46215</v>
      </c>
      <c r="H75" s="81">
        <f>I75</f>
        <v>46215</v>
      </c>
      <c r="I75" s="81">
        <v>46215</v>
      </c>
      <c r="J75" s="81">
        <v>46215</v>
      </c>
      <c r="K75" s="81">
        <v>46215</v>
      </c>
      <c r="L75" s="376">
        <v>1</v>
      </c>
      <c r="M75" s="376" t="str">
        <f t="shared" ref="M75:M108" ca="1" si="63">IF(L75=100%,"Completed",
IF(AND(L75&lt;100%,G75&lt;TODAY()),"Delayed",
IF(AND(OR(L75="",L75=0),F75&gt;TODAY()),"Not Started",
IF(AND(OR(L75="",L75=0),F75&lt;=TODAY()),"Delayed",
IF(AND(L75&gt;0,L75&lt;100%),"In Progress","")))))</f>
        <v>Completed</v>
      </c>
      <c r="N75" s="68"/>
      <c r="O75" s="65"/>
      <c r="P75" s="65"/>
      <c r="Q75" s="65"/>
      <c r="R75" s="65"/>
      <c r="S75" s="65"/>
      <c r="T75" s="65"/>
      <c r="U75" s="65"/>
      <c r="V75" s="516"/>
      <c r="W75" s="1352"/>
      <c r="X75" s="521"/>
      <c r="Y75" s="1180"/>
      <c r="Z75" s="1180"/>
      <c r="AA75" s="1180"/>
      <c r="AB75" s="81"/>
      <c r="AC75" s="486"/>
      <c r="AD75" s="21"/>
      <c r="AF75" s="24"/>
    </row>
    <row r="76" spans="2:34" ht="75.75">
      <c r="B76" s="1344"/>
      <c r="C76" s="487" t="s">
        <v>91</v>
      </c>
      <c r="D76" s="353" t="s">
        <v>362</v>
      </c>
      <c r="E76" s="354">
        <f t="shared" ref="E76:E104" si="64">NETWORKDAYS.INTL(F76,G76,"0000100",$AJ$5:$AJ$12)</f>
        <v>10</v>
      </c>
      <c r="F76" s="84">
        <f>WORKDAY.INTL(G75,8,"0000100",$AJ$5:$AJ$11)</f>
        <v>46224</v>
      </c>
      <c r="G76" s="84">
        <f>WORKDAY.INTL(F76,9,"0000100",$AJ$5:$AJ$11)</f>
        <v>46235</v>
      </c>
      <c r="H76" s="84">
        <f>WORKDAY.INTL(I75,8,"0000100",$AJ$5:$AJ$11)</f>
        <v>46224</v>
      </c>
      <c r="I76" s="84">
        <f>WORKDAY.INTL(H76,9,"0000100",$AJ$5:$AJ$11)</f>
        <v>46235</v>
      </c>
      <c r="J76" s="84">
        <v>46224</v>
      </c>
      <c r="K76" s="84"/>
      <c r="L76" s="366">
        <v>0.18</v>
      </c>
      <c r="M76" s="366" t="str">
        <f t="shared" ca="1" si="63"/>
        <v>In Progress</v>
      </c>
      <c r="N76" s="85"/>
      <c r="O76" s="82"/>
      <c r="P76" s="82"/>
      <c r="Q76" s="82"/>
      <c r="R76" s="82"/>
      <c r="S76" s="82"/>
      <c r="T76" s="82"/>
      <c r="U76" s="82"/>
      <c r="V76" s="518"/>
      <c r="W76" s="1353"/>
      <c r="X76" s="688" t="s">
        <v>168</v>
      </c>
      <c r="Y76" s="1172" t="s">
        <v>133</v>
      </c>
      <c r="Z76" s="1172"/>
      <c r="AA76" s="1172"/>
      <c r="AB76" s="84" t="s">
        <v>363</v>
      </c>
      <c r="AC76" s="488" t="s">
        <v>364</v>
      </c>
      <c r="AD76" s="21"/>
      <c r="AF76" s="24"/>
    </row>
    <row r="77" spans="2:34" ht="39.75" customHeight="1" thickBot="1">
      <c r="B77" s="1345"/>
      <c r="C77" s="438" t="s">
        <v>91</v>
      </c>
      <c r="D77" s="489" t="s">
        <v>172</v>
      </c>
      <c r="E77" s="347">
        <f t="shared" si="64"/>
        <v>4</v>
      </c>
      <c r="F77" s="378">
        <f t="shared" ref="F77:F83" si="65">WORKDAY.INTL(G76,1,"0000100",$AJ$5:$AJ$11)</f>
        <v>46236</v>
      </c>
      <c r="G77" s="378">
        <f>WORKDAY.INTL(F77,3,"0000100",$AJ$5:$AJ$11)</f>
        <v>46239</v>
      </c>
      <c r="H77" s="378">
        <f t="shared" ref="H77" si="66">WORKDAY.INTL(I76,1,"0000100",$AJ$5:$AJ$11)</f>
        <v>46236</v>
      </c>
      <c r="I77" s="378">
        <f>WORKDAY.INTL(H77,3,"0000100",$AJ$5:$AJ$11)</f>
        <v>46239</v>
      </c>
      <c r="J77" s="378"/>
      <c r="K77" s="378"/>
      <c r="L77" s="379"/>
      <c r="M77" s="379" t="str">
        <f t="shared" ca="1" si="63"/>
        <v>Not Started</v>
      </c>
      <c r="N77" s="71"/>
      <c r="O77" s="72"/>
      <c r="P77" s="72"/>
      <c r="Q77" s="72"/>
      <c r="R77" s="72"/>
      <c r="S77" s="72"/>
      <c r="T77" s="72"/>
      <c r="U77" s="72"/>
      <c r="V77" s="519"/>
      <c r="W77" s="1354"/>
      <c r="X77" s="524"/>
      <c r="Y77" s="1181">
        <v>1</v>
      </c>
      <c r="Z77" s="1181"/>
      <c r="AA77" s="1181"/>
      <c r="AB77" s="378"/>
      <c r="AC77" s="490"/>
      <c r="AD77" s="21"/>
      <c r="AF77" s="24"/>
    </row>
    <row r="78" spans="2:34" s="19" customFormat="1" ht="7.5" customHeight="1" thickBot="1">
      <c r="B78" s="114"/>
      <c r="C78" s="114"/>
      <c r="D78" s="380"/>
      <c r="E78" s="381"/>
      <c r="F78" s="380"/>
      <c r="G78" s="380"/>
      <c r="H78" s="380"/>
      <c r="I78" s="380"/>
      <c r="J78" s="380"/>
      <c r="K78" s="380"/>
      <c r="L78" s="382"/>
      <c r="M78" s="382"/>
      <c r="N78" s="114"/>
      <c r="O78" s="114"/>
      <c r="P78" s="114"/>
      <c r="Q78" s="114"/>
      <c r="R78" s="114"/>
      <c r="S78" s="114"/>
      <c r="T78" s="114"/>
      <c r="U78" s="114"/>
      <c r="V78" s="382"/>
      <c r="W78" s="509"/>
      <c r="X78" s="660"/>
      <c r="Y78" s="661"/>
      <c r="Z78" s="661"/>
      <c r="AA78" s="661"/>
      <c r="AB78" s="114"/>
      <c r="AC78" s="114"/>
      <c r="AG78" s="24"/>
      <c r="AH78" s="24"/>
    </row>
    <row r="79" spans="2:34" ht="51" customHeight="1">
      <c r="B79" s="1377" t="s">
        <v>365</v>
      </c>
      <c r="C79" s="570" t="s">
        <v>91</v>
      </c>
      <c r="D79" s="994" t="s">
        <v>366</v>
      </c>
      <c r="E79" s="995">
        <f t="shared" si="64"/>
        <v>7</v>
      </c>
      <c r="F79" s="996">
        <f>WORKDAY.INTL(G76,1,"0000100",$AJ$5:$AJ$11)</f>
        <v>46236</v>
      </c>
      <c r="G79" s="996">
        <f>WORKDAY.INTL(F79,6,"0000100",$AJ$5:$AJ$11)</f>
        <v>46243</v>
      </c>
      <c r="H79" s="996">
        <f>WORKDAY.INTL(I76,1,"0000100",$AJ$5:$AJ$11)</f>
        <v>46236</v>
      </c>
      <c r="I79" s="996">
        <f>WORKDAY.INTL(H79,6,"0000100",$AJ$5:$AJ$11)</f>
        <v>46243</v>
      </c>
      <c r="J79" s="996"/>
      <c r="K79" s="996"/>
      <c r="L79" s="997"/>
      <c r="M79" s="997" t="str">
        <f t="shared" ca="1" si="63"/>
        <v>Not Started</v>
      </c>
      <c r="N79" s="998"/>
      <c r="O79" s="999"/>
      <c r="P79" s="999"/>
      <c r="Q79" s="999"/>
      <c r="R79" s="999"/>
      <c r="S79" s="999"/>
      <c r="T79" s="999"/>
      <c r="U79" s="999"/>
      <c r="V79" s="1000"/>
      <c r="W79" s="1381"/>
      <c r="X79" s="1002" t="s">
        <v>168</v>
      </c>
      <c r="Y79" s="1228" t="s">
        <v>133</v>
      </c>
      <c r="Z79" s="1228"/>
      <c r="AA79" s="1228"/>
      <c r="AB79" s="996" t="s">
        <v>363</v>
      </c>
      <c r="AC79" s="1003" t="s">
        <v>367</v>
      </c>
      <c r="AD79" s="21"/>
      <c r="AF79" s="24"/>
    </row>
    <row r="80" spans="2:34" ht="52.5" customHeight="1" thickBot="1">
      <c r="B80" s="1378"/>
      <c r="C80" s="460" t="s">
        <v>91</v>
      </c>
      <c r="D80" s="461" t="s">
        <v>172</v>
      </c>
      <c r="E80" s="462">
        <f t="shared" si="64"/>
        <v>5</v>
      </c>
      <c r="F80" s="463">
        <f t="shared" si="65"/>
        <v>46244</v>
      </c>
      <c r="G80" s="463">
        <f t="shared" ref="G80:I83" si="67">WORKDAY.INTL(G79,5,"0000100",$AJ$5:$AJ$11)</f>
        <v>46249</v>
      </c>
      <c r="H80" s="463">
        <f t="shared" ref="H80" si="68">WORKDAY.INTL(I79,1,"0000100",$AJ$5:$AJ$11)</f>
        <v>46244</v>
      </c>
      <c r="I80" s="463">
        <f t="shared" si="67"/>
        <v>46249</v>
      </c>
      <c r="J80" s="463"/>
      <c r="K80" s="463"/>
      <c r="L80" s="464"/>
      <c r="M80" s="464" t="str">
        <f t="shared" ca="1" si="63"/>
        <v>Not Started</v>
      </c>
      <c r="N80" s="569"/>
      <c r="O80" s="466"/>
      <c r="P80" s="466"/>
      <c r="Q80" s="466"/>
      <c r="R80" s="466"/>
      <c r="S80" s="466"/>
      <c r="T80" s="466"/>
      <c r="U80" s="466"/>
      <c r="V80" s="1001"/>
      <c r="W80" s="1382"/>
      <c r="X80" s="1004"/>
      <c r="Y80" s="1233">
        <v>1</v>
      </c>
      <c r="Z80" s="1233"/>
      <c r="AA80" s="1233"/>
      <c r="AB80" s="463"/>
      <c r="AC80" s="1005"/>
      <c r="AD80" s="21"/>
      <c r="AF80" s="24"/>
    </row>
    <row r="81" spans="2:34" s="19" customFormat="1" ht="7.5" customHeight="1" thickBot="1">
      <c r="B81" s="114"/>
      <c r="C81" s="114"/>
      <c r="D81" s="380"/>
      <c r="E81" s="381"/>
      <c r="F81" s="380"/>
      <c r="G81" s="380"/>
      <c r="H81" s="380"/>
      <c r="I81" s="380"/>
      <c r="J81" s="380"/>
      <c r="K81" s="380"/>
      <c r="L81" s="382"/>
      <c r="M81" s="382"/>
      <c r="N81" s="114"/>
      <c r="O81" s="114"/>
      <c r="P81" s="114"/>
      <c r="Q81" s="114"/>
      <c r="R81" s="114"/>
      <c r="S81" s="114"/>
      <c r="T81" s="114"/>
      <c r="U81" s="114"/>
      <c r="V81" s="382"/>
      <c r="W81" s="509"/>
      <c r="X81" s="660"/>
      <c r="Y81" s="661"/>
      <c r="Z81" s="661"/>
      <c r="AA81" s="661"/>
      <c r="AB81" s="114"/>
      <c r="AC81" s="114"/>
      <c r="AG81" s="24"/>
      <c r="AH81" s="24"/>
    </row>
    <row r="82" spans="2:34" ht="78">
      <c r="B82" s="1351" t="s">
        <v>368</v>
      </c>
      <c r="C82" s="437" t="s">
        <v>91</v>
      </c>
      <c r="D82" s="345" t="s">
        <v>369</v>
      </c>
      <c r="E82" s="346">
        <f t="shared" si="64"/>
        <v>5</v>
      </c>
      <c r="F82" s="81">
        <f>WORKDAY.INTL(G79,1,"0000100",$AJ$5:$AJ$11)</f>
        <v>46244</v>
      </c>
      <c r="G82" s="81">
        <f>WORKDAY.INTL(F82,4,"0000100",$AJ$5:$AJ$11)</f>
        <v>46249</v>
      </c>
      <c r="H82" s="81">
        <f>WORKDAY.INTL(I79,1,"0000100",$AJ$5:$AJ$11)</f>
        <v>46244</v>
      </c>
      <c r="I82" s="81">
        <f>WORKDAY.INTL(H82,4,"0000100",$AJ$5:$AJ$11)</f>
        <v>46249</v>
      </c>
      <c r="J82" s="81"/>
      <c r="K82" s="81"/>
      <c r="L82" s="376"/>
      <c r="M82" s="376" t="str">
        <f t="shared" ca="1" si="63"/>
        <v>Not Started</v>
      </c>
      <c r="N82" s="68"/>
      <c r="O82" s="65"/>
      <c r="P82" s="65"/>
      <c r="Q82" s="65"/>
      <c r="R82" s="65"/>
      <c r="S82" s="65"/>
      <c r="T82" s="65"/>
      <c r="U82" s="65"/>
      <c r="V82" s="516"/>
      <c r="W82" s="1352"/>
      <c r="X82" s="521"/>
      <c r="Y82" s="1180" t="s">
        <v>370</v>
      </c>
      <c r="Z82" s="1180"/>
      <c r="AA82" s="1180"/>
      <c r="AB82" s="81" t="s">
        <v>371</v>
      </c>
      <c r="AC82" s="486" t="s">
        <v>372</v>
      </c>
      <c r="AD82" s="21"/>
      <c r="AF82" s="24"/>
    </row>
    <row r="83" spans="2:34" ht="54.75" customHeight="1" thickBot="1">
      <c r="B83" s="1345"/>
      <c r="C83" s="438" t="s">
        <v>91</v>
      </c>
      <c r="D83" s="489" t="s">
        <v>172</v>
      </c>
      <c r="E83" s="347">
        <f t="shared" si="64"/>
        <v>5</v>
      </c>
      <c r="F83" s="378">
        <f t="shared" si="65"/>
        <v>46250</v>
      </c>
      <c r="G83" s="378">
        <f t="shared" si="67"/>
        <v>46254</v>
      </c>
      <c r="H83" s="378">
        <f t="shared" ref="H83" si="69">WORKDAY.INTL(I82,1,"0000100",$AJ$5:$AJ$11)</f>
        <v>46250</v>
      </c>
      <c r="I83" s="378">
        <f t="shared" si="67"/>
        <v>46254</v>
      </c>
      <c r="J83" s="378"/>
      <c r="K83" s="378"/>
      <c r="L83" s="379"/>
      <c r="M83" s="379" t="str">
        <f t="shared" ca="1" si="63"/>
        <v>Not Started</v>
      </c>
      <c r="N83" s="71"/>
      <c r="O83" s="72"/>
      <c r="P83" s="72"/>
      <c r="Q83" s="72"/>
      <c r="R83" s="72"/>
      <c r="S83" s="72"/>
      <c r="T83" s="72"/>
      <c r="U83" s="72"/>
      <c r="V83" s="519"/>
      <c r="W83" s="1354"/>
      <c r="X83" s="524"/>
      <c r="Y83" s="1181">
        <v>1</v>
      </c>
      <c r="Z83" s="1181"/>
      <c r="AA83" s="1181"/>
      <c r="AB83" s="378"/>
      <c r="AC83" s="490"/>
      <c r="AD83" s="21"/>
      <c r="AF83" s="24"/>
    </row>
    <row r="84" spans="2:34" s="19" customFormat="1" ht="7.5" customHeight="1" thickBot="1">
      <c r="B84" s="114"/>
      <c r="C84" s="114"/>
      <c r="D84" s="380"/>
      <c r="E84" s="381"/>
      <c r="F84" s="380"/>
      <c r="G84" s="380"/>
      <c r="H84" s="380"/>
      <c r="I84" s="380"/>
      <c r="J84" s="380"/>
      <c r="K84" s="380"/>
      <c r="L84" s="382"/>
      <c r="M84" s="382"/>
      <c r="N84" s="114"/>
      <c r="O84" s="114"/>
      <c r="P84" s="114"/>
      <c r="Q84" s="114"/>
      <c r="R84" s="114"/>
      <c r="S84" s="114"/>
      <c r="T84" s="114"/>
      <c r="U84" s="114"/>
      <c r="V84" s="382"/>
      <c r="W84" s="509"/>
      <c r="X84" s="660"/>
      <c r="Y84" s="661"/>
      <c r="Z84" s="661"/>
      <c r="AA84" s="661"/>
      <c r="AB84" s="114"/>
      <c r="AC84" s="114"/>
      <c r="AG84" s="24"/>
      <c r="AH84" s="24"/>
    </row>
    <row r="85" spans="2:34" s="104" customFormat="1" ht="78">
      <c r="B85" s="1377" t="s">
        <v>373</v>
      </c>
      <c r="C85" s="570" t="s">
        <v>91</v>
      </c>
      <c r="D85" s="994" t="s">
        <v>374</v>
      </c>
      <c r="E85" s="995">
        <f t="shared" si="64"/>
        <v>7</v>
      </c>
      <c r="F85" s="996">
        <f t="shared" ref="F85" si="70">WORKDAY.INTL(G82,1,"0000100",$AJ$5:$AJ$11)</f>
        <v>46250</v>
      </c>
      <c r="G85" s="996">
        <f>WORKDAY.INTL(F85,6,"0000100",$AJ$5:$AJ$11)</f>
        <v>46257</v>
      </c>
      <c r="H85" s="996">
        <f>WORKDAY.INTL(I82,1,"0000100",$AJ$5:$AJ$11)</f>
        <v>46250</v>
      </c>
      <c r="I85" s="996">
        <f>WORKDAY.INTL(H85,6,"0000100",$AJ$5:$AJ$11)</f>
        <v>46257</v>
      </c>
      <c r="J85" s="996"/>
      <c r="K85" s="996"/>
      <c r="L85" s="997"/>
      <c r="M85" s="997" t="str">
        <f t="shared" ca="1" si="63"/>
        <v>Not Started</v>
      </c>
      <c r="N85" s="998"/>
      <c r="O85" s="999"/>
      <c r="P85" s="999"/>
      <c r="Q85" s="999"/>
      <c r="R85" s="999"/>
      <c r="S85" s="999"/>
      <c r="T85" s="999"/>
      <c r="U85" s="999"/>
      <c r="V85" s="1000"/>
      <c r="W85" s="1381"/>
      <c r="X85" s="1006"/>
      <c r="Y85" s="1228" t="s">
        <v>370</v>
      </c>
      <c r="Z85" s="1228"/>
      <c r="AA85" s="1228"/>
      <c r="AB85" s="996" t="s">
        <v>371</v>
      </c>
      <c r="AC85" s="1003" t="s">
        <v>375</v>
      </c>
      <c r="AD85" s="127"/>
      <c r="AF85" s="128"/>
      <c r="AG85" s="128"/>
      <c r="AH85" s="128"/>
    </row>
    <row r="86" spans="2:34" s="104" customFormat="1" ht="53.25" customHeight="1" thickBot="1">
      <c r="B86" s="1378"/>
      <c r="C86" s="460" t="s">
        <v>91</v>
      </c>
      <c r="D86" s="461" t="s">
        <v>172</v>
      </c>
      <c r="E86" s="462">
        <f t="shared" si="64"/>
        <v>5</v>
      </c>
      <c r="F86" s="463">
        <f t="shared" ref="F86:F92" si="71">WORKDAY.INTL(G85,1,"0000100",$AJ$5:$AJ$11)</f>
        <v>46258</v>
      </c>
      <c r="G86" s="463">
        <f t="shared" ref="G86:I92" si="72">WORKDAY.INTL(G85,5,"0000100",$AJ$5:$AJ$11)</f>
        <v>46263</v>
      </c>
      <c r="H86" s="463">
        <f t="shared" ref="H86" si="73">WORKDAY.INTL(I85,1,"0000100",$AJ$5:$AJ$11)</f>
        <v>46258</v>
      </c>
      <c r="I86" s="463">
        <f t="shared" si="72"/>
        <v>46263</v>
      </c>
      <c r="J86" s="463"/>
      <c r="K86" s="463"/>
      <c r="L86" s="464"/>
      <c r="M86" s="464" t="str">
        <f t="shared" ca="1" si="63"/>
        <v>Not Started</v>
      </c>
      <c r="N86" s="569"/>
      <c r="O86" s="466"/>
      <c r="P86" s="466"/>
      <c r="Q86" s="466"/>
      <c r="R86" s="466"/>
      <c r="S86" s="466"/>
      <c r="T86" s="466"/>
      <c r="U86" s="466"/>
      <c r="V86" s="1001"/>
      <c r="W86" s="1382"/>
      <c r="X86" s="1004"/>
      <c r="Y86" s="1233">
        <v>1</v>
      </c>
      <c r="Z86" s="1233"/>
      <c r="AA86" s="1233"/>
      <c r="AB86" s="463"/>
      <c r="AC86" s="1005"/>
      <c r="AD86" s="127"/>
      <c r="AF86" s="128"/>
      <c r="AG86" s="128"/>
      <c r="AH86" s="128"/>
    </row>
    <row r="87" spans="2:34" s="19" customFormat="1" ht="7.5" customHeight="1" thickBot="1">
      <c r="B87" s="114"/>
      <c r="C87" s="114"/>
      <c r="D87" s="380"/>
      <c r="E87" s="381"/>
      <c r="F87" s="380"/>
      <c r="G87" s="380"/>
      <c r="H87" s="380"/>
      <c r="I87" s="380"/>
      <c r="J87" s="380"/>
      <c r="K87" s="380"/>
      <c r="L87" s="382"/>
      <c r="M87" s="382"/>
      <c r="N87" s="114"/>
      <c r="O87" s="114"/>
      <c r="P87" s="114"/>
      <c r="Q87" s="114"/>
      <c r="R87" s="114"/>
      <c r="S87" s="114"/>
      <c r="T87" s="114"/>
      <c r="U87" s="114"/>
      <c r="V87" s="382"/>
      <c r="W87" s="509"/>
      <c r="X87" s="660"/>
      <c r="Y87" s="661"/>
      <c r="Z87" s="661"/>
      <c r="AA87" s="661"/>
      <c r="AB87" s="114"/>
      <c r="AC87" s="114"/>
      <c r="AG87" s="24"/>
      <c r="AH87" s="24"/>
    </row>
    <row r="88" spans="2:34" ht="42.95" customHeight="1">
      <c r="B88" s="1351" t="s">
        <v>376</v>
      </c>
      <c r="C88" s="437" t="s">
        <v>91</v>
      </c>
      <c r="D88" s="345" t="s">
        <v>377</v>
      </c>
      <c r="E88" s="346">
        <f t="shared" si="64"/>
        <v>5</v>
      </c>
      <c r="F88" s="81">
        <f>WORKDAY.INTL(G85,1,"0000100",$AJ$5:$AJ$11)</f>
        <v>46258</v>
      </c>
      <c r="G88" s="81">
        <f>WORKDAY.INTL(F88,4,"0000100",$AJ$5:$AJ$11)</f>
        <v>46263</v>
      </c>
      <c r="H88" s="81">
        <f>WORKDAY.INTL(I85,1,"0000100",$AJ$5:$AJ$11)</f>
        <v>46258</v>
      </c>
      <c r="I88" s="81">
        <f>WORKDAY.INTL(H88,4,"0000100",$AJ$5:$AJ$11)</f>
        <v>46263</v>
      </c>
      <c r="J88" s="81"/>
      <c r="K88" s="81"/>
      <c r="L88" s="376"/>
      <c r="M88" s="376" t="str">
        <f t="shared" ca="1" si="63"/>
        <v>Not Started</v>
      </c>
      <c r="N88" s="68"/>
      <c r="O88" s="65"/>
      <c r="P88" s="65"/>
      <c r="Q88" s="65"/>
      <c r="R88" s="65"/>
      <c r="S88" s="65"/>
      <c r="T88" s="65"/>
      <c r="U88" s="65"/>
      <c r="V88" s="516"/>
      <c r="W88" s="1352"/>
      <c r="X88" s="521"/>
      <c r="Y88" s="1180" t="s">
        <v>370</v>
      </c>
      <c r="Z88" s="1180"/>
      <c r="AA88" s="1180"/>
      <c r="AB88" s="81" t="s">
        <v>371</v>
      </c>
      <c r="AC88" s="486" t="s">
        <v>378</v>
      </c>
      <c r="AD88" s="21"/>
      <c r="AF88" s="24"/>
    </row>
    <row r="89" spans="2:34" ht="53.25" customHeight="1" thickBot="1">
      <c r="B89" s="1345"/>
      <c r="C89" s="438" t="s">
        <v>91</v>
      </c>
      <c r="D89" s="489" t="s">
        <v>172</v>
      </c>
      <c r="E89" s="347">
        <f t="shared" si="64"/>
        <v>5</v>
      </c>
      <c r="F89" s="378">
        <f t="shared" si="71"/>
        <v>46264</v>
      </c>
      <c r="G89" s="378">
        <f t="shared" si="72"/>
        <v>46268</v>
      </c>
      <c r="H89" s="378">
        <f t="shared" ref="H89" si="74">WORKDAY.INTL(I88,1,"0000100",$AJ$5:$AJ$11)</f>
        <v>46264</v>
      </c>
      <c r="I89" s="378">
        <f t="shared" si="72"/>
        <v>46268</v>
      </c>
      <c r="J89" s="378"/>
      <c r="K89" s="378"/>
      <c r="L89" s="379"/>
      <c r="M89" s="379" t="str">
        <f t="shared" ca="1" si="63"/>
        <v>Not Started</v>
      </c>
      <c r="N89" s="71"/>
      <c r="O89" s="72"/>
      <c r="P89" s="72"/>
      <c r="Q89" s="72"/>
      <c r="R89" s="72"/>
      <c r="S89" s="72"/>
      <c r="T89" s="72"/>
      <c r="U89" s="72"/>
      <c r="V89" s="519"/>
      <c r="W89" s="1354"/>
      <c r="X89" s="524"/>
      <c r="Y89" s="1181">
        <v>1</v>
      </c>
      <c r="Z89" s="1181"/>
      <c r="AA89" s="1181"/>
      <c r="AB89" s="378"/>
      <c r="AC89" s="490"/>
      <c r="AD89" s="21"/>
      <c r="AF89" s="24"/>
    </row>
    <row r="90" spans="2:34" s="19" customFormat="1" ht="7.5" customHeight="1" thickBot="1">
      <c r="B90" s="114"/>
      <c r="C90" s="114"/>
      <c r="D90" s="380"/>
      <c r="E90" s="381"/>
      <c r="F90" s="380"/>
      <c r="G90" s="380"/>
      <c r="H90" s="380"/>
      <c r="I90" s="380"/>
      <c r="J90" s="380"/>
      <c r="K90" s="380"/>
      <c r="L90" s="382"/>
      <c r="M90" s="382"/>
      <c r="N90" s="114"/>
      <c r="O90" s="114"/>
      <c r="P90" s="114"/>
      <c r="Q90" s="114"/>
      <c r="R90" s="114"/>
      <c r="S90" s="114"/>
      <c r="T90" s="114"/>
      <c r="U90" s="114"/>
      <c r="V90" s="382"/>
      <c r="W90" s="509"/>
      <c r="X90" s="660"/>
      <c r="Y90" s="661"/>
      <c r="Z90" s="661"/>
      <c r="AA90" s="661"/>
      <c r="AB90" s="114"/>
      <c r="AC90" s="114"/>
      <c r="AG90" s="24"/>
      <c r="AH90" s="24"/>
    </row>
    <row r="91" spans="2:34" s="104" customFormat="1" ht="78">
      <c r="B91" s="1377" t="s">
        <v>379</v>
      </c>
      <c r="C91" s="570" t="s">
        <v>91</v>
      </c>
      <c r="D91" s="994" t="s">
        <v>380</v>
      </c>
      <c r="E91" s="995">
        <f t="shared" si="64"/>
        <v>7</v>
      </c>
      <c r="F91" s="996">
        <f>WORKDAY.INTL(G88,1,"0000100",$AJ$5:$AJ$11)</f>
        <v>46264</v>
      </c>
      <c r="G91" s="996">
        <f>WORKDAY.INTL(F91,6,"0000100",$AJ$5:$AJ$11)</f>
        <v>46271</v>
      </c>
      <c r="H91" s="996">
        <f>WORKDAY.INTL(I88,1,"0000100",$AJ$5:$AJ$11)</f>
        <v>46264</v>
      </c>
      <c r="I91" s="996">
        <f>WORKDAY.INTL(H91,6,"0000100",$AJ$5:$AJ$11)</f>
        <v>46271</v>
      </c>
      <c r="J91" s="996"/>
      <c r="K91" s="996"/>
      <c r="L91" s="997"/>
      <c r="M91" s="997" t="str">
        <f t="shared" ca="1" si="63"/>
        <v>Not Started</v>
      </c>
      <c r="N91" s="998"/>
      <c r="O91" s="999"/>
      <c r="P91" s="999"/>
      <c r="Q91" s="999"/>
      <c r="R91" s="999"/>
      <c r="S91" s="999"/>
      <c r="T91" s="999"/>
      <c r="U91" s="999"/>
      <c r="V91" s="1000"/>
      <c r="W91" s="1381"/>
      <c r="X91" s="1006"/>
      <c r="Y91" s="1228" t="s">
        <v>370</v>
      </c>
      <c r="Z91" s="1228"/>
      <c r="AA91" s="1228"/>
      <c r="AB91" s="996" t="s">
        <v>371</v>
      </c>
      <c r="AC91" s="1003" t="s">
        <v>381</v>
      </c>
      <c r="AD91" s="127"/>
      <c r="AF91" s="128"/>
      <c r="AG91" s="128"/>
      <c r="AH91" s="128"/>
    </row>
    <row r="92" spans="2:34" s="104" customFormat="1" ht="53.25" customHeight="1" thickBot="1">
      <c r="B92" s="1378"/>
      <c r="C92" s="460" t="s">
        <v>91</v>
      </c>
      <c r="D92" s="461" t="s">
        <v>172</v>
      </c>
      <c r="E92" s="462">
        <f t="shared" si="64"/>
        <v>5</v>
      </c>
      <c r="F92" s="463">
        <f t="shared" si="71"/>
        <v>46272</v>
      </c>
      <c r="G92" s="463">
        <f t="shared" si="72"/>
        <v>46277</v>
      </c>
      <c r="H92" s="463">
        <f t="shared" ref="H92" si="75">WORKDAY.INTL(I91,1,"0000100",$AJ$5:$AJ$11)</f>
        <v>46272</v>
      </c>
      <c r="I92" s="463">
        <f t="shared" si="72"/>
        <v>46277</v>
      </c>
      <c r="J92" s="463"/>
      <c r="K92" s="463"/>
      <c r="L92" s="464"/>
      <c r="M92" s="464" t="str">
        <f t="shared" ca="1" si="63"/>
        <v>Not Started</v>
      </c>
      <c r="N92" s="569"/>
      <c r="O92" s="466"/>
      <c r="P92" s="466"/>
      <c r="Q92" s="466"/>
      <c r="R92" s="466"/>
      <c r="S92" s="466"/>
      <c r="T92" s="466"/>
      <c r="U92" s="466"/>
      <c r="V92" s="1001"/>
      <c r="W92" s="1382"/>
      <c r="X92" s="1004"/>
      <c r="Y92" s="1233">
        <v>1</v>
      </c>
      <c r="Z92" s="1233"/>
      <c r="AA92" s="1233"/>
      <c r="AB92" s="463"/>
      <c r="AC92" s="1005"/>
      <c r="AD92" s="127"/>
      <c r="AF92" s="128"/>
      <c r="AG92" s="128"/>
      <c r="AH92" s="128"/>
    </row>
    <row r="93" spans="2:34" s="19" customFormat="1" ht="7.5" customHeight="1" thickBot="1">
      <c r="B93" s="114"/>
      <c r="C93" s="114"/>
      <c r="D93" s="380"/>
      <c r="E93" s="381"/>
      <c r="F93" s="380"/>
      <c r="G93" s="380"/>
      <c r="H93" s="380"/>
      <c r="I93" s="380"/>
      <c r="J93" s="380"/>
      <c r="K93" s="380"/>
      <c r="L93" s="382"/>
      <c r="M93" s="382"/>
      <c r="N93" s="114"/>
      <c r="O93" s="114"/>
      <c r="P93" s="114"/>
      <c r="Q93" s="114"/>
      <c r="R93" s="114"/>
      <c r="S93" s="114"/>
      <c r="T93" s="114"/>
      <c r="U93" s="114"/>
      <c r="V93" s="382"/>
      <c r="W93" s="509"/>
      <c r="X93" s="660"/>
      <c r="Y93" s="661"/>
      <c r="Z93" s="661"/>
      <c r="AA93" s="661"/>
      <c r="AB93" s="114"/>
      <c r="AC93" s="114"/>
      <c r="AG93" s="24"/>
      <c r="AH93" s="24"/>
    </row>
    <row r="94" spans="2:34" ht="78">
      <c r="B94" s="1351" t="s">
        <v>382</v>
      </c>
      <c r="C94" s="437" t="s">
        <v>91</v>
      </c>
      <c r="D94" s="345" t="s">
        <v>383</v>
      </c>
      <c r="E94" s="346">
        <f t="shared" si="64"/>
        <v>5</v>
      </c>
      <c r="F94" s="81">
        <f t="shared" ref="F94" si="76">WORKDAY.INTL(G91,1,"0000100",$AJ$5:$AJ$11)</f>
        <v>46272</v>
      </c>
      <c r="G94" s="81">
        <f>WORKDAY.INTL(F94,4,"0000100",$AJ$5:$AJ$11)</f>
        <v>46277</v>
      </c>
      <c r="H94" s="81">
        <f>WORKDAY.INTL(I91,1,"0000100",$AJ$5:$AJ$11)</f>
        <v>46272</v>
      </c>
      <c r="I94" s="81">
        <f>WORKDAY.INTL(H94,4,"0000100",$AJ$5:$AJ$11)</f>
        <v>46277</v>
      </c>
      <c r="J94" s="81"/>
      <c r="K94" s="81"/>
      <c r="L94" s="376"/>
      <c r="M94" s="376" t="str">
        <f t="shared" ca="1" si="63"/>
        <v>Not Started</v>
      </c>
      <c r="N94" s="68"/>
      <c r="O94" s="65"/>
      <c r="P94" s="65"/>
      <c r="Q94" s="65"/>
      <c r="R94" s="65"/>
      <c r="S94" s="65"/>
      <c r="T94" s="65"/>
      <c r="U94" s="65"/>
      <c r="V94" s="516"/>
      <c r="W94" s="1352"/>
      <c r="X94" s="521"/>
      <c r="Y94" s="1180" t="s">
        <v>370</v>
      </c>
      <c r="Z94" s="1180"/>
      <c r="AA94" s="1180"/>
      <c r="AB94" s="81" t="s">
        <v>371</v>
      </c>
      <c r="AC94" s="486" t="s">
        <v>315</v>
      </c>
      <c r="AD94" s="21"/>
      <c r="AF94" s="24"/>
    </row>
    <row r="95" spans="2:34" ht="66" customHeight="1" thickBot="1">
      <c r="B95" s="1345"/>
      <c r="C95" s="438" t="s">
        <v>91</v>
      </c>
      <c r="D95" s="489" t="s">
        <v>172</v>
      </c>
      <c r="E95" s="347">
        <f t="shared" si="64"/>
        <v>5</v>
      </c>
      <c r="F95" s="378">
        <f t="shared" ref="F95:F98" si="77">WORKDAY.INTL(G94,1,"0000100",$AJ$5:$AJ$11)</f>
        <v>46278</v>
      </c>
      <c r="G95" s="378">
        <f t="shared" ref="G95:I101" si="78">WORKDAY.INTL(G94,5,"0000100",$AJ$5:$AJ$11)</f>
        <v>46282</v>
      </c>
      <c r="H95" s="378">
        <f t="shared" ref="H95" si="79">WORKDAY.INTL(I94,1,"0000100",$AJ$5:$AJ$11)</f>
        <v>46278</v>
      </c>
      <c r="I95" s="378">
        <f t="shared" si="78"/>
        <v>46282</v>
      </c>
      <c r="J95" s="378"/>
      <c r="K95" s="378"/>
      <c r="L95" s="379"/>
      <c r="M95" s="379" t="str">
        <f t="shared" ca="1" si="63"/>
        <v>Not Started</v>
      </c>
      <c r="N95" s="71"/>
      <c r="O95" s="72"/>
      <c r="P95" s="72"/>
      <c r="Q95" s="72"/>
      <c r="R95" s="72"/>
      <c r="S95" s="72"/>
      <c r="T95" s="72"/>
      <c r="U95" s="72"/>
      <c r="V95" s="519"/>
      <c r="W95" s="1354"/>
      <c r="X95" s="524"/>
      <c r="Y95" s="1181">
        <v>1</v>
      </c>
      <c r="Z95" s="1181"/>
      <c r="AA95" s="1181"/>
      <c r="AB95" s="378"/>
      <c r="AC95" s="490"/>
      <c r="AD95" s="21"/>
      <c r="AF95" s="24"/>
    </row>
    <row r="96" spans="2:34" s="19" customFormat="1" ht="7.5" customHeight="1" thickBot="1">
      <c r="B96" s="114"/>
      <c r="C96" s="114"/>
      <c r="D96" s="380"/>
      <c r="E96" s="381"/>
      <c r="F96" s="380"/>
      <c r="G96" s="380"/>
      <c r="H96" s="380"/>
      <c r="I96" s="380"/>
      <c r="J96" s="380"/>
      <c r="K96" s="380"/>
      <c r="L96" s="382"/>
      <c r="M96" s="382"/>
      <c r="N96" s="114"/>
      <c r="O96" s="114"/>
      <c r="P96" s="114"/>
      <c r="Q96" s="114"/>
      <c r="R96" s="114"/>
      <c r="S96" s="114"/>
      <c r="T96" s="114"/>
      <c r="U96" s="114"/>
      <c r="V96" s="382"/>
      <c r="W96" s="509"/>
      <c r="X96" s="660"/>
      <c r="Y96" s="661"/>
      <c r="Z96" s="661"/>
      <c r="AA96" s="661"/>
      <c r="AB96" s="114"/>
      <c r="AC96" s="114"/>
      <c r="AG96" s="24"/>
      <c r="AH96" s="24"/>
    </row>
    <row r="97" spans="2:34" s="104" customFormat="1" ht="56.1" customHeight="1">
      <c r="B97" s="1377" t="s">
        <v>384</v>
      </c>
      <c r="C97" s="570" t="s">
        <v>91</v>
      </c>
      <c r="D97" s="994" t="s">
        <v>385</v>
      </c>
      <c r="E97" s="995">
        <f t="shared" si="64"/>
        <v>6</v>
      </c>
      <c r="F97" s="996">
        <f>WORKDAY.INTL(G94,1,"0000100",$AJ$5:$AJ$11)</f>
        <v>46278</v>
      </c>
      <c r="G97" s="996">
        <f>WORKDAY.INTL(F97,5,"0000100",$AJ$5:$AJ$11)</f>
        <v>46284</v>
      </c>
      <c r="H97" s="996">
        <f>WORKDAY.INTL(I94,1,"0000100",$AJ$5:$AJ$11)</f>
        <v>46278</v>
      </c>
      <c r="I97" s="996">
        <f>WORKDAY.INTL(H97,5,"0000100",$AJ$5:$AJ$11)</f>
        <v>46284</v>
      </c>
      <c r="J97" s="996"/>
      <c r="K97" s="996"/>
      <c r="L97" s="997"/>
      <c r="M97" s="997" t="str">
        <f t="shared" ca="1" si="63"/>
        <v>Not Started</v>
      </c>
      <c r="N97" s="998"/>
      <c r="O97" s="999"/>
      <c r="P97" s="999"/>
      <c r="Q97" s="999"/>
      <c r="R97" s="999"/>
      <c r="S97" s="999"/>
      <c r="T97" s="999"/>
      <c r="U97" s="999"/>
      <c r="V97" s="1000"/>
      <c r="W97" s="1007"/>
      <c r="X97" s="1006"/>
      <c r="Y97" s="1228" t="s">
        <v>370</v>
      </c>
      <c r="Z97" s="1228"/>
      <c r="AA97" s="1228"/>
      <c r="AB97" s="996" t="s">
        <v>371</v>
      </c>
      <c r="AC97" s="1003" t="s">
        <v>323</v>
      </c>
      <c r="AD97" s="127"/>
      <c r="AF97" s="128"/>
      <c r="AG97" s="128"/>
      <c r="AH97" s="128"/>
    </row>
    <row r="98" spans="2:34" s="104" customFormat="1" ht="47.1" customHeight="1" thickBot="1">
      <c r="B98" s="1378"/>
      <c r="C98" s="460" t="s">
        <v>91</v>
      </c>
      <c r="D98" s="461" t="s">
        <v>172</v>
      </c>
      <c r="E98" s="462">
        <f t="shared" si="64"/>
        <v>5</v>
      </c>
      <c r="F98" s="463">
        <f t="shared" si="77"/>
        <v>46285</v>
      </c>
      <c r="G98" s="463">
        <f t="shared" si="78"/>
        <v>46289</v>
      </c>
      <c r="H98" s="463">
        <f t="shared" ref="H98" si="80">WORKDAY.INTL(I97,1,"0000100",$AJ$5:$AJ$11)</f>
        <v>46285</v>
      </c>
      <c r="I98" s="463">
        <f t="shared" si="78"/>
        <v>46289</v>
      </c>
      <c r="J98" s="463"/>
      <c r="K98" s="463"/>
      <c r="L98" s="464"/>
      <c r="M98" s="464" t="str">
        <f t="shared" ca="1" si="63"/>
        <v>Not Started</v>
      </c>
      <c r="N98" s="569"/>
      <c r="O98" s="466"/>
      <c r="P98" s="466"/>
      <c r="Q98" s="466"/>
      <c r="R98" s="466"/>
      <c r="S98" s="466"/>
      <c r="T98" s="466"/>
      <c r="U98" s="466"/>
      <c r="V98" s="1001"/>
      <c r="W98" s="1008"/>
      <c r="X98" s="1004"/>
      <c r="Y98" s="1233">
        <v>1</v>
      </c>
      <c r="Z98" s="1233"/>
      <c r="AA98" s="1233"/>
      <c r="AB98" s="463"/>
      <c r="AC98" s="1005"/>
      <c r="AD98" s="127"/>
      <c r="AF98" s="128"/>
      <c r="AG98" s="128"/>
      <c r="AH98" s="128"/>
    </row>
    <row r="99" spans="2:34" s="19" customFormat="1" ht="7.5" customHeight="1" thickBot="1">
      <c r="B99" s="114"/>
      <c r="C99" s="114"/>
      <c r="D99" s="380"/>
      <c r="E99" s="381"/>
      <c r="F99" s="380"/>
      <c r="G99" s="380"/>
      <c r="H99" s="380"/>
      <c r="I99" s="380"/>
      <c r="J99" s="380"/>
      <c r="K99" s="380"/>
      <c r="L99" s="382"/>
      <c r="M99" s="382"/>
      <c r="N99" s="114"/>
      <c r="O99" s="114"/>
      <c r="P99" s="114"/>
      <c r="Q99" s="114"/>
      <c r="R99" s="114"/>
      <c r="S99" s="114"/>
      <c r="T99" s="114"/>
      <c r="U99" s="114"/>
      <c r="V99" s="382"/>
      <c r="W99" s="509"/>
      <c r="X99" s="660"/>
      <c r="Y99" s="661"/>
      <c r="Z99" s="661"/>
      <c r="AA99" s="661"/>
      <c r="AB99" s="114"/>
      <c r="AC99" s="114"/>
      <c r="AG99" s="24"/>
      <c r="AH99" s="24"/>
    </row>
    <row r="100" spans="2:34" ht="78">
      <c r="B100" s="1351" t="s">
        <v>386</v>
      </c>
      <c r="C100" s="437" t="s">
        <v>91</v>
      </c>
      <c r="D100" s="345" t="s">
        <v>387</v>
      </c>
      <c r="E100" s="346">
        <f t="shared" si="64"/>
        <v>5</v>
      </c>
      <c r="F100" s="81">
        <f>WORKDAY.INTL(G97,1,"0000100",$AJ$5:$AJ$11)</f>
        <v>46285</v>
      </c>
      <c r="G100" s="81">
        <f>WORKDAY.INTL(F100,4,"0000100",$AJ$5:$AJ$11)</f>
        <v>46289</v>
      </c>
      <c r="H100" s="81">
        <f>WORKDAY.INTL(I97,1,"0000100",$AJ$5:$AJ$11)</f>
        <v>46285</v>
      </c>
      <c r="I100" s="81">
        <f>WORKDAY.INTL(H100,4,"0000100",$AJ$5:$AJ$11)</f>
        <v>46289</v>
      </c>
      <c r="J100" s="81"/>
      <c r="K100" s="81"/>
      <c r="L100" s="376"/>
      <c r="M100" s="376" t="str">
        <f t="shared" ca="1" si="63"/>
        <v>Not Started</v>
      </c>
      <c r="N100" s="68"/>
      <c r="O100" s="65"/>
      <c r="P100" s="65"/>
      <c r="Q100" s="65"/>
      <c r="R100" s="65"/>
      <c r="S100" s="65"/>
      <c r="T100" s="65"/>
      <c r="U100" s="65"/>
      <c r="V100" s="516"/>
      <c r="W100" s="624"/>
      <c r="X100" s="521"/>
      <c r="Y100" s="1180" t="s">
        <v>370</v>
      </c>
      <c r="Z100" s="1180"/>
      <c r="AA100" s="1180"/>
      <c r="AB100" s="81" t="s">
        <v>371</v>
      </c>
      <c r="AC100" s="486" t="s">
        <v>378</v>
      </c>
      <c r="AD100" s="21"/>
      <c r="AF100" s="24"/>
    </row>
    <row r="101" spans="2:34" ht="57" customHeight="1" thickBot="1">
      <c r="B101" s="1345"/>
      <c r="C101" s="438" t="s">
        <v>91</v>
      </c>
      <c r="D101" s="489" t="s">
        <v>172</v>
      </c>
      <c r="E101" s="347">
        <f t="shared" si="64"/>
        <v>5</v>
      </c>
      <c r="F101" s="378">
        <f>WORKDAY.INTL(G100,1,"0000100",$AJ$5:$AJ$11)</f>
        <v>46291</v>
      </c>
      <c r="G101" s="378">
        <f t="shared" si="78"/>
        <v>46295</v>
      </c>
      <c r="H101" s="378">
        <f>WORKDAY.INTL(I100,1,"0000100",$AJ$5:$AJ$11)</f>
        <v>46291</v>
      </c>
      <c r="I101" s="378">
        <f t="shared" si="78"/>
        <v>46295</v>
      </c>
      <c r="J101" s="378"/>
      <c r="K101" s="378"/>
      <c r="L101" s="379"/>
      <c r="M101" s="379" t="str">
        <f t="shared" ca="1" si="63"/>
        <v>Not Started</v>
      </c>
      <c r="N101" s="71"/>
      <c r="O101" s="72"/>
      <c r="P101" s="72"/>
      <c r="Q101" s="72"/>
      <c r="R101" s="72"/>
      <c r="S101" s="72"/>
      <c r="T101" s="72"/>
      <c r="U101" s="72"/>
      <c r="V101" s="519"/>
      <c r="W101" s="626"/>
      <c r="X101" s="524"/>
      <c r="Y101" s="1181">
        <v>1</v>
      </c>
      <c r="Z101" s="1181"/>
      <c r="AA101" s="1181"/>
      <c r="AB101" s="378"/>
      <c r="AC101" s="490"/>
      <c r="AD101" s="21"/>
      <c r="AF101" s="24"/>
    </row>
    <row r="102" spans="2:34" s="19" customFormat="1" ht="7.5" customHeight="1" thickBot="1">
      <c r="B102" s="114"/>
      <c r="C102" s="114"/>
      <c r="D102" s="380"/>
      <c r="E102" s="381"/>
      <c r="F102" s="380"/>
      <c r="G102" s="380"/>
      <c r="H102" s="380"/>
      <c r="I102" s="380"/>
      <c r="J102" s="380"/>
      <c r="K102" s="380"/>
      <c r="L102" s="382"/>
      <c r="M102" s="382"/>
      <c r="N102" s="114"/>
      <c r="O102" s="114"/>
      <c r="P102" s="114"/>
      <c r="Q102" s="114"/>
      <c r="R102" s="114"/>
      <c r="S102" s="114"/>
      <c r="T102" s="114"/>
      <c r="U102" s="114"/>
      <c r="V102" s="382"/>
      <c r="W102" s="509"/>
      <c r="X102" s="660"/>
      <c r="Y102" s="661"/>
      <c r="Z102" s="661"/>
      <c r="AA102" s="661"/>
      <c r="AB102" s="114"/>
      <c r="AC102" s="114"/>
      <c r="AG102" s="24"/>
      <c r="AH102" s="24"/>
    </row>
    <row r="103" spans="2:34" s="104" customFormat="1" ht="78">
      <c r="B103" s="1379" t="s">
        <v>388</v>
      </c>
      <c r="C103" s="437" t="s">
        <v>91</v>
      </c>
      <c r="D103" s="1009" t="s">
        <v>389</v>
      </c>
      <c r="E103" s="1010">
        <f t="shared" si="64"/>
        <v>6</v>
      </c>
      <c r="F103" s="1011">
        <f t="shared" ref="F103" si="81">WORKDAY.INTL(G100,1,"0000100",$AJ$5:$AJ$11)</f>
        <v>46291</v>
      </c>
      <c r="G103" s="1011">
        <f>WORKDAY.INTL(F103,5,"0000100",$AJ$5:$AJ$11)</f>
        <v>46296</v>
      </c>
      <c r="H103" s="1011">
        <f>WORKDAY.INTL(I100,1,"0000100",$AJ$5:$AJ$11)</f>
        <v>46291</v>
      </c>
      <c r="I103" s="1011">
        <f>WORKDAY.INTL(H103,5,"0000100",$AJ$5:$AJ$11)</f>
        <v>46296</v>
      </c>
      <c r="J103" s="1011"/>
      <c r="K103" s="1011"/>
      <c r="L103" s="1012"/>
      <c r="M103" s="1012" t="str">
        <f t="shared" ca="1" si="63"/>
        <v>Not Started</v>
      </c>
      <c r="N103" s="1013"/>
      <c r="O103" s="1014"/>
      <c r="P103" s="1014"/>
      <c r="Q103" s="1014"/>
      <c r="R103" s="1014"/>
      <c r="S103" s="1014"/>
      <c r="T103" s="1014"/>
      <c r="U103" s="1014"/>
      <c r="V103" s="1015"/>
      <c r="W103" s="624"/>
      <c r="X103" s="1023"/>
      <c r="Y103" s="1234" t="s">
        <v>370</v>
      </c>
      <c r="Z103" s="1234"/>
      <c r="AA103" s="1234"/>
      <c r="AB103" s="1011" t="s">
        <v>371</v>
      </c>
      <c r="AC103" s="1024" t="s">
        <v>390</v>
      </c>
      <c r="AD103" s="127"/>
      <c r="AF103" s="128"/>
      <c r="AG103" s="128"/>
      <c r="AH103" s="128"/>
    </row>
    <row r="104" spans="2:34" s="104" customFormat="1" ht="64.5" customHeight="1" thickBot="1">
      <c r="B104" s="1380"/>
      <c r="C104" s="438" t="s">
        <v>91</v>
      </c>
      <c r="D104" s="1016" t="s">
        <v>172</v>
      </c>
      <c r="E104" s="1017">
        <f t="shared" si="64"/>
        <v>4</v>
      </c>
      <c r="F104" s="1018">
        <f>WORKDAY.INTL(G103,1,"0000100",$AJ$5:$AJ$11)</f>
        <v>46298</v>
      </c>
      <c r="G104" s="1018">
        <f>WORKDAY.INTL(G103,4,"0000100",$AJ$5:$AJ$11)</f>
        <v>46301</v>
      </c>
      <c r="H104" s="1018">
        <f>WORKDAY.INTL(I103,1,"0000100",$AJ$5:$AJ$11)</f>
        <v>46298</v>
      </c>
      <c r="I104" s="1018">
        <f>WORKDAY.INTL(I103,4,"0000100",$AJ$5:$AJ$11)</f>
        <v>46301</v>
      </c>
      <c r="J104" s="1018"/>
      <c r="K104" s="1018"/>
      <c r="L104" s="1019"/>
      <c r="M104" s="1019" t="str">
        <f t="shared" ca="1" si="63"/>
        <v>Not Started</v>
      </c>
      <c r="N104" s="1020"/>
      <c r="O104" s="1021"/>
      <c r="P104" s="1021"/>
      <c r="Q104" s="1021"/>
      <c r="R104" s="1021"/>
      <c r="S104" s="1021"/>
      <c r="T104" s="1021"/>
      <c r="U104" s="1021"/>
      <c r="V104" s="1022"/>
      <c r="W104" s="626"/>
      <c r="X104" s="1025"/>
      <c r="Y104" s="1235">
        <v>1</v>
      </c>
      <c r="Z104" s="1235"/>
      <c r="AA104" s="1235"/>
      <c r="AB104" s="1018"/>
      <c r="AC104" s="1026"/>
      <c r="AD104" s="127"/>
      <c r="AF104" s="128"/>
      <c r="AG104" s="128"/>
      <c r="AH104" s="128"/>
    </row>
    <row r="105" spans="2:34" s="19" customFormat="1" ht="7.5" customHeight="1" thickBot="1">
      <c r="B105" s="114"/>
      <c r="C105" s="114"/>
      <c r="D105" s="380"/>
      <c r="E105" s="381"/>
      <c r="F105" s="380"/>
      <c r="G105" s="380"/>
      <c r="H105" s="380"/>
      <c r="I105" s="380"/>
      <c r="J105" s="380"/>
      <c r="K105" s="380"/>
      <c r="L105" s="382"/>
      <c r="M105" s="382"/>
      <c r="N105" s="114"/>
      <c r="O105" s="114"/>
      <c r="P105" s="114"/>
      <c r="Q105" s="114"/>
      <c r="R105" s="114"/>
      <c r="S105" s="114"/>
      <c r="T105" s="114"/>
      <c r="U105" s="114"/>
      <c r="V105" s="382"/>
      <c r="W105" s="509"/>
      <c r="X105" s="660"/>
      <c r="Y105" s="661"/>
      <c r="Z105" s="661"/>
      <c r="AA105" s="661"/>
      <c r="AB105" s="114"/>
      <c r="AC105" s="114"/>
      <c r="AG105" s="24"/>
      <c r="AH105" s="24"/>
    </row>
    <row r="106" spans="2:34" ht="110.25">
      <c r="B106" s="721" t="s">
        <v>193</v>
      </c>
      <c r="C106" s="722" t="s">
        <v>91</v>
      </c>
      <c r="D106" s="723" t="s">
        <v>391</v>
      </c>
      <c r="E106" s="724">
        <f>NETWORKDAYS.INTL(F106,G106,"0000110",$AJ$5:$AJ$12)</f>
        <v>45</v>
      </c>
      <c r="F106" s="728">
        <f>WORKDAY.INTL(G77,1,"0000110")</f>
        <v>46240</v>
      </c>
      <c r="G106" s="728">
        <f>WORKDAY.INTL(F106,44,"0000110")</f>
        <v>46302</v>
      </c>
      <c r="H106" s="728">
        <f>WORKDAY.INTL(I77,1,"0000110")</f>
        <v>46240</v>
      </c>
      <c r="I106" s="728">
        <f>WORKDAY.INTL(H106,44,"0000110")</f>
        <v>46302</v>
      </c>
      <c r="J106" s="728"/>
      <c r="K106" s="728"/>
      <c r="L106" s="729"/>
      <c r="M106" s="729" t="str">
        <f t="shared" ca="1" si="63"/>
        <v>Not Started</v>
      </c>
      <c r="N106" s="730"/>
      <c r="O106" s="731"/>
      <c r="P106" s="731"/>
      <c r="Q106" s="731"/>
      <c r="R106" s="731"/>
      <c r="S106" s="731"/>
      <c r="T106" s="731"/>
      <c r="U106" s="731"/>
      <c r="V106" s="732"/>
      <c r="W106" s="667"/>
      <c r="X106" s="459" t="s">
        <v>392</v>
      </c>
      <c r="Y106" s="1193" t="s">
        <v>169</v>
      </c>
      <c r="Z106" s="1193"/>
      <c r="AA106" s="1193"/>
      <c r="AB106" s="728" t="s">
        <v>393</v>
      </c>
      <c r="AC106" s="1027" t="s">
        <v>394</v>
      </c>
      <c r="AD106" s="21"/>
      <c r="AF106" s="24"/>
    </row>
    <row r="107" spans="2:34" s="19" customFormat="1" ht="6.75" customHeight="1" thickBot="1">
      <c r="B107" s="114"/>
      <c r="C107" s="114"/>
      <c r="D107" s="380"/>
      <c r="E107" s="381"/>
      <c r="F107" s="380"/>
      <c r="G107" s="380"/>
      <c r="H107" s="380"/>
      <c r="I107" s="380"/>
      <c r="J107" s="380"/>
      <c r="K107" s="380"/>
      <c r="L107" s="382"/>
      <c r="M107" s="382"/>
      <c r="N107" s="114"/>
      <c r="O107" s="114"/>
      <c r="P107" s="114"/>
      <c r="Q107" s="114"/>
      <c r="R107" s="114"/>
      <c r="S107" s="114"/>
      <c r="T107" s="114"/>
      <c r="U107" s="114"/>
      <c r="V107" s="382"/>
      <c r="W107" s="509"/>
      <c r="X107" s="660"/>
      <c r="Y107" s="661"/>
      <c r="Z107" s="661"/>
      <c r="AA107" s="661"/>
      <c r="AB107" s="114"/>
      <c r="AC107" s="114"/>
      <c r="AG107" s="24"/>
      <c r="AH107" s="24"/>
    </row>
    <row r="108" spans="2:34" ht="81.75" customHeight="1" thickBot="1">
      <c r="B108" s="735" t="s">
        <v>198</v>
      </c>
      <c r="C108" s="1028" t="s">
        <v>199</v>
      </c>
      <c r="D108" s="545" t="s">
        <v>200</v>
      </c>
      <c r="E108" s="546">
        <f>NETWORKDAYS.INTL(F108,G108,"0000110",$AJ$5:$AJ$12)</f>
        <v>3</v>
      </c>
      <c r="F108" s="805">
        <f>MAX(WORKDAY.INTL(G106,1,"0000100"),WORKDAY.INTL(G116,1,"0000100"))</f>
        <v>46322</v>
      </c>
      <c r="G108" s="805">
        <f>WORKDAY.INTL(F108,4,"0000000")</f>
        <v>46326</v>
      </c>
      <c r="H108" s="442">
        <f>MAX(WORKDAY.INTL(I106,1,"0000100"),WORKDAY.INTL(I116,1,"0000100"))</f>
        <v>46329</v>
      </c>
      <c r="I108" s="442">
        <f>WORKDAY.INTL(H108,4,"0000000")</f>
        <v>46333</v>
      </c>
      <c r="J108" s="442"/>
      <c r="K108" s="442"/>
      <c r="L108" s="443"/>
      <c r="M108" s="443" t="str">
        <f t="shared" ca="1" si="63"/>
        <v>Not Started</v>
      </c>
      <c r="N108" s="547"/>
      <c r="O108" s="548"/>
      <c r="P108" s="548"/>
      <c r="Q108" s="548"/>
      <c r="R108" s="548"/>
      <c r="S108" s="548"/>
      <c r="T108" s="548"/>
      <c r="U108" s="548"/>
      <c r="V108" s="668"/>
      <c r="W108" s="1029"/>
      <c r="X108" s="672" t="s">
        <v>201</v>
      </c>
      <c r="Y108" s="1188" t="s">
        <v>169</v>
      </c>
      <c r="Z108" s="1188"/>
      <c r="AA108" s="1188"/>
      <c r="AB108" s="805" t="s">
        <v>395</v>
      </c>
      <c r="AC108" s="867"/>
      <c r="AD108" s="21"/>
      <c r="AF108" s="24"/>
    </row>
    <row r="109" spans="2:34" s="19" customFormat="1" ht="7.5" customHeight="1" thickBot="1">
      <c r="B109" s="114"/>
      <c r="C109" s="114"/>
      <c r="D109" s="380"/>
      <c r="E109" s="381"/>
      <c r="F109" s="380"/>
      <c r="G109" s="380"/>
      <c r="H109" s="380"/>
      <c r="I109" s="380"/>
      <c r="J109" s="397"/>
      <c r="K109" s="397"/>
      <c r="L109" s="382"/>
      <c r="M109" s="382"/>
      <c r="N109" s="114"/>
      <c r="O109" s="114"/>
      <c r="P109" s="114"/>
      <c r="Q109" s="114"/>
      <c r="R109" s="114"/>
      <c r="S109" s="114"/>
      <c r="T109" s="114"/>
      <c r="U109" s="114"/>
      <c r="V109" s="382"/>
      <c r="W109" s="509"/>
      <c r="X109" s="660"/>
      <c r="Y109" s="661"/>
      <c r="Z109" s="661"/>
      <c r="AA109" s="661"/>
      <c r="AB109" s="114"/>
      <c r="AC109" s="114"/>
      <c r="AG109" s="24"/>
      <c r="AH109" s="24"/>
    </row>
    <row r="110" spans="2:34" ht="41.1" customHeight="1">
      <c r="B110" s="1340" t="s">
        <v>203</v>
      </c>
      <c r="C110" s="1238" t="s">
        <v>34</v>
      </c>
      <c r="D110" s="295" t="s">
        <v>204</v>
      </c>
      <c r="E110" s="390">
        <f t="shared" ref="E110:E116" si="82">NETWORKDAYS.INTL(F110,G110,"0000110",$AJ$5:$AJ$12)</f>
        <v>2</v>
      </c>
      <c r="F110" s="258">
        <f>MAX(WORKDAY.INTL(G104,1,"0000110",$AJ$5:$AJ$10),WORKDAY.INTL(G54,1,"0000110",$AJ$5:$AJ$10),WORKDAY.INTL(G46,1,"0000110",$AJ$5:$AJ$10))</f>
        <v>46302</v>
      </c>
      <c r="G110" s="258">
        <f>WORKDAY.INTL(F110,1,"0000110",$AJ$5:$AJ$10)</f>
        <v>46303</v>
      </c>
      <c r="H110" s="391">
        <f>MAX(WORKDAY.INTL(I104,1,"0000110",$AJ$5:$AJ$10),WORKDAY.INTL(I54,1,"0000110",$AJ$5:$AJ$10),WORKDAY.INTL(I46,1,"0000110",$AJ$5:$AJ$10))</f>
        <v>46307</v>
      </c>
      <c r="I110" s="391">
        <f>WORKDAY.INTL(H110,1,"0000110",$AJ$5:$AJ$10)</f>
        <v>46308</v>
      </c>
      <c r="J110" s="391"/>
      <c r="K110" s="391"/>
      <c r="L110" s="392"/>
      <c r="M110" s="392" t="str">
        <f t="shared" ref="M110:M116" ca="1" si="83">IF(L110=100%,"Completed",
IF(AND(L110&lt;100%,G110&lt;TODAY()),"Delayed",
IF(AND(OR(L110="",L110=0),F110&gt;TODAY()),"Not Started",
IF(AND(OR(L110="",L110=0),F110&lt;=TODAY()),"Delayed",
IF(AND(L110&gt;0,L110&lt;100%),"In Progress","")))))</f>
        <v>Not Started</v>
      </c>
      <c r="N110" s="124"/>
      <c r="O110" s="130"/>
      <c r="P110" s="130"/>
      <c r="Q110" s="130"/>
      <c r="R110" s="130"/>
      <c r="S110" s="130"/>
      <c r="T110" s="130"/>
      <c r="U110" s="130"/>
      <c r="V110" s="564"/>
      <c r="W110" s="1352"/>
      <c r="X110" s="1375"/>
      <c r="Y110" s="1182" t="s">
        <v>133</v>
      </c>
      <c r="Z110" s="1182"/>
      <c r="AA110" s="1182"/>
      <c r="AB110" s="1383" t="s">
        <v>396</v>
      </c>
      <c r="AC110" s="741"/>
      <c r="AD110" s="21"/>
      <c r="AF110" s="24"/>
      <c r="AG110" s="33"/>
      <c r="AH110" s="33"/>
    </row>
    <row r="111" spans="2:34" ht="41.1" customHeight="1">
      <c r="B111" s="1341"/>
      <c r="C111" s="1031" t="s">
        <v>34</v>
      </c>
      <c r="D111" s="299" t="s">
        <v>206</v>
      </c>
      <c r="E111" s="398">
        <f t="shared" si="82"/>
        <v>5</v>
      </c>
      <c r="F111" s="261">
        <f t="shared" ref="F111:F114" si="84">WORKDAY.INTL(G110,1,"0000100",$AJ$5:$AJ$11)</f>
        <v>46305</v>
      </c>
      <c r="G111" s="261">
        <f>WORKDAY.INTL(F111,5,"0000110",$AJ$5:$AJ$9)</f>
        <v>46310</v>
      </c>
      <c r="H111" s="399">
        <f t="shared" ref="H111" si="85">WORKDAY.INTL(I110,1,"0000100",$AJ$5:$AJ$11)</f>
        <v>46309</v>
      </c>
      <c r="I111" s="399">
        <f>WORKDAY.INTL(H111,5,"0000110",$AJ$5:$AJ$9)</f>
        <v>46316</v>
      </c>
      <c r="J111" s="399"/>
      <c r="K111" s="399"/>
      <c r="L111" s="400"/>
      <c r="M111" s="400" t="str">
        <f t="shared" ca="1" si="83"/>
        <v>Not Started</v>
      </c>
      <c r="N111" s="131"/>
      <c r="O111" s="132"/>
      <c r="P111" s="132"/>
      <c r="Q111" s="132"/>
      <c r="R111" s="132"/>
      <c r="S111" s="132"/>
      <c r="T111" s="132"/>
      <c r="U111" s="132"/>
      <c r="V111" s="566"/>
      <c r="W111" s="1353"/>
      <c r="X111" s="1376"/>
      <c r="Y111" s="1183" t="s">
        <v>133</v>
      </c>
      <c r="Z111" s="1183"/>
      <c r="AA111" s="1183"/>
      <c r="AB111" s="1384"/>
      <c r="AC111" s="743"/>
      <c r="AD111" s="21"/>
      <c r="AF111" s="24"/>
    </row>
    <row r="112" spans="2:34" ht="96.75" customHeight="1">
      <c r="B112" s="1341"/>
      <c r="C112" s="1031" t="s">
        <v>34</v>
      </c>
      <c r="D112" s="299" t="s">
        <v>207</v>
      </c>
      <c r="E112" s="398">
        <f t="shared" si="82"/>
        <v>5</v>
      </c>
      <c r="F112" s="261">
        <f>WORKDAY.INTL(G110,1,"0000100",$AJ$5:$AJ$11)</f>
        <v>46305</v>
      </c>
      <c r="G112" s="261">
        <f>WORKDAY.INTL(F112,5,"0000110",$AJ$5:$AJ$9)</f>
        <v>46310</v>
      </c>
      <c r="H112" s="399">
        <f>WORKDAY.INTL(I110,1,"0000100",$AJ$5:$AJ$11)</f>
        <v>46309</v>
      </c>
      <c r="I112" s="399">
        <f>WORKDAY.INTL(H112,5,"0000110",$AJ$5:$AJ$9)</f>
        <v>46316</v>
      </c>
      <c r="J112" s="399"/>
      <c r="K112" s="399"/>
      <c r="L112" s="400"/>
      <c r="M112" s="400" t="str">
        <f t="shared" ca="1" si="83"/>
        <v>Not Started</v>
      </c>
      <c r="N112" s="131"/>
      <c r="O112" s="132"/>
      <c r="P112" s="132"/>
      <c r="Q112" s="132"/>
      <c r="R112" s="132"/>
      <c r="S112" s="132"/>
      <c r="T112" s="132"/>
      <c r="U112" s="132"/>
      <c r="V112" s="566"/>
      <c r="W112" s="1353"/>
      <c r="X112" s="744" t="s">
        <v>208</v>
      </c>
      <c r="Y112" s="1183" t="s">
        <v>133</v>
      </c>
      <c r="Z112" s="1183"/>
      <c r="AA112" s="1183"/>
      <c r="AB112" s="1384"/>
      <c r="AC112" s="743"/>
      <c r="AD112" s="21"/>
      <c r="AF112" s="24"/>
      <c r="AG112" s="33"/>
      <c r="AH112" s="33"/>
    </row>
    <row r="113" spans="2:32" ht="41.1" customHeight="1">
      <c r="B113" s="1341"/>
      <c r="C113" s="1031" t="s">
        <v>34</v>
      </c>
      <c r="D113" s="299" t="s">
        <v>209</v>
      </c>
      <c r="E113" s="398">
        <f t="shared" si="82"/>
        <v>1</v>
      </c>
      <c r="F113" s="261">
        <f t="shared" si="84"/>
        <v>46312</v>
      </c>
      <c r="G113" s="261">
        <f>WORKDAY.INTL(F113,1,"0000110",$AJ$5:$AJ$9)</f>
        <v>46313</v>
      </c>
      <c r="H113" s="399">
        <f t="shared" ref="H113:H114" si="86">WORKDAY.INTL(I112,1,"0000100",$AJ$5:$AJ$11)</f>
        <v>46317</v>
      </c>
      <c r="I113" s="399">
        <f>WORKDAY.INTL(H113,1,"0000110",$AJ$5:$AJ$9)</f>
        <v>46320</v>
      </c>
      <c r="J113" s="399"/>
      <c r="K113" s="399"/>
      <c r="L113" s="400"/>
      <c r="M113" s="400" t="str">
        <f t="shared" ca="1" si="83"/>
        <v>Not Started</v>
      </c>
      <c r="N113" s="131"/>
      <c r="O113" s="132"/>
      <c r="P113" s="132"/>
      <c r="Q113" s="132"/>
      <c r="R113" s="132"/>
      <c r="S113" s="132"/>
      <c r="T113" s="132"/>
      <c r="U113" s="132"/>
      <c r="V113" s="566"/>
      <c r="W113" s="1353"/>
      <c r="X113" s="744"/>
      <c r="Y113" s="1183" t="s">
        <v>133</v>
      </c>
      <c r="Z113" s="1183"/>
      <c r="AA113" s="1183"/>
      <c r="AB113" s="1384"/>
      <c r="AC113" s="743"/>
      <c r="AD113" s="21"/>
      <c r="AF113" s="24"/>
    </row>
    <row r="114" spans="2:32" ht="41.1" customHeight="1">
      <c r="B114" s="1341"/>
      <c r="C114" s="1031" t="s">
        <v>34</v>
      </c>
      <c r="D114" s="299" t="s">
        <v>210</v>
      </c>
      <c r="E114" s="398">
        <f t="shared" si="82"/>
        <v>4</v>
      </c>
      <c r="F114" s="261">
        <f t="shared" si="84"/>
        <v>46314</v>
      </c>
      <c r="G114" s="261">
        <f>WORKDAY.INTL(F114,4,"0000100",$AJ$5:$AJ$9)</f>
        <v>46319</v>
      </c>
      <c r="H114" s="399">
        <f t="shared" si="86"/>
        <v>46321</v>
      </c>
      <c r="I114" s="399">
        <f>WORKDAY.INTL(H114,4,"0000100",$AJ$5:$AJ$9)</f>
        <v>46326</v>
      </c>
      <c r="J114" s="399"/>
      <c r="K114" s="399"/>
      <c r="L114" s="400"/>
      <c r="M114" s="400" t="str">
        <f t="shared" ca="1" si="83"/>
        <v>Not Started</v>
      </c>
      <c r="N114" s="131"/>
      <c r="O114" s="132"/>
      <c r="P114" s="132"/>
      <c r="Q114" s="132"/>
      <c r="R114" s="132"/>
      <c r="S114" s="132"/>
      <c r="T114" s="132"/>
      <c r="U114" s="132"/>
      <c r="V114" s="566"/>
      <c r="W114" s="1353"/>
      <c r="X114" s="744"/>
      <c r="Y114" s="1239" t="s">
        <v>133</v>
      </c>
      <c r="Z114" s="1239"/>
      <c r="AA114" s="1239"/>
      <c r="AB114" s="1384"/>
      <c r="AC114" s="743"/>
      <c r="AD114" s="21"/>
      <c r="AF114" s="24"/>
    </row>
    <row r="115" spans="2:32" ht="41.1" customHeight="1">
      <c r="B115" s="1341"/>
      <c r="C115" s="1031" t="s">
        <v>34</v>
      </c>
      <c r="D115" s="299" t="s">
        <v>211</v>
      </c>
      <c r="E115" s="398">
        <f t="shared" si="82"/>
        <v>1</v>
      </c>
      <c r="F115" s="256">
        <f>WORKDAY.INTL(G114,1,"0000110",$AJ$5:$AJ$10)</f>
        <v>46320</v>
      </c>
      <c r="G115" s="256">
        <f>WORKDAY.INTL(F115,0,"0000110",$AJ$5:$AJ$10)</f>
        <v>46320</v>
      </c>
      <c r="H115" s="399">
        <f>WORKDAY.INTL(I114,1,"0000110",$AJ$5:$AJ$10)</f>
        <v>46327</v>
      </c>
      <c r="I115" s="399">
        <f>WORKDAY.INTL(H115,0,"0000110",$AJ$5:$AJ$10)</f>
        <v>46327</v>
      </c>
      <c r="J115" s="399"/>
      <c r="K115" s="399"/>
      <c r="L115" s="400"/>
      <c r="M115" s="400" t="str">
        <f t="shared" ca="1" si="83"/>
        <v>Not Started</v>
      </c>
      <c r="N115" s="131"/>
      <c r="O115" s="132"/>
      <c r="P115" s="132"/>
      <c r="Q115" s="132"/>
      <c r="R115" s="132"/>
      <c r="S115" s="132"/>
      <c r="T115" s="132"/>
      <c r="U115" s="132"/>
      <c r="V115" s="566"/>
      <c r="W115" s="1353"/>
      <c r="X115" s="744"/>
      <c r="Y115" s="1239" t="s">
        <v>133</v>
      </c>
      <c r="Z115" s="1239"/>
      <c r="AA115" s="1239"/>
      <c r="AB115" s="1384"/>
      <c r="AC115" s="745"/>
      <c r="AD115" s="21"/>
      <c r="AF115" s="24"/>
    </row>
    <row r="116" spans="2:32" ht="41.1" customHeight="1" thickBot="1">
      <c r="B116" s="1342"/>
      <c r="C116" s="1032" t="s">
        <v>34</v>
      </c>
      <c r="D116" s="300" t="s">
        <v>212</v>
      </c>
      <c r="E116" s="394">
        <f t="shared" si="82"/>
        <v>1</v>
      </c>
      <c r="F116" s="259">
        <f>WORKDAY.INTL(G115,1,"0000110",$AJ$5:$AJ$10)</f>
        <v>46321</v>
      </c>
      <c r="G116" s="259">
        <f>WORKDAY.INTL(F116,0,"0000110",$AJ$5:$AJ$10)</f>
        <v>46321</v>
      </c>
      <c r="H116" s="395">
        <f>WORKDAY.INTL(I115,1,"0000110",$AJ$5:$AJ$10)</f>
        <v>46328</v>
      </c>
      <c r="I116" s="395">
        <f>WORKDAY.INTL(H116,0,"0000110",$AJ$5:$AJ$10)</f>
        <v>46328</v>
      </c>
      <c r="J116" s="395"/>
      <c r="K116" s="395"/>
      <c r="L116" s="396"/>
      <c r="M116" s="396" t="str">
        <f t="shared" ca="1" si="83"/>
        <v>Not Started</v>
      </c>
      <c r="N116" s="126"/>
      <c r="O116" s="133"/>
      <c r="P116" s="133"/>
      <c r="Q116" s="133"/>
      <c r="R116" s="133"/>
      <c r="S116" s="133"/>
      <c r="T116" s="133"/>
      <c r="U116" s="133"/>
      <c r="V116" s="568"/>
      <c r="W116" s="1354"/>
      <c r="X116" s="1033"/>
      <c r="Y116" s="1240" t="s">
        <v>133</v>
      </c>
      <c r="Z116" s="1240"/>
      <c r="AA116" s="1240"/>
      <c r="AB116" s="1385"/>
      <c r="AC116" s="747"/>
      <c r="AD116" s="21"/>
      <c r="AF116" s="24"/>
    </row>
    <row r="117" spans="2:32" ht="6.75" customHeight="1" thickBot="1">
      <c r="AB117" s="22"/>
      <c r="AC117" s="22"/>
    </row>
    <row r="118" spans="2:32" ht="48.75" customHeight="1">
      <c r="B118" s="1386" t="s">
        <v>213</v>
      </c>
      <c r="C118" s="571" t="s">
        <v>213</v>
      </c>
      <c r="D118" s="572" t="s">
        <v>214</v>
      </c>
      <c r="E118" s="573">
        <f>NETWORKDAYS.INTL(F118,G118,"0000110",$AJ$5:$AJ$11)</f>
        <v>16</v>
      </c>
      <c r="F118" s="574">
        <f>WORKDAY.INTL(G118,-15,"0000110",$AJ$5:$AJ$10)</f>
        <v>46280</v>
      </c>
      <c r="G118" s="574">
        <f>WORKDAY.INTL(F110,-1,"0000110",$AJ$5:$AJ$10)</f>
        <v>46301</v>
      </c>
      <c r="H118" s="574">
        <f>WORKDAY.INTL(I118,-15,"0000110",$AJ$5:$AJ$10)</f>
        <v>46285</v>
      </c>
      <c r="I118" s="574">
        <f>WORKDAY.INTL(H110,-1,"0000110",$AJ$5:$AJ$10)</f>
        <v>46306</v>
      </c>
      <c r="J118" s="574"/>
      <c r="K118" s="574"/>
      <c r="L118" s="575"/>
      <c r="M118" s="575" t="str">
        <f t="shared" ref="M118:M119" ca="1" si="87">IF(L118=100%,"Completed",
IF(AND(L118&lt;100%,G118&lt;TODAY()),"Delayed",
IF(AND(OR(L118="",L118=0),F118&gt;TODAY()),"Not Started",
IF(AND(OR(L118="",L118=0),F118&lt;=TODAY()),"Delayed",
IF(AND(L118&gt;0,L118&lt;100%),"In Progress","")))))</f>
        <v>Not Started</v>
      </c>
      <c r="N118" s="576"/>
      <c r="O118" s="577"/>
      <c r="P118" s="577"/>
      <c r="Q118" s="577"/>
      <c r="R118" s="577"/>
      <c r="S118" s="577"/>
      <c r="T118" s="577"/>
      <c r="U118" s="577"/>
      <c r="V118" s="578"/>
      <c r="W118" s="1352"/>
      <c r="X118" s="586" t="s">
        <v>215</v>
      </c>
      <c r="Y118" s="1241"/>
      <c r="Z118" s="1241"/>
      <c r="AA118" s="1241"/>
      <c r="AB118" s="587"/>
      <c r="AC118" s="588"/>
      <c r="AD118" s="21"/>
    </row>
    <row r="119" spans="2:32" ht="71.25">
      <c r="B119" s="1387"/>
      <c r="C119" s="579" t="s">
        <v>213</v>
      </c>
      <c r="D119" s="580" t="s">
        <v>216</v>
      </c>
      <c r="E119" s="581">
        <f>NETWORKDAYS.INTL(F119,G119,"0000110",$AJ$5:$AJ$11)</f>
        <v>20</v>
      </c>
      <c r="F119" s="402">
        <f>WORKDAY.INTL(G123,10,"0000110",$AJ$5:$AJ$10)</f>
        <v>46366</v>
      </c>
      <c r="G119" s="402">
        <f>WORKDAY.INTL(F119,19,"0000110",$AJ$5:$AJ$10)</f>
        <v>46393</v>
      </c>
      <c r="H119" s="402">
        <f>WORKDAY.INTL(I123,10,"0000110",$AJ$5:$AJ$10)</f>
        <v>46366</v>
      </c>
      <c r="I119" s="402">
        <f>WORKDAY.INTL(H119,19,"0000110",$AJ$5:$AJ$10)</f>
        <v>46393</v>
      </c>
      <c r="J119" s="402"/>
      <c r="K119" s="402"/>
      <c r="L119" s="582"/>
      <c r="M119" s="582" t="str">
        <f t="shared" ca="1" si="87"/>
        <v>Not Started</v>
      </c>
      <c r="N119" s="583"/>
      <c r="O119" s="584"/>
      <c r="P119" s="584"/>
      <c r="Q119" s="584"/>
      <c r="R119" s="584"/>
      <c r="S119" s="584"/>
      <c r="T119" s="584"/>
      <c r="U119" s="584"/>
      <c r="V119" s="585"/>
      <c r="W119" s="1354"/>
      <c r="X119" s="950" t="s">
        <v>217</v>
      </c>
      <c r="Y119" s="1242"/>
      <c r="Z119" s="1242"/>
      <c r="AA119" s="1242"/>
      <c r="AB119" s="245"/>
      <c r="AC119" s="589"/>
      <c r="AD119" s="21"/>
    </row>
    <row r="120" spans="2:32" ht="6" customHeight="1" thickBot="1">
      <c r="X120" s="157"/>
      <c r="Y120" s="837"/>
      <c r="Z120" s="837"/>
      <c r="AA120" s="837"/>
      <c r="AB120" s="22"/>
      <c r="AC120" s="22"/>
    </row>
    <row r="121" spans="2:32" ht="144.75">
      <c r="B121" s="1388" t="s">
        <v>218</v>
      </c>
      <c r="C121" s="549" t="s">
        <v>218</v>
      </c>
      <c r="D121" s="345" t="s">
        <v>219</v>
      </c>
      <c r="E121" s="550">
        <f>NETWORKDAYS.INTL(F121,G121,"0000100",$AI$5:$AI$12)</f>
        <v>21</v>
      </c>
      <c r="F121" s="81">
        <v>46300</v>
      </c>
      <c r="G121" s="81">
        <f>WORKDAY.INTL(F121,17,"0000110")</f>
        <v>46323</v>
      </c>
      <c r="H121" s="491">
        <v>46300</v>
      </c>
      <c r="I121" s="491">
        <f>WORKDAY.INTL(H121,17,"0000110")</f>
        <v>46323</v>
      </c>
      <c r="J121" s="491"/>
      <c r="K121" s="492"/>
      <c r="L121" s="492"/>
      <c r="M121" s="376" t="str">
        <f t="shared" ref="M121:M123" ca="1" si="88">IF(L121=100%,"Completed",
IF(AND(L121&lt;100%,G121&lt;TODAY()),"Delayed",
IF(AND(OR(L121="",L121=0),F121&gt;TODAY()),"Not Started",
IF(AND(OR(L121="",L121=0),F121&lt;=TODAY()),"Delayed",
IF(AND(L121&gt;0,L121&lt;100%),"In Progress","")))))</f>
        <v>Not Started</v>
      </c>
      <c r="N121" s="551"/>
      <c r="O121" s="551"/>
      <c r="P121" s="551"/>
      <c r="Q121" s="551"/>
      <c r="R121" s="551"/>
      <c r="S121" s="551"/>
      <c r="T121" s="551"/>
      <c r="U121" s="496"/>
      <c r="V121" s="516"/>
      <c r="W121" s="1352"/>
      <c r="X121" s="559" t="s">
        <v>220</v>
      </c>
      <c r="Y121" s="1236"/>
      <c r="Z121" s="1236"/>
      <c r="AA121" s="1236"/>
      <c r="AB121" s="67"/>
      <c r="AC121" s="497"/>
    </row>
    <row r="122" spans="2:32" ht="54.75" customHeight="1">
      <c r="B122" s="1389"/>
      <c r="C122" s="552" t="s">
        <v>218</v>
      </c>
      <c r="D122" s="353" t="s">
        <v>221</v>
      </c>
      <c r="E122" s="553">
        <f>NETWORKDAYS.INTL(F122,G122,"0000100",$AI$5:$AI$12)</f>
        <v>9</v>
      </c>
      <c r="F122" s="84">
        <v>46215</v>
      </c>
      <c r="G122" s="84">
        <f>WORKDAY.INTL(F122,7,"0000110")</f>
        <v>46224</v>
      </c>
      <c r="H122" s="403">
        <v>46215</v>
      </c>
      <c r="I122" s="403">
        <f>WORKDAY.INTL(H122,7,"0000110")</f>
        <v>46224</v>
      </c>
      <c r="J122" s="562">
        <v>46215</v>
      </c>
      <c r="K122" s="1164">
        <v>46222</v>
      </c>
      <c r="L122" s="404">
        <v>1</v>
      </c>
      <c r="M122" s="366" t="str">
        <f t="shared" ca="1" si="88"/>
        <v>Completed</v>
      </c>
      <c r="N122" s="554"/>
      <c r="O122" s="554"/>
      <c r="P122" s="554"/>
      <c r="Q122" s="554"/>
      <c r="R122" s="554"/>
      <c r="S122" s="554"/>
      <c r="T122" s="554"/>
      <c r="U122" s="555"/>
      <c r="V122" s="518"/>
      <c r="W122" s="1353"/>
      <c r="X122" s="560" t="s">
        <v>222</v>
      </c>
      <c r="Y122" s="1237"/>
      <c r="Z122" s="1237"/>
      <c r="AA122" s="1237"/>
      <c r="AB122" s="34"/>
      <c r="AC122" s="498"/>
    </row>
    <row r="123" spans="2:32" ht="54.75" customHeight="1" thickBot="1">
      <c r="B123" s="1390"/>
      <c r="C123" s="556" t="s">
        <v>218</v>
      </c>
      <c r="D123" s="489" t="s">
        <v>223</v>
      </c>
      <c r="E123" s="557">
        <f>NETWORKDAYS.INTL(F123,G123,"0000100",$AI$5:$AI$12)</f>
        <v>37</v>
      </c>
      <c r="F123" s="378">
        <v>46310</v>
      </c>
      <c r="G123" s="378">
        <f>WORKDAY.INTL(F123,30,"0000110")</f>
        <v>46352</v>
      </c>
      <c r="H123" s="499">
        <v>46310</v>
      </c>
      <c r="I123" s="499">
        <f>WORKDAY.INTL(H123,30,"0000110")</f>
        <v>46352</v>
      </c>
      <c r="J123" s="499"/>
      <c r="K123" s="500"/>
      <c r="L123" s="500"/>
      <c r="M123" s="379" t="str">
        <f t="shared" ca="1" si="88"/>
        <v>Not Started</v>
      </c>
      <c r="N123" s="558"/>
      <c r="O123" s="558"/>
      <c r="P123" s="558"/>
      <c r="Q123" s="558"/>
      <c r="R123" s="558"/>
      <c r="S123" s="558"/>
      <c r="T123" s="558"/>
      <c r="U123" s="504"/>
      <c r="V123" s="519"/>
      <c r="W123" s="1354"/>
      <c r="X123" s="561" t="s">
        <v>224</v>
      </c>
      <c r="Y123" s="1200"/>
      <c r="Z123" s="1200"/>
      <c r="AA123" s="1200"/>
      <c r="AB123" s="505"/>
      <c r="AC123" s="506"/>
    </row>
  </sheetData>
  <sheetProtection formatCells="0" formatColumns="0" formatRows="0" insertColumns="0" insertRows="0" insertHyperlinks="0" deleteColumns="0" deleteRows="0" sort="0" autoFilter="0" pivotTables="0"/>
  <mergeCells count="51">
    <mergeCell ref="W85:W86"/>
    <mergeCell ref="W88:W89"/>
    <mergeCell ref="W91:W92"/>
    <mergeCell ref="W94:W95"/>
    <mergeCell ref="W110:W116"/>
    <mergeCell ref="W38:W41"/>
    <mergeCell ref="W43:W46"/>
    <mergeCell ref="W48:W51"/>
    <mergeCell ref="W58:W60"/>
    <mergeCell ref="W69:W70"/>
    <mergeCell ref="W5:W11"/>
    <mergeCell ref="W18:W21"/>
    <mergeCell ref="W23:W26"/>
    <mergeCell ref="W28:W31"/>
    <mergeCell ref="W33:W36"/>
    <mergeCell ref="AB110:AB116"/>
    <mergeCell ref="B118:B119"/>
    <mergeCell ref="B121:B123"/>
    <mergeCell ref="W118:W119"/>
    <mergeCell ref="W121:W123"/>
    <mergeCell ref="X63:X64"/>
    <mergeCell ref="X110:X111"/>
    <mergeCell ref="B94:B95"/>
    <mergeCell ref="B97:B98"/>
    <mergeCell ref="B100:B101"/>
    <mergeCell ref="B103:B104"/>
    <mergeCell ref="B110:B116"/>
    <mergeCell ref="B79:B80"/>
    <mergeCell ref="B82:B83"/>
    <mergeCell ref="B85:B86"/>
    <mergeCell ref="B88:B89"/>
    <mergeCell ref="B91:B92"/>
    <mergeCell ref="W72:W73"/>
    <mergeCell ref="W75:W77"/>
    <mergeCell ref="W79:W80"/>
    <mergeCell ref="W82:W83"/>
    <mergeCell ref="B58:B60"/>
    <mergeCell ref="B63:B67"/>
    <mergeCell ref="B69:B70"/>
    <mergeCell ref="B72:B73"/>
    <mergeCell ref="B75:B77"/>
    <mergeCell ref="B33:B36"/>
    <mergeCell ref="B38:B41"/>
    <mergeCell ref="B43:B46"/>
    <mergeCell ref="B48:B51"/>
    <mergeCell ref="B53:B56"/>
    <mergeCell ref="B5:B11"/>
    <mergeCell ref="B13:B16"/>
    <mergeCell ref="B18:B21"/>
    <mergeCell ref="B23:B26"/>
    <mergeCell ref="B28:B31"/>
  </mergeCells>
  <phoneticPr fontId="29" type="noConversion"/>
  <conditionalFormatting sqref="L121:L123">
    <cfRule type="cellIs" dxfId="27" priority="19" operator="equal">
      <formula>"In Progress"</formula>
    </cfRule>
    <cfRule type="cellIs" dxfId="26" priority="20" operator="equal">
      <formula>"Delayed"</formula>
    </cfRule>
    <cfRule type="cellIs" dxfId="25" priority="21" operator="equal">
      <formula>"Completed"</formula>
    </cfRule>
  </conditionalFormatting>
  <conditionalFormatting sqref="M1:M1048576 V70 V71:W72 V73 V74:W75 V76:V77 V78:W79 V80 V81:W82 V83 V84:W85 V86 V87:W88 V89 V90:W91 V92 V93:W94 V95 V96:W110 V111:V116 V117:W118 V119 V120:W121 V122:V123 V124:W1048576">
    <cfRule type="cellIs" dxfId="24" priority="13" operator="equal">
      <formula>"Delayed"</formula>
    </cfRule>
    <cfRule type="cellIs" dxfId="23" priority="14" operator="equal">
      <formula>"In Progress"</formula>
    </cfRule>
    <cfRule type="cellIs" dxfId="22" priority="15" operator="equal">
      <formula>"Completed"</formula>
    </cfRule>
  </conditionalFormatting>
  <conditionalFormatting sqref="V6:V11 V12:W18 V19:V21 V22:W23 V24:V26 V27:W28 V29:V31 V32:W33 V34:V36 V37:W38 V39:V41 V42:W43 V44:V46 V47:W48 V49:V51 V52:W58 V59:V60">
    <cfRule type="cellIs" dxfId="21" priority="7" operator="equal">
      <formula>"Delayed"</formula>
    </cfRule>
    <cfRule type="cellIs" dxfId="20" priority="8" operator="equal">
      <formula>"In Progress"</formula>
    </cfRule>
    <cfRule type="cellIs" dxfId="19" priority="9" operator="equal">
      <formula>"Completed"</formula>
    </cfRule>
  </conditionalFormatting>
  <conditionalFormatting sqref="V1:W5">
    <cfRule type="cellIs" dxfId="18" priority="4" operator="equal">
      <formula>"Delayed"</formula>
    </cfRule>
    <cfRule type="cellIs" dxfId="17" priority="5" operator="equal">
      <formula>"In Progress"</formula>
    </cfRule>
    <cfRule type="cellIs" dxfId="16" priority="6" operator="equal">
      <formula>"Completed"</formula>
    </cfRule>
  </conditionalFormatting>
  <conditionalFormatting sqref="V61:W69">
    <cfRule type="cellIs" dxfId="15" priority="1" operator="equal">
      <formula>"Delayed"</formula>
    </cfRule>
    <cfRule type="cellIs" dxfId="14" priority="2" operator="equal">
      <formula>"In Progress"</formula>
    </cfRule>
    <cfRule type="cellIs" dxfId="13" priority="3" operator="equal">
      <formula>"Completed"</formula>
    </cfRule>
  </conditionalFormatting>
  <dataValidations count="1">
    <dataValidation type="list" allowBlank="1" showInputMessage="1" showErrorMessage="1" sqref="AD62 AD108 AD106 AD103:AD104 AD100:AD101 AD97:AD98 AD94:AD95 AD91:AD92 AD88:AD89 AD85:AD86 AD82:AD83 AD79:AD80 AD75:AD77 AD110:AD116" xr:uid="{00000000-0002-0000-0400-000000000000}">
      <formula1>$AE$2:$AE$5</formula1>
    </dataValidation>
  </dataValidation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5293-244D-4AEF-AF27-AB1F9C6116B0}">
  <sheetPr>
    <pageSetUpPr fitToPage="1"/>
  </sheetPr>
  <dimension ref="A1:X9"/>
  <sheetViews>
    <sheetView workbookViewId="0"/>
  </sheetViews>
  <sheetFormatPr defaultRowHeight="13.5"/>
  <cols>
    <col min="3" max="3" width="10.5" customWidth="1"/>
    <col min="4" max="4" width="8.125" customWidth="1"/>
    <col min="5" max="5" width="12.125" style="1" bestFit="1" customWidth="1"/>
    <col min="6" max="6" width="23.375" customWidth="1"/>
    <col min="7" max="7" width="18.75" customWidth="1"/>
    <col min="8" max="8" width="13.5" customWidth="1"/>
    <col min="9" max="9" width="30.125" customWidth="1"/>
    <col min="10" max="10" width="1.375" customWidth="1"/>
  </cols>
  <sheetData>
    <row r="1" spans="1:24" ht="30">
      <c r="A1" s="1086" t="s">
        <v>397</v>
      </c>
      <c r="B1" s="1087" t="s">
        <v>98</v>
      </c>
      <c r="C1" s="1087" t="s">
        <v>83</v>
      </c>
      <c r="D1" s="1087" t="s">
        <v>398</v>
      </c>
      <c r="E1" s="1087" t="s">
        <v>399</v>
      </c>
      <c r="F1" s="1087" t="s">
        <v>400</v>
      </c>
      <c r="G1" s="1087" t="s">
        <v>401</v>
      </c>
      <c r="H1" s="1087" t="s">
        <v>402</v>
      </c>
      <c r="I1" s="1088" t="s">
        <v>403</v>
      </c>
      <c r="K1" s="1083">
        <v>46230</v>
      </c>
      <c r="L1" s="1084">
        <v>46237</v>
      </c>
      <c r="M1" s="1084">
        <v>46244</v>
      </c>
      <c r="N1" s="1084">
        <v>46251</v>
      </c>
      <c r="O1" s="1084">
        <v>46258</v>
      </c>
      <c r="P1" s="1084">
        <v>46265</v>
      </c>
      <c r="Q1" s="1084">
        <v>46272</v>
      </c>
      <c r="R1" s="1084">
        <v>46279</v>
      </c>
      <c r="S1" s="1084">
        <v>46286</v>
      </c>
      <c r="T1" s="1084">
        <v>46293</v>
      </c>
      <c r="U1" s="1084">
        <v>46300</v>
      </c>
      <c r="V1" s="1084">
        <v>46307</v>
      </c>
      <c r="W1" s="1084">
        <v>46314</v>
      </c>
      <c r="X1" s="1085">
        <v>46321</v>
      </c>
    </row>
    <row r="2" spans="1:24" ht="30">
      <c r="A2" s="1089" t="s">
        <v>92</v>
      </c>
      <c r="B2" s="1090">
        <v>46230</v>
      </c>
      <c r="C2" s="1090">
        <v>46320</v>
      </c>
      <c r="D2" s="1099">
        <v>91</v>
      </c>
      <c r="E2" s="1091">
        <v>2</v>
      </c>
      <c r="F2" s="1092" t="s">
        <v>404</v>
      </c>
      <c r="G2" s="1092" t="s">
        <v>405</v>
      </c>
      <c r="H2" s="1092" t="s">
        <v>406</v>
      </c>
      <c r="I2" s="1093"/>
      <c r="K2" s="1101">
        <f t="shared" ref="K2:X6" si="0">IF(AND(K$1&lt;=$C2,K$1+6&gt;=$B2),$E2,"")</f>
        <v>2</v>
      </c>
      <c r="L2" s="1102">
        <f t="shared" si="0"/>
        <v>2</v>
      </c>
      <c r="M2" s="1102">
        <f t="shared" si="0"/>
        <v>2</v>
      </c>
      <c r="N2" s="1102">
        <f t="shared" si="0"/>
        <v>2</v>
      </c>
      <c r="O2" s="1102">
        <f t="shared" si="0"/>
        <v>2</v>
      </c>
      <c r="P2" s="1102">
        <f t="shared" si="0"/>
        <v>2</v>
      </c>
      <c r="Q2" s="1102">
        <f t="shared" si="0"/>
        <v>2</v>
      </c>
      <c r="R2" s="1102">
        <f t="shared" si="0"/>
        <v>2</v>
      </c>
      <c r="S2" s="1102">
        <f t="shared" si="0"/>
        <v>2</v>
      </c>
      <c r="T2" s="1102">
        <f t="shared" si="0"/>
        <v>2</v>
      </c>
      <c r="U2" s="1102">
        <f t="shared" si="0"/>
        <v>2</v>
      </c>
      <c r="V2" s="1102">
        <f t="shared" si="0"/>
        <v>2</v>
      </c>
      <c r="W2" s="1102">
        <f t="shared" si="0"/>
        <v>2</v>
      </c>
      <c r="X2" s="1103" t="str">
        <f t="shared" si="0"/>
        <v/>
      </c>
    </row>
    <row r="3" spans="1:24" ht="30">
      <c r="A3" s="1089" t="s">
        <v>94</v>
      </c>
      <c r="B3" s="1090">
        <v>46236</v>
      </c>
      <c r="C3" s="1090">
        <v>46308</v>
      </c>
      <c r="D3" s="1099">
        <v>73</v>
      </c>
      <c r="E3" s="1091">
        <v>2</v>
      </c>
      <c r="F3" s="1092" t="s">
        <v>407</v>
      </c>
      <c r="G3" s="1092" t="s">
        <v>408</v>
      </c>
      <c r="H3" s="1092" t="s">
        <v>409</v>
      </c>
      <c r="I3" s="1093"/>
      <c r="K3" s="1101">
        <f t="shared" si="0"/>
        <v>2</v>
      </c>
      <c r="L3" s="1102">
        <f t="shared" si="0"/>
        <v>2</v>
      </c>
      <c r="M3" s="1102">
        <f t="shared" si="0"/>
        <v>2</v>
      </c>
      <c r="N3" s="1102">
        <f t="shared" si="0"/>
        <v>2</v>
      </c>
      <c r="O3" s="1102">
        <f t="shared" si="0"/>
        <v>2</v>
      </c>
      <c r="P3" s="1102">
        <f t="shared" si="0"/>
        <v>2</v>
      </c>
      <c r="Q3" s="1102">
        <f t="shared" si="0"/>
        <v>2</v>
      </c>
      <c r="R3" s="1102">
        <f t="shared" si="0"/>
        <v>2</v>
      </c>
      <c r="S3" s="1102">
        <f t="shared" si="0"/>
        <v>2</v>
      </c>
      <c r="T3" s="1102">
        <f t="shared" si="0"/>
        <v>2</v>
      </c>
      <c r="U3" s="1102">
        <f t="shared" si="0"/>
        <v>2</v>
      </c>
      <c r="V3" s="1102">
        <f t="shared" si="0"/>
        <v>2</v>
      </c>
      <c r="W3" s="1102" t="str">
        <f t="shared" si="0"/>
        <v/>
      </c>
      <c r="X3" s="1103" t="str">
        <f t="shared" si="0"/>
        <v/>
      </c>
    </row>
    <row r="4" spans="1:24" ht="30">
      <c r="A4" s="1089" t="s">
        <v>80</v>
      </c>
      <c r="B4" s="1090">
        <v>46230</v>
      </c>
      <c r="C4" s="1090">
        <v>46292</v>
      </c>
      <c r="D4" s="1099">
        <v>63</v>
      </c>
      <c r="E4" s="1091">
        <v>2</v>
      </c>
      <c r="F4" s="1092" t="s">
        <v>410</v>
      </c>
      <c r="G4" s="1092" t="s">
        <v>411</v>
      </c>
      <c r="H4" s="1092" t="s">
        <v>412</v>
      </c>
      <c r="I4" s="1093"/>
      <c r="K4" s="1101">
        <f t="shared" si="0"/>
        <v>2</v>
      </c>
      <c r="L4" s="1102">
        <f t="shared" si="0"/>
        <v>2</v>
      </c>
      <c r="M4" s="1102">
        <f t="shared" si="0"/>
        <v>2</v>
      </c>
      <c r="N4" s="1102">
        <f t="shared" si="0"/>
        <v>2</v>
      </c>
      <c r="O4" s="1102">
        <f t="shared" si="0"/>
        <v>2</v>
      </c>
      <c r="P4" s="1102">
        <f t="shared" si="0"/>
        <v>2</v>
      </c>
      <c r="Q4" s="1102">
        <f t="shared" si="0"/>
        <v>2</v>
      </c>
      <c r="R4" s="1102">
        <f t="shared" si="0"/>
        <v>2</v>
      </c>
      <c r="S4" s="1102">
        <f t="shared" si="0"/>
        <v>2</v>
      </c>
      <c r="T4" s="1102" t="str">
        <f t="shared" si="0"/>
        <v/>
      </c>
      <c r="U4" s="1102" t="str">
        <f t="shared" si="0"/>
        <v/>
      </c>
      <c r="V4" s="1102" t="str">
        <f t="shared" si="0"/>
        <v/>
      </c>
      <c r="W4" s="1102" t="str">
        <f t="shared" si="0"/>
        <v/>
      </c>
      <c r="X4" s="1103" t="str">
        <f t="shared" si="0"/>
        <v/>
      </c>
    </row>
    <row r="5" spans="1:24" ht="30">
      <c r="A5" s="1089" t="s">
        <v>81</v>
      </c>
      <c r="B5" s="1090">
        <v>46236</v>
      </c>
      <c r="C5" s="1090">
        <v>46292</v>
      </c>
      <c r="D5" s="1099">
        <v>57</v>
      </c>
      <c r="E5" s="1091">
        <v>4</v>
      </c>
      <c r="F5" s="1092" t="s">
        <v>413</v>
      </c>
      <c r="G5" s="1092" t="s">
        <v>414</v>
      </c>
      <c r="H5" s="1092" t="s">
        <v>415</v>
      </c>
      <c r="I5" s="1093"/>
      <c r="K5" s="1101">
        <f t="shared" si="0"/>
        <v>4</v>
      </c>
      <c r="L5" s="1102">
        <f t="shared" si="0"/>
        <v>4</v>
      </c>
      <c r="M5" s="1102">
        <f t="shared" si="0"/>
        <v>4</v>
      </c>
      <c r="N5" s="1102">
        <f t="shared" si="0"/>
        <v>4</v>
      </c>
      <c r="O5" s="1102">
        <f t="shared" si="0"/>
        <v>4</v>
      </c>
      <c r="P5" s="1102">
        <f t="shared" si="0"/>
        <v>4</v>
      </c>
      <c r="Q5" s="1102">
        <f t="shared" si="0"/>
        <v>4</v>
      </c>
      <c r="R5" s="1102">
        <f t="shared" si="0"/>
        <v>4</v>
      </c>
      <c r="S5" s="1102">
        <f t="shared" si="0"/>
        <v>4</v>
      </c>
      <c r="T5" s="1102" t="str">
        <f t="shared" si="0"/>
        <v/>
      </c>
      <c r="U5" s="1102" t="str">
        <f t="shared" si="0"/>
        <v/>
      </c>
      <c r="V5" s="1102" t="str">
        <f t="shared" si="0"/>
        <v/>
      </c>
      <c r="W5" s="1102" t="str">
        <f t="shared" si="0"/>
        <v/>
      </c>
      <c r="X5" s="1103" t="str">
        <f t="shared" si="0"/>
        <v/>
      </c>
    </row>
    <row r="6" spans="1:24" ht="30">
      <c r="A6" s="1094" t="s">
        <v>93</v>
      </c>
      <c r="B6" s="1095">
        <v>46230</v>
      </c>
      <c r="C6" s="1095">
        <v>46280</v>
      </c>
      <c r="D6" s="1100">
        <v>51</v>
      </c>
      <c r="E6" s="1096">
        <v>2</v>
      </c>
      <c r="F6" s="1097" t="s">
        <v>416</v>
      </c>
      <c r="G6" s="1097" t="s">
        <v>417</v>
      </c>
      <c r="H6" s="1097" t="s">
        <v>418</v>
      </c>
      <c r="I6" s="1098"/>
      <c r="K6" s="1104">
        <f t="shared" si="0"/>
        <v>2</v>
      </c>
      <c r="L6" s="1105">
        <f t="shared" si="0"/>
        <v>2</v>
      </c>
      <c r="M6" s="1105">
        <f t="shared" si="0"/>
        <v>2</v>
      </c>
      <c r="N6" s="1105">
        <f t="shared" si="0"/>
        <v>2</v>
      </c>
      <c r="O6" s="1105">
        <f t="shared" si="0"/>
        <v>2</v>
      </c>
      <c r="P6" s="1105">
        <f t="shared" si="0"/>
        <v>2</v>
      </c>
      <c r="Q6" s="1105">
        <f t="shared" si="0"/>
        <v>2</v>
      </c>
      <c r="R6" s="1105">
        <f t="shared" si="0"/>
        <v>2</v>
      </c>
      <c r="S6" s="1105" t="str">
        <f t="shared" si="0"/>
        <v/>
      </c>
      <c r="T6" s="1105" t="str">
        <f t="shared" si="0"/>
        <v/>
      </c>
      <c r="U6" s="1105" t="str">
        <f t="shared" si="0"/>
        <v/>
      </c>
      <c r="V6" s="1105" t="str">
        <f t="shared" si="0"/>
        <v/>
      </c>
      <c r="W6" s="1105" t="str">
        <f t="shared" si="0"/>
        <v/>
      </c>
      <c r="X6" s="1106" t="str">
        <f t="shared" si="0"/>
        <v/>
      </c>
    </row>
    <row r="8" spans="1:24" ht="25.5" customHeight="1">
      <c r="K8" s="1077">
        <f t="shared" ref="K8:X8" si="1">K1</f>
        <v>46230</v>
      </c>
      <c r="L8" s="1078">
        <f t="shared" si="1"/>
        <v>46237</v>
      </c>
      <c r="M8" s="1078">
        <f t="shared" si="1"/>
        <v>46244</v>
      </c>
      <c r="N8" s="1078">
        <f t="shared" si="1"/>
        <v>46251</v>
      </c>
      <c r="O8" s="1078">
        <f t="shared" si="1"/>
        <v>46258</v>
      </c>
      <c r="P8" s="1078">
        <f t="shared" si="1"/>
        <v>46265</v>
      </c>
      <c r="Q8" s="1078">
        <f t="shared" si="1"/>
        <v>46272</v>
      </c>
      <c r="R8" s="1078">
        <f t="shared" si="1"/>
        <v>46279</v>
      </c>
      <c r="S8" s="1078">
        <f t="shared" si="1"/>
        <v>46286</v>
      </c>
      <c r="T8" s="1078">
        <f t="shared" si="1"/>
        <v>46293</v>
      </c>
      <c r="U8" s="1078">
        <f t="shared" si="1"/>
        <v>46300</v>
      </c>
      <c r="V8" s="1078">
        <f t="shared" si="1"/>
        <v>46307</v>
      </c>
      <c r="W8" s="1078">
        <f t="shared" si="1"/>
        <v>46314</v>
      </c>
      <c r="X8" s="1079">
        <f t="shared" si="1"/>
        <v>46321</v>
      </c>
    </row>
    <row r="9" spans="1:24" ht="36" customHeight="1">
      <c r="K9" s="1080">
        <f t="shared" ref="K9:X9" si="2">SUM(K2:K6)</f>
        <v>12</v>
      </c>
      <c r="L9" s="1081">
        <f t="shared" si="2"/>
        <v>12</v>
      </c>
      <c r="M9" s="1081">
        <f t="shared" si="2"/>
        <v>12</v>
      </c>
      <c r="N9" s="1081">
        <f t="shared" si="2"/>
        <v>12</v>
      </c>
      <c r="O9" s="1081">
        <f t="shared" si="2"/>
        <v>12</v>
      </c>
      <c r="P9" s="1081">
        <f t="shared" si="2"/>
        <v>12</v>
      </c>
      <c r="Q9" s="1081">
        <f t="shared" si="2"/>
        <v>12</v>
      </c>
      <c r="R9" s="1081">
        <f t="shared" si="2"/>
        <v>12</v>
      </c>
      <c r="S9" s="1081">
        <f t="shared" si="2"/>
        <v>10</v>
      </c>
      <c r="T9" s="1081">
        <f t="shared" si="2"/>
        <v>4</v>
      </c>
      <c r="U9" s="1081">
        <f t="shared" si="2"/>
        <v>4</v>
      </c>
      <c r="V9" s="1081">
        <f t="shared" si="2"/>
        <v>4</v>
      </c>
      <c r="W9" s="1081">
        <f t="shared" si="2"/>
        <v>2</v>
      </c>
      <c r="X9" s="1082">
        <f t="shared" si="2"/>
        <v>0</v>
      </c>
    </row>
  </sheetData>
  <conditionalFormatting sqref="K2:X6">
    <cfRule type="expression" dxfId="12" priority="1">
      <formula>K2&lt;&gt;""</formula>
    </cfRule>
  </conditionalFormatting>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J141"/>
  <sheetViews>
    <sheetView showGridLines="0" topLeftCell="J1" zoomScale="85" zoomScaleNormal="85" workbookViewId="0">
      <pane ySplit="4" topLeftCell="A11" activePane="bottomLeft" state="frozen"/>
      <selection pane="bottomLeft" activeCell="B13" sqref="B13:B16"/>
    </sheetView>
  </sheetViews>
  <sheetFormatPr defaultColWidth="9" defaultRowHeight="15.75" customHeight="1"/>
  <cols>
    <col min="1" max="1" width="1" style="20" customWidth="1"/>
    <col min="2" max="2" width="16" style="20" customWidth="1"/>
    <col min="3" max="3" width="8.875" style="20" hidden="1" customWidth="1"/>
    <col min="4" max="4" width="38" style="325" customWidth="1"/>
    <col min="5" max="5" width="10.375" style="326" customWidth="1"/>
    <col min="6" max="6" width="13.125" style="397" customWidth="1"/>
    <col min="7" max="7" width="14.375" style="397" customWidth="1"/>
    <col min="8" max="8" width="15" style="397" bestFit="1" customWidth="1"/>
    <col min="9" max="9" width="10.625" style="397" bestFit="1" customWidth="1"/>
    <col min="10" max="10" width="18" style="397" customWidth="1"/>
    <col min="11" max="11" width="16.375" style="397" customWidth="1"/>
    <col min="12" max="12" width="12.625" style="401" customWidth="1"/>
    <col min="13" max="13" width="11.875" style="401" bestFit="1" customWidth="1"/>
    <col min="14" max="14" width="19.5" style="401" bestFit="1" customWidth="1"/>
    <col min="15" max="15" width="1.25" style="20" customWidth="1"/>
    <col min="16" max="22" width="9.125" style="20" hidden="1" customWidth="1"/>
    <col min="23" max="23" width="42.625" style="23" customWidth="1"/>
    <col min="24" max="24" width="18.875" style="1171" bestFit="1" customWidth="1"/>
    <col min="25" max="25" width="17.25" style="1171" bestFit="1" customWidth="1"/>
    <col min="26" max="26" width="14.625" style="1171" bestFit="1" customWidth="1"/>
    <col min="27" max="27" width="54.375" style="23" customWidth="1"/>
    <col min="28" max="28" width="20.875" style="23" bestFit="1" customWidth="1"/>
    <col min="29" max="29" width="9" style="20" hidden="1" customWidth="1"/>
    <col min="30" max="30" width="0" style="20" hidden="1" customWidth="1"/>
    <col min="31" max="31" width="9" style="20" hidden="1" customWidth="1"/>
    <col min="32" max="32" width="12.125" style="24" hidden="1" customWidth="1"/>
    <col min="33" max="33" width="10.125" style="24" hidden="1" customWidth="1"/>
    <col min="34" max="34" width="10.125" style="20" hidden="1" customWidth="1"/>
    <col min="35" max="35" width="0" style="20" hidden="1" customWidth="1"/>
    <col min="36" max="16384" width="9" style="20"/>
  </cols>
  <sheetData>
    <row r="1" spans="2:36" ht="4.5" customHeight="1" thickBot="1">
      <c r="F1" s="361"/>
      <c r="G1" s="361"/>
      <c r="H1" s="361"/>
      <c r="I1" s="361"/>
      <c r="J1" s="361"/>
      <c r="K1" s="361"/>
      <c r="L1" s="362"/>
      <c r="M1" s="362"/>
      <c r="N1" s="362"/>
      <c r="O1" s="105"/>
    </row>
    <row r="2" spans="2:36" ht="36" customHeight="1" thickBot="1">
      <c r="B2" s="26"/>
      <c r="C2" s="26" t="s">
        <v>96</v>
      </c>
      <c r="D2" s="328" t="s">
        <v>1</v>
      </c>
      <c r="E2" s="1070" t="s">
        <v>97</v>
      </c>
      <c r="F2" s="1071" t="s">
        <v>98</v>
      </c>
      <c r="G2" s="1071" t="s">
        <v>83</v>
      </c>
      <c r="H2" s="1071" t="s">
        <v>99</v>
      </c>
      <c r="I2" s="1071" t="s">
        <v>84</v>
      </c>
      <c r="J2" s="1072" t="s">
        <v>100</v>
      </c>
      <c r="K2" s="1072" t="s">
        <v>101</v>
      </c>
      <c r="L2" s="363" t="s">
        <v>82</v>
      </c>
      <c r="M2" s="363" t="s">
        <v>102</v>
      </c>
      <c r="N2" s="363" t="s">
        <v>103</v>
      </c>
      <c r="O2" s="106"/>
      <c r="P2" s="27">
        <v>46113</v>
      </c>
      <c r="Q2" s="28">
        <v>46143</v>
      </c>
      <c r="R2" s="28">
        <v>46174</v>
      </c>
      <c r="S2" s="28">
        <v>46204</v>
      </c>
      <c r="T2" s="28">
        <v>46235</v>
      </c>
      <c r="U2" s="28">
        <v>46266</v>
      </c>
      <c r="V2" s="28">
        <v>46296</v>
      </c>
      <c r="W2" s="240" t="s">
        <v>2</v>
      </c>
      <c r="X2" s="1165" t="s">
        <v>104</v>
      </c>
      <c r="Y2" s="1165" t="s">
        <v>105</v>
      </c>
      <c r="Z2" s="1258" t="s">
        <v>106</v>
      </c>
      <c r="AA2" s="162" t="s">
        <v>107</v>
      </c>
      <c r="AB2" s="162" t="s">
        <v>108</v>
      </c>
      <c r="AC2" s="20" t="s">
        <v>226</v>
      </c>
    </row>
    <row r="3" spans="2:36" ht="45" hidden="1" customHeight="1">
      <c r="B3" s="29"/>
      <c r="C3" s="29"/>
      <c r="D3" s="329" t="s">
        <v>109</v>
      </c>
      <c r="E3" s="330"/>
      <c r="F3" s="412">
        <f>WORKDAY.INTL("6-May-26",0,"0000100")</f>
        <v>46148</v>
      </c>
      <c r="G3" s="412">
        <f>WORKDAY.INTL(F3,13,"0000100",$AH$5:$AH$12)</f>
        <v>46163</v>
      </c>
      <c r="H3" s="412">
        <f>WORKDAY.INTL("6-May-26",0,"0000100")</f>
        <v>46148</v>
      </c>
      <c r="I3" s="412">
        <f>WORKDAY.INTL(H3,13,"0000100",$AH$5:$AH$12)</f>
        <v>46163</v>
      </c>
      <c r="J3" s="412"/>
      <c r="K3" s="412"/>
      <c r="L3" s="413">
        <v>1</v>
      </c>
      <c r="M3" s="364" t="str">
        <f ca="1">IF(OR(L3=100%,K3&lt;&gt;""),"Completed",IF(AND(OR(L3="",L3=0),F3&gt;TODAY()),"Not Started",IF(AND(OR(L3="",L3=0),F3&lt;=TODAY()),"Delayed",IF(AND(L3&gt;0,L3&lt;100%,G3&lt;TODAY()),"Delayed",IF(AND(L3&gt;0,L3&lt;100%),"In Progress","")))))</f>
        <v>Completed</v>
      </c>
      <c r="N3" s="364"/>
      <c r="O3" s="106"/>
      <c r="P3" s="30"/>
      <c r="Q3" s="31"/>
      <c r="R3" s="31"/>
      <c r="S3" s="31"/>
      <c r="T3" s="31"/>
      <c r="U3" s="31"/>
      <c r="V3" s="31"/>
      <c r="W3" s="241" t="s">
        <v>335</v>
      </c>
      <c r="AA3" s="239"/>
      <c r="AB3" s="239"/>
      <c r="AC3" s="20" t="s">
        <v>113</v>
      </c>
    </row>
    <row r="4" spans="2:36" s="19" customFormat="1" ht="4.5" customHeight="1" thickBot="1">
      <c r="B4" s="51"/>
      <c r="C4" s="51"/>
      <c r="D4" s="338"/>
      <c r="E4" s="1073"/>
      <c r="F4" s="1074"/>
      <c r="G4" s="1074"/>
      <c r="H4" s="1074"/>
      <c r="I4" s="1074"/>
      <c r="J4" s="1074"/>
      <c r="K4" s="1074"/>
      <c r="L4" s="374"/>
      <c r="M4" s="374"/>
      <c r="N4" s="374"/>
      <c r="O4" s="451"/>
      <c r="P4" s="32"/>
      <c r="Q4" s="32"/>
      <c r="R4" s="32"/>
      <c r="S4" s="32"/>
      <c r="T4" s="32"/>
      <c r="U4" s="32"/>
      <c r="V4" s="32"/>
      <c r="W4" s="51"/>
      <c r="X4" s="661"/>
      <c r="Y4" s="661"/>
      <c r="Z4" s="661"/>
      <c r="AA4" s="1034"/>
      <c r="AB4" s="1034"/>
      <c r="AF4" s="33"/>
      <c r="AG4" s="33"/>
    </row>
    <row r="5" spans="2:36" ht="45" customHeight="1">
      <c r="B5" s="1343" t="s">
        <v>111</v>
      </c>
      <c r="C5" s="427" t="s">
        <v>86</v>
      </c>
      <c r="D5" s="375" t="s">
        <v>112</v>
      </c>
      <c r="E5" s="346">
        <f>NETWORKDAYS.INTL(F5,G5,"0000100",$AH$5:$AH$12)</f>
        <v>17</v>
      </c>
      <c r="F5" s="81">
        <f>WORKDAY.INTL("27-Jun-26",0,"0000100")</f>
        <v>46200</v>
      </c>
      <c r="G5" s="81">
        <f>WORKDAY.INTL(F5,16,"0000100",$AH$5:$AH$11)</f>
        <v>46218</v>
      </c>
      <c r="H5" s="1076">
        <f>WORKDAY.INTL("27-Jun-26",0,"0000100")</f>
        <v>46200</v>
      </c>
      <c r="I5" s="1076">
        <f>WORKDAY.INTL(H5,17,"0000100",$AH$5:$AH$11)</f>
        <v>46219</v>
      </c>
      <c r="J5" s="81"/>
      <c r="K5" s="81">
        <v>46219</v>
      </c>
      <c r="L5" s="376">
        <v>1</v>
      </c>
      <c r="M5" s="376" t="str">
        <f t="shared" ref="M5:M60" ca="1" si="0">IF(L5=100%,"Completed",
IF(AND(L5&lt;100%,G5&lt;TODAY()),"Delayed",
IF(AND(OR(L5="",L5=0),F5&gt;TODAY()),"Not Started",
IF(AND(OR(L5="",L5=0),F5&lt;=TODAY()),"Delayed",
IF(AND(L5&gt;0,L5&lt;100%),"In Progress","")))))</f>
        <v>Completed</v>
      </c>
      <c r="N5" s="1075"/>
      <c r="O5" s="1394"/>
      <c r="P5" s="35"/>
      <c r="Q5" s="35"/>
      <c r="R5" s="35"/>
      <c r="S5" s="35"/>
      <c r="T5" s="35"/>
      <c r="U5" s="35"/>
      <c r="V5" s="35"/>
      <c r="W5" s="521" t="s">
        <v>419</v>
      </c>
      <c r="X5" s="1244">
        <v>1</v>
      </c>
      <c r="Y5" s="1244"/>
      <c r="Z5" s="1244"/>
      <c r="AA5" s="67" t="s">
        <v>420</v>
      </c>
      <c r="AB5" s="497"/>
      <c r="AC5" s="20" t="s">
        <v>124</v>
      </c>
      <c r="AE5" s="34" t="s">
        <v>62</v>
      </c>
      <c r="AF5" s="24" t="s">
        <v>68</v>
      </c>
      <c r="AH5" s="37">
        <v>46166</v>
      </c>
    </row>
    <row r="6" spans="2:36" ht="45" customHeight="1">
      <c r="B6" s="1344"/>
      <c r="C6" s="428" t="s">
        <v>86</v>
      </c>
      <c r="D6" s="517" t="s">
        <v>336</v>
      </c>
      <c r="E6" s="354">
        <f>NETWORKDAYS.INTL(F6,G6,"0000100",$AH$5:$AH$12)</f>
        <v>25</v>
      </c>
      <c r="F6" s="84">
        <f>WORKDAY.INTL("17-Jun-26",0,"0000100")</f>
        <v>46190</v>
      </c>
      <c r="G6" s="84">
        <f>WORKDAY.INTL(F6,24,"0000100",$AH$5:$AH$11)</f>
        <v>46218</v>
      </c>
      <c r="H6" s="84">
        <f>WORKDAY.INTL("17-Jun-26",0,"0000100")</f>
        <v>46190</v>
      </c>
      <c r="I6" s="84">
        <f>WORKDAY.INTL(H6,24,"0000100",$AH$5:$AH$11)</f>
        <v>46218</v>
      </c>
      <c r="J6" s="84">
        <v>46190</v>
      </c>
      <c r="K6" s="84">
        <v>46218</v>
      </c>
      <c r="L6" s="366">
        <v>1</v>
      </c>
      <c r="M6" s="366" t="str">
        <f t="shared" ca="1" si="0"/>
        <v>Completed</v>
      </c>
      <c r="N6" s="518"/>
      <c r="O6" s="1395"/>
      <c r="P6" s="35"/>
      <c r="Q6" s="35"/>
      <c r="R6" s="35"/>
      <c r="S6" s="35"/>
      <c r="T6" s="35"/>
      <c r="U6" s="35"/>
      <c r="V6" s="35"/>
      <c r="W6" s="522"/>
      <c r="X6" s="1243"/>
      <c r="Y6" s="1243"/>
      <c r="Z6" s="1243"/>
      <c r="AA6" s="34"/>
      <c r="AB6" s="498"/>
      <c r="AE6" s="24"/>
      <c r="AH6" s="37"/>
    </row>
    <row r="7" spans="2:36" ht="45" customHeight="1">
      <c r="B7" s="1344"/>
      <c r="C7" s="428" t="s">
        <v>86</v>
      </c>
      <c r="D7" s="517" t="s">
        <v>337</v>
      </c>
      <c r="E7" s="354">
        <f>NETWORKDAYS.INTL(F7,G7,"0000100",$AH$5:$AH$12)</f>
        <v>14</v>
      </c>
      <c r="F7" s="84">
        <f>WORKDAY.INTL(G6,1,"0000100",$AH$5:$AH$11)</f>
        <v>46219</v>
      </c>
      <c r="G7" s="84">
        <f>WORKDAY.INTL(F7,13,"0000100",$AH$5:$AH$11)</f>
        <v>46235</v>
      </c>
      <c r="H7" s="84">
        <f>WORKDAY.INTL(I6,1,"0000100",$AH$5:$AH$11)</f>
        <v>46219</v>
      </c>
      <c r="I7" s="84">
        <f>WORKDAY.INTL(H7,13,"0000100",$AH$5:$AH$11)</f>
        <v>46235</v>
      </c>
      <c r="J7" s="84">
        <v>46219</v>
      </c>
      <c r="K7" s="84"/>
      <c r="L7" s="366">
        <v>0.3</v>
      </c>
      <c r="M7" s="366" t="str">
        <f t="shared" ca="1" si="0"/>
        <v>In Progress</v>
      </c>
      <c r="N7" s="518"/>
      <c r="O7" s="1395"/>
      <c r="P7" s="35"/>
      <c r="Q7" s="35"/>
      <c r="R7" s="35"/>
      <c r="S7" s="35"/>
      <c r="T7" s="35"/>
      <c r="U7" s="35"/>
      <c r="V7" s="35"/>
      <c r="W7" s="522" t="s">
        <v>421</v>
      </c>
      <c r="X7" s="1243"/>
      <c r="Y7" s="1243"/>
      <c r="Z7" s="1243"/>
      <c r="AA7" s="34"/>
      <c r="AB7" s="498"/>
      <c r="AE7" s="24"/>
      <c r="AH7" s="37"/>
    </row>
    <row r="8" spans="2:36" ht="45" customHeight="1">
      <c r="B8" s="1344"/>
      <c r="C8" s="428" t="s">
        <v>86</v>
      </c>
      <c r="D8" s="517" t="s">
        <v>114</v>
      </c>
      <c r="E8" s="354">
        <f>NETWORKDAYS.INTL(F8,G8,"0000100",$AH$5:$AH$12)</f>
        <v>3</v>
      </c>
      <c r="F8" s="84">
        <f>MAX(WORKDAY.INTL(G6,1,"0000100",$AH$5:$AH$12),WORKDAY.INTL(G5,1,"0000100",$AH$5:$AH$12))</f>
        <v>46219</v>
      </c>
      <c r="G8" s="84">
        <f>WORKDAY.INTL(F8,2,"0000100",$AH$5:$AH$12)</f>
        <v>46222</v>
      </c>
      <c r="H8" s="84">
        <f>MAX(WORKDAY.INTL(I6,1,"0000100",$AH$5:$AH$12),WORKDAY.INTL(I5,1,"0000100",$AH$5:$AH$12))</f>
        <v>46221</v>
      </c>
      <c r="I8" s="84">
        <f>WORKDAY.INTL(H8,2,"0000100",$AH$5:$AH$12)</f>
        <v>46223</v>
      </c>
      <c r="J8" s="84">
        <v>46221</v>
      </c>
      <c r="K8" s="84">
        <v>46223</v>
      </c>
      <c r="L8" s="366">
        <v>1</v>
      </c>
      <c r="M8" s="366" t="str">
        <f t="shared" ca="1" si="0"/>
        <v>Completed</v>
      </c>
      <c r="N8" s="518"/>
      <c r="O8" s="1395"/>
      <c r="P8" s="35"/>
      <c r="Q8" s="35"/>
      <c r="R8" s="35"/>
      <c r="S8" s="35"/>
      <c r="T8" s="35"/>
      <c r="U8" s="35"/>
      <c r="V8" s="35"/>
      <c r="W8" s="522" t="s">
        <v>422</v>
      </c>
      <c r="X8" s="1243"/>
      <c r="Y8" s="1243"/>
      <c r="Z8" s="1243"/>
      <c r="AA8" s="34"/>
      <c r="AB8" s="498"/>
      <c r="AE8" s="34" t="s">
        <v>63</v>
      </c>
      <c r="AF8" s="24" t="s">
        <v>68</v>
      </c>
      <c r="AH8" s="37">
        <v>46167</v>
      </c>
    </row>
    <row r="9" spans="2:36" ht="45" customHeight="1">
      <c r="B9" s="1344"/>
      <c r="C9" s="428" t="s">
        <v>86</v>
      </c>
      <c r="D9" s="517" t="s">
        <v>115</v>
      </c>
      <c r="E9" s="354"/>
      <c r="F9" s="84" t="s">
        <v>116</v>
      </c>
      <c r="G9" s="84">
        <v>46232</v>
      </c>
      <c r="H9" s="84" t="s">
        <v>116</v>
      </c>
      <c r="I9" s="84">
        <v>46232</v>
      </c>
      <c r="J9" s="84"/>
      <c r="K9" s="84"/>
      <c r="L9" s="366">
        <v>0.96</v>
      </c>
      <c r="M9" s="366" t="str">
        <f t="shared" ca="1" si="0"/>
        <v>In Progress</v>
      </c>
      <c r="N9" s="518" t="s">
        <v>423</v>
      </c>
      <c r="O9" s="1395"/>
      <c r="P9" s="35"/>
      <c r="Q9" s="35"/>
      <c r="R9" s="35"/>
      <c r="S9" s="35"/>
      <c r="T9" s="35"/>
      <c r="U9" s="35"/>
      <c r="V9" s="35"/>
      <c r="W9" s="522" t="s">
        <v>230</v>
      </c>
      <c r="X9" s="1243"/>
      <c r="Y9" s="1243"/>
      <c r="Z9" s="1243"/>
      <c r="AA9" s="34"/>
      <c r="AB9" s="498"/>
      <c r="AE9" s="24"/>
      <c r="AH9" s="37">
        <v>46168</v>
      </c>
    </row>
    <row r="10" spans="2:36" ht="61.5">
      <c r="B10" s="1344"/>
      <c r="C10" s="428" t="s">
        <v>86</v>
      </c>
      <c r="D10" s="353" t="s">
        <v>120</v>
      </c>
      <c r="E10" s="354">
        <f>NETWORKDAYS.INTL(F10,G10,"0000110",$AH$5:$AH$12)</f>
        <v>2</v>
      </c>
      <c r="F10" s="84">
        <f t="shared" ref="F10" si="1">MAX(WORKDAY.INTL(G7,1,"0000110"),WORKDAY.INTL(G8,1,"0000110"),WORKDAY.INTL(G9,1,"0000110"))</f>
        <v>46236</v>
      </c>
      <c r="G10" s="84">
        <f t="shared" ref="G10:G11" si="2">WORKDAY.INTL(F10,1,"0000110")</f>
        <v>46237</v>
      </c>
      <c r="H10" s="84">
        <f t="shared" ref="H10" si="3">MAX(WORKDAY.INTL(I7,1,"0000110"),WORKDAY.INTL(I8,1,"0000110"),WORKDAY.INTL(I9,1,"0000110"))</f>
        <v>46236</v>
      </c>
      <c r="I10" s="84">
        <f t="shared" ref="I10:I11" si="4">WORKDAY.INTL(H10,1,"0000110")</f>
        <v>46237</v>
      </c>
      <c r="J10" s="84"/>
      <c r="K10" s="84"/>
      <c r="L10" s="366"/>
      <c r="M10" s="366" t="str">
        <f t="shared" ca="1" si="0"/>
        <v>Not Started</v>
      </c>
      <c r="N10" s="518"/>
      <c r="O10" s="1395"/>
      <c r="P10" s="38"/>
      <c r="Q10" s="38"/>
      <c r="R10" s="38"/>
      <c r="S10" s="38"/>
      <c r="T10" s="38"/>
      <c r="U10" s="38"/>
      <c r="V10" s="38"/>
      <c r="W10" s="523" t="s">
        <v>339</v>
      </c>
      <c r="X10" s="1243">
        <v>1</v>
      </c>
      <c r="Y10" s="1243"/>
      <c r="Z10" s="1243"/>
      <c r="AA10" s="34" t="s">
        <v>424</v>
      </c>
      <c r="AB10" s="498" t="s">
        <v>123</v>
      </c>
      <c r="AE10" s="34" t="s">
        <v>64</v>
      </c>
      <c r="AF10" s="24" t="s">
        <v>68</v>
      </c>
      <c r="AH10" s="37">
        <v>46169</v>
      </c>
    </row>
    <row r="11" spans="2:36" ht="45" customHeight="1" thickBot="1">
      <c r="B11" s="1345"/>
      <c r="C11" s="429" t="s">
        <v>86</v>
      </c>
      <c r="D11" s="489" t="s">
        <v>125</v>
      </c>
      <c r="E11" s="347">
        <f>NETWORKDAYS.INTL(F11,G11,"0000110",$AH$5:$AH$12)</f>
        <v>2</v>
      </c>
      <c r="F11" s="378">
        <f t="shared" ref="F11" si="5">WORKDAY.INTL(G10,1,"0000110")</f>
        <v>46238</v>
      </c>
      <c r="G11" s="378">
        <f t="shared" si="2"/>
        <v>46239</v>
      </c>
      <c r="H11" s="378">
        <f t="shared" ref="H11" si="6">WORKDAY.INTL(I10,1,"0000110")</f>
        <v>46238</v>
      </c>
      <c r="I11" s="378">
        <f t="shared" si="4"/>
        <v>46239</v>
      </c>
      <c r="J11" s="378"/>
      <c r="K11" s="378"/>
      <c r="L11" s="379"/>
      <c r="M11" s="379" t="str">
        <f t="shared" ca="1" si="0"/>
        <v>Not Started</v>
      </c>
      <c r="N11" s="519"/>
      <c r="O11" s="1396"/>
      <c r="P11" s="38"/>
      <c r="Q11" s="38"/>
      <c r="R11" s="38"/>
      <c r="S11" s="38"/>
      <c r="T11" s="38"/>
      <c r="U11" s="38"/>
      <c r="V11" s="38"/>
      <c r="W11" s="524" t="s">
        <v>126</v>
      </c>
      <c r="X11" s="1245">
        <v>1</v>
      </c>
      <c r="Y11" s="1245"/>
      <c r="Z11" s="1245"/>
      <c r="AA11" s="70"/>
      <c r="AB11" s="525"/>
      <c r="AE11" s="34" t="s">
        <v>65</v>
      </c>
      <c r="AF11" s="24" t="s">
        <v>68</v>
      </c>
      <c r="AH11" s="37">
        <v>46170</v>
      </c>
    </row>
    <row r="12" spans="2:36" s="19" customFormat="1" ht="4.5" customHeight="1" thickBot="1">
      <c r="B12" s="114"/>
      <c r="C12" s="114"/>
      <c r="D12" s="380" t="s">
        <v>233</v>
      </c>
      <c r="E12" s="381"/>
      <c r="F12" s="380"/>
      <c r="G12" s="380"/>
      <c r="H12" s="380"/>
      <c r="I12" s="380"/>
      <c r="J12" s="380"/>
      <c r="K12" s="380"/>
      <c r="L12" s="382"/>
      <c r="M12" s="382"/>
      <c r="N12" s="382"/>
      <c r="O12" s="451"/>
      <c r="P12" s="32"/>
      <c r="Q12" s="32"/>
      <c r="R12" s="32"/>
      <c r="S12" s="32"/>
      <c r="T12" s="32"/>
      <c r="U12" s="32"/>
      <c r="V12" s="32"/>
      <c r="W12" s="114"/>
      <c r="X12" s="661"/>
      <c r="Y12" s="661"/>
      <c r="Z12" s="661"/>
      <c r="AA12" s="114"/>
      <c r="AB12" s="114"/>
      <c r="AD12" s="20"/>
      <c r="AF12" s="24" t="s">
        <v>69</v>
      </c>
      <c r="AH12" s="37">
        <v>46288</v>
      </c>
    </row>
    <row r="13" spans="2:36" ht="45" customHeight="1">
      <c r="B13" s="1340" t="s">
        <v>278</v>
      </c>
      <c r="C13" s="563" t="s">
        <v>86</v>
      </c>
      <c r="D13" s="389" t="s">
        <v>112</v>
      </c>
      <c r="E13" s="390">
        <f>NETWORKDAYS.INTL(F13,G13,"0000100",$AH$5:$AH$12)</f>
        <v>7</v>
      </c>
      <c r="F13" s="391">
        <f>WORKDAY.INTL(G8,1,"0000100")</f>
        <v>46223</v>
      </c>
      <c r="G13" s="391">
        <f>WORKDAY.INTL(F13,6,"0000100",$AH$5:$AH$11)</f>
        <v>46230</v>
      </c>
      <c r="H13" s="391">
        <f>WORKDAY.INTL(I8,1,"0000100")</f>
        <v>46224</v>
      </c>
      <c r="I13" s="391">
        <f>WORKDAY.INTL(H13,5,"0000100",$AH$5:$AH$11)</f>
        <v>46230</v>
      </c>
      <c r="J13" s="391">
        <v>46224</v>
      </c>
      <c r="K13" s="391"/>
      <c r="L13" s="392">
        <v>0.65</v>
      </c>
      <c r="M13" s="392" t="str">
        <f t="shared" ca="1" si="0"/>
        <v>In Progress</v>
      </c>
      <c r="N13" s="564" t="s">
        <v>425</v>
      </c>
      <c r="O13" s="1394"/>
      <c r="P13" s="43"/>
      <c r="Q13" s="43"/>
      <c r="R13" s="43"/>
      <c r="S13" s="43"/>
      <c r="T13" s="43"/>
      <c r="U13" s="43"/>
      <c r="V13" s="43"/>
      <c r="W13" s="651"/>
      <c r="X13" s="1246" t="s">
        <v>169</v>
      </c>
      <c r="Y13" s="1246"/>
      <c r="Z13" s="1246"/>
      <c r="AA13" s="93" t="s">
        <v>426</v>
      </c>
      <c r="AB13" s="992"/>
      <c r="AE13" s="34" t="s">
        <v>62</v>
      </c>
      <c r="AF13" s="24" t="s">
        <v>69</v>
      </c>
      <c r="AH13" s="20">
        <v>46288</v>
      </c>
      <c r="AJ13" s="37"/>
    </row>
    <row r="14" spans="2:36" ht="45" customHeight="1">
      <c r="B14" s="1341"/>
      <c r="C14" s="565" t="s">
        <v>86</v>
      </c>
      <c r="D14" s="645" t="s">
        <v>114</v>
      </c>
      <c r="E14" s="398">
        <f>NETWORKDAYS.INTL(F14,G14,"0000100",$AH$5:$AH$12)</f>
        <v>3</v>
      </c>
      <c r="F14" s="399">
        <f>WORKDAY.INTL(G13,1,"0000100",$AH$5:$AH$11)</f>
        <v>46231</v>
      </c>
      <c r="G14" s="399">
        <f>WORKDAY.INTL(F14,2,"0000100",$AH$5:$AH$11)</f>
        <v>46233</v>
      </c>
      <c r="H14" s="399">
        <f>WORKDAY.INTL(I13,1,"0000100",$AH$5:$AH$11)</f>
        <v>46231</v>
      </c>
      <c r="I14" s="399">
        <f>WORKDAY.INTL(H14,2,"0000100",$AH$5:$AH$11)</f>
        <v>46233</v>
      </c>
      <c r="J14" s="399"/>
      <c r="K14" s="399"/>
      <c r="L14" s="400"/>
      <c r="M14" s="400" t="str">
        <f t="shared" ca="1" si="0"/>
        <v>Not Started</v>
      </c>
      <c r="N14" s="566"/>
      <c r="O14" s="1395"/>
      <c r="P14" s="45"/>
      <c r="Q14" s="45"/>
      <c r="R14" s="45"/>
      <c r="S14" s="45"/>
      <c r="T14" s="45"/>
      <c r="U14" s="45"/>
      <c r="V14" s="45"/>
      <c r="W14" s="654"/>
      <c r="X14" s="1239">
        <v>1</v>
      </c>
      <c r="Y14" s="1239"/>
      <c r="Z14" s="1239"/>
      <c r="AA14" s="41"/>
      <c r="AB14" s="1035"/>
      <c r="AE14" s="34" t="s">
        <v>63</v>
      </c>
      <c r="AF14" s="24" t="s">
        <v>69</v>
      </c>
    </row>
    <row r="15" spans="2:36" ht="45" customHeight="1">
      <c r="B15" s="1341"/>
      <c r="C15" s="565" t="s">
        <v>86</v>
      </c>
      <c r="D15" s="647" t="s">
        <v>120</v>
      </c>
      <c r="E15" s="398">
        <f>NETWORKDAYS.INTL(F15,G15,"0000110",$AH$5:$AH$12)</f>
        <v>3</v>
      </c>
      <c r="F15" s="399">
        <f>MAX(WORKDAY.INTL(G14,1,"0000100",$AK$5:$AK$10),WORKDAY.INTL(G10,1,"0000100",$AK$5:$AK$10))</f>
        <v>46238</v>
      </c>
      <c r="G15" s="399">
        <f t="shared" ref="G15" si="7">WORKDAY.INTL(F15,2,"0000110")</f>
        <v>46240</v>
      </c>
      <c r="H15" s="399">
        <f>MAX(WORKDAY.INTL(I14,1,"0000100",$AK$5:$AK$10),WORKDAY.INTL(I10,1,"0000100",$AK$5:$AK$10))</f>
        <v>46238</v>
      </c>
      <c r="I15" s="399">
        <f t="shared" ref="I15" si="8">WORKDAY.INTL(H15,2,"0000110")</f>
        <v>46240</v>
      </c>
      <c r="J15" s="399"/>
      <c r="K15" s="399"/>
      <c r="L15" s="400"/>
      <c r="M15" s="400" t="str">
        <f t="shared" ca="1" si="0"/>
        <v>Not Started</v>
      </c>
      <c r="N15" s="566"/>
      <c r="O15" s="1395"/>
      <c r="P15" s="46"/>
      <c r="Q15" s="46"/>
      <c r="R15" s="46"/>
      <c r="S15" s="46"/>
      <c r="T15" s="46"/>
      <c r="U15" s="46"/>
      <c r="V15" s="46"/>
      <c r="W15" s="654" t="s">
        <v>339</v>
      </c>
      <c r="X15" s="1239">
        <v>1</v>
      </c>
      <c r="Y15" s="1239"/>
      <c r="Z15" s="1239"/>
      <c r="AA15" s="41" t="s">
        <v>424</v>
      </c>
      <c r="AB15" s="1035" t="s">
        <v>123</v>
      </c>
      <c r="AE15" s="34" t="s">
        <v>64</v>
      </c>
      <c r="AF15" s="24" t="s">
        <v>69</v>
      </c>
    </row>
    <row r="16" spans="2:36" ht="45" customHeight="1" thickBot="1">
      <c r="B16" s="1342"/>
      <c r="C16" s="567" t="s">
        <v>86</v>
      </c>
      <c r="D16" s="648" t="s">
        <v>125</v>
      </c>
      <c r="E16" s="394">
        <f>NETWORKDAYS.INTL(F16,G16,"0000110",$AH$5:$AH$12)</f>
        <v>2</v>
      </c>
      <c r="F16" s="395">
        <f t="shared" ref="F16" si="9">WORKDAY.INTL(G15,1,"0000110")</f>
        <v>46243</v>
      </c>
      <c r="G16" s="395">
        <f t="shared" ref="G16" si="10">WORKDAY.INTL(F16,1,"0000110")</f>
        <v>46244</v>
      </c>
      <c r="H16" s="395">
        <f t="shared" ref="H16" si="11">WORKDAY.INTL(I15,1,"0000110")</f>
        <v>46243</v>
      </c>
      <c r="I16" s="395">
        <f t="shared" ref="I16" si="12">WORKDAY.INTL(H16,1,"0000110")</f>
        <v>46244</v>
      </c>
      <c r="J16" s="395"/>
      <c r="K16" s="395"/>
      <c r="L16" s="396"/>
      <c r="M16" s="396" t="str">
        <f t="shared" ca="1" si="0"/>
        <v>Not Started</v>
      </c>
      <c r="N16" s="568"/>
      <c r="O16" s="1396"/>
      <c r="P16" s="46"/>
      <c r="Q16" s="46"/>
      <c r="R16" s="46"/>
      <c r="S16" s="46"/>
      <c r="T16" s="46"/>
      <c r="U16" s="46"/>
      <c r="V16" s="46"/>
      <c r="W16" s="657" t="s">
        <v>126</v>
      </c>
      <c r="X16" s="1240">
        <v>1</v>
      </c>
      <c r="Y16" s="1240"/>
      <c r="Z16" s="1240"/>
      <c r="AA16" s="60"/>
      <c r="AB16" s="993"/>
      <c r="AE16" s="34" t="s">
        <v>65</v>
      </c>
      <c r="AF16" s="24" t="s">
        <v>69</v>
      </c>
    </row>
    <row r="17" spans="2:36" s="19" customFormat="1" ht="4.5" customHeight="1" thickBot="1">
      <c r="B17" s="114"/>
      <c r="C17" s="114"/>
      <c r="D17" s="380" t="s">
        <v>233</v>
      </c>
      <c r="E17" s="381"/>
      <c r="F17" s="380"/>
      <c r="G17" s="380"/>
      <c r="H17" s="380"/>
      <c r="I17" s="380"/>
      <c r="J17" s="380"/>
      <c r="K17" s="380"/>
      <c r="L17" s="382"/>
      <c r="M17" s="382"/>
      <c r="N17" s="382"/>
      <c r="O17" s="451"/>
      <c r="P17" s="32"/>
      <c r="Q17" s="32"/>
      <c r="R17" s="32"/>
      <c r="S17" s="32"/>
      <c r="T17" s="32"/>
      <c r="U17" s="32"/>
      <c r="V17" s="32"/>
      <c r="W17" s="114"/>
      <c r="X17" s="661"/>
      <c r="Y17" s="661"/>
      <c r="Z17" s="661"/>
      <c r="AA17" s="114"/>
      <c r="AB17" s="114"/>
      <c r="AE17" s="33"/>
      <c r="AF17" s="33" t="s">
        <v>70</v>
      </c>
    </row>
    <row r="18" spans="2:36" ht="45" customHeight="1">
      <c r="B18" s="1343" t="s">
        <v>427</v>
      </c>
      <c r="C18" s="427" t="s">
        <v>86</v>
      </c>
      <c r="D18" s="375" t="s">
        <v>112</v>
      </c>
      <c r="E18" s="346">
        <f>NETWORKDAYS.INTL(F18,G18,"0000100",$AH$5:$AH$12)</f>
        <v>5</v>
      </c>
      <c r="F18" s="81">
        <f>WORKDAY.INTL(G14,1,"0000100",$AH$5:$AH$11)</f>
        <v>46235</v>
      </c>
      <c r="G18" s="81">
        <f>WORKDAY.INTL(F18,4,"0000100",$AH$5:$AH$11)</f>
        <v>46239</v>
      </c>
      <c r="H18" s="81">
        <f>WORKDAY.INTL(I14,1,"0000100",$AH$5:$AH$11)</f>
        <v>46235</v>
      </c>
      <c r="I18" s="81">
        <f>WORKDAY.INTL(H18,4,"0000100",$AH$5:$AH$11)</f>
        <v>46239</v>
      </c>
      <c r="J18" s="81"/>
      <c r="K18" s="81"/>
      <c r="L18" s="376"/>
      <c r="M18" s="376" t="str">
        <f t="shared" ca="1" si="0"/>
        <v>Not Started</v>
      </c>
      <c r="N18" s="516"/>
      <c r="O18" s="1394"/>
      <c r="P18" s="35"/>
      <c r="Q18" s="35"/>
      <c r="R18" s="35"/>
      <c r="S18" s="35"/>
      <c r="T18" s="35"/>
      <c r="U18" s="35"/>
      <c r="V18" s="35"/>
      <c r="W18" s="521"/>
      <c r="X18" s="1244" t="s">
        <v>169</v>
      </c>
      <c r="Y18" s="1244"/>
      <c r="Z18" s="1244"/>
      <c r="AA18" s="67" t="s">
        <v>426</v>
      </c>
      <c r="AB18" s="497" t="s">
        <v>123</v>
      </c>
      <c r="AE18" s="34" t="s">
        <v>62</v>
      </c>
      <c r="AF18" s="24" t="s">
        <v>70</v>
      </c>
    </row>
    <row r="19" spans="2:36" ht="45" customHeight="1">
      <c r="B19" s="1344"/>
      <c r="C19" s="428" t="s">
        <v>86</v>
      </c>
      <c r="D19" s="517" t="s">
        <v>114</v>
      </c>
      <c r="E19" s="354">
        <f>NETWORKDAYS.INTL(F19,G19,"0000100",$AH$5:$AH$12)</f>
        <v>2</v>
      </c>
      <c r="F19" s="84">
        <f>WORKDAY.INTL(G18,1,"0000100",$AH$5:$AH$11)</f>
        <v>46240</v>
      </c>
      <c r="G19" s="84">
        <f>WORKDAY.INTL(F19,1,"0000100",$AH$5:$AH$11)</f>
        <v>46242</v>
      </c>
      <c r="H19" s="84">
        <f>WORKDAY.INTL(I18,1,"0000100",$AH$5:$AH$11)</f>
        <v>46240</v>
      </c>
      <c r="I19" s="84">
        <f>WORKDAY.INTL(H19,1,"0000100",$AH$5:$AH$11)</f>
        <v>46242</v>
      </c>
      <c r="J19" s="84"/>
      <c r="K19" s="84"/>
      <c r="L19" s="366"/>
      <c r="M19" s="366" t="str">
        <f t="shared" ca="1" si="0"/>
        <v>Not Started</v>
      </c>
      <c r="N19" s="518"/>
      <c r="O19" s="1395"/>
      <c r="P19" s="35"/>
      <c r="Q19" s="35"/>
      <c r="R19" s="35"/>
      <c r="S19" s="35"/>
      <c r="T19" s="35"/>
      <c r="U19" s="35"/>
      <c r="V19" s="35"/>
      <c r="W19" s="522"/>
      <c r="X19" s="1243">
        <v>1</v>
      </c>
      <c r="Y19" s="1243"/>
      <c r="Z19" s="1243"/>
      <c r="AA19" s="34"/>
      <c r="AB19" s="498"/>
      <c r="AE19" s="34" t="s">
        <v>63</v>
      </c>
      <c r="AF19" s="24" t="s">
        <v>70</v>
      </c>
    </row>
    <row r="20" spans="2:36" ht="45" customHeight="1">
      <c r="B20" s="1344"/>
      <c r="C20" s="428" t="s">
        <v>86</v>
      </c>
      <c r="D20" s="517" t="s">
        <v>120</v>
      </c>
      <c r="E20" s="354">
        <f>NETWORKDAYS.INTL(F20,G20,"0000110",$AH$5:$AH$12)</f>
        <v>5</v>
      </c>
      <c r="F20" s="84">
        <f>MAX(WORKDAY.INTL(G19,1,"0000100",$AK$5:$AK$10),WORKDAY.INTL(G15,1,"0000100",$AK$5:$AK$10))</f>
        <v>46243</v>
      </c>
      <c r="G20" s="84">
        <f t="shared" ref="G20" si="13">WORKDAY.INTL(F20,4,"0000110")</f>
        <v>46247</v>
      </c>
      <c r="H20" s="84">
        <f>MAX(WORKDAY.INTL(I19,1,"0000100",$AK$5:$AK$10),WORKDAY.INTL(I15,1,"0000100",$AK$5:$AK$10))</f>
        <v>46243</v>
      </c>
      <c r="I20" s="84">
        <f t="shared" ref="I20" si="14">WORKDAY.INTL(H20,4,"0000110")</f>
        <v>46247</v>
      </c>
      <c r="J20" s="84"/>
      <c r="K20" s="84"/>
      <c r="L20" s="366"/>
      <c r="M20" s="366" t="str">
        <f t="shared" ca="1" si="0"/>
        <v>Not Started</v>
      </c>
      <c r="N20" s="518"/>
      <c r="O20" s="1395"/>
      <c r="P20" s="35"/>
      <c r="Q20" s="35"/>
      <c r="R20" s="35"/>
      <c r="S20" s="35"/>
      <c r="T20" s="35"/>
      <c r="U20" s="35"/>
      <c r="V20" s="35"/>
      <c r="W20" s="522" t="s">
        <v>339</v>
      </c>
      <c r="X20" s="1243">
        <v>1</v>
      </c>
      <c r="Y20" s="1243"/>
      <c r="Z20" s="1243"/>
      <c r="AA20" s="34" t="s">
        <v>424</v>
      </c>
      <c r="AB20" s="498" t="s">
        <v>123</v>
      </c>
      <c r="AE20" s="34" t="s">
        <v>64</v>
      </c>
      <c r="AF20" s="24" t="s">
        <v>70</v>
      </c>
    </row>
    <row r="21" spans="2:36" ht="45" customHeight="1" thickBot="1">
      <c r="B21" s="1345"/>
      <c r="C21" s="429" t="s">
        <v>86</v>
      </c>
      <c r="D21" s="489" t="s">
        <v>125</v>
      </c>
      <c r="E21" s="347">
        <f>NETWORKDAYS.INTL(F21,G21,"0000110",$AH$5:$AH$12)</f>
        <v>2</v>
      </c>
      <c r="F21" s="378">
        <f t="shared" ref="F21" si="15">WORKDAY.INTL(G20,1,"0000110")</f>
        <v>46250</v>
      </c>
      <c r="G21" s="378">
        <f t="shared" ref="G21" si="16">WORKDAY.INTL(F21,1,"0000110")</f>
        <v>46251</v>
      </c>
      <c r="H21" s="378">
        <f t="shared" ref="H21" si="17">WORKDAY.INTL(I20,1,"0000110")</f>
        <v>46250</v>
      </c>
      <c r="I21" s="378">
        <f t="shared" ref="I21" si="18">WORKDAY.INTL(H21,1,"0000110")</f>
        <v>46251</v>
      </c>
      <c r="J21" s="378"/>
      <c r="K21" s="378"/>
      <c r="L21" s="379"/>
      <c r="M21" s="379" t="str">
        <f t="shared" ca="1" si="0"/>
        <v>Not Started</v>
      </c>
      <c r="N21" s="519"/>
      <c r="O21" s="1396"/>
      <c r="P21" s="38"/>
      <c r="Q21" s="38"/>
      <c r="R21" s="38"/>
      <c r="S21" s="38"/>
      <c r="T21" s="38"/>
      <c r="U21" s="38"/>
      <c r="V21" s="38"/>
      <c r="W21" s="524" t="s">
        <v>126</v>
      </c>
      <c r="X21" s="1245">
        <v>1</v>
      </c>
      <c r="Y21" s="1245"/>
      <c r="Z21" s="1245"/>
      <c r="AA21" s="70"/>
      <c r="AB21" s="525"/>
      <c r="AE21" s="34" t="s">
        <v>65</v>
      </c>
      <c r="AF21" s="24" t="s">
        <v>70</v>
      </c>
    </row>
    <row r="22" spans="2:36" s="19" customFormat="1" ht="4.5" customHeight="1" thickBot="1">
      <c r="B22" s="114"/>
      <c r="C22" s="114"/>
      <c r="D22" s="380" t="s">
        <v>233</v>
      </c>
      <c r="E22" s="381"/>
      <c r="F22" s="380"/>
      <c r="G22" s="380"/>
      <c r="H22" s="380"/>
      <c r="I22" s="380"/>
      <c r="J22" s="380"/>
      <c r="K22" s="380"/>
      <c r="L22" s="382"/>
      <c r="M22" s="382"/>
      <c r="N22" s="382"/>
      <c r="O22" s="451"/>
      <c r="P22" s="32"/>
      <c r="Q22" s="32"/>
      <c r="R22" s="32"/>
      <c r="S22" s="32"/>
      <c r="T22" s="32"/>
      <c r="U22" s="32"/>
      <c r="V22" s="32"/>
      <c r="W22" s="114"/>
      <c r="X22" s="661"/>
      <c r="Y22" s="661"/>
      <c r="Z22" s="661"/>
      <c r="AA22" s="114"/>
      <c r="AB22" s="114"/>
      <c r="AE22" s="33"/>
      <c r="AF22" s="33" t="s">
        <v>71</v>
      </c>
    </row>
    <row r="23" spans="2:36" ht="45" customHeight="1">
      <c r="B23" s="1340" t="s">
        <v>428</v>
      </c>
      <c r="C23" s="563" t="s">
        <v>86</v>
      </c>
      <c r="D23" s="389" t="s">
        <v>112</v>
      </c>
      <c r="E23" s="390">
        <f>NETWORKDAYS.INTL(F23,G23,"0000100",$AH$5:$AH$12)</f>
        <v>5</v>
      </c>
      <c r="F23" s="391">
        <f>WORKDAY.INTL(G19,1,"0000100",$AH$5:$AH$11)</f>
        <v>46243</v>
      </c>
      <c r="G23" s="391">
        <f>WORKDAY.INTL(F23,4,"0000100",$AH$5:$AH$11)</f>
        <v>46247</v>
      </c>
      <c r="H23" s="391">
        <f>WORKDAY.INTL(I19,1,"0000100",$AH$5:$AH$11)</f>
        <v>46243</v>
      </c>
      <c r="I23" s="391">
        <f>WORKDAY.INTL(H23,4,"0000100",$AH$5:$AH$11)</f>
        <v>46247</v>
      </c>
      <c r="J23" s="391"/>
      <c r="K23" s="391"/>
      <c r="L23" s="392"/>
      <c r="M23" s="392" t="str">
        <f t="shared" ca="1" si="0"/>
        <v>Not Started</v>
      </c>
      <c r="N23" s="564"/>
      <c r="O23" s="1394"/>
      <c r="P23" s="43"/>
      <c r="Q23" s="43"/>
      <c r="R23" s="43"/>
      <c r="S23" s="43"/>
      <c r="T23" s="43"/>
      <c r="U23" s="43"/>
      <c r="V23" s="43"/>
      <c r="W23" s="651"/>
      <c r="X23" s="1246" t="s">
        <v>169</v>
      </c>
      <c r="Y23" s="1246"/>
      <c r="Z23" s="1246"/>
      <c r="AA23" s="54" t="s">
        <v>426</v>
      </c>
      <c r="AB23" s="992" t="s">
        <v>123</v>
      </c>
      <c r="AE23" s="34" t="s">
        <v>62</v>
      </c>
      <c r="AF23" s="24" t="s">
        <v>71</v>
      </c>
      <c r="AJ23" s="37"/>
    </row>
    <row r="24" spans="2:36" ht="45" customHeight="1">
      <c r="B24" s="1341"/>
      <c r="C24" s="565" t="s">
        <v>86</v>
      </c>
      <c r="D24" s="645" t="s">
        <v>114</v>
      </c>
      <c r="E24" s="398">
        <f>NETWORKDAYS.INTL(F24,G24,"0000100",$AH$5:$AH$12)</f>
        <v>2</v>
      </c>
      <c r="F24" s="399">
        <f>WORKDAY.INTL(G23,1,"0000100",$AH$5:$AH$11)</f>
        <v>46249</v>
      </c>
      <c r="G24" s="399">
        <f>WORKDAY.INTL(F24,1,"0000100",$AH$5:$AH$11)</f>
        <v>46250</v>
      </c>
      <c r="H24" s="399">
        <f>WORKDAY.INTL(I23,1,"0000100",$AH$5:$AH$11)</f>
        <v>46249</v>
      </c>
      <c r="I24" s="399">
        <f>WORKDAY.INTL(H24,1,"0000100",$AH$5:$AH$11)</f>
        <v>46250</v>
      </c>
      <c r="J24" s="399"/>
      <c r="K24" s="399"/>
      <c r="L24" s="400"/>
      <c r="M24" s="400" t="str">
        <f t="shared" ca="1" si="0"/>
        <v>Not Started</v>
      </c>
      <c r="N24" s="566"/>
      <c r="O24" s="1395"/>
      <c r="P24" s="45"/>
      <c r="Q24" s="45"/>
      <c r="R24" s="45"/>
      <c r="S24" s="45"/>
      <c r="T24" s="45"/>
      <c r="U24" s="45"/>
      <c r="V24" s="45"/>
      <c r="W24" s="654"/>
      <c r="X24" s="1239">
        <v>1</v>
      </c>
      <c r="Y24" s="1239"/>
      <c r="Z24" s="1239"/>
      <c r="AA24" s="41"/>
      <c r="AB24" s="1035"/>
      <c r="AE24" s="34" t="s">
        <v>63</v>
      </c>
      <c r="AF24" s="24" t="s">
        <v>71</v>
      </c>
    </row>
    <row r="25" spans="2:36" ht="45" customHeight="1">
      <c r="B25" s="1341"/>
      <c r="C25" s="565" t="s">
        <v>86</v>
      </c>
      <c r="D25" s="647" t="s">
        <v>120</v>
      </c>
      <c r="E25" s="398">
        <f>NETWORKDAYS.INTL(F25,G25,"0000110",$AH$5:$AH$12)</f>
        <v>5</v>
      </c>
      <c r="F25" s="399">
        <f>MAX(WORKDAY.INTL(G24,1,"0000100",$AK$5:$AK$10),WORKDAY.INTL(G20,1,"0000100",$AK$5:$AK$10))</f>
        <v>46251</v>
      </c>
      <c r="G25" s="399">
        <f t="shared" ref="G25" si="19">WORKDAY.INTL(F25,4,"0000110")</f>
        <v>46257</v>
      </c>
      <c r="H25" s="399">
        <f>MAX(WORKDAY.INTL(I24,1,"0000100",$AK$5:$AK$10),WORKDAY.INTL(I20,1,"0000100",$AK$5:$AK$10))</f>
        <v>46251</v>
      </c>
      <c r="I25" s="399">
        <f t="shared" ref="I25" si="20">WORKDAY.INTL(H25,4,"0000110")</f>
        <v>46257</v>
      </c>
      <c r="J25" s="399"/>
      <c r="K25" s="399"/>
      <c r="L25" s="400"/>
      <c r="M25" s="400" t="str">
        <f t="shared" ca="1" si="0"/>
        <v>Not Started</v>
      </c>
      <c r="N25" s="566"/>
      <c r="O25" s="1395"/>
      <c r="P25" s="46"/>
      <c r="Q25" s="46"/>
      <c r="R25" s="46"/>
      <c r="S25" s="46"/>
      <c r="T25" s="46"/>
      <c r="U25" s="46"/>
      <c r="V25" s="46"/>
      <c r="W25" s="654" t="s">
        <v>339</v>
      </c>
      <c r="X25" s="1239">
        <v>1</v>
      </c>
      <c r="Y25" s="1239"/>
      <c r="Z25" s="1239"/>
      <c r="AA25" s="41" t="s">
        <v>424</v>
      </c>
      <c r="AB25" s="1035" t="s">
        <v>123</v>
      </c>
      <c r="AE25" s="34" t="s">
        <v>64</v>
      </c>
      <c r="AF25" s="24" t="s">
        <v>71</v>
      </c>
    </row>
    <row r="26" spans="2:36" ht="45" customHeight="1" thickBot="1">
      <c r="B26" s="1342"/>
      <c r="C26" s="567" t="s">
        <v>86</v>
      </c>
      <c r="D26" s="648" t="s">
        <v>125</v>
      </c>
      <c r="E26" s="394">
        <f>NETWORKDAYS.INTL(F26,G26,"0000110",$AH$5:$AH$12)</f>
        <v>2</v>
      </c>
      <c r="F26" s="395">
        <f>WORKDAY.INTL(G25,1,"0000110")</f>
        <v>46258</v>
      </c>
      <c r="G26" s="395">
        <f t="shared" ref="G26" si="21">WORKDAY.INTL(F26,1,"0000110")</f>
        <v>46259</v>
      </c>
      <c r="H26" s="395">
        <f>WORKDAY.INTL(I25,1,"0000110")</f>
        <v>46258</v>
      </c>
      <c r="I26" s="395">
        <f t="shared" ref="I26" si="22">WORKDAY.INTL(H26,1,"0000110")</f>
        <v>46259</v>
      </c>
      <c r="J26" s="395"/>
      <c r="K26" s="395"/>
      <c r="L26" s="396"/>
      <c r="M26" s="396" t="str">
        <f t="shared" ca="1" si="0"/>
        <v>Not Started</v>
      </c>
      <c r="N26" s="568"/>
      <c r="O26" s="1396"/>
      <c r="P26" s="46"/>
      <c r="Q26" s="46"/>
      <c r="R26" s="46"/>
      <c r="S26" s="46"/>
      <c r="T26" s="46"/>
      <c r="U26" s="46"/>
      <c r="V26" s="46"/>
      <c r="W26" s="657" t="s">
        <v>126</v>
      </c>
      <c r="X26" s="1240">
        <v>1</v>
      </c>
      <c r="Y26" s="1240"/>
      <c r="Z26" s="1240"/>
      <c r="AA26" s="60"/>
      <c r="AB26" s="993"/>
      <c r="AE26" s="34" t="s">
        <v>65</v>
      </c>
      <c r="AF26" s="24" t="s">
        <v>71</v>
      </c>
    </row>
    <row r="27" spans="2:36" s="19" customFormat="1" ht="4.5" customHeight="1" thickBot="1">
      <c r="B27" s="114"/>
      <c r="C27" s="114"/>
      <c r="D27" s="380" t="s">
        <v>233</v>
      </c>
      <c r="E27" s="381"/>
      <c r="F27" s="380"/>
      <c r="G27" s="380"/>
      <c r="H27" s="380"/>
      <c r="I27" s="380"/>
      <c r="J27" s="380"/>
      <c r="K27" s="380"/>
      <c r="L27" s="382"/>
      <c r="M27" s="382"/>
      <c r="N27" s="382"/>
      <c r="O27" s="451"/>
      <c r="P27" s="32"/>
      <c r="Q27" s="32"/>
      <c r="R27" s="32"/>
      <c r="S27" s="32"/>
      <c r="T27" s="32"/>
      <c r="U27" s="32"/>
      <c r="V27" s="32"/>
      <c r="W27" s="114"/>
      <c r="X27" s="661"/>
      <c r="Y27" s="661"/>
      <c r="Z27" s="661"/>
      <c r="AA27" s="114"/>
      <c r="AB27" s="114"/>
      <c r="AE27" s="33"/>
      <c r="AF27" s="33" t="s">
        <v>72</v>
      </c>
    </row>
    <row r="28" spans="2:36" ht="45" customHeight="1">
      <c r="B28" s="1343" t="s">
        <v>429</v>
      </c>
      <c r="C28" s="427" t="s">
        <v>86</v>
      </c>
      <c r="D28" s="375" t="s">
        <v>112</v>
      </c>
      <c r="E28" s="346">
        <f>NETWORKDAYS.INTL(F28,G28,"0000100",$AH$5:$AH$12)</f>
        <v>5</v>
      </c>
      <c r="F28" s="81">
        <f>WORKDAY.INTL(G24,1,"0000100",$AH$5:$AH$11)</f>
        <v>46251</v>
      </c>
      <c r="G28" s="81">
        <f>WORKDAY.INTL(F28,4,"0000100",$AH$5:$AH$11)</f>
        <v>46256</v>
      </c>
      <c r="H28" s="81">
        <f>WORKDAY.INTL(I24,1,"0000100",$AH$5:$AH$11)</f>
        <v>46251</v>
      </c>
      <c r="I28" s="81">
        <f>WORKDAY.INTL(H28,4,"0000100",$AH$5:$AH$11)</f>
        <v>46256</v>
      </c>
      <c r="J28" s="81"/>
      <c r="K28" s="81"/>
      <c r="L28" s="376"/>
      <c r="M28" s="376" t="str">
        <f t="shared" ca="1" si="0"/>
        <v>Not Started</v>
      </c>
      <c r="N28" s="516"/>
      <c r="O28" s="1036"/>
      <c r="P28" s="35"/>
      <c r="Q28" s="35"/>
      <c r="R28" s="35"/>
      <c r="S28" s="35"/>
      <c r="T28" s="35"/>
      <c r="U28" s="35"/>
      <c r="V28" s="35"/>
      <c r="W28" s="521"/>
      <c r="X28" s="1244" t="s">
        <v>169</v>
      </c>
      <c r="Y28" s="1244"/>
      <c r="Z28" s="1244"/>
      <c r="AA28" s="67" t="s">
        <v>426</v>
      </c>
      <c r="AB28" s="497" t="s">
        <v>123</v>
      </c>
      <c r="AE28" s="34" t="s">
        <v>62</v>
      </c>
      <c r="AF28" s="24" t="s">
        <v>72</v>
      </c>
    </row>
    <row r="29" spans="2:36" ht="45" customHeight="1">
      <c r="B29" s="1344"/>
      <c r="C29" s="428" t="s">
        <v>86</v>
      </c>
      <c r="D29" s="517" t="s">
        <v>114</v>
      </c>
      <c r="E29" s="354">
        <f>NETWORKDAYS.INTL(F29,G29,"0000100",$AH$5:$AH$12)</f>
        <v>2</v>
      </c>
      <c r="F29" s="84">
        <f>WORKDAY.INTL(G28,1,"0000100",$AH$5:$AH$11)</f>
        <v>46257</v>
      </c>
      <c r="G29" s="84">
        <f>WORKDAY.INTL(F29,1,"0000100",$AH$5:$AH$11)</f>
        <v>46258</v>
      </c>
      <c r="H29" s="84">
        <f>WORKDAY.INTL(I28,1,"0000100",$AH$5:$AH$11)</f>
        <v>46257</v>
      </c>
      <c r="I29" s="84">
        <f>WORKDAY.INTL(H29,1,"0000100",$AH$5:$AH$11)</f>
        <v>46258</v>
      </c>
      <c r="J29" s="84"/>
      <c r="K29" s="84"/>
      <c r="L29" s="366"/>
      <c r="M29" s="366" t="str">
        <f t="shared" ca="1" si="0"/>
        <v>Not Started</v>
      </c>
      <c r="N29" s="518"/>
      <c r="O29" s="1037"/>
      <c r="P29" s="35"/>
      <c r="Q29" s="35"/>
      <c r="R29" s="35"/>
      <c r="S29" s="35"/>
      <c r="T29" s="35"/>
      <c r="U29" s="35"/>
      <c r="V29" s="35"/>
      <c r="W29" s="522"/>
      <c r="X29" s="1243">
        <v>1</v>
      </c>
      <c r="Y29" s="1243"/>
      <c r="Z29" s="1243"/>
      <c r="AA29" s="34"/>
      <c r="AB29" s="498"/>
      <c r="AE29" s="34" t="s">
        <v>63</v>
      </c>
      <c r="AF29" s="24" t="s">
        <v>72</v>
      </c>
    </row>
    <row r="30" spans="2:36" ht="45" customHeight="1">
      <c r="B30" s="1344"/>
      <c r="C30" s="428" t="s">
        <v>86</v>
      </c>
      <c r="D30" s="517" t="s">
        <v>120</v>
      </c>
      <c r="E30" s="354">
        <f>NETWORKDAYS.INTL(F30,G30,"0000110",$AH$5:$AH$12)</f>
        <v>5</v>
      </c>
      <c r="F30" s="84">
        <f>MAX(WORKDAY.INTL(G29,1,"0000100",$AK$5:$AK$10),WORKDAY.INTL(G25,1,"0000100",$AK$5:$AK$10))</f>
        <v>46259</v>
      </c>
      <c r="G30" s="84">
        <f t="shared" ref="G30" si="23">WORKDAY.INTL(F30,4,"0000110")</f>
        <v>46265</v>
      </c>
      <c r="H30" s="84">
        <f>MAX(WORKDAY.INTL(I29,1,"0000100",$AK$5:$AK$10),WORKDAY.INTL(I25,1,"0000100",$AK$5:$AK$10))</f>
        <v>46259</v>
      </c>
      <c r="I30" s="84">
        <f t="shared" ref="I30" si="24">WORKDAY.INTL(H30,4,"0000110")</f>
        <v>46265</v>
      </c>
      <c r="J30" s="84"/>
      <c r="K30" s="84"/>
      <c r="L30" s="366"/>
      <c r="M30" s="366" t="str">
        <f t="shared" ca="1" si="0"/>
        <v>Not Started</v>
      </c>
      <c r="N30" s="518"/>
      <c r="O30" s="1037"/>
      <c r="P30" s="35"/>
      <c r="Q30" s="35"/>
      <c r="R30" s="35"/>
      <c r="S30" s="35"/>
      <c r="T30" s="35"/>
      <c r="U30" s="35"/>
      <c r="V30" s="35"/>
      <c r="W30" s="522" t="s">
        <v>339</v>
      </c>
      <c r="X30" s="1243">
        <v>1</v>
      </c>
      <c r="Y30" s="1243"/>
      <c r="Z30" s="1243"/>
      <c r="AA30" s="34" t="s">
        <v>424</v>
      </c>
      <c r="AB30" s="498" t="s">
        <v>123</v>
      </c>
      <c r="AE30" s="34" t="s">
        <v>64</v>
      </c>
      <c r="AF30" s="24" t="s">
        <v>72</v>
      </c>
    </row>
    <row r="31" spans="2:36" ht="45" customHeight="1" thickBot="1">
      <c r="B31" s="1345"/>
      <c r="C31" s="429" t="s">
        <v>86</v>
      </c>
      <c r="D31" s="489" t="s">
        <v>125</v>
      </c>
      <c r="E31" s="347">
        <f>NETWORKDAYS.INTL(F31,G31,"0000110",$AH$5:$AH$12)</f>
        <v>2</v>
      </c>
      <c r="F31" s="378">
        <f t="shared" ref="F31" si="25">WORKDAY.INTL(G30,1,"0000110")</f>
        <v>46266</v>
      </c>
      <c r="G31" s="378">
        <f t="shared" ref="G31" si="26">WORKDAY.INTL(F31,1,"0000110")</f>
        <v>46267</v>
      </c>
      <c r="H31" s="378">
        <f t="shared" ref="H31" si="27">WORKDAY.INTL(I30,1,"0000110")</f>
        <v>46266</v>
      </c>
      <c r="I31" s="378">
        <f t="shared" ref="I31" si="28">WORKDAY.INTL(H31,1,"0000110")</f>
        <v>46267</v>
      </c>
      <c r="J31" s="378"/>
      <c r="K31" s="378"/>
      <c r="L31" s="379"/>
      <c r="M31" s="379" t="str">
        <f t="shared" ca="1" si="0"/>
        <v>Not Started</v>
      </c>
      <c r="N31" s="519"/>
      <c r="O31" s="1038"/>
      <c r="P31" s="38"/>
      <c r="Q31" s="38"/>
      <c r="R31" s="38"/>
      <c r="S31" s="38"/>
      <c r="T31" s="38"/>
      <c r="U31" s="38"/>
      <c r="V31" s="38"/>
      <c r="W31" s="524" t="s">
        <v>126</v>
      </c>
      <c r="X31" s="1245">
        <v>1</v>
      </c>
      <c r="Y31" s="1245"/>
      <c r="Z31" s="1245"/>
      <c r="AA31" s="70"/>
      <c r="AB31" s="525"/>
      <c r="AE31" s="34" t="s">
        <v>65</v>
      </c>
      <c r="AF31" s="24" t="s">
        <v>72</v>
      </c>
    </row>
    <row r="32" spans="2:36" s="19" customFormat="1" ht="4.5" customHeight="1" thickBot="1">
      <c r="B32" s="114"/>
      <c r="C32" s="114"/>
      <c r="D32" s="380" t="s">
        <v>233</v>
      </c>
      <c r="E32" s="381"/>
      <c r="F32" s="380"/>
      <c r="G32" s="380"/>
      <c r="H32" s="380"/>
      <c r="I32" s="380"/>
      <c r="J32" s="380"/>
      <c r="K32" s="380"/>
      <c r="L32" s="382"/>
      <c r="M32" s="382"/>
      <c r="N32" s="382"/>
      <c r="O32" s="451"/>
      <c r="P32" s="32"/>
      <c r="Q32" s="32"/>
      <c r="R32" s="32"/>
      <c r="S32" s="32"/>
      <c r="T32" s="32"/>
      <c r="U32" s="32"/>
      <c r="V32" s="32"/>
      <c r="W32" s="114"/>
      <c r="X32" s="661"/>
      <c r="Y32" s="661"/>
      <c r="Z32" s="661"/>
      <c r="AA32" s="114"/>
      <c r="AB32" s="114"/>
      <c r="AE32" s="33"/>
      <c r="AF32" s="33" t="s">
        <v>73</v>
      </c>
    </row>
    <row r="33" spans="2:36" ht="45" customHeight="1">
      <c r="B33" s="1340" t="s">
        <v>430</v>
      </c>
      <c r="C33" s="563" t="s">
        <v>86</v>
      </c>
      <c r="D33" s="389" t="s">
        <v>112</v>
      </c>
      <c r="E33" s="390">
        <f>NETWORKDAYS.INTL(F33,G33,"0000100",$AH$5:$AH$12)</f>
        <v>5</v>
      </c>
      <c r="F33" s="391">
        <f>WORKDAY.INTL(G29,1,"0000100",$AH$5:$AH$11)</f>
        <v>46259</v>
      </c>
      <c r="G33" s="391">
        <f>WORKDAY.INTL(F33,4,"0000100",$AH$5:$AH$11)</f>
        <v>46264</v>
      </c>
      <c r="H33" s="391">
        <f>WORKDAY.INTL(I29,1,"0000100",$AH$5:$AH$11)</f>
        <v>46259</v>
      </c>
      <c r="I33" s="391">
        <f>WORKDAY.INTL(H33,4,"0000100",$AH$5:$AH$11)</f>
        <v>46264</v>
      </c>
      <c r="J33" s="391"/>
      <c r="K33" s="391"/>
      <c r="L33" s="392"/>
      <c r="M33" s="392" t="str">
        <f t="shared" ca="1" si="0"/>
        <v>Not Started</v>
      </c>
      <c r="N33" s="564"/>
      <c r="O33" s="1394"/>
      <c r="P33" s="43"/>
      <c r="Q33" s="43"/>
      <c r="R33" s="43"/>
      <c r="S33" s="43"/>
      <c r="T33" s="43"/>
      <c r="U33" s="43"/>
      <c r="V33" s="43"/>
      <c r="W33" s="651"/>
      <c r="X33" s="1246" t="s">
        <v>169</v>
      </c>
      <c r="Y33" s="1246"/>
      <c r="Z33" s="1246"/>
      <c r="AA33" s="54" t="s">
        <v>426</v>
      </c>
      <c r="AB33" s="992" t="s">
        <v>123</v>
      </c>
      <c r="AE33" s="34" t="s">
        <v>62</v>
      </c>
      <c r="AF33" s="24" t="s">
        <v>73</v>
      </c>
      <c r="AJ33" s="37"/>
    </row>
    <row r="34" spans="2:36" ht="45" customHeight="1">
      <c r="B34" s="1341"/>
      <c r="C34" s="565" t="s">
        <v>86</v>
      </c>
      <c r="D34" s="645" t="s">
        <v>114</v>
      </c>
      <c r="E34" s="398">
        <f>NETWORKDAYS.INTL(F34,G34,"0000100",$AH$5:$AH$12)</f>
        <v>2</v>
      </c>
      <c r="F34" s="399">
        <f>WORKDAY.INTL(G33,1,"0000100",$AH$5:$AH$11)</f>
        <v>46265</v>
      </c>
      <c r="G34" s="399">
        <f>WORKDAY.INTL(F34,1,"0000100",$AH$5:$AH$11)</f>
        <v>46266</v>
      </c>
      <c r="H34" s="399">
        <f>WORKDAY.INTL(I33,1,"0000100",$AH$5:$AH$11)</f>
        <v>46265</v>
      </c>
      <c r="I34" s="399">
        <f>WORKDAY.INTL(H34,1,"0000100",$AH$5:$AH$11)</f>
        <v>46266</v>
      </c>
      <c r="J34" s="399"/>
      <c r="K34" s="399"/>
      <c r="L34" s="400"/>
      <c r="M34" s="400" t="str">
        <f t="shared" ca="1" si="0"/>
        <v>Not Started</v>
      </c>
      <c r="N34" s="566"/>
      <c r="O34" s="1395"/>
      <c r="P34" s="45"/>
      <c r="Q34" s="45"/>
      <c r="R34" s="45"/>
      <c r="S34" s="45"/>
      <c r="T34" s="45"/>
      <c r="U34" s="45"/>
      <c r="V34" s="45"/>
      <c r="W34" s="654"/>
      <c r="X34" s="1239">
        <v>1</v>
      </c>
      <c r="Y34" s="1239"/>
      <c r="Z34" s="1239"/>
      <c r="AA34" s="41"/>
      <c r="AB34" s="1035"/>
      <c r="AE34" s="34" t="s">
        <v>63</v>
      </c>
      <c r="AF34" s="24" t="s">
        <v>73</v>
      </c>
    </row>
    <row r="35" spans="2:36" ht="45" customHeight="1">
      <c r="B35" s="1341"/>
      <c r="C35" s="565" t="s">
        <v>86</v>
      </c>
      <c r="D35" s="647" t="s">
        <v>120</v>
      </c>
      <c r="E35" s="398">
        <f>NETWORKDAYS.INTL(F35,G35,"0000110",$AH$5:$AH$12)</f>
        <v>5</v>
      </c>
      <c r="F35" s="399">
        <f>MAX(WORKDAY.INTL(G34,1,"0000100",$AK$5:$AK$10),WORKDAY.INTL(G30,1,"0000100",$AK$5:$AK$10))</f>
        <v>46267</v>
      </c>
      <c r="G35" s="399">
        <f t="shared" ref="G35" si="29">WORKDAY.INTL(F35,4,"0000110")</f>
        <v>46273</v>
      </c>
      <c r="H35" s="399">
        <f>MAX(WORKDAY.INTL(I34,1,"0000100",$AK$5:$AK$10),WORKDAY.INTL(I30,1,"0000100",$AK$5:$AK$10))</f>
        <v>46267</v>
      </c>
      <c r="I35" s="399">
        <f t="shared" ref="I35" si="30">WORKDAY.INTL(H35,4,"0000110")</f>
        <v>46273</v>
      </c>
      <c r="J35" s="399"/>
      <c r="K35" s="399"/>
      <c r="L35" s="400"/>
      <c r="M35" s="400" t="str">
        <f t="shared" ca="1" si="0"/>
        <v>Not Started</v>
      </c>
      <c r="N35" s="566"/>
      <c r="O35" s="1395"/>
      <c r="P35" s="46"/>
      <c r="Q35" s="46"/>
      <c r="R35" s="46"/>
      <c r="S35" s="46"/>
      <c r="T35" s="46"/>
      <c r="U35" s="46"/>
      <c r="V35" s="46"/>
      <c r="W35" s="654" t="s">
        <v>339</v>
      </c>
      <c r="X35" s="1239">
        <v>1</v>
      </c>
      <c r="Y35" s="1239"/>
      <c r="Z35" s="1239"/>
      <c r="AA35" s="41" t="s">
        <v>424</v>
      </c>
      <c r="AB35" s="1035" t="s">
        <v>123</v>
      </c>
      <c r="AE35" s="34" t="s">
        <v>64</v>
      </c>
      <c r="AF35" s="24" t="s">
        <v>73</v>
      </c>
    </row>
    <row r="36" spans="2:36" ht="45" customHeight="1" thickBot="1">
      <c r="B36" s="1342"/>
      <c r="C36" s="567" t="s">
        <v>86</v>
      </c>
      <c r="D36" s="648" t="s">
        <v>125</v>
      </c>
      <c r="E36" s="394">
        <f>NETWORKDAYS.INTL(F36,G36,"0000110",$AH$5:$AH$12)</f>
        <v>2</v>
      </c>
      <c r="F36" s="395">
        <f t="shared" ref="F36" si="31">WORKDAY.INTL(G35,1,"0000110")</f>
        <v>46274</v>
      </c>
      <c r="G36" s="395">
        <f t="shared" ref="G36" si="32">WORKDAY.INTL(F36,1,"0000110")</f>
        <v>46275</v>
      </c>
      <c r="H36" s="395">
        <f t="shared" ref="H36" si="33">WORKDAY.INTL(I35,1,"0000110")</f>
        <v>46274</v>
      </c>
      <c r="I36" s="395">
        <f t="shared" ref="I36" si="34">WORKDAY.INTL(H36,1,"0000110")</f>
        <v>46275</v>
      </c>
      <c r="J36" s="395"/>
      <c r="K36" s="395"/>
      <c r="L36" s="396"/>
      <c r="M36" s="396" t="str">
        <f t="shared" ca="1" si="0"/>
        <v>Not Started</v>
      </c>
      <c r="N36" s="568"/>
      <c r="O36" s="1396"/>
      <c r="P36" s="46"/>
      <c r="Q36" s="46"/>
      <c r="R36" s="46"/>
      <c r="S36" s="46"/>
      <c r="T36" s="46"/>
      <c r="U36" s="46"/>
      <c r="V36" s="46"/>
      <c r="W36" s="657" t="s">
        <v>126</v>
      </c>
      <c r="X36" s="1240">
        <v>1</v>
      </c>
      <c r="Y36" s="1240"/>
      <c r="Z36" s="1240"/>
      <c r="AA36" s="60"/>
      <c r="AB36" s="993"/>
      <c r="AE36" s="34" t="s">
        <v>65</v>
      </c>
      <c r="AF36" s="24" t="s">
        <v>73</v>
      </c>
    </row>
    <row r="37" spans="2:36" s="19" customFormat="1" ht="4.5" customHeight="1" thickBot="1">
      <c r="B37" s="114"/>
      <c r="C37" s="114"/>
      <c r="D37" s="380" t="s">
        <v>233</v>
      </c>
      <c r="E37" s="381"/>
      <c r="F37" s="380"/>
      <c r="G37" s="380"/>
      <c r="H37" s="380"/>
      <c r="I37" s="380"/>
      <c r="J37" s="380"/>
      <c r="K37" s="380"/>
      <c r="L37" s="382"/>
      <c r="M37" s="382"/>
      <c r="N37" s="382"/>
      <c r="O37" s="451"/>
      <c r="P37" s="32"/>
      <c r="Q37" s="32"/>
      <c r="R37" s="32"/>
      <c r="S37" s="32"/>
      <c r="T37" s="32"/>
      <c r="U37" s="32"/>
      <c r="V37" s="32"/>
      <c r="W37" s="114"/>
      <c r="X37" s="661"/>
      <c r="Y37" s="661"/>
      <c r="Z37" s="661"/>
      <c r="AA37" s="114"/>
      <c r="AB37" s="114"/>
      <c r="AE37" s="33"/>
      <c r="AF37" s="33" t="s">
        <v>74</v>
      </c>
    </row>
    <row r="38" spans="2:36" ht="45" customHeight="1">
      <c r="B38" s="1343" t="s">
        <v>141</v>
      </c>
      <c r="C38" s="427" t="s">
        <v>86</v>
      </c>
      <c r="D38" s="375" t="s">
        <v>112</v>
      </c>
      <c r="E38" s="346">
        <f>NETWORKDAYS.INTL(F38,G38,"0000100",$AH$5:$AH$12)</f>
        <v>5</v>
      </c>
      <c r="F38" s="81">
        <f>WORKDAY.INTL(G34,1,"0000100",$AH$5:$AH$11)</f>
        <v>46267</v>
      </c>
      <c r="G38" s="81">
        <f>WORKDAY.INTL(F38,4,"0000100",$AH$5:$AH$11)</f>
        <v>46272</v>
      </c>
      <c r="H38" s="81">
        <f>WORKDAY.INTL(I34,1,"0000100",$AH$5:$AH$11)</f>
        <v>46267</v>
      </c>
      <c r="I38" s="81">
        <f>WORKDAY.INTL(H38,4,"0000100",$AH$5:$AH$11)</f>
        <v>46272</v>
      </c>
      <c r="J38" s="81"/>
      <c r="K38" s="81"/>
      <c r="L38" s="376"/>
      <c r="M38" s="376" t="str">
        <f t="shared" ca="1" si="0"/>
        <v>Not Started</v>
      </c>
      <c r="N38" s="516"/>
      <c r="O38" s="1394"/>
      <c r="P38" s="35"/>
      <c r="Q38" s="35"/>
      <c r="R38" s="35"/>
      <c r="S38" s="35"/>
      <c r="T38" s="35"/>
      <c r="U38" s="35"/>
      <c r="V38" s="35"/>
      <c r="W38" s="521"/>
      <c r="X38" s="1244" t="s">
        <v>169</v>
      </c>
      <c r="Y38" s="1244"/>
      <c r="Z38" s="1244"/>
      <c r="AA38" s="67" t="s">
        <v>426</v>
      </c>
      <c r="AB38" s="497" t="s">
        <v>123</v>
      </c>
      <c r="AE38" s="34" t="s">
        <v>62</v>
      </c>
      <c r="AF38" s="24" t="s">
        <v>74</v>
      </c>
    </row>
    <row r="39" spans="2:36" ht="45" customHeight="1">
      <c r="B39" s="1344"/>
      <c r="C39" s="428" t="s">
        <v>86</v>
      </c>
      <c r="D39" s="517" t="s">
        <v>114</v>
      </c>
      <c r="E39" s="354">
        <f>NETWORKDAYS.INTL(F39,G39,"0000100",$AH$5:$AH$12)</f>
        <v>2</v>
      </c>
      <c r="F39" s="84">
        <f>WORKDAY.INTL(G38,1,"0000100",$AH$5:$AH$11)</f>
        <v>46273</v>
      </c>
      <c r="G39" s="84">
        <f>WORKDAY.INTL(F39,1,"0000100",$AH$5:$AH$11)</f>
        <v>46274</v>
      </c>
      <c r="H39" s="84">
        <f>WORKDAY.INTL(I38,1,"0000100",$AH$5:$AH$11)</f>
        <v>46273</v>
      </c>
      <c r="I39" s="84">
        <f>WORKDAY.INTL(H39,1,"0000100",$AH$5:$AH$11)</f>
        <v>46274</v>
      </c>
      <c r="J39" s="84"/>
      <c r="K39" s="84"/>
      <c r="L39" s="366"/>
      <c r="M39" s="366" t="str">
        <f t="shared" ca="1" si="0"/>
        <v>Not Started</v>
      </c>
      <c r="N39" s="518"/>
      <c r="O39" s="1395"/>
      <c r="P39" s="35"/>
      <c r="Q39" s="35"/>
      <c r="R39" s="35"/>
      <c r="S39" s="35"/>
      <c r="T39" s="35"/>
      <c r="U39" s="35"/>
      <c r="V39" s="35"/>
      <c r="W39" s="522"/>
      <c r="X39" s="1243">
        <v>1</v>
      </c>
      <c r="Y39" s="1243"/>
      <c r="Z39" s="1243"/>
      <c r="AA39" s="34"/>
      <c r="AB39" s="498"/>
      <c r="AE39" s="34" t="s">
        <v>63</v>
      </c>
      <c r="AF39" s="24" t="s">
        <v>74</v>
      </c>
    </row>
    <row r="40" spans="2:36" ht="45" customHeight="1">
      <c r="B40" s="1344"/>
      <c r="C40" s="428" t="s">
        <v>86</v>
      </c>
      <c r="D40" s="517" t="s">
        <v>120</v>
      </c>
      <c r="E40" s="354">
        <f>NETWORKDAYS.INTL(F40,G40,"0000110",$AH$5:$AH$12)</f>
        <v>5</v>
      </c>
      <c r="F40" s="84">
        <f>MAX(WORKDAY.INTL(G39,1,"0000100",$AK$5:$AK$10),WORKDAY.INTL(G35,1,"0000100",$AK$5:$AK$10))</f>
        <v>46275</v>
      </c>
      <c r="G40" s="84">
        <f t="shared" ref="G40" si="35">WORKDAY.INTL(F40,4,"0000110")</f>
        <v>46281</v>
      </c>
      <c r="H40" s="84">
        <f>MAX(WORKDAY.INTL(I39,1,"0000100",$AK$5:$AK$10),WORKDAY.INTL(I35,1,"0000100",$AK$5:$AK$10))</f>
        <v>46275</v>
      </c>
      <c r="I40" s="84">
        <f t="shared" ref="I40" si="36">WORKDAY.INTL(H40,4,"0000110")</f>
        <v>46281</v>
      </c>
      <c r="J40" s="84"/>
      <c r="K40" s="84"/>
      <c r="L40" s="366"/>
      <c r="M40" s="366" t="str">
        <f t="shared" ca="1" si="0"/>
        <v>Not Started</v>
      </c>
      <c r="N40" s="518"/>
      <c r="O40" s="1395"/>
      <c r="P40" s="35"/>
      <c r="Q40" s="35"/>
      <c r="R40" s="35"/>
      <c r="S40" s="35"/>
      <c r="T40" s="35"/>
      <c r="U40" s="35"/>
      <c r="V40" s="35"/>
      <c r="W40" s="522" t="s">
        <v>339</v>
      </c>
      <c r="X40" s="1243">
        <v>1</v>
      </c>
      <c r="Y40" s="1243"/>
      <c r="Z40" s="1243"/>
      <c r="AA40" s="34" t="s">
        <v>424</v>
      </c>
      <c r="AB40" s="498" t="s">
        <v>123</v>
      </c>
      <c r="AE40" s="34" t="s">
        <v>64</v>
      </c>
      <c r="AF40" s="24" t="s">
        <v>74</v>
      </c>
    </row>
    <row r="41" spans="2:36" ht="45" customHeight="1" thickBot="1">
      <c r="B41" s="1345"/>
      <c r="C41" s="429" t="s">
        <v>86</v>
      </c>
      <c r="D41" s="489" t="s">
        <v>125</v>
      </c>
      <c r="E41" s="347">
        <f>NETWORKDAYS.INTL(F41,G41,"0000110",$AH$5:$AH$12)</f>
        <v>2</v>
      </c>
      <c r="F41" s="378">
        <f t="shared" ref="F41" si="37">WORKDAY.INTL(G40,1,"0000110")</f>
        <v>46282</v>
      </c>
      <c r="G41" s="378">
        <f t="shared" ref="G41" si="38">WORKDAY.INTL(F41,1,"0000110")</f>
        <v>46285</v>
      </c>
      <c r="H41" s="378">
        <f t="shared" ref="H41" si="39">WORKDAY.INTL(I40,1,"0000110")</f>
        <v>46282</v>
      </c>
      <c r="I41" s="378">
        <f t="shared" ref="I41" si="40">WORKDAY.INTL(H41,1,"0000110")</f>
        <v>46285</v>
      </c>
      <c r="J41" s="378"/>
      <c r="K41" s="378"/>
      <c r="L41" s="379"/>
      <c r="M41" s="379" t="str">
        <f t="shared" ca="1" si="0"/>
        <v>Not Started</v>
      </c>
      <c r="N41" s="519"/>
      <c r="O41" s="1396"/>
      <c r="P41" s="38"/>
      <c r="Q41" s="38"/>
      <c r="R41" s="38"/>
      <c r="S41" s="38"/>
      <c r="T41" s="38"/>
      <c r="U41" s="38"/>
      <c r="V41" s="38"/>
      <c r="W41" s="524" t="s">
        <v>126</v>
      </c>
      <c r="X41" s="1245">
        <v>1</v>
      </c>
      <c r="Y41" s="1245"/>
      <c r="Z41" s="1245"/>
      <c r="AA41" s="70"/>
      <c r="AB41" s="525"/>
      <c r="AE41" s="34" t="s">
        <v>65</v>
      </c>
      <c r="AF41" s="24" t="s">
        <v>74</v>
      </c>
    </row>
    <row r="42" spans="2:36" s="19" customFormat="1" ht="4.5" customHeight="1" thickBot="1">
      <c r="B42" s="114"/>
      <c r="C42" s="114"/>
      <c r="D42" s="380" t="s">
        <v>233</v>
      </c>
      <c r="E42" s="381"/>
      <c r="F42" s="380"/>
      <c r="G42" s="380"/>
      <c r="H42" s="380"/>
      <c r="I42" s="380"/>
      <c r="J42" s="380"/>
      <c r="K42" s="380"/>
      <c r="L42" s="382"/>
      <c r="M42" s="382"/>
      <c r="N42" s="382"/>
      <c r="O42" s="451"/>
      <c r="P42" s="32"/>
      <c r="Q42" s="32"/>
      <c r="R42" s="32"/>
      <c r="S42" s="32"/>
      <c r="T42" s="32"/>
      <c r="U42" s="32"/>
      <c r="V42" s="32"/>
      <c r="W42" s="114"/>
      <c r="X42" s="661"/>
      <c r="Y42" s="661"/>
      <c r="Z42" s="661"/>
      <c r="AA42" s="114"/>
      <c r="AB42" s="114"/>
      <c r="AE42" s="33"/>
      <c r="AF42" s="33" t="s">
        <v>75</v>
      </c>
    </row>
    <row r="43" spans="2:36" ht="45" customHeight="1">
      <c r="B43" s="1340" t="s">
        <v>142</v>
      </c>
      <c r="C43" s="563" t="s">
        <v>86</v>
      </c>
      <c r="D43" s="389" t="s">
        <v>112</v>
      </c>
      <c r="E43" s="390">
        <f>NETWORKDAYS.INTL(F43,G43,"0000100",$AH$5:$AH$12)</f>
        <v>5</v>
      </c>
      <c r="F43" s="391">
        <f>WORKDAY.INTL(G39,1,"0000100",$AH$5:$AH$11)</f>
        <v>46275</v>
      </c>
      <c r="G43" s="391">
        <f>WORKDAY.INTL(F43,4,"0000100",$AH$5:$AH$11)</f>
        <v>46280</v>
      </c>
      <c r="H43" s="391">
        <f>WORKDAY.INTL(I39,1,"0000100",$AH$5:$AH$11)</f>
        <v>46275</v>
      </c>
      <c r="I43" s="391">
        <f>WORKDAY.INTL(H43,4,"0000100",$AH$5:$AH$11)</f>
        <v>46280</v>
      </c>
      <c r="J43" s="391"/>
      <c r="K43" s="391"/>
      <c r="L43" s="392"/>
      <c r="M43" s="392" t="str">
        <f t="shared" ca="1" si="0"/>
        <v>Not Started</v>
      </c>
      <c r="N43" s="564"/>
      <c r="O43" s="1394"/>
      <c r="P43" s="43"/>
      <c r="Q43" s="43"/>
      <c r="R43" s="43"/>
      <c r="S43" s="43"/>
      <c r="T43" s="43"/>
      <c r="U43" s="43"/>
      <c r="V43" s="43"/>
      <c r="W43" s="651"/>
      <c r="X43" s="1246" t="s">
        <v>169</v>
      </c>
      <c r="Y43" s="1246"/>
      <c r="Z43" s="1246"/>
      <c r="AA43" s="54" t="s">
        <v>426</v>
      </c>
      <c r="AB43" s="992" t="s">
        <v>123</v>
      </c>
      <c r="AE43" s="34" t="s">
        <v>62</v>
      </c>
      <c r="AF43" s="24" t="s">
        <v>75</v>
      </c>
      <c r="AJ43" s="37"/>
    </row>
    <row r="44" spans="2:36" ht="45" customHeight="1">
      <c r="B44" s="1341"/>
      <c r="C44" s="565" t="s">
        <v>86</v>
      </c>
      <c r="D44" s="645" t="s">
        <v>114</v>
      </c>
      <c r="E44" s="398">
        <f>NETWORKDAYS.INTL(F44,G44,"0000100",$AH$5:$AH$12)</f>
        <v>2</v>
      </c>
      <c r="F44" s="399">
        <f>WORKDAY.INTL(G43,1,"0000100",$AH$5:$AH$11)</f>
        <v>46281</v>
      </c>
      <c r="G44" s="399">
        <f>WORKDAY.INTL(F44,1,"0000100",$AH$5:$AH$11)</f>
        <v>46282</v>
      </c>
      <c r="H44" s="399">
        <f>WORKDAY.INTL(I43,1,"0000100",$AH$5:$AH$11)</f>
        <v>46281</v>
      </c>
      <c r="I44" s="399">
        <f>WORKDAY.INTL(H44,1,"0000100",$AH$5:$AH$11)</f>
        <v>46282</v>
      </c>
      <c r="J44" s="399"/>
      <c r="K44" s="399"/>
      <c r="L44" s="400"/>
      <c r="M44" s="400" t="str">
        <f t="shared" ca="1" si="0"/>
        <v>Not Started</v>
      </c>
      <c r="N44" s="566"/>
      <c r="O44" s="1395"/>
      <c r="P44" s="45"/>
      <c r="Q44" s="45"/>
      <c r="R44" s="45"/>
      <c r="S44" s="45"/>
      <c r="T44" s="45"/>
      <c r="U44" s="45"/>
      <c r="V44" s="45"/>
      <c r="W44" s="654"/>
      <c r="X44" s="1239">
        <v>1</v>
      </c>
      <c r="Y44" s="1239"/>
      <c r="Z44" s="1239"/>
      <c r="AA44" s="41"/>
      <c r="AB44" s="1035"/>
      <c r="AE44" s="34" t="s">
        <v>63</v>
      </c>
      <c r="AF44" s="24" t="s">
        <v>75</v>
      </c>
    </row>
    <row r="45" spans="2:36" ht="45" customHeight="1">
      <c r="B45" s="1341"/>
      <c r="C45" s="565" t="s">
        <v>86</v>
      </c>
      <c r="D45" s="647" t="s">
        <v>120</v>
      </c>
      <c r="E45" s="398">
        <f>NETWORKDAYS.INTL(F45,G45,"0000110",$AH$5:$AH$12)</f>
        <v>3</v>
      </c>
      <c r="F45" s="399">
        <f>MAX(WORKDAY.INTL(G44,1,"0000100",$AK$5:$AK$10),WORKDAY.INTL(G40,1,"0000100",$AK$5:$AK$10))</f>
        <v>46284</v>
      </c>
      <c r="G45" s="399">
        <f t="shared" ref="G45" si="41">WORKDAY.INTL(F45,4,"0000110")</f>
        <v>46288</v>
      </c>
      <c r="H45" s="399">
        <f>MAX(WORKDAY.INTL(I44,1,"0000100",$AK$5:$AK$10),WORKDAY.INTL(I40,1,"0000100",$AK$5:$AK$10))</f>
        <v>46284</v>
      </c>
      <c r="I45" s="399">
        <f t="shared" ref="I45" si="42">WORKDAY.INTL(H45,4,"0000110")</f>
        <v>46288</v>
      </c>
      <c r="J45" s="399"/>
      <c r="K45" s="399"/>
      <c r="L45" s="400"/>
      <c r="M45" s="400" t="str">
        <f t="shared" ca="1" si="0"/>
        <v>Not Started</v>
      </c>
      <c r="N45" s="566"/>
      <c r="O45" s="1395"/>
      <c r="P45" s="46"/>
      <c r="Q45" s="46"/>
      <c r="R45" s="46"/>
      <c r="S45" s="46"/>
      <c r="T45" s="46"/>
      <c r="U45" s="46"/>
      <c r="V45" s="46"/>
      <c r="W45" s="654" t="s">
        <v>339</v>
      </c>
      <c r="X45" s="1239">
        <v>1</v>
      </c>
      <c r="Y45" s="1239"/>
      <c r="Z45" s="1239"/>
      <c r="AA45" s="41" t="s">
        <v>424</v>
      </c>
      <c r="AB45" s="1035" t="s">
        <v>123</v>
      </c>
      <c r="AE45" s="34" t="s">
        <v>64</v>
      </c>
      <c r="AF45" s="24" t="s">
        <v>75</v>
      </c>
    </row>
    <row r="46" spans="2:36" ht="45" customHeight="1" thickBot="1">
      <c r="B46" s="1342"/>
      <c r="C46" s="567" t="s">
        <v>86</v>
      </c>
      <c r="D46" s="648" t="s">
        <v>125</v>
      </c>
      <c r="E46" s="394">
        <f>NETWORKDAYS.INTL(F46,G46,"0000110",$AH$5:$AH$12)</f>
        <v>2</v>
      </c>
      <c r="F46" s="395">
        <f t="shared" ref="F46" si="43">WORKDAY.INTL(G45,1,"0000110")</f>
        <v>46289</v>
      </c>
      <c r="G46" s="395">
        <f t="shared" ref="G46" si="44">WORKDAY.INTL(F46,1,"0000110")</f>
        <v>46292</v>
      </c>
      <c r="H46" s="395">
        <f t="shared" ref="H46" si="45">WORKDAY.INTL(I45,1,"0000110")</f>
        <v>46289</v>
      </c>
      <c r="I46" s="395">
        <f t="shared" ref="I46" si="46">WORKDAY.INTL(H46,1,"0000110")</f>
        <v>46292</v>
      </c>
      <c r="J46" s="395"/>
      <c r="K46" s="395"/>
      <c r="L46" s="396"/>
      <c r="M46" s="396" t="str">
        <f t="shared" ca="1" si="0"/>
        <v>Not Started</v>
      </c>
      <c r="N46" s="568"/>
      <c r="O46" s="1396"/>
      <c r="P46" s="46"/>
      <c r="Q46" s="46"/>
      <c r="R46" s="46"/>
      <c r="S46" s="46"/>
      <c r="T46" s="46"/>
      <c r="U46" s="46"/>
      <c r="V46" s="46"/>
      <c r="W46" s="657" t="s">
        <v>126</v>
      </c>
      <c r="X46" s="1240">
        <v>1</v>
      </c>
      <c r="Y46" s="1240"/>
      <c r="Z46" s="1240"/>
      <c r="AA46" s="60"/>
      <c r="AB46" s="993"/>
      <c r="AE46" s="34" t="s">
        <v>65</v>
      </c>
      <c r="AF46" s="24" t="s">
        <v>75</v>
      </c>
    </row>
    <row r="47" spans="2:36" s="19" customFormat="1" ht="4.5" customHeight="1" thickBot="1">
      <c r="B47" s="114"/>
      <c r="C47" s="114"/>
      <c r="D47" s="380" t="s">
        <v>233</v>
      </c>
      <c r="E47" s="381"/>
      <c r="F47" s="380"/>
      <c r="G47" s="380"/>
      <c r="H47" s="380"/>
      <c r="I47" s="380"/>
      <c r="J47" s="380"/>
      <c r="K47" s="380"/>
      <c r="L47" s="382"/>
      <c r="M47" s="382"/>
      <c r="N47" s="382"/>
      <c r="O47" s="451"/>
      <c r="P47" s="32"/>
      <c r="Q47" s="32"/>
      <c r="R47" s="32"/>
      <c r="S47" s="32"/>
      <c r="T47" s="32"/>
      <c r="U47" s="32"/>
      <c r="V47" s="32"/>
      <c r="W47" s="114"/>
      <c r="X47" s="661"/>
      <c r="Y47" s="661"/>
      <c r="Z47" s="661"/>
      <c r="AA47" s="114"/>
      <c r="AB47" s="114"/>
      <c r="AE47" s="33"/>
      <c r="AF47" s="33" t="s">
        <v>76</v>
      </c>
    </row>
    <row r="48" spans="2:36" ht="45" customHeight="1">
      <c r="B48" s="1343" t="s">
        <v>431</v>
      </c>
      <c r="C48" s="427" t="s">
        <v>86</v>
      </c>
      <c r="D48" s="375" t="s">
        <v>112</v>
      </c>
      <c r="E48" s="346">
        <f>NETWORKDAYS.INTL(F48,G48,"0000100",$AH$5:$AH$12)</f>
        <v>4</v>
      </c>
      <c r="F48" s="81">
        <f>WORKDAY.INTL(G44,1,"0000100",$AH$5:$AH$11)</f>
        <v>46284</v>
      </c>
      <c r="G48" s="81">
        <f>WORKDAY.INTL(F48,4,"0000100",$AH$5:$AH$11)</f>
        <v>46288</v>
      </c>
      <c r="H48" s="81">
        <f>WORKDAY.INTL(I44,1,"0000100",$AH$5:$AH$11)</f>
        <v>46284</v>
      </c>
      <c r="I48" s="81">
        <f>WORKDAY.INTL(H48,4,"0000100",$AH$5:$AH$11)</f>
        <v>46288</v>
      </c>
      <c r="J48" s="81"/>
      <c r="K48" s="81"/>
      <c r="L48" s="376"/>
      <c r="M48" s="376" t="str">
        <f t="shared" ca="1" si="0"/>
        <v>Not Started</v>
      </c>
      <c r="N48" s="516"/>
      <c r="O48" s="1394"/>
      <c r="P48" s="35"/>
      <c r="Q48" s="35"/>
      <c r="R48" s="35"/>
      <c r="S48" s="35"/>
      <c r="T48" s="35"/>
      <c r="U48" s="35"/>
      <c r="V48" s="35"/>
      <c r="W48" s="521"/>
      <c r="X48" s="1244" t="s">
        <v>169</v>
      </c>
      <c r="Y48" s="1244"/>
      <c r="Z48" s="1244"/>
      <c r="AA48" s="67" t="s">
        <v>426</v>
      </c>
      <c r="AB48" s="497" t="s">
        <v>242</v>
      </c>
      <c r="AE48" s="34" t="s">
        <v>62</v>
      </c>
      <c r="AF48" s="24" t="s">
        <v>76</v>
      </c>
    </row>
    <row r="49" spans="2:36" ht="45" customHeight="1">
      <c r="B49" s="1344"/>
      <c r="C49" s="428" t="s">
        <v>86</v>
      </c>
      <c r="D49" s="517" t="s">
        <v>114</v>
      </c>
      <c r="E49" s="354">
        <f>NETWORKDAYS.INTL(F49,G49,"0000100",$AH$5:$AH$12)</f>
        <v>2</v>
      </c>
      <c r="F49" s="84">
        <f>WORKDAY.INTL(G48,1,"0000100",$AH$5:$AH$11)</f>
        <v>46289</v>
      </c>
      <c r="G49" s="84">
        <f>WORKDAY.INTL(F49,1,"0000100",$AH$5:$AH$11)</f>
        <v>46291</v>
      </c>
      <c r="H49" s="84">
        <f>WORKDAY.INTL(I48,1,"0000100",$AH$5:$AH$11)</f>
        <v>46289</v>
      </c>
      <c r="I49" s="84">
        <f>WORKDAY.INTL(H49,1,"0000100",$AH$5:$AH$11)</f>
        <v>46291</v>
      </c>
      <c r="J49" s="84"/>
      <c r="K49" s="84"/>
      <c r="L49" s="366"/>
      <c r="M49" s="366" t="str">
        <f t="shared" ca="1" si="0"/>
        <v>Not Started</v>
      </c>
      <c r="N49" s="518"/>
      <c r="O49" s="1395"/>
      <c r="P49" s="35"/>
      <c r="Q49" s="35"/>
      <c r="R49" s="35"/>
      <c r="S49" s="35"/>
      <c r="T49" s="35"/>
      <c r="U49" s="35"/>
      <c r="V49" s="35"/>
      <c r="W49" s="522"/>
      <c r="X49" s="1243">
        <v>1</v>
      </c>
      <c r="Y49" s="1243"/>
      <c r="Z49" s="1243"/>
      <c r="AA49" s="34"/>
      <c r="AB49" s="498"/>
      <c r="AE49" s="34" t="s">
        <v>63</v>
      </c>
      <c r="AF49" s="24" t="s">
        <v>76</v>
      </c>
    </row>
    <row r="50" spans="2:36" ht="45" customHeight="1">
      <c r="B50" s="1344"/>
      <c r="C50" s="428" t="s">
        <v>86</v>
      </c>
      <c r="D50" s="517" t="s">
        <v>120</v>
      </c>
      <c r="E50" s="354">
        <f>NETWORKDAYS.INTL(F50,G50,"0000110",$AH$5:$AH$12)</f>
        <v>5</v>
      </c>
      <c r="F50" s="84">
        <f>MAX(WORKDAY.INTL(G49,1,"0000100",$AK$5:$AK$10),WORKDAY.INTL(G45,1,"0000100",$AK$5:$AK$10))</f>
        <v>46292</v>
      </c>
      <c r="G50" s="84">
        <f t="shared" ref="G50" si="47">WORKDAY.INTL(F50,4,"0000110")</f>
        <v>46296</v>
      </c>
      <c r="H50" s="84">
        <f>MAX(WORKDAY.INTL(I49,1,"0000100",$AK$5:$AK$10),WORKDAY.INTL(I45,1,"0000100",$AK$5:$AK$10))</f>
        <v>46292</v>
      </c>
      <c r="I50" s="84">
        <f t="shared" ref="I50" si="48">WORKDAY.INTL(H50,4,"0000110")</f>
        <v>46296</v>
      </c>
      <c r="J50" s="84"/>
      <c r="K50" s="84"/>
      <c r="L50" s="366"/>
      <c r="M50" s="366" t="str">
        <f t="shared" ca="1" si="0"/>
        <v>Not Started</v>
      </c>
      <c r="N50" s="518"/>
      <c r="O50" s="1395"/>
      <c r="P50" s="35"/>
      <c r="Q50" s="35"/>
      <c r="R50" s="35"/>
      <c r="S50" s="35"/>
      <c r="T50" s="35"/>
      <c r="U50" s="35"/>
      <c r="V50" s="35"/>
      <c r="W50" s="522" t="s">
        <v>339</v>
      </c>
      <c r="X50" s="1243">
        <v>1</v>
      </c>
      <c r="Y50" s="1243"/>
      <c r="Z50" s="1243"/>
      <c r="AA50" s="34" t="s">
        <v>424</v>
      </c>
      <c r="AB50" s="498" t="s">
        <v>123</v>
      </c>
      <c r="AE50" s="34" t="s">
        <v>64</v>
      </c>
      <c r="AF50" s="24" t="s">
        <v>76</v>
      </c>
    </row>
    <row r="51" spans="2:36" ht="45" customHeight="1" thickBot="1">
      <c r="B51" s="1345"/>
      <c r="C51" s="429" t="s">
        <v>86</v>
      </c>
      <c r="D51" s="489" t="s">
        <v>125</v>
      </c>
      <c r="E51" s="347">
        <f>NETWORKDAYS.INTL(F51,G51,"0000110",$AH$5:$AH$12)</f>
        <v>2</v>
      </c>
      <c r="F51" s="378">
        <f t="shared" ref="F51" si="49">WORKDAY.INTL(G50,1,"0000110")</f>
        <v>46299</v>
      </c>
      <c r="G51" s="378">
        <f t="shared" ref="G51" si="50">WORKDAY.INTL(F51,1,"0000110")</f>
        <v>46300</v>
      </c>
      <c r="H51" s="378">
        <f t="shared" ref="H51" si="51">WORKDAY.INTL(I50,1,"0000110")</f>
        <v>46299</v>
      </c>
      <c r="I51" s="378">
        <f t="shared" ref="I51" si="52">WORKDAY.INTL(H51,1,"0000110")</f>
        <v>46300</v>
      </c>
      <c r="J51" s="378"/>
      <c r="K51" s="378"/>
      <c r="L51" s="379"/>
      <c r="M51" s="379" t="str">
        <f t="shared" ca="1" si="0"/>
        <v>Not Started</v>
      </c>
      <c r="N51" s="519"/>
      <c r="O51" s="1396"/>
      <c r="P51" s="38"/>
      <c r="Q51" s="38"/>
      <c r="R51" s="38"/>
      <c r="S51" s="38"/>
      <c r="T51" s="38"/>
      <c r="U51" s="38"/>
      <c r="V51" s="38"/>
      <c r="W51" s="524" t="s">
        <v>126</v>
      </c>
      <c r="X51" s="1245">
        <v>1</v>
      </c>
      <c r="Y51" s="1245"/>
      <c r="Z51" s="1245"/>
      <c r="AA51" s="70"/>
      <c r="AB51" s="525"/>
      <c r="AE51" s="34" t="s">
        <v>65</v>
      </c>
      <c r="AF51" s="24" t="s">
        <v>76</v>
      </c>
    </row>
    <row r="52" spans="2:36" s="19" customFormat="1" ht="4.5" customHeight="1" thickBot="1">
      <c r="B52" s="114"/>
      <c r="C52" s="114"/>
      <c r="D52" s="380" t="s">
        <v>233</v>
      </c>
      <c r="E52" s="381"/>
      <c r="F52" s="380"/>
      <c r="G52" s="380"/>
      <c r="H52" s="380"/>
      <c r="I52" s="380"/>
      <c r="J52" s="380"/>
      <c r="K52" s="380"/>
      <c r="L52" s="382"/>
      <c r="M52" s="382"/>
      <c r="N52" s="382"/>
      <c r="O52" s="451"/>
      <c r="P52" s="32"/>
      <c r="Q52" s="32"/>
      <c r="R52" s="32"/>
      <c r="S52" s="32"/>
      <c r="T52" s="32"/>
      <c r="U52" s="32"/>
      <c r="V52" s="32"/>
      <c r="W52" s="114"/>
      <c r="X52" s="661"/>
      <c r="Y52" s="661"/>
      <c r="Z52" s="661"/>
      <c r="AA52" s="114"/>
      <c r="AB52" s="114"/>
      <c r="AC52" s="49"/>
      <c r="AF52" s="19" t="s">
        <v>77</v>
      </c>
      <c r="AI52" s="20"/>
    </row>
    <row r="53" spans="2:36" ht="45" customHeight="1">
      <c r="B53" s="1340" t="s">
        <v>432</v>
      </c>
      <c r="C53" s="563" t="s">
        <v>86</v>
      </c>
      <c r="D53" s="389" t="s">
        <v>112</v>
      </c>
      <c r="E53" s="390">
        <f>NETWORKDAYS.INTL(F53,G53,"0000100",$AH$5:$AH$12)</f>
        <v>5</v>
      </c>
      <c r="F53" s="391">
        <f>WORKDAY.INTL(G49,1,"0000100",$AH$5:$AH$11)</f>
        <v>46292</v>
      </c>
      <c r="G53" s="391">
        <f>WORKDAY.INTL(F53,4,"0000100",$AH$5:$AH$11)</f>
        <v>46296</v>
      </c>
      <c r="H53" s="391">
        <f>WORKDAY.INTL(I49,1,"0000100",$AH$5:$AH$11)</f>
        <v>46292</v>
      </c>
      <c r="I53" s="391">
        <f>WORKDAY.INTL(H53,4,"0000100",$AH$5:$AH$11)</f>
        <v>46296</v>
      </c>
      <c r="J53" s="391"/>
      <c r="K53" s="391"/>
      <c r="L53" s="392"/>
      <c r="M53" s="392" t="str">
        <f t="shared" ca="1" si="0"/>
        <v>Not Started</v>
      </c>
      <c r="N53" s="564"/>
      <c r="O53" s="1394"/>
      <c r="P53" s="43"/>
      <c r="Q53" s="43"/>
      <c r="R53" s="43"/>
      <c r="S53" s="43"/>
      <c r="T53" s="43"/>
      <c r="U53" s="43"/>
      <c r="V53" s="43"/>
      <c r="W53" s="651"/>
      <c r="X53" s="1246" t="s">
        <v>169</v>
      </c>
      <c r="Y53" s="1246"/>
      <c r="Z53" s="1246"/>
      <c r="AA53" s="54" t="s">
        <v>426</v>
      </c>
      <c r="AB53" s="992" t="s">
        <v>123</v>
      </c>
      <c r="AE53" s="34" t="s">
        <v>62</v>
      </c>
      <c r="AF53" s="24" t="s">
        <v>77</v>
      </c>
      <c r="AJ53" s="37"/>
    </row>
    <row r="54" spans="2:36" ht="45" customHeight="1">
      <c r="B54" s="1341"/>
      <c r="C54" s="565" t="s">
        <v>86</v>
      </c>
      <c r="D54" s="645" t="s">
        <v>114</v>
      </c>
      <c r="E54" s="398">
        <f>NETWORKDAYS.INTL(F54,G54,"0000100",$AH$5:$AH$12)</f>
        <v>2</v>
      </c>
      <c r="F54" s="399">
        <f>WORKDAY.INTL(G53,1,"0000100",$AH$5:$AH$11)</f>
        <v>46298</v>
      </c>
      <c r="G54" s="399">
        <f>WORKDAY.INTL(F54,1,"0000100",$AH$5:$AH$11)</f>
        <v>46299</v>
      </c>
      <c r="H54" s="399">
        <f>WORKDAY.INTL(I53,1,"0000100",$AH$5:$AH$11)</f>
        <v>46298</v>
      </c>
      <c r="I54" s="399">
        <f>WORKDAY.INTL(H54,1,"0000100",$AH$5:$AH$11)</f>
        <v>46299</v>
      </c>
      <c r="J54" s="399"/>
      <c r="K54" s="399"/>
      <c r="L54" s="400"/>
      <c r="M54" s="400" t="str">
        <f t="shared" ca="1" si="0"/>
        <v>Not Started</v>
      </c>
      <c r="N54" s="566"/>
      <c r="O54" s="1395"/>
      <c r="P54" s="45"/>
      <c r="Q54" s="45"/>
      <c r="R54" s="45"/>
      <c r="S54" s="45"/>
      <c r="T54" s="45"/>
      <c r="U54" s="45"/>
      <c r="V54" s="45"/>
      <c r="W54" s="654"/>
      <c r="X54" s="1239">
        <v>1</v>
      </c>
      <c r="Y54" s="1239"/>
      <c r="Z54" s="1239"/>
      <c r="AA54" s="41"/>
      <c r="AB54" s="1035"/>
      <c r="AE54" s="34" t="s">
        <v>63</v>
      </c>
      <c r="AF54" s="24" t="s">
        <v>77</v>
      </c>
    </row>
    <row r="55" spans="2:36" ht="45" customHeight="1">
      <c r="B55" s="1341"/>
      <c r="C55" s="565" t="s">
        <v>86</v>
      </c>
      <c r="D55" s="647" t="s">
        <v>120</v>
      </c>
      <c r="E55" s="398">
        <f>NETWORKDAYS.INTL(F55,G55,"0000110",$AH$5:$AH$12)</f>
        <v>5</v>
      </c>
      <c r="F55" s="399">
        <f>MAX(WORKDAY.INTL(G54,1,"0000100",$AK$5:$AK$10),WORKDAY.INTL(G50,1,"0000100",$AK$5:$AK$10))</f>
        <v>46300</v>
      </c>
      <c r="G55" s="399">
        <f t="shared" ref="G55" si="53">WORKDAY.INTL(F55,4,"0000110")</f>
        <v>46306</v>
      </c>
      <c r="H55" s="399">
        <f>MAX(WORKDAY.INTL(I54,1,"0000100",$AK$5:$AK$10),WORKDAY.INTL(I50,1,"0000100",$AK$5:$AK$10))</f>
        <v>46300</v>
      </c>
      <c r="I55" s="399">
        <f t="shared" ref="I55" si="54">WORKDAY.INTL(H55,4,"0000110")</f>
        <v>46306</v>
      </c>
      <c r="J55" s="399"/>
      <c r="K55" s="399"/>
      <c r="L55" s="400"/>
      <c r="M55" s="400" t="str">
        <f t="shared" ca="1" si="0"/>
        <v>Not Started</v>
      </c>
      <c r="N55" s="566"/>
      <c r="O55" s="1395"/>
      <c r="P55" s="46"/>
      <c r="Q55" s="46"/>
      <c r="R55" s="46"/>
      <c r="S55" s="46"/>
      <c r="T55" s="46"/>
      <c r="U55" s="46"/>
      <c r="V55" s="46"/>
      <c r="W55" s="654" t="s">
        <v>339</v>
      </c>
      <c r="X55" s="1239">
        <v>1</v>
      </c>
      <c r="Y55" s="1239"/>
      <c r="Z55" s="1239"/>
      <c r="AA55" s="41" t="s">
        <v>424</v>
      </c>
      <c r="AB55" s="1035" t="s">
        <v>123</v>
      </c>
      <c r="AE55" s="34" t="s">
        <v>64</v>
      </c>
      <c r="AF55" s="24" t="s">
        <v>77</v>
      </c>
    </row>
    <row r="56" spans="2:36" ht="45" customHeight="1" thickBot="1">
      <c r="B56" s="1342"/>
      <c r="C56" s="567" t="s">
        <v>86</v>
      </c>
      <c r="D56" s="648" t="s">
        <v>125</v>
      </c>
      <c r="E56" s="394">
        <f>NETWORKDAYS.INTL(F56,G56,"0000110",$AH$5:$AH$12)</f>
        <v>2</v>
      </c>
      <c r="F56" s="395">
        <f t="shared" ref="F56" si="55">WORKDAY.INTL(G55,1,"0000110")</f>
        <v>46307</v>
      </c>
      <c r="G56" s="395">
        <f>WORKDAY.INTL(F56,1,"0000110")</f>
        <v>46308</v>
      </c>
      <c r="H56" s="395">
        <f t="shared" ref="H56" si="56">WORKDAY.INTL(I55,1,"0000110")</f>
        <v>46307</v>
      </c>
      <c r="I56" s="395">
        <f>WORKDAY.INTL(H56,1,"0000110")</f>
        <v>46308</v>
      </c>
      <c r="J56" s="395"/>
      <c r="K56" s="395"/>
      <c r="L56" s="396"/>
      <c r="M56" s="396" t="str">
        <f t="shared" ca="1" si="0"/>
        <v>Not Started</v>
      </c>
      <c r="N56" s="568"/>
      <c r="O56" s="1396"/>
      <c r="P56" s="46"/>
      <c r="Q56" s="46"/>
      <c r="R56" s="46"/>
      <c r="S56" s="46"/>
      <c r="T56" s="46"/>
      <c r="U56" s="46"/>
      <c r="V56" s="46"/>
      <c r="W56" s="657" t="s">
        <v>126</v>
      </c>
      <c r="X56" s="1240">
        <v>1</v>
      </c>
      <c r="Y56" s="1240"/>
      <c r="Z56" s="1240"/>
      <c r="AA56" s="60"/>
      <c r="AB56" s="993"/>
      <c r="AE56" s="34" t="s">
        <v>65</v>
      </c>
      <c r="AF56" s="24" t="s">
        <v>77</v>
      </c>
    </row>
    <row r="57" spans="2:36" s="19" customFormat="1" ht="4.5" customHeight="1" thickBot="1">
      <c r="B57" s="114"/>
      <c r="C57" s="114"/>
      <c r="D57" s="380"/>
      <c r="E57" s="381"/>
      <c r="F57" s="380"/>
      <c r="G57" s="380"/>
      <c r="H57" s="380"/>
      <c r="I57" s="380"/>
      <c r="J57" s="380"/>
      <c r="K57" s="380"/>
      <c r="L57" s="382"/>
      <c r="M57" s="382"/>
      <c r="N57" s="382"/>
      <c r="O57" s="451"/>
      <c r="P57" s="32"/>
      <c r="Q57" s="32"/>
      <c r="R57" s="32"/>
      <c r="S57" s="32"/>
      <c r="T57" s="32"/>
      <c r="U57" s="32"/>
      <c r="V57" s="32"/>
      <c r="W57" s="114"/>
      <c r="X57" s="661"/>
      <c r="Y57" s="661"/>
      <c r="Z57" s="661"/>
      <c r="AA57" s="114"/>
      <c r="AB57" s="114"/>
      <c r="AC57" s="49"/>
      <c r="AI57" s="20"/>
    </row>
    <row r="58" spans="2:36" ht="57.75">
      <c r="B58" s="1343" t="s">
        <v>143</v>
      </c>
      <c r="C58" s="427" t="s">
        <v>143</v>
      </c>
      <c r="D58" s="375" t="s">
        <v>144</v>
      </c>
      <c r="E58" s="346">
        <f>NETWORKDAYS.INTL(F58,G58,"0000100",$AI$5:$AI$11)</f>
        <v>19</v>
      </c>
      <c r="F58" s="81">
        <f>WORKDAY.INTL(G59,1,"0000100",$AI$5:$AI$11)</f>
        <v>46278</v>
      </c>
      <c r="G58" s="81">
        <f>WORKDAY.INTL(F58,18,"0000100",$AI$5:$AI$11)</f>
        <v>46299</v>
      </c>
      <c r="H58" s="81">
        <f>WORKDAY.INTL(I59,1,"0000100",$AI$5:$AI$11)</f>
        <v>46278</v>
      </c>
      <c r="I58" s="81">
        <f>WORKDAY.INTL(H58,18,"0000100",$AI$5:$AI$11)</f>
        <v>46299</v>
      </c>
      <c r="J58" s="81"/>
      <c r="K58" s="81"/>
      <c r="L58" s="376"/>
      <c r="M58" s="376" t="str">
        <f t="shared" ca="1" si="0"/>
        <v>Not Started</v>
      </c>
      <c r="N58" s="516"/>
      <c r="O58" s="1036"/>
      <c r="P58" s="36"/>
      <c r="Q58" s="50"/>
      <c r="R58" s="50"/>
      <c r="S58" s="50"/>
      <c r="T58" s="50"/>
      <c r="U58" s="50"/>
      <c r="V58" s="620"/>
      <c r="W58" s="521" t="s">
        <v>433</v>
      </c>
      <c r="X58" s="1244">
        <v>1</v>
      </c>
      <c r="Y58" s="1244"/>
      <c r="Z58" s="1244"/>
      <c r="AA58" s="67" t="s">
        <v>434</v>
      </c>
      <c r="AB58" s="497"/>
      <c r="AC58" s="21"/>
      <c r="AE58" s="34"/>
    </row>
    <row r="59" spans="2:36" ht="57.75">
      <c r="B59" s="1344"/>
      <c r="C59" s="428" t="s">
        <v>143</v>
      </c>
      <c r="D59" s="517" t="s">
        <v>147</v>
      </c>
      <c r="E59" s="354">
        <f>NETWORKDAYS.INTL(F59,G59,"0000100",$AI$5:$AI$11)</f>
        <v>19</v>
      </c>
      <c r="F59" s="84">
        <f>WORKDAY.INTL(F75,35,"0000100",$AI$5:$AI$11)</f>
        <v>46256</v>
      </c>
      <c r="G59" s="84">
        <f>WORKDAY.INTL(F59,18,"0000100",$AI$5:$AI$11)</f>
        <v>46277</v>
      </c>
      <c r="H59" s="84">
        <f>WORKDAY.INTL(H75,35,"0000100",$AI$5:$AI$11)</f>
        <v>46256</v>
      </c>
      <c r="I59" s="84">
        <f>WORKDAY.INTL(H59,18,"0000100",$AI$5:$AI$11)</f>
        <v>46277</v>
      </c>
      <c r="J59" s="84"/>
      <c r="K59" s="84"/>
      <c r="L59" s="366"/>
      <c r="M59" s="366" t="str">
        <f t="shared" ca="1" si="0"/>
        <v>Not Started</v>
      </c>
      <c r="N59" s="518"/>
      <c r="O59" s="1037"/>
      <c r="P59" s="36"/>
      <c r="Q59" s="50"/>
      <c r="R59" s="50"/>
      <c r="S59" s="50"/>
      <c r="T59" s="50"/>
      <c r="U59" s="50"/>
      <c r="V59" s="620"/>
      <c r="W59" s="522" t="s">
        <v>433</v>
      </c>
      <c r="X59" s="1243">
        <v>1</v>
      </c>
      <c r="Y59" s="1243"/>
      <c r="Z59" s="1243"/>
      <c r="AA59" s="34" t="s">
        <v>434</v>
      </c>
      <c r="AB59" s="498"/>
      <c r="AC59" s="21"/>
      <c r="AE59" s="34"/>
    </row>
    <row r="60" spans="2:36" ht="57.75">
      <c r="B60" s="1345"/>
      <c r="C60" s="429" t="s">
        <v>143</v>
      </c>
      <c r="D60" s="377" t="s">
        <v>148</v>
      </c>
      <c r="E60" s="347">
        <f>NETWORKDAYS.INTL(F60,G60,"0000100",$AI$5:$AI$11)</f>
        <v>65</v>
      </c>
      <c r="F60" s="378">
        <f>WORKDAY.INTL(F75,35,"0000100",$AI$5:$AI$11)</f>
        <v>46256</v>
      </c>
      <c r="G60" s="378">
        <f>WORKDAY.INTL(F60,64,"0000100",$AI$5:$AI$11)</f>
        <v>46330</v>
      </c>
      <c r="H60" s="378">
        <f>WORKDAY.INTL(H75,35,"0000100",$AI$5:$AI$11)</f>
        <v>46256</v>
      </c>
      <c r="I60" s="378">
        <f t="shared" ref="I60" si="57">WORKDAY.INTL(H60,64,"0000100",$AI$5:$AI$11)</f>
        <v>46330</v>
      </c>
      <c r="J60" s="378"/>
      <c r="K60" s="378"/>
      <c r="L60" s="379"/>
      <c r="M60" s="379" t="str">
        <f t="shared" ca="1" si="0"/>
        <v>Not Started</v>
      </c>
      <c r="N60" s="519"/>
      <c r="O60" s="1038"/>
      <c r="P60" s="35"/>
      <c r="Q60" s="35"/>
      <c r="R60" s="35"/>
      <c r="S60" s="35"/>
      <c r="T60" s="35"/>
      <c r="U60" s="35"/>
      <c r="V60" s="35"/>
      <c r="W60" s="524" t="s">
        <v>358</v>
      </c>
      <c r="X60" s="1245">
        <v>1</v>
      </c>
      <c r="Y60" s="1245"/>
      <c r="Z60" s="1245"/>
      <c r="AA60" s="70" t="s">
        <v>434</v>
      </c>
      <c r="AB60" s="525"/>
      <c r="AC60" s="21"/>
      <c r="AE60" s="34"/>
    </row>
    <row r="61" spans="2:36" s="19" customFormat="1" ht="4.5" customHeight="1" thickBot="1">
      <c r="B61" s="114"/>
      <c r="C61" s="114"/>
      <c r="D61" s="380"/>
      <c r="E61" s="381"/>
      <c r="F61" s="380"/>
      <c r="G61" s="380"/>
      <c r="H61" s="380"/>
      <c r="I61" s="380"/>
      <c r="J61" s="380"/>
      <c r="K61" s="380"/>
      <c r="L61" s="382"/>
      <c r="M61" s="382"/>
      <c r="N61" s="382"/>
      <c r="O61" s="453"/>
      <c r="P61" s="51"/>
      <c r="Q61" s="51"/>
      <c r="R61" s="51"/>
      <c r="S61" s="51"/>
      <c r="T61" s="51"/>
      <c r="U61" s="51"/>
      <c r="V61" s="51"/>
      <c r="W61" s="114"/>
      <c r="X61" s="661"/>
      <c r="Y61" s="661"/>
      <c r="Z61" s="661"/>
      <c r="AA61" s="114"/>
      <c r="AB61" s="114"/>
      <c r="AE61" s="33"/>
      <c r="AF61" s="33"/>
    </row>
    <row r="62" spans="2:36" s="19" customFormat="1" ht="85.5" customHeight="1" thickBot="1">
      <c r="B62" s="441" t="s">
        <v>150</v>
      </c>
      <c r="C62" s="544" t="s">
        <v>151</v>
      </c>
      <c r="D62" s="545" t="s">
        <v>359</v>
      </c>
      <c r="E62" s="546">
        <f>NETWORKDAYS.INTL(F62,G62,"0000110",$AI$5:$AI$11)</f>
        <v>3</v>
      </c>
      <c r="F62" s="442">
        <f>MAX(WORKDAY.INTL(G56,1,"0000110"),WORKDAY.INTL(G69,1,"0000110"))</f>
        <v>46309</v>
      </c>
      <c r="G62" s="442">
        <f t="shared" ref="G62" si="58">WORKDAY.INTL(F62,2,"0000110")</f>
        <v>46313</v>
      </c>
      <c r="H62" s="442">
        <f>MAX(WORKDAY.INTL(I56,1,"0000110"),WORKDAY.INTL(I69,1,"0000110"))</f>
        <v>46309</v>
      </c>
      <c r="I62" s="442">
        <f t="shared" ref="I62" si="59">WORKDAY.INTL(H62,2,"0000110")</f>
        <v>46313</v>
      </c>
      <c r="J62" s="442"/>
      <c r="K62" s="442"/>
      <c r="L62" s="443"/>
      <c r="M62" s="443" t="str">
        <f t="shared" ref="M62" ca="1" si="60">IF(L62=100%,"Completed",
IF(AND(L62&lt;100%,G62&lt;TODAY()),"Delayed",
IF(AND(OR(L62="",L62=0),F62&gt;TODAY()),"Not Started",
IF(AND(OR(L62="",L62=0),F62&lt;=TODAY()),"Delayed",
IF(AND(L62&gt;0,L62&lt;100%),"In Progress","")))))</f>
        <v>Not Started</v>
      </c>
      <c r="N62" s="668"/>
      <c r="O62" s="1039"/>
      <c r="P62" s="237"/>
      <c r="Q62" s="237"/>
      <c r="R62" s="237"/>
      <c r="S62" s="237"/>
      <c r="T62" s="237"/>
      <c r="U62" s="237"/>
      <c r="V62" s="237"/>
      <c r="W62" s="672" t="s">
        <v>153</v>
      </c>
      <c r="X62" s="1247">
        <v>1</v>
      </c>
      <c r="Y62" s="1247"/>
      <c r="Z62" s="1247"/>
      <c r="AA62" s="444" t="s">
        <v>435</v>
      </c>
      <c r="AB62" s="991"/>
      <c r="AE62" s="33"/>
      <c r="AF62" s="33"/>
    </row>
    <row r="63" spans="2:36" ht="29.1" hidden="1" customHeight="1">
      <c r="B63" s="1366"/>
      <c r="C63" s="57"/>
      <c r="D63" s="669"/>
      <c r="E63" s="333"/>
      <c r="F63" s="414"/>
      <c r="G63" s="414"/>
      <c r="H63" s="414"/>
      <c r="I63" s="414"/>
      <c r="J63" s="414"/>
      <c r="K63" s="414"/>
      <c r="L63" s="405"/>
      <c r="M63" s="405"/>
      <c r="N63" s="405"/>
      <c r="O63" s="455"/>
      <c r="P63" s="55"/>
      <c r="Q63" s="55"/>
      <c r="R63" s="55"/>
      <c r="S63" s="55"/>
      <c r="T63" s="55"/>
      <c r="U63" s="55"/>
      <c r="V63" s="56"/>
      <c r="W63" s="1397"/>
      <c r="X63" s="432"/>
      <c r="Y63" s="432"/>
      <c r="Z63" s="432"/>
      <c r="AA63" s="48"/>
      <c r="AB63" s="48"/>
      <c r="AC63" s="21"/>
      <c r="AE63" s="34"/>
    </row>
    <row r="64" spans="2:36" ht="29.1" hidden="1" customHeight="1">
      <c r="B64" s="1366"/>
      <c r="C64" s="57"/>
      <c r="D64" s="336"/>
      <c r="E64" s="335"/>
      <c r="F64" s="399"/>
      <c r="G64" s="399"/>
      <c r="H64" s="399"/>
      <c r="I64" s="399"/>
      <c r="J64" s="399"/>
      <c r="K64" s="399"/>
      <c r="L64" s="400"/>
      <c r="M64" s="400"/>
      <c r="N64" s="400"/>
      <c r="O64" s="106"/>
      <c r="P64" s="46"/>
      <c r="Q64" s="46"/>
      <c r="R64" s="46"/>
      <c r="S64" s="46"/>
      <c r="T64" s="46"/>
      <c r="U64" s="46"/>
      <c r="V64" s="47"/>
      <c r="W64" s="1397"/>
      <c r="X64" s="432"/>
      <c r="Y64" s="432"/>
      <c r="Z64" s="432"/>
      <c r="AA64" s="41"/>
      <c r="AB64" s="41"/>
      <c r="AC64" s="21"/>
      <c r="AE64" s="19"/>
      <c r="AF64" s="19"/>
    </row>
    <row r="65" spans="2:33" ht="29.1" hidden="1" customHeight="1">
      <c r="B65" s="1366"/>
      <c r="C65" s="57"/>
      <c r="D65" s="336"/>
      <c r="E65" s="335"/>
      <c r="F65" s="399"/>
      <c r="G65" s="399"/>
      <c r="H65" s="399"/>
      <c r="I65" s="399"/>
      <c r="J65" s="399"/>
      <c r="K65" s="399"/>
      <c r="L65" s="400"/>
      <c r="M65" s="400"/>
      <c r="N65" s="400"/>
      <c r="O65" s="106"/>
      <c r="P65" s="46"/>
      <c r="Q65" s="46"/>
      <c r="R65" s="46"/>
      <c r="S65" s="46"/>
      <c r="T65" s="46"/>
      <c r="U65" s="46"/>
      <c r="V65" s="47"/>
      <c r="W65" s="432"/>
      <c r="X65" s="432"/>
      <c r="Y65" s="432"/>
      <c r="Z65" s="432"/>
      <c r="AA65" s="41"/>
      <c r="AB65" s="41"/>
      <c r="AC65" s="21"/>
      <c r="AE65" s="34"/>
    </row>
    <row r="66" spans="2:33" ht="29.1" hidden="1" customHeight="1">
      <c r="B66" s="1366"/>
      <c r="C66" s="57"/>
      <c r="D66" s="336"/>
      <c r="E66" s="335"/>
      <c r="F66" s="399"/>
      <c r="G66" s="399"/>
      <c r="H66" s="399"/>
      <c r="I66" s="399"/>
      <c r="J66" s="399"/>
      <c r="K66" s="399"/>
      <c r="L66" s="400"/>
      <c r="M66" s="400"/>
      <c r="N66" s="400"/>
      <c r="O66" s="106"/>
      <c r="P66" s="46"/>
      <c r="Q66" s="46"/>
      <c r="R66" s="46"/>
      <c r="S66" s="46"/>
      <c r="T66" s="46"/>
      <c r="U66" s="46"/>
      <c r="V66" s="47"/>
      <c r="W66" s="432"/>
      <c r="X66" s="432"/>
      <c r="Y66" s="432"/>
      <c r="Z66" s="432"/>
      <c r="AA66" s="41"/>
      <c r="AB66" s="41"/>
      <c r="AC66" s="21"/>
      <c r="AE66" s="34"/>
    </row>
    <row r="67" spans="2:33" ht="29.1" hidden="1" customHeight="1" thickBot="1">
      <c r="B67" s="1367"/>
      <c r="C67" s="58"/>
      <c r="D67" s="342"/>
      <c r="E67" s="343"/>
      <c r="F67" s="395"/>
      <c r="G67" s="395"/>
      <c r="H67" s="395"/>
      <c r="I67" s="395"/>
      <c r="J67" s="395"/>
      <c r="K67" s="395"/>
      <c r="L67" s="396"/>
      <c r="M67" s="396"/>
      <c r="N67" s="396"/>
      <c r="O67" s="456"/>
      <c r="P67" s="62"/>
      <c r="Q67" s="62"/>
      <c r="R67" s="62"/>
      <c r="S67" s="62"/>
      <c r="T67" s="62"/>
      <c r="U67" s="62"/>
      <c r="V67" s="63"/>
      <c r="W67" s="242"/>
      <c r="X67" s="242"/>
      <c r="Y67" s="242"/>
      <c r="Z67" s="242"/>
      <c r="AA67" s="60"/>
      <c r="AB67" s="60"/>
      <c r="AC67" s="21"/>
      <c r="AE67" s="34"/>
    </row>
    <row r="68" spans="2:33" s="19" customFormat="1" ht="4.5" customHeight="1" thickBot="1">
      <c r="B68" s="51"/>
      <c r="C68" s="51"/>
      <c r="D68" s="338"/>
      <c r="E68" s="339"/>
      <c r="F68" s="338"/>
      <c r="G68" s="338"/>
      <c r="H68" s="338"/>
      <c r="I68" s="338"/>
      <c r="J68" s="338"/>
      <c r="K68" s="338"/>
      <c r="L68" s="374"/>
      <c r="M68" s="374"/>
      <c r="N68" s="374"/>
      <c r="O68" s="451"/>
      <c r="P68" s="32"/>
      <c r="Q68" s="32"/>
      <c r="R68" s="32"/>
      <c r="S68" s="32"/>
      <c r="T68" s="32"/>
      <c r="U68" s="32"/>
      <c r="V68" s="32"/>
      <c r="W68" s="51"/>
      <c r="X68" s="52"/>
      <c r="Y68" s="52"/>
      <c r="Z68" s="52"/>
      <c r="AA68" s="51"/>
      <c r="AB68" s="51"/>
    </row>
    <row r="69" spans="2:33" ht="34.5" customHeight="1">
      <c r="B69" s="1343" t="s">
        <v>155</v>
      </c>
      <c r="C69" s="427" t="s">
        <v>155</v>
      </c>
      <c r="D69" s="345" t="s">
        <v>47</v>
      </c>
      <c r="E69" s="346">
        <f>NETWORKDAYS.INTL(F69,G69,"0000110",$AI$5:$AI$11)</f>
        <v>30</v>
      </c>
      <c r="F69" s="81">
        <v>46249</v>
      </c>
      <c r="G69" s="81">
        <f>WORKDAY.INTL(F69,30,"0000110",$AI$5:$AI$10)</f>
        <v>46289</v>
      </c>
      <c r="H69" s="81">
        <v>46249</v>
      </c>
      <c r="I69" s="81">
        <f>WORKDAY.INTL(H69,30,"0000110",$AI$5:$AI$10)</f>
        <v>46289</v>
      </c>
      <c r="J69" s="81"/>
      <c r="K69" s="81"/>
      <c r="L69" s="376"/>
      <c r="M69" s="376" t="str">
        <f t="shared" ref="M69:M70" ca="1" si="61">IF(L69=100%,"Completed",
IF(AND(L69&lt;100%,G69&lt;TODAY()),"Delayed",
IF(AND(OR(L69="",L69=0),F69&gt;TODAY()),"Not Started",
IF(AND(OR(L69="",L69=0),F69&lt;=TODAY()),"Delayed",
IF(AND(L69&gt;0,L69&lt;100%),"In Progress","")))))</f>
        <v>Not Started</v>
      </c>
      <c r="N69" s="516"/>
      <c r="O69" s="1394"/>
      <c r="P69" s="445"/>
      <c r="Q69" s="65"/>
      <c r="R69" s="65"/>
      <c r="S69" s="65"/>
      <c r="T69" s="65"/>
      <c r="U69" s="65"/>
      <c r="V69" s="621"/>
      <c r="W69" s="521"/>
      <c r="X69" s="1244">
        <v>1</v>
      </c>
      <c r="Y69" s="1244"/>
      <c r="Z69" s="1244"/>
      <c r="AA69" s="67" t="s">
        <v>434</v>
      </c>
      <c r="AB69" s="497"/>
      <c r="AC69" s="21"/>
    </row>
    <row r="70" spans="2:33" ht="45.75" customHeight="1" thickBot="1">
      <c r="B70" s="1345"/>
      <c r="C70" s="429" t="s">
        <v>155</v>
      </c>
      <c r="D70" s="489" t="s">
        <v>158</v>
      </c>
      <c r="E70" s="347">
        <f>NETWORKDAYS.INTL(F70,G70,"0000110",$AI$5:$AI$11)</f>
        <v>30</v>
      </c>
      <c r="F70" s="378">
        <f>G62+7</f>
        <v>46320</v>
      </c>
      <c r="G70" s="378">
        <f>WORKDAY.INTL(F70,29,"0000110",$AI$5:$AI$10)</f>
        <v>46359</v>
      </c>
      <c r="H70" s="378">
        <f>I62+7</f>
        <v>46320</v>
      </c>
      <c r="I70" s="378">
        <f>WORKDAY.INTL(H70,29,"0000110",$AI$5:$AI$10)</f>
        <v>46359</v>
      </c>
      <c r="J70" s="378"/>
      <c r="K70" s="378"/>
      <c r="L70" s="379"/>
      <c r="M70" s="379" t="str">
        <f t="shared" ca="1" si="61"/>
        <v>Not Started</v>
      </c>
      <c r="N70" s="519"/>
      <c r="O70" s="1396"/>
      <c r="P70" s="446"/>
      <c r="Q70" s="72"/>
      <c r="R70" s="72"/>
      <c r="S70" s="72"/>
      <c r="T70" s="72"/>
      <c r="U70" s="72"/>
      <c r="V70" s="622"/>
      <c r="W70" s="524" t="s">
        <v>159</v>
      </c>
      <c r="X70" s="1245">
        <v>1</v>
      </c>
      <c r="Y70" s="1245"/>
      <c r="Z70" s="1245"/>
      <c r="AA70" s="70"/>
      <c r="AB70" s="525"/>
      <c r="AC70" s="21"/>
    </row>
    <row r="71" spans="2:33" s="19" customFormat="1" ht="4.5" customHeight="1" thickBot="1">
      <c r="B71" s="114"/>
      <c r="C71" s="114"/>
      <c r="D71" s="380"/>
      <c r="E71" s="381"/>
      <c r="F71" s="380"/>
      <c r="G71" s="380"/>
      <c r="H71" s="380"/>
      <c r="I71" s="380"/>
      <c r="J71" s="380"/>
      <c r="K71" s="380"/>
      <c r="L71" s="382"/>
      <c r="M71" s="382"/>
      <c r="N71" s="382"/>
      <c r="O71" s="451"/>
      <c r="P71" s="32"/>
      <c r="Q71" s="32"/>
      <c r="R71" s="32"/>
      <c r="S71" s="32"/>
      <c r="T71" s="32"/>
      <c r="U71" s="32"/>
      <c r="V71" s="32"/>
      <c r="W71" s="114"/>
      <c r="X71" s="661"/>
      <c r="Y71" s="661"/>
      <c r="Z71" s="661"/>
      <c r="AA71" s="114"/>
      <c r="AB71" s="114"/>
      <c r="AF71" s="24"/>
      <c r="AG71" s="24"/>
    </row>
    <row r="72" spans="2:33" ht="165" customHeight="1">
      <c r="B72" s="1336" t="s">
        <v>160</v>
      </c>
      <c r="C72" s="140" t="s">
        <v>160</v>
      </c>
      <c r="D72" s="349" t="s">
        <v>161</v>
      </c>
      <c r="E72" s="350">
        <f>NETWORKDAYS.INTL(F72,G72,"0000100",$AH$5:$AH$12)</f>
        <v>19</v>
      </c>
      <c r="F72" s="417">
        <v>46260</v>
      </c>
      <c r="G72" s="417">
        <f>WORKDAY.INTL(F72,15,"0000110",$AI$5:$AI$10)</f>
        <v>46281</v>
      </c>
      <c r="H72" s="415">
        <v>46260</v>
      </c>
      <c r="I72" s="415">
        <f>WORKDAY.INTL(H72,15,"0000110",$AI$5:$AI$10)</f>
        <v>46281</v>
      </c>
      <c r="J72" s="415"/>
      <c r="K72" s="415"/>
      <c r="L72" s="406"/>
      <c r="M72" s="406" t="str">
        <f t="shared" ref="M72:M73" ca="1" si="62">IF(L72=100%,"Completed",
IF(AND(L72&lt;100%,G72&lt;TODAY()),"Delayed",
IF(AND(OR(L72="",L72=0),F72&gt;TODAY()),"Not Started",
IF(AND(OR(L72="",L72=0),F72&lt;=TODAY()),"Delayed",
IF(AND(L72&gt;0,L72&lt;100%),"In Progress","")))))</f>
        <v>Not Started</v>
      </c>
      <c r="N72" s="675"/>
      <c r="O72" s="1394"/>
      <c r="P72" s="447"/>
      <c r="Q72" s="73"/>
      <c r="R72" s="73"/>
      <c r="S72" s="73"/>
      <c r="T72" s="73"/>
      <c r="U72" s="73"/>
      <c r="V72" s="78"/>
      <c r="W72" s="677" t="s">
        <v>162</v>
      </c>
      <c r="X72" s="1248"/>
      <c r="Y72" s="1248"/>
      <c r="Z72" s="1248"/>
      <c r="AA72" s="75"/>
      <c r="AB72" s="1042"/>
      <c r="AC72" s="21"/>
      <c r="AF72" s="33"/>
      <c r="AG72" s="33"/>
    </row>
    <row r="73" spans="2:33" ht="36" customHeight="1" thickBot="1">
      <c r="B73" s="1337"/>
      <c r="C73" s="141" t="s">
        <v>160</v>
      </c>
      <c r="D73" s="351" t="s">
        <v>51</v>
      </c>
      <c r="E73" s="352">
        <f>NETWORKDAYS.INTL(F73,G73,"0000110",$AH$5:$AH$12)</f>
        <v>16</v>
      </c>
      <c r="F73" s="418">
        <f>WORKDAY.INTL(G72,15,"0000110",$AI$5:$AI$10)</f>
        <v>46302</v>
      </c>
      <c r="G73" s="418">
        <f>WORKDAY.INTL(F73,15,"0000110",$AI$5:$AI$10)</f>
        <v>46323</v>
      </c>
      <c r="H73" s="1040">
        <f>WORKDAY.INTL(I72,15,"0000110",$AI$5:$AI$10)</f>
        <v>46302</v>
      </c>
      <c r="I73" s="1040">
        <f>WORKDAY.INTL(H73,15,"0000110",$AI$5:$AI$10)</f>
        <v>46323</v>
      </c>
      <c r="J73" s="1040"/>
      <c r="K73" s="1040"/>
      <c r="L73" s="407"/>
      <c r="M73" s="407" t="str">
        <f t="shared" ca="1" si="62"/>
        <v>Not Started</v>
      </c>
      <c r="N73" s="676"/>
      <c r="O73" s="1396"/>
      <c r="P73" s="448"/>
      <c r="Q73" s="79"/>
      <c r="R73" s="79"/>
      <c r="S73" s="79"/>
      <c r="T73" s="79"/>
      <c r="U73" s="79"/>
      <c r="V73" s="1041"/>
      <c r="W73" s="679" t="s">
        <v>163</v>
      </c>
      <c r="X73" s="1249"/>
      <c r="Y73" s="1249"/>
      <c r="Z73" s="1249"/>
      <c r="AA73" s="144"/>
      <c r="AB73" s="1043"/>
      <c r="AC73" s="21"/>
    </row>
    <row r="74" spans="2:33" ht="8.1" customHeight="1" thickBot="1">
      <c r="B74" s="1044"/>
      <c r="C74" s="90"/>
      <c r="D74" s="416"/>
      <c r="E74" s="416"/>
      <c r="F74" s="416"/>
      <c r="G74" s="416"/>
      <c r="H74" s="416"/>
      <c r="I74" s="416"/>
      <c r="J74" s="416"/>
      <c r="K74" s="416"/>
      <c r="L74" s="416"/>
      <c r="M74" s="416"/>
      <c r="N74" s="416"/>
      <c r="O74" s="457"/>
      <c r="P74" s="80"/>
      <c r="Q74" s="80"/>
      <c r="R74" s="80"/>
      <c r="S74" s="80"/>
      <c r="T74" s="80"/>
      <c r="U74" s="80"/>
      <c r="V74" s="80"/>
      <c r="W74" s="90"/>
      <c r="X74" s="681"/>
      <c r="Y74" s="681"/>
      <c r="Z74" s="681"/>
      <c r="AA74" s="90"/>
      <c r="AB74" s="90"/>
      <c r="AC74" s="21"/>
    </row>
    <row r="75" spans="2:33" ht="36" customHeight="1">
      <c r="B75" s="1351" t="s">
        <v>164</v>
      </c>
      <c r="C75" s="437" t="s">
        <v>91</v>
      </c>
      <c r="D75" s="345" t="s">
        <v>165</v>
      </c>
      <c r="E75" s="346">
        <f>NETWORKDAYS.INTL(F75,G75,"0000100",$AI$5:$AI$11)</f>
        <v>1</v>
      </c>
      <c r="F75" s="81">
        <f>G75</f>
        <v>46215</v>
      </c>
      <c r="G75" s="81">
        <v>46215</v>
      </c>
      <c r="H75" s="81">
        <f>I75</f>
        <v>46215</v>
      </c>
      <c r="I75" s="81">
        <v>46215</v>
      </c>
      <c r="J75" s="81">
        <v>46215</v>
      </c>
      <c r="K75" s="81">
        <v>46215</v>
      </c>
      <c r="L75" s="376">
        <v>1</v>
      </c>
      <c r="M75" s="376" t="str">
        <f t="shared" ref="M75:M108" ca="1" si="63">IF(L75=100%,"Completed",
IF(AND(L75&lt;100%,G75&lt;TODAY()),"Delayed",
IF(AND(OR(L75="",L75=0),F75&gt;TODAY()),"Not Started",
IF(AND(OR(L75="",L75=0),F75&lt;=TODAY()),"Delayed",
IF(AND(L75&gt;0,L75&lt;100%),"In Progress","")))))</f>
        <v>Completed</v>
      </c>
      <c r="N75" s="516"/>
      <c r="O75" s="1404"/>
      <c r="P75" s="445"/>
      <c r="Q75" s="65"/>
      <c r="R75" s="65"/>
      <c r="S75" s="65"/>
      <c r="T75" s="65"/>
      <c r="U75" s="65"/>
      <c r="V75" s="621"/>
      <c r="W75" s="521"/>
      <c r="X75" s="1244"/>
      <c r="Y75" s="1244"/>
      <c r="Z75" s="1244"/>
      <c r="AA75" s="81"/>
      <c r="AB75" s="486"/>
      <c r="AC75" s="21"/>
    </row>
    <row r="76" spans="2:33" ht="50.1" customHeight="1">
      <c r="B76" s="1344"/>
      <c r="C76" s="487" t="s">
        <v>91</v>
      </c>
      <c r="D76" s="353" t="s">
        <v>299</v>
      </c>
      <c r="E76" s="354">
        <f t="shared" ref="E76:E104" si="64">NETWORKDAYS.INTL(F76,G76,"0000100",$AI$5:$AI$12)</f>
        <v>11</v>
      </c>
      <c r="F76" s="84">
        <f>WORKDAY.INTL(G75,8,"0000100",$AI$5:$AI$11)</f>
        <v>46224</v>
      </c>
      <c r="G76" s="84">
        <f>WORKDAY.INTL(F76,10,"0000100",$AI$5:$AI$11)</f>
        <v>46236</v>
      </c>
      <c r="H76" s="84">
        <f>WORKDAY.INTL(I75,8,"0000100",$AI$5:$AI$11)</f>
        <v>46224</v>
      </c>
      <c r="I76" s="84">
        <f>WORKDAY.INTL(H76,10,"0000100",$AI$5:$AI$11)</f>
        <v>46236</v>
      </c>
      <c r="J76" s="84">
        <v>46224</v>
      </c>
      <c r="K76" s="84"/>
      <c r="L76" s="366">
        <v>0.18</v>
      </c>
      <c r="M76" s="366" t="str">
        <f t="shared" ca="1" si="63"/>
        <v>In Progress</v>
      </c>
      <c r="N76" s="518"/>
      <c r="O76" s="1405"/>
      <c r="P76" s="39"/>
      <c r="Q76" s="82"/>
      <c r="R76" s="82"/>
      <c r="S76" s="82"/>
      <c r="T76" s="82"/>
      <c r="U76" s="82"/>
      <c r="V76" s="1045"/>
      <c r="W76" s="688" t="s">
        <v>168</v>
      </c>
      <c r="X76" s="1243" t="s">
        <v>133</v>
      </c>
      <c r="Y76" s="1243"/>
      <c r="Z76" s="1243"/>
      <c r="AA76" s="84" t="s">
        <v>436</v>
      </c>
      <c r="AB76" s="488" t="s">
        <v>437</v>
      </c>
      <c r="AC76" s="21"/>
    </row>
    <row r="77" spans="2:33" ht="36" customHeight="1" thickBot="1">
      <c r="B77" s="1345"/>
      <c r="C77" s="438" t="s">
        <v>91</v>
      </c>
      <c r="D77" s="489" t="s">
        <v>172</v>
      </c>
      <c r="E77" s="347">
        <f t="shared" si="64"/>
        <v>5</v>
      </c>
      <c r="F77" s="378">
        <f t="shared" ref="F77:F83" si="65">WORKDAY.INTL(G76,1,"0000100",$AI$5:$AI$11)</f>
        <v>46237</v>
      </c>
      <c r="G77" s="378">
        <f t="shared" ref="G77:I83" si="66">WORKDAY.INTL(G76,5,"0000100",$AI$5:$AI$11)</f>
        <v>46242</v>
      </c>
      <c r="H77" s="378">
        <f t="shared" ref="H77" si="67">WORKDAY.INTL(I76,1,"0000100",$AI$5:$AI$11)</f>
        <v>46237</v>
      </c>
      <c r="I77" s="378">
        <f t="shared" si="66"/>
        <v>46242</v>
      </c>
      <c r="J77" s="378"/>
      <c r="K77" s="378"/>
      <c r="L77" s="379"/>
      <c r="M77" s="379" t="str">
        <f t="shared" ca="1" si="63"/>
        <v>Not Started</v>
      </c>
      <c r="N77" s="519"/>
      <c r="O77" s="1406"/>
      <c r="P77" s="446"/>
      <c r="Q77" s="72"/>
      <c r="R77" s="72"/>
      <c r="S77" s="72"/>
      <c r="T77" s="72"/>
      <c r="U77" s="72"/>
      <c r="V77" s="622"/>
      <c r="W77" s="524"/>
      <c r="X77" s="1245">
        <v>1</v>
      </c>
      <c r="Y77" s="1245"/>
      <c r="Z77" s="1245"/>
      <c r="AA77" s="378"/>
      <c r="AB77" s="490"/>
      <c r="AC77" s="21"/>
    </row>
    <row r="78" spans="2:33" s="19" customFormat="1" ht="4.5" customHeight="1" thickBot="1">
      <c r="B78" s="114"/>
      <c r="C78" s="114"/>
      <c r="D78" s="380"/>
      <c r="E78" s="381"/>
      <c r="F78" s="380"/>
      <c r="G78" s="380"/>
      <c r="H78" s="380"/>
      <c r="I78" s="380"/>
      <c r="J78" s="380"/>
      <c r="K78" s="380"/>
      <c r="L78" s="382"/>
      <c r="M78" s="382"/>
      <c r="N78" s="382"/>
      <c r="O78" s="451"/>
      <c r="P78" s="32"/>
      <c r="Q78" s="32"/>
      <c r="R78" s="32"/>
      <c r="S78" s="32"/>
      <c r="T78" s="32"/>
      <c r="U78" s="32"/>
      <c r="V78" s="32"/>
      <c r="W78" s="114"/>
      <c r="X78" s="661"/>
      <c r="Y78" s="661"/>
      <c r="Z78" s="661"/>
      <c r="AA78" s="114"/>
      <c r="AB78" s="114"/>
      <c r="AF78" s="24"/>
      <c r="AG78" s="24"/>
    </row>
    <row r="79" spans="2:33" ht="50.1" customHeight="1">
      <c r="B79" s="1364" t="s">
        <v>303</v>
      </c>
      <c r="C79" s="437" t="s">
        <v>91</v>
      </c>
      <c r="D79" s="695" t="s">
        <v>438</v>
      </c>
      <c r="E79" s="696">
        <f t="shared" si="64"/>
        <v>5</v>
      </c>
      <c r="F79" s="699">
        <f>WORKDAY.INTL(G76,1,"0000100",$AI$5:$AI$11)</f>
        <v>46237</v>
      </c>
      <c r="G79" s="699">
        <f t="shared" ref="G79" si="68">WORKDAY.INTL(F79,4,"0000100",$AI$5:$AI$11)</f>
        <v>46242</v>
      </c>
      <c r="H79" s="699">
        <f t="shared" ref="H79" si="69">WORKDAY.INTL(I76,1,"0000100",$AI$5:$AI$11)</f>
        <v>46237</v>
      </c>
      <c r="I79" s="699">
        <f t="shared" ref="I79" si="70">WORKDAY.INTL(H79,4,"0000100",$AI$5:$AI$11)</f>
        <v>46242</v>
      </c>
      <c r="J79" s="699"/>
      <c r="K79" s="699"/>
      <c r="L79" s="700"/>
      <c r="M79" s="700" t="str">
        <f t="shared" ca="1" si="63"/>
        <v>Not Started</v>
      </c>
      <c r="N79" s="703"/>
      <c r="O79" s="1407"/>
      <c r="P79" s="450"/>
      <c r="Q79" s="87"/>
      <c r="R79" s="87"/>
      <c r="S79" s="87"/>
      <c r="T79" s="87"/>
      <c r="U79" s="87"/>
      <c r="V79" s="1048"/>
      <c r="W79" s="704" t="s">
        <v>168</v>
      </c>
      <c r="X79" s="1252" t="s">
        <v>133</v>
      </c>
      <c r="Y79" s="1252"/>
      <c r="Z79" s="1252"/>
      <c r="AA79" s="699" t="s">
        <v>436</v>
      </c>
      <c r="AB79" s="1046" t="s">
        <v>439</v>
      </c>
      <c r="AC79" s="21"/>
    </row>
    <row r="80" spans="2:33" ht="36" customHeight="1" thickBot="1">
      <c r="B80" s="1365"/>
      <c r="C80" s="438" t="s">
        <v>91</v>
      </c>
      <c r="D80" s="708" t="s">
        <v>172</v>
      </c>
      <c r="E80" s="709">
        <f t="shared" si="64"/>
        <v>5</v>
      </c>
      <c r="F80" s="712">
        <f t="shared" si="65"/>
        <v>46243</v>
      </c>
      <c r="G80" s="712">
        <f t="shared" si="66"/>
        <v>46247</v>
      </c>
      <c r="H80" s="712">
        <f t="shared" ref="H80" si="71">WORKDAY.INTL(I79,1,"0000100",$AI$5:$AI$11)</f>
        <v>46243</v>
      </c>
      <c r="I80" s="712">
        <f t="shared" si="66"/>
        <v>46247</v>
      </c>
      <c r="J80" s="712"/>
      <c r="K80" s="712"/>
      <c r="L80" s="713"/>
      <c r="M80" s="713" t="str">
        <f t="shared" ca="1" si="63"/>
        <v>Not Started</v>
      </c>
      <c r="N80" s="716"/>
      <c r="O80" s="1408"/>
      <c r="P80" s="450"/>
      <c r="Q80" s="87"/>
      <c r="R80" s="87"/>
      <c r="S80" s="87"/>
      <c r="T80" s="87"/>
      <c r="U80" s="87"/>
      <c r="V80" s="1048"/>
      <c r="W80" s="717"/>
      <c r="X80" s="1253">
        <v>1</v>
      </c>
      <c r="Y80" s="1253"/>
      <c r="Z80" s="1253"/>
      <c r="AA80" s="712"/>
      <c r="AB80" s="1047"/>
      <c r="AC80" s="21"/>
    </row>
    <row r="81" spans="2:33" s="19" customFormat="1" ht="4.5" customHeight="1" thickBot="1">
      <c r="B81" s="114"/>
      <c r="C81" s="114"/>
      <c r="D81" s="380"/>
      <c r="E81" s="381"/>
      <c r="F81" s="380"/>
      <c r="G81" s="380"/>
      <c r="H81" s="380"/>
      <c r="I81" s="380"/>
      <c r="J81" s="380"/>
      <c r="K81" s="380"/>
      <c r="L81" s="382"/>
      <c r="M81" s="382"/>
      <c r="N81" s="382"/>
      <c r="O81" s="451"/>
      <c r="P81" s="32"/>
      <c r="Q81" s="32"/>
      <c r="R81" s="32"/>
      <c r="S81" s="32"/>
      <c r="T81" s="32"/>
      <c r="U81" s="32"/>
      <c r="V81" s="32"/>
      <c r="W81" s="114"/>
      <c r="X81" s="661"/>
      <c r="Y81" s="661"/>
      <c r="Z81" s="661"/>
      <c r="AA81" s="114"/>
      <c r="AB81" s="114"/>
      <c r="AF81" s="24"/>
      <c r="AG81" s="24"/>
    </row>
    <row r="82" spans="2:33" ht="51" customHeight="1">
      <c r="B82" s="1351" t="s">
        <v>440</v>
      </c>
      <c r="C82" s="437" t="s">
        <v>91</v>
      </c>
      <c r="D82" s="345" t="s">
        <v>441</v>
      </c>
      <c r="E82" s="346">
        <f t="shared" si="64"/>
        <v>6</v>
      </c>
      <c r="F82" s="81">
        <f>WORKDAY.INTL(G79,1,"0000100",$AI$5:$AI$11)</f>
        <v>46243</v>
      </c>
      <c r="G82" s="81">
        <f>WORKDAY.INTL(F82,5,"0000100",$AI$5:$AI$11)</f>
        <v>46249</v>
      </c>
      <c r="H82" s="81">
        <f t="shared" ref="H82" si="72">WORKDAY.INTL(I79,1,"0000100",$AI$5:$AI$11)</f>
        <v>46243</v>
      </c>
      <c r="I82" s="81">
        <f>WORKDAY.INTL(H82,5,"0000100",$AI$5:$AI$11)</f>
        <v>46249</v>
      </c>
      <c r="J82" s="81"/>
      <c r="K82" s="81"/>
      <c r="L82" s="376"/>
      <c r="M82" s="376" t="str">
        <f t="shared" ca="1" si="63"/>
        <v>Not Started</v>
      </c>
      <c r="N82" s="516"/>
      <c r="O82" s="1394"/>
      <c r="P82" s="39"/>
      <c r="Q82" s="82"/>
      <c r="R82" s="82"/>
      <c r="S82" s="82"/>
      <c r="T82" s="82"/>
      <c r="U82" s="82"/>
      <c r="V82" s="1045"/>
      <c r="W82" s="521"/>
      <c r="X82" s="1244" t="s">
        <v>271</v>
      </c>
      <c r="Y82" s="1244"/>
      <c r="Z82" s="1244"/>
      <c r="AA82" s="81" t="s">
        <v>442</v>
      </c>
      <c r="AB82" s="1049" t="s">
        <v>443</v>
      </c>
      <c r="AC82" s="21"/>
    </row>
    <row r="83" spans="2:33" ht="36" customHeight="1" thickBot="1">
      <c r="B83" s="1345"/>
      <c r="C83" s="438" t="s">
        <v>91</v>
      </c>
      <c r="D83" s="489" t="s">
        <v>172</v>
      </c>
      <c r="E83" s="347">
        <f t="shared" si="64"/>
        <v>5</v>
      </c>
      <c r="F83" s="378">
        <f t="shared" si="65"/>
        <v>46250</v>
      </c>
      <c r="G83" s="378">
        <f t="shared" si="66"/>
        <v>46254</v>
      </c>
      <c r="H83" s="378">
        <f t="shared" ref="H83" si="73">WORKDAY.INTL(I82,1,"0000100",$AI$5:$AI$11)</f>
        <v>46250</v>
      </c>
      <c r="I83" s="378">
        <f t="shared" si="66"/>
        <v>46254</v>
      </c>
      <c r="J83" s="378"/>
      <c r="K83" s="378"/>
      <c r="L83" s="379"/>
      <c r="M83" s="379" t="str">
        <f t="shared" ca="1" si="63"/>
        <v>Not Started</v>
      </c>
      <c r="N83" s="519"/>
      <c r="O83" s="1396"/>
      <c r="P83" s="39"/>
      <c r="Q83" s="82"/>
      <c r="R83" s="82"/>
      <c r="S83" s="82"/>
      <c r="T83" s="82"/>
      <c r="U83" s="82"/>
      <c r="V83" s="1045"/>
      <c r="W83" s="524"/>
      <c r="X83" s="1245">
        <v>1</v>
      </c>
      <c r="Y83" s="1245"/>
      <c r="Z83" s="1245"/>
      <c r="AA83" s="378"/>
      <c r="AB83" s="490"/>
      <c r="AC83" s="21"/>
    </row>
    <row r="84" spans="2:33" s="19" customFormat="1" ht="4.5" customHeight="1" thickBot="1">
      <c r="B84" s="114"/>
      <c r="C84" s="114"/>
      <c r="D84" s="380"/>
      <c r="E84" s="381"/>
      <c r="F84" s="380"/>
      <c r="G84" s="380"/>
      <c r="H84" s="380"/>
      <c r="I84" s="380"/>
      <c r="J84" s="380"/>
      <c r="K84" s="380"/>
      <c r="L84" s="382"/>
      <c r="M84" s="382"/>
      <c r="N84" s="382"/>
      <c r="O84" s="451"/>
      <c r="P84" s="32"/>
      <c r="Q84" s="32"/>
      <c r="R84" s="32"/>
      <c r="S84" s="32"/>
      <c r="T84" s="32"/>
      <c r="U84" s="32"/>
      <c r="V84" s="32"/>
      <c r="W84" s="114"/>
      <c r="X84" s="661"/>
      <c r="Y84" s="661"/>
      <c r="Z84" s="661"/>
      <c r="AA84" s="114"/>
      <c r="AB84" s="114"/>
      <c r="AF84" s="24"/>
      <c r="AG84" s="24"/>
    </row>
    <row r="85" spans="2:33" ht="36" customHeight="1">
      <c r="B85" s="1349" t="s">
        <v>444</v>
      </c>
      <c r="C85" s="437" t="s">
        <v>91</v>
      </c>
      <c r="D85" s="695" t="s">
        <v>445</v>
      </c>
      <c r="E85" s="696">
        <f t="shared" si="64"/>
        <v>6</v>
      </c>
      <c r="F85" s="699">
        <f t="shared" ref="F85" si="74">WORKDAY.INTL(G82,1,"0000100",$AI$5:$AI$11)</f>
        <v>46250</v>
      </c>
      <c r="G85" s="699">
        <f>WORKDAY.INTL(F85,5,"0000100",$AI$5:$AI$11)</f>
        <v>46256</v>
      </c>
      <c r="H85" s="699">
        <f t="shared" ref="H85" si="75">WORKDAY.INTL(I82,1,"0000100",$AI$5:$AI$11)</f>
        <v>46250</v>
      </c>
      <c r="I85" s="699">
        <f>WORKDAY.INTL(H85,5,"0000100",$AI$5:$AI$11)</f>
        <v>46256</v>
      </c>
      <c r="J85" s="699"/>
      <c r="K85" s="699"/>
      <c r="L85" s="700"/>
      <c r="M85" s="700" t="str">
        <f t="shared" ca="1" si="63"/>
        <v>Not Started</v>
      </c>
      <c r="N85" s="703"/>
      <c r="O85" s="1394"/>
      <c r="P85" s="450"/>
      <c r="Q85" s="87"/>
      <c r="R85" s="87"/>
      <c r="S85" s="87"/>
      <c r="T85" s="87"/>
      <c r="U85" s="87"/>
      <c r="V85" s="1048"/>
      <c r="W85" s="485"/>
      <c r="X85" s="1252" t="s">
        <v>271</v>
      </c>
      <c r="Y85" s="1252"/>
      <c r="Z85" s="1252"/>
      <c r="AA85" s="699" t="s">
        <v>442</v>
      </c>
      <c r="AB85" s="1046" t="s">
        <v>443</v>
      </c>
      <c r="AC85" s="21"/>
    </row>
    <row r="86" spans="2:33" ht="36" customHeight="1" thickBot="1">
      <c r="B86" s="1350"/>
      <c r="C86" s="438" t="s">
        <v>91</v>
      </c>
      <c r="D86" s="708" t="s">
        <v>172</v>
      </c>
      <c r="E86" s="709">
        <f t="shared" si="64"/>
        <v>5</v>
      </c>
      <c r="F86" s="712">
        <f t="shared" ref="F86:F92" si="76">WORKDAY.INTL(G85,1,"0000100",$AI$5:$AI$11)</f>
        <v>46257</v>
      </c>
      <c r="G86" s="712">
        <f t="shared" ref="G86:I92" si="77">WORKDAY.INTL(G85,5,"0000100",$AI$5:$AI$11)</f>
        <v>46261</v>
      </c>
      <c r="H86" s="712">
        <f t="shared" ref="H86" si="78">WORKDAY.INTL(I85,1,"0000100",$AI$5:$AI$11)</f>
        <v>46257</v>
      </c>
      <c r="I86" s="712">
        <f t="shared" si="77"/>
        <v>46261</v>
      </c>
      <c r="J86" s="712"/>
      <c r="K86" s="712"/>
      <c r="L86" s="713"/>
      <c r="M86" s="713" t="str">
        <f t="shared" ca="1" si="63"/>
        <v>Not Started</v>
      </c>
      <c r="N86" s="716"/>
      <c r="O86" s="1396"/>
      <c r="P86" s="450"/>
      <c r="Q86" s="87"/>
      <c r="R86" s="87"/>
      <c r="S86" s="87"/>
      <c r="T86" s="87"/>
      <c r="U86" s="87"/>
      <c r="V86" s="1048"/>
      <c r="W86" s="717"/>
      <c r="X86" s="1253">
        <v>1</v>
      </c>
      <c r="Y86" s="1253"/>
      <c r="Z86" s="1253"/>
      <c r="AA86" s="712"/>
      <c r="AB86" s="1047"/>
      <c r="AC86" s="21"/>
    </row>
    <row r="87" spans="2:33" s="19" customFormat="1" ht="4.5" customHeight="1" thickBot="1">
      <c r="B87" s="114"/>
      <c r="C87" s="114"/>
      <c r="D87" s="380"/>
      <c r="E87" s="381"/>
      <c r="F87" s="380"/>
      <c r="G87" s="380"/>
      <c r="H87" s="380"/>
      <c r="I87" s="380"/>
      <c r="J87" s="380"/>
      <c r="K87" s="380"/>
      <c r="L87" s="382"/>
      <c r="M87" s="382"/>
      <c r="N87" s="382"/>
      <c r="O87" s="451"/>
      <c r="P87" s="32"/>
      <c r="Q87" s="32"/>
      <c r="R87" s="32"/>
      <c r="S87" s="32"/>
      <c r="T87" s="32"/>
      <c r="U87" s="32"/>
      <c r="V87" s="32"/>
      <c r="W87" s="114"/>
      <c r="X87" s="661"/>
      <c r="Y87" s="661"/>
      <c r="Z87" s="661"/>
      <c r="AA87" s="114"/>
      <c r="AB87" s="114"/>
      <c r="AF87" s="24"/>
      <c r="AG87" s="24"/>
    </row>
    <row r="88" spans="2:33" ht="77.25">
      <c r="B88" s="1351" t="s">
        <v>446</v>
      </c>
      <c r="C88" s="437" t="s">
        <v>91</v>
      </c>
      <c r="D88" s="345" t="s">
        <v>447</v>
      </c>
      <c r="E88" s="346">
        <f t="shared" si="64"/>
        <v>6</v>
      </c>
      <c r="F88" s="81">
        <f>WORKDAY.INTL(G85,1,"0000100",$AI$5:$AI$11)</f>
        <v>46257</v>
      </c>
      <c r="G88" s="81">
        <f>WORKDAY.INTL(F88,5,"0000100",$AI$5:$AI$11)</f>
        <v>46263</v>
      </c>
      <c r="H88" s="81">
        <f t="shared" ref="H88" si="79">WORKDAY.INTL(I85,1,"0000100",$AI$5:$AI$11)</f>
        <v>46257</v>
      </c>
      <c r="I88" s="81">
        <f>WORKDAY.INTL(H88,5,"0000100",$AI$5:$AI$11)</f>
        <v>46263</v>
      </c>
      <c r="J88" s="81"/>
      <c r="K88" s="81"/>
      <c r="L88" s="376"/>
      <c r="M88" s="376" t="str">
        <f t="shared" ca="1" si="63"/>
        <v>Not Started</v>
      </c>
      <c r="N88" s="516"/>
      <c r="O88" s="1394"/>
      <c r="P88" s="39"/>
      <c r="Q88" s="82"/>
      <c r="R88" s="82"/>
      <c r="S88" s="82"/>
      <c r="T88" s="82"/>
      <c r="U88" s="82"/>
      <c r="V88" s="1045"/>
      <c r="W88" s="521"/>
      <c r="X88" s="1244" t="s">
        <v>271</v>
      </c>
      <c r="Y88" s="1244"/>
      <c r="Z88" s="1244"/>
      <c r="AA88" s="81" t="s">
        <v>442</v>
      </c>
      <c r="AB88" s="1049" t="s">
        <v>443</v>
      </c>
      <c r="AC88" s="21"/>
    </row>
    <row r="89" spans="2:33" ht="36" customHeight="1" thickBot="1">
      <c r="B89" s="1345"/>
      <c r="C89" s="438" t="s">
        <v>91</v>
      </c>
      <c r="D89" s="489" t="s">
        <v>172</v>
      </c>
      <c r="E89" s="347">
        <f t="shared" si="64"/>
        <v>5</v>
      </c>
      <c r="F89" s="378">
        <f t="shared" si="76"/>
        <v>46264</v>
      </c>
      <c r="G89" s="378">
        <f t="shared" si="77"/>
        <v>46268</v>
      </c>
      <c r="H89" s="378">
        <f t="shared" ref="H89" si="80">WORKDAY.INTL(I88,1,"0000100",$AI$5:$AI$11)</f>
        <v>46264</v>
      </c>
      <c r="I89" s="378">
        <f t="shared" si="77"/>
        <v>46268</v>
      </c>
      <c r="J89" s="378"/>
      <c r="K89" s="378"/>
      <c r="L89" s="379"/>
      <c r="M89" s="379" t="str">
        <f t="shared" ca="1" si="63"/>
        <v>Not Started</v>
      </c>
      <c r="N89" s="519"/>
      <c r="O89" s="1396"/>
      <c r="P89" s="39"/>
      <c r="Q89" s="82"/>
      <c r="R89" s="82"/>
      <c r="S89" s="82"/>
      <c r="T89" s="82"/>
      <c r="U89" s="82"/>
      <c r="V89" s="1045"/>
      <c r="W89" s="524"/>
      <c r="X89" s="1245">
        <v>1</v>
      </c>
      <c r="Y89" s="1245"/>
      <c r="Z89" s="1245"/>
      <c r="AA89" s="378"/>
      <c r="AB89" s="1050"/>
      <c r="AC89" s="21"/>
    </row>
    <row r="90" spans="2:33" s="19" customFormat="1" ht="4.5" customHeight="1" thickBot="1">
      <c r="B90" s="129"/>
      <c r="C90" s="129"/>
      <c r="D90" s="630"/>
      <c r="E90" s="631"/>
      <c r="F90" s="630"/>
      <c r="G90" s="630"/>
      <c r="H90" s="630"/>
      <c r="I90" s="630"/>
      <c r="J90" s="630"/>
      <c r="K90" s="630"/>
      <c r="L90" s="632"/>
      <c r="M90" s="632"/>
      <c r="N90" s="632"/>
      <c r="O90" s="451"/>
      <c r="P90" s="32"/>
      <c r="Q90" s="32"/>
      <c r="R90" s="32"/>
      <c r="S90" s="32"/>
      <c r="T90" s="32"/>
      <c r="U90" s="32"/>
      <c r="V90" s="32"/>
      <c r="W90" s="114"/>
      <c r="X90" s="661"/>
      <c r="Y90" s="661"/>
      <c r="Z90" s="661"/>
      <c r="AA90" s="129"/>
      <c r="AB90" s="129"/>
      <c r="AF90" s="24"/>
      <c r="AG90" s="24"/>
    </row>
    <row r="91" spans="2:33" ht="77.25">
      <c r="B91" s="1402" t="s">
        <v>448</v>
      </c>
      <c r="C91" s="437" t="s">
        <v>91</v>
      </c>
      <c r="D91" s="355" t="s">
        <v>449</v>
      </c>
      <c r="E91" s="356">
        <f t="shared" si="64"/>
        <v>6</v>
      </c>
      <c r="F91" s="88">
        <f>WORKDAY.INTL(G88,1,"0000100",$AI$5:$AI$11)</f>
        <v>46264</v>
      </c>
      <c r="G91" s="88">
        <f>WORKDAY.INTL(F91,5,"0000100",$AI$5:$AI$11)</f>
        <v>46270</v>
      </c>
      <c r="H91" s="88">
        <f t="shared" ref="H91" si="81">WORKDAY.INTL(I88,1,"0000100",$AI$5:$AI$11)</f>
        <v>46264</v>
      </c>
      <c r="I91" s="88">
        <f>WORKDAY.INTL(H91,5,"0000100",$AI$5:$AI$11)</f>
        <v>46270</v>
      </c>
      <c r="J91" s="88"/>
      <c r="K91" s="88"/>
      <c r="L91" s="408"/>
      <c r="M91" s="408" t="str">
        <f t="shared" ca="1" si="63"/>
        <v>Not Started</v>
      </c>
      <c r="N91" s="449"/>
      <c r="O91" s="1409"/>
      <c r="P91" s="450"/>
      <c r="Q91" s="87"/>
      <c r="R91" s="87"/>
      <c r="S91" s="87"/>
      <c r="T91" s="87"/>
      <c r="U91" s="87"/>
      <c r="V91" s="89"/>
      <c r="W91" s="485"/>
      <c r="X91" s="1254" t="s">
        <v>271</v>
      </c>
      <c r="Y91" s="1254"/>
      <c r="Z91" s="1254"/>
      <c r="AA91" s="88" t="s">
        <v>442</v>
      </c>
      <c r="AB91" s="88" t="s">
        <v>443</v>
      </c>
      <c r="AC91" s="21"/>
    </row>
    <row r="92" spans="2:33" ht="36" customHeight="1" thickBot="1">
      <c r="B92" s="1403"/>
      <c r="C92" s="437" t="s">
        <v>91</v>
      </c>
      <c r="D92" s="355" t="s">
        <v>172</v>
      </c>
      <c r="E92" s="356">
        <f t="shared" si="64"/>
        <v>5</v>
      </c>
      <c r="F92" s="88">
        <f t="shared" si="76"/>
        <v>46271</v>
      </c>
      <c r="G92" s="88">
        <f t="shared" si="77"/>
        <v>46275</v>
      </c>
      <c r="H92" s="88">
        <f t="shared" ref="H92" si="82">WORKDAY.INTL(I91,1,"0000100",$AI$5:$AI$11)</f>
        <v>46271</v>
      </c>
      <c r="I92" s="88">
        <f t="shared" si="77"/>
        <v>46275</v>
      </c>
      <c r="J92" s="88"/>
      <c r="K92" s="88"/>
      <c r="L92" s="408"/>
      <c r="M92" s="408" t="str">
        <f t="shared" ca="1" si="63"/>
        <v>Not Started</v>
      </c>
      <c r="N92" s="449"/>
      <c r="O92" s="1410"/>
      <c r="P92" s="450"/>
      <c r="Q92" s="87"/>
      <c r="R92" s="87"/>
      <c r="S92" s="87"/>
      <c r="T92" s="87"/>
      <c r="U92" s="87"/>
      <c r="V92" s="89"/>
      <c r="W92" s="244"/>
      <c r="X92" s="1255">
        <v>1</v>
      </c>
      <c r="Y92" s="1255"/>
      <c r="Z92" s="1255"/>
      <c r="AA92" s="88"/>
      <c r="AB92" s="88"/>
      <c r="AC92" s="21"/>
    </row>
    <row r="93" spans="2:33" s="19" customFormat="1" ht="36" customHeight="1" thickBot="1">
      <c r="B93" s="32"/>
      <c r="C93" s="32"/>
      <c r="D93" s="331"/>
      <c r="E93" s="332"/>
      <c r="F93" s="331"/>
      <c r="G93" s="331"/>
      <c r="H93" s="331"/>
      <c r="I93" s="331"/>
      <c r="J93" s="331"/>
      <c r="K93" s="331"/>
      <c r="L93" s="365"/>
      <c r="M93" s="365"/>
      <c r="N93" s="365"/>
      <c r="O93" s="1410"/>
      <c r="P93" s="32"/>
      <c r="Q93" s="32"/>
      <c r="R93" s="32"/>
      <c r="S93" s="32"/>
      <c r="T93" s="32"/>
      <c r="U93" s="32"/>
      <c r="V93" s="32"/>
      <c r="W93" s="51"/>
      <c r="X93" s="52"/>
      <c r="Y93" s="52"/>
      <c r="Z93" s="52"/>
      <c r="AA93" s="32"/>
      <c r="AB93" s="32"/>
      <c r="AF93" s="24"/>
      <c r="AG93" s="24"/>
    </row>
    <row r="94" spans="2:33" ht="63.95" customHeight="1" thickBot="1">
      <c r="B94" s="1400" t="s">
        <v>188</v>
      </c>
      <c r="C94" s="437" t="s">
        <v>91</v>
      </c>
      <c r="D94" s="353" t="s">
        <v>450</v>
      </c>
      <c r="E94" s="354">
        <f t="shared" si="64"/>
        <v>6</v>
      </c>
      <c r="F94" s="84">
        <f t="shared" ref="F94" si="83">WORKDAY.INTL(G91,1,"0000100",$AI$5:$AI$11)</f>
        <v>46271</v>
      </c>
      <c r="G94" s="84">
        <f>WORKDAY.INTL(F94,5,"0000100",$AI$5:$AI$11)</f>
        <v>46277</v>
      </c>
      <c r="H94" s="84">
        <f t="shared" ref="H94" si="84">WORKDAY.INTL(I91,1,"0000100",$AI$5:$AI$11)</f>
        <v>46271</v>
      </c>
      <c r="I94" s="84">
        <f>WORKDAY.INTL(H94,5,"0000100",$AI$5:$AI$11)</f>
        <v>46277</v>
      </c>
      <c r="J94" s="84"/>
      <c r="K94" s="84"/>
      <c r="L94" s="366"/>
      <c r="M94" s="366" t="str">
        <f t="shared" ca="1" si="63"/>
        <v>Not Started</v>
      </c>
      <c r="N94" s="440"/>
      <c r="O94" s="1410"/>
      <c r="P94" s="39"/>
      <c r="Q94" s="82"/>
      <c r="R94" s="82"/>
      <c r="S94" s="82"/>
      <c r="T94" s="82"/>
      <c r="U94" s="82"/>
      <c r="V94" s="86"/>
      <c r="W94" s="243"/>
      <c r="X94" s="1256" t="s">
        <v>271</v>
      </c>
      <c r="Y94" s="1256"/>
      <c r="Z94" s="1256"/>
      <c r="AA94" s="84" t="s">
        <v>442</v>
      </c>
      <c r="AB94" s="250" t="s">
        <v>443</v>
      </c>
      <c r="AC94" s="21"/>
    </row>
    <row r="95" spans="2:33" ht="36" customHeight="1" thickBot="1">
      <c r="B95" s="1401"/>
      <c r="C95" s="437" t="s">
        <v>91</v>
      </c>
      <c r="D95" s="353" t="s">
        <v>172</v>
      </c>
      <c r="E95" s="354">
        <f t="shared" si="64"/>
        <v>5</v>
      </c>
      <c r="F95" s="84">
        <f t="shared" ref="F95:F98" si="85">WORKDAY.INTL(G94,1,"0000100",$AI$5:$AI$11)</f>
        <v>46278</v>
      </c>
      <c r="G95" s="84">
        <f t="shared" ref="G95:I101" si="86">WORKDAY.INTL(G94,5,"0000100",$AI$5:$AI$11)</f>
        <v>46282</v>
      </c>
      <c r="H95" s="84">
        <f t="shared" ref="H95" si="87">WORKDAY.INTL(I94,1,"0000100",$AI$5:$AI$11)</f>
        <v>46278</v>
      </c>
      <c r="I95" s="84">
        <f t="shared" si="86"/>
        <v>46282</v>
      </c>
      <c r="J95" s="84"/>
      <c r="K95" s="84"/>
      <c r="L95" s="366"/>
      <c r="M95" s="366" t="str">
        <f t="shared" ca="1" si="63"/>
        <v>Not Started</v>
      </c>
      <c r="N95" s="440"/>
      <c r="O95" s="1411"/>
      <c r="P95" s="39"/>
      <c r="Q95" s="82"/>
      <c r="R95" s="82"/>
      <c r="S95" s="82"/>
      <c r="T95" s="82"/>
      <c r="U95" s="82"/>
      <c r="V95" s="86"/>
      <c r="W95" s="243"/>
      <c r="X95" s="1256">
        <v>1</v>
      </c>
      <c r="Y95" s="1256"/>
      <c r="Z95" s="1256"/>
      <c r="AA95" s="84"/>
      <c r="AB95" s="250"/>
      <c r="AC95" s="21"/>
    </row>
    <row r="96" spans="2:33" s="19" customFormat="1" ht="4.5" customHeight="1" thickBot="1">
      <c r="B96" s="32"/>
      <c r="C96" s="32"/>
      <c r="D96" s="331"/>
      <c r="E96" s="332"/>
      <c r="F96" s="331"/>
      <c r="G96" s="331"/>
      <c r="H96" s="331"/>
      <c r="I96" s="331"/>
      <c r="J96" s="331"/>
      <c r="K96" s="331"/>
      <c r="L96" s="365"/>
      <c r="M96" s="365"/>
      <c r="N96" s="365"/>
      <c r="O96" s="451"/>
      <c r="P96" s="32"/>
      <c r="Q96" s="32"/>
      <c r="R96" s="32"/>
      <c r="S96" s="32"/>
      <c r="T96" s="32"/>
      <c r="U96" s="32"/>
      <c r="V96" s="32"/>
      <c r="W96" s="51"/>
      <c r="X96" s="52"/>
      <c r="Y96" s="52"/>
      <c r="Z96" s="52"/>
      <c r="AA96" s="32"/>
      <c r="AB96" s="32"/>
      <c r="AF96" s="24"/>
      <c r="AG96" s="24"/>
    </row>
    <row r="97" spans="1:33" ht="75" customHeight="1" thickBot="1">
      <c r="B97" s="1402" t="s">
        <v>191</v>
      </c>
      <c r="C97" s="437" t="s">
        <v>91</v>
      </c>
      <c r="D97" s="355" t="s">
        <v>451</v>
      </c>
      <c r="E97" s="356">
        <f t="shared" si="64"/>
        <v>6</v>
      </c>
      <c r="F97" s="88">
        <f>WORKDAY.INTL(G94,1,"0000100",$AI$5:$AI$11)</f>
        <v>46278</v>
      </c>
      <c r="G97" s="88">
        <f>WORKDAY.INTL(F97,5,"0000100",$AI$5:$AI$11)</f>
        <v>46284</v>
      </c>
      <c r="H97" s="88">
        <f t="shared" ref="H97" si="88">WORKDAY.INTL(I94,1,"0000100",$AI$5:$AI$11)</f>
        <v>46278</v>
      </c>
      <c r="I97" s="88">
        <f>WORKDAY.INTL(H97,5,"0000100",$AI$5:$AI$11)</f>
        <v>46284</v>
      </c>
      <c r="J97" s="88"/>
      <c r="K97" s="88"/>
      <c r="L97" s="408"/>
      <c r="M97" s="408" t="str">
        <f t="shared" ca="1" si="63"/>
        <v>Not Started</v>
      </c>
      <c r="N97" s="449"/>
      <c r="O97" s="1409"/>
      <c r="P97" s="450"/>
      <c r="Q97" s="87"/>
      <c r="R97" s="87"/>
      <c r="S97" s="87"/>
      <c r="T97" s="87"/>
      <c r="U97" s="87"/>
      <c r="V97" s="89"/>
      <c r="W97" s="485"/>
      <c r="X97" s="1254" t="s">
        <v>271</v>
      </c>
      <c r="Y97" s="1254"/>
      <c r="Z97" s="1254"/>
      <c r="AA97" s="88" t="s">
        <v>442</v>
      </c>
      <c r="AB97" s="88" t="s">
        <v>443</v>
      </c>
      <c r="AC97" s="21"/>
    </row>
    <row r="98" spans="1:33" ht="36" customHeight="1" thickBot="1">
      <c r="B98" s="1403"/>
      <c r="C98" s="437" t="s">
        <v>91</v>
      </c>
      <c r="D98" s="355" t="s">
        <v>172</v>
      </c>
      <c r="E98" s="356">
        <f t="shared" si="64"/>
        <v>5</v>
      </c>
      <c r="F98" s="88">
        <f t="shared" si="85"/>
        <v>46285</v>
      </c>
      <c r="G98" s="88">
        <f t="shared" si="86"/>
        <v>46289</v>
      </c>
      <c r="H98" s="88">
        <f t="shared" ref="H98" si="89">WORKDAY.INTL(I97,1,"0000100",$AI$5:$AI$11)</f>
        <v>46285</v>
      </c>
      <c r="I98" s="88">
        <f t="shared" si="86"/>
        <v>46289</v>
      </c>
      <c r="J98" s="88"/>
      <c r="K98" s="88"/>
      <c r="L98" s="408"/>
      <c r="M98" s="408" t="str">
        <f t="shared" ca="1" si="63"/>
        <v>Not Started</v>
      </c>
      <c r="N98" s="449"/>
      <c r="O98" s="1411"/>
      <c r="P98" s="450"/>
      <c r="Q98" s="87"/>
      <c r="R98" s="87"/>
      <c r="S98" s="87"/>
      <c r="T98" s="87"/>
      <c r="U98" s="87"/>
      <c r="V98" s="89"/>
      <c r="W98" s="244"/>
      <c r="X98" s="1255">
        <v>1</v>
      </c>
      <c r="Y98" s="1255"/>
      <c r="Z98" s="1255"/>
      <c r="AA98" s="88"/>
      <c r="AB98" s="88"/>
      <c r="AC98" s="21"/>
    </row>
    <row r="99" spans="1:33" s="19" customFormat="1" ht="4.5" customHeight="1" thickBot="1">
      <c r="B99" s="32"/>
      <c r="C99" s="32"/>
      <c r="D99" s="331"/>
      <c r="E99" s="332"/>
      <c r="F99" s="331"/>
      <c r="G99" s="331"/>
      <c r="H99" s="331"/>
      <c r="I99" s="331"/>
      <c r="J99" s="331"/>
      <c r="K99" s="331"/>
      <c r="L99" s="365"/>
      <c r="M99" s="365"/>
      <c r="N99" s="365"/>
      <c r="O99" s="451"/>
      <c r="P99" s="32"/>
      <c r="Q99" s="32"/>
      <c r="R99" s="32"/>
      <c r="S99" s="32"/>
      <c r="T99" s="32"/>
      <c r="U99" s="32"/>
      <c r="V99" s="32"/>
      <c r="W99" s="51"/>
      <c r="X99" s="52"/>
      <c r="Y99" s="52"/>
      <c r="Z99" s="52"/>
      <c r="AA99" s="51"/>
      <c r="AB99" s="51"/>
      <c r="AF99" s="24"/>
      <c r="AG99" s="24"/>
    </row>
    <row r="100" spans="1:33" ht="48.95" customHeight="1" thickBot="1">
      <c r="B100" s="1400" t="s">
        <v>452</v>
      </c>
      <c r="C100" s="437" t="s">
        <v>91</v>
      </c>
      <c r="D100" s="353" t="s">
        <v>453</v>
      </c>
      <c r="E100" s="354">
        <f t="shared" si="64"/>
        <v>5</v>
      </c>
      <c r="F100" s="84">
        <f>WORKDAY.INTL(G97,1,"0000100",$AI$5:$AI$11)</f>
        <v>46285</v>
      </c>
      <c r="G100" s="84">
        <f>WORKDAY.INTL(F100,4,"0000100",$AI$5:$AI$11)</f>
        <v>46289</v>
      </c>
      <c r="H100" s="84">
        <f t="shared" ref="H100" si="90">WORKDAY.INTL(I97,1,"0000100",$AI$5:$AI$11)</f>
        <v>46285</v>
      </c>
      <c r="I100" s="84">
        <f>WORKDAY.INTL(H100,4,"0000100",$AI$5:$AI$11)</f>
        <v>46289</v>
      </c>
      <c r="J100" s="84"/>
      <c r="K100" s="84"/>
      <c r="L100" s="366"/>
      <c r="M100" s="366" t="str">
        <f t="shared" ca="1" si="63"/>
        <v>Not Started</v>
      </c>
      <c r="N100" s="440"/>
      <c r="O100" s="1409"/>
      <c r="P100" s="39"/>
      <c r="Q100" s="82"/>
      <c r="R100" s="82"/>
      <c r="S100" s="82"/>
      <c r="T100" s="82"/>
      <c r="U100" s="82"/>
      <c r="V100" s="1045"/>
      <c r="W100" s="521"/>
      <c r="X100" s="1244" t="s">
        <v>271</v>
      </c>
      <c r="Y100" s="1244"/>
      <c r="Z100" s="1244"/>
      <c r="AA100" s="81" t="s">
        <v>442</v>
      </c>
      <c r="AB100" s="486" t="s">
        <v>454</v>
      </c>
      <c r="AC100" s="21"/>
    </row>
    <row r="101" spans="1:33" ht="36" customHeight="1" thickBot="1">
      <c r="B101" s="1401"/>
      <c r="C101" s="437" t="s">
        <v>91</v>
      </c>
      <c r="D101" s="353" t="s">
        <v>172</v>
      </c>
      <c r="E101" s="354">
        <f t="shared" si="64"/>
        <v>5</v>
      </c>
      <c r="F101" s="84">
        <f>WORKDAY.INTL(G100,1,"0000100",$AI$5:$AI$11)</f>
        <v>46291</v>
      </c>
      <c r="G101" s="84">
        <f t="shared" si="86"/>
        <v>46295</v>
      </c>
      <c r="H101" s="84">
        <f>WORKDAY.INTL(I100,1,"0000100",$AI$5:$AI$11)</f>
        <v>46291</v>
      </c>
      <c r="I101" s="84">
        <f t="shared" si="86"/>
        <v>46295</v>
      </c>
      <c r="J101" s="84"/>
      <c r="K101" s="84"/>
      <c r="L101" s="366"/>
      <c r="M101" s="366" t="str">
        <f t="shared" ca="1" si="63"/>
        <v>Not Started</v>
      </c>
      <c r="N101" s="440"/>
      <c r="O101" s="1411"/>
      <c r="P101" s="39"/>
      <c r="Q101" s="82"/>
      <c r="R101" s="82"/>
      <c r="S101" s="82"/>
      <c r="T101" s="82"/>
      <c r="U101" s="82"/>
      <c r="V101" s="1045"/>
      <c r="W101" s="524"/>
      <c r="X101" s="1245">
        <v>1</v>
      </c>
      <c r="Y101" s="1245"/>
      <c r="Z101" s="1245"/>
      <c r="AA101" s="378"/>
      <c r="AB101" s="490"/>
      <c r="AC101" s="21"/>
    </row>
    <row r="102" spans="1:33" s="19" customFormat="1" ht="7.5" customHeight="1" thickBot="1">
      <c r="B102" s="51"/>
      <c r="C102" s="51"/>
      <c r="D102" s="338"/>
      <c r="E102" s="339"/>
      <c r="F102" s="338"/>
      <c r="G102" s="338"/>
      <c r="H102" s="338"/>
      <c r="I102" s="338"/>
      <c r="J102" s="338"/>
      <c r="K102" s="338"/>
      <c r="L102" s="374"/>
      <c r="M102" s="374"/>
      <c r="N102" s="374"/>
      <c r="O102" s="452"/>
      <c r="P102" s="32"/>
      <c r="Q102" s="32"/>
      <c r="R102" s="32"/>
      <c r="S102" s="32"/>
      <c r="T102" s="32"/>
      <c r="U102" s="32"/>
      <c r="V102" s="32"/>
      <c r="W102" s="114"/>
      <c r="X102" s="661"/>
      <c r="Y102" s="661"/>
      <c r="Z102" s="661"/>
      <c r="AA102" s="114"/>
      <c r="AB102" s="114"/>
      <c r="AF102" s="24"/>
      <c r="AG102" s="24"/>
    </row>
    <row r="103" spans="1:33" ht="72.75" customHeight="1">
      <c r="B103" s="1349" t="s">
        <v>455</v>
      </c>
      <c r="C103" s="437" t="s">
        <v>91</v>
      </c>
      <c r="D103" s="695" t="s">
        <v>456</v>
      </c>
      <c r="E103" s="696">
        <f t="shared" si="64"/>
        <v>5</v>
      </c>
      <c r="F103" s="699">
        <f t="shared" ref="F103" si="91">WORKDAY.INTL(G100,1,"0000100",$AI$5:$AI$11)</f>
        <v>46291</v>
      </c>
      <c r="G103" s="699">
        <f>WORKDAY.INTL(F103,4,"0000100",$AI$5:$AI$11)</f>
        <v>46295</v>
      </c>
      <c r="H103" s="699">
        <f t="shared" ref="H103" si="92">WORKDAY.INTL(I100,1,"0000100",$AI$5:$AI$11)</f>
        <v>46291</v>
      </c>
      <c r="I103" s="699">
        <f>WORKDAY.INTL(H103,4,"0000100",$AI$5:$AI$11)</f>
        <v>46295</v>
      </c>
      <c r="J103" s="699"/>
      <c r="K103" s="699"/>
      <c r="L103" s="700"/>
      <c r="M103" s="700" t="str">
        <f t="shared" ca="1" si="63"/>
        <v>Not Started</v>
      </c>
      <c r="N103" s="703"/>
      <c r="O103" s="1394"/>
      <c r="P103" s="450"/>
      <c r="Q103" s="87"/>
      <c r="R103" s="87"/>
      <c r="S103" s="87"/>
      <c r="T103" s="87"/>
      <c r="U103" s="87"/>
      <c r="V103" s="1048"/>
      <c r="W103" s="485"/>
      <c r="X103" s="1252" t="s">
        <v>271</v>
      </c>
      <c r="Y103" s="1252"/>
      <c r="Z103" s="1252"/>
      <c r="AA103" s="699" t="s">
        <v>442</v>
      </c>
      <c r="AB103" s="1046" t="s">
        <v>454</v>
      </c>
      <c r="AC103" s="21"/>
    </row>
    <row r="104" spans="1:33" ht="36" customHeight="1" thickBot="1">
      <c r="B104" s="1350"/>
      <c r="C104" s="438" t="s">
        <v>91</v>
      </c>
      <c r="D104" s="708" t="s">
        <v>172</v>
      </c>
      <c r="E104" s="709">
        <f t="shared" si="64"/>
        <v>5</v>
      </c>
      <c r="F104" s="712">
        <f>WORKDAY.INTL(G103,1,"0000100",$AI$5:$AI$11)</f>
        <v>46296</v>
      </c>
      <c r="G104" s="712">
        <f>WORKDAY.INTL(G103,5,"0000100",$AI$5:$AI$11)</f>
        <v>46301</v>
      </c>
      <c r="H104" s="712">
        <f>WORKDAY.INTL(I103,1,"0000100",$AI$5:$AI$11)</f>
        <v>46296</v>
      </c>
      <c r="I104" s="712">
        <f>WORKDAY.INTL(I103,5,"0000100",$AI$5:$AI$11)</f>
        <v>46301</v>
      </c>
      <c r="J104" s="712"/>
      <c r="K104" s="712"/>
      <c r="L104" s="713"/>
      <c r="M104" s="713" t="str">
        <f t="shared" ca="1" si="63"/>
        <v>Not Started</v>
      </c>
      <c r="N104" s="716"/>
      <c r="O104" s="1396"/>
      <c r="P104" s="450"/>
      <c r="Q104" s="87"/>
      <c r="R104" s="87"/>
      <c r="S104" s="87"/>
      <c r="T104" s="87"/>
      <c r="U104" s="87"/>
      <c r="V104" s="1048"/>
      <c r="W104" s="717"/>
      <c r="X104" s="1253">
        <v>1</v>
      </c>
      <c r="Y104" s="1253"/>
      <c r="Z104" s="1253"/>
      <c r="AA104" s="712"/>
      <c r="AB104" s="1047"/>
      <c r="AC104" s="21"/>
    </row>
    <row r="105" spans="1:33" s="19" customFormat="1" ht="4.5" customHeight="1" thickBot="1">
      <c r="B105" s="129"/>
      <c r="C105" s="129"/>
      <c r="D105" s="630"/>
      <c r="E105" s="631"/>
      <c r="F105" s="630"/>
      <c r="G105" s="630"/>
      <c r="H105" s="630"/>
      <c r="I105" s="630"/>
      <c r="J105" s="630"/>
      <c r="K105" s="630"/>
      <c r="L105" s="632"/>
      <c r="M105" s="632"/>
      <c r="N105" s="632"/>
      <c r="O105" s="451"/>
      <c r="P105" s="32"/>
      <c r="Q105" s="32"/>
      <c r="R105" s="32"/>
      <c r="S105" s="32"/>
      <c r="T105" s="32"/>
      <c r="U105" s="32"/>
      <c r="V105" s="32"/>
      <c r="W105" s="114"/>
      <c r="X105" s="661"/>
      <c r="Y105" s="661"/>
      <c r="Z105" s="661"/>
      <c r="AA105" s="114"/>
      <c r="AB105" s="114"/>
      <c r="AF105" s="24"/>
      <c r="AG105" s="24"/>
    </row>
    <row r="106" spans="1:33" ht="69.75" customHeight="1" thickBot="1">
      <c r="B106" s="430" t="s">
        <v>193</v>
      </c>
      <c r="C106" s="437" t="s">
        <v>91</v>
      </c>
      <c r="D106" s="353" t="s">
        <v>457</v>
      </c>
      <c r="E106" s="354">
        <f>NETWORKDAYS.INTL(F106,G106,"0000110",$AI$5:$AI$12)</f>
        <v>44</v>
      </c>
      <c r="F106" s="84">
        <f>WORKDAY.INTL(G77,0,"0000110")</f>
        <v>46242</v>
      </c>
      <c r="G106" s="84">
        <f>WORKDAY.INTL(F106,44,"0000110")</f>
        <v>46302</v>
      </c>
      <c r="H106" s="84">
        <f>WORKDAY.INTL(I77,0,"0000110")</f>
        <v>46242</v>
      </c>
      <c r="I106" s="84">
        <f>WORKDAY.INTL(H106,44,"0000110")</f>
        <v>46302</v>
      </c>
      <c r="J106" s="84"/>
      <c r="K106" s="84"/>
      <c r="L106" s="366"/>
      <c r="M106" s="366" t="str">
        <f t="shared" ca="1" si="63"/>
        <v>Not Started</v>
      </c>
      <c r="N106" s="440"/>
      <c r="O106" s="454"/>
      <c r="P106" s="39"/>
      <c r="Q106" s="82"/>
      <c r="R106" s="82"/>
      <c r="S106" s="82"/>
      <c r="T106" s="82"/>
      <c r="U106" s="82"/>
      <c r="V106" s="1045"/>
      <c r="W106" s="459" t="s">
        <v>458</v>
      </c>
      <c r="X106" s="1193" t="s">
        <v>169</v>
      </c>
      <c r="Y106" s="1193"/>
      <c r="Z106" s="1193"/>
      <c r="AA106" s="728" t="s">
        <v>459</v>
      </c>
      <c r="AB106" s="1056" t="s">
        <v>460</v>
      </c>
      <c r="AC106" s="21"/>
    </row>
    <row r="107" spans="1:33" s="19" customFormat="1" ht="4.5" customHeight="1" thickBot="1">
      <c r="B107" s="51"/>
      <c r="C107" s="51"/>
      <c r="D107" s="338"/>
      <c r="E107" s="339"/>
      <c r="F107" s="338"/>
      <c r="G107" s="338"/>
      <c r="H107" s="338"/>
      <c r="I107" s="338"/>
      <c r="J107" s="338"/>
      <c r="K107" s="338"/>
      <c r="L107" s="374"/>
      <c r="M107" s="374"/>
      <c r="N107" s="374"/>
      <c r="O107" s="451"/>
      <c r="P107" s="32"/>
      <c r="Q107" s="32"/>
      <c r="R107" s="32"/>
      <c r="S107" s="32"/>
      <c r="T107" s="32"/>
      <c r="U107" s="32"/>
      <c r="V107" s="32"/>
      <c r="W107" s="114"/>
      <c r="X107" s="661"/>
      <c r="Y107" s="661"/>
      <c r="Z107" s="661"/>
      <c r="AA107" s="114"/>
      <c r="AB107" s="114"/>
      <c r="AF107" s="24"/>
      <c r="AG107" s="24"/>
    </row>
    <row r="108" spans="1:33" ht="81.75" customHeight="1" thickBot="1">
      <c r="B108" s="735" t="s">
        <v>198</v>
      </c>
      <c r="C108" s="1051" t="s">
        <v>199</v>
      </c>
      <c r="D108" s="545" t="s">
        <v>200</v>
      </c>
      <c r="E108" s="546">
        <f>NETWORKDAYS.INTL(F108,G108,"0000110",$AI$5:$AI$12)</f>
        <v>2</v>
      </c>
      <c r="F108" s="442">
        <f>MAX(WORKDAY.INTL(G106,1,"0000100"),WORKDAY.INTL(G116,1,"0000100"))</f>
        <v>46323</v>
      </c>
      <c r="G108" s="442">
        <f>WORKDAY.INTL(F108,3,"0000000")</f>
        <v>46326</v>
      </c>
      <c r="H108" s="442">
        <f>MAX(WORKDAY.INTL(I106,1,"0000100"),WORKDAY.INTL(I116,1,"0000100"))</f>
        <v>46323</v>
      </c>
      <c r="I108" s="442">
        <f>WORKDAY.INTL(H108,3,"0000000")</f>
        <v>46326</v>
      </c>
      <c r="J108" s="442"/>
      <c r="K108" s="442"/>
      <c r="L108" s="443"/>
      <c r="M108" s="443" t="str">
        <f t="shared" ca="1" si="63"/>
        <v>Not Started</v>
      </c>
      <c r="N108" s="668"/>
      <c r="O108" s="1052"/>
      <c r="P108" s="465"/>
      <c r="Q108" s="466"/>
      <c r="R108" s="466"/>
      <c r="S108" s="466"/>
      <c r="T108" s="466"/>
      <c r="U108" s="466"/>
      <c r="V108" s="467"/>
      <c r="W108" s="1053" t="s">
        <v>201</v>
      </c>
      <c r="X108" s="1257" t="s">
        <v>169</v>
      </c>
      <c r="Y108" s="1257"/>
      <c r="Z108" s="1257"/>
      <c r="AA108" s="1054" t="s">
        <v>459</v>
      </c>
      <c r="AB108" s="1055"/>
      <c r="AC108" s="21"/>
    </row>
    <row r="109" spans="1:33" ht="6" customHeight="1" thickBot="1">
      <c r="B109" s="90"/>
      <c r="C109" s="90"/>
      <c r="D109" s="416"/>
      <c r="E109" s="416"/>
      <c r="F109" s="416"/>
      <c r="G109" s="416"/>
      <c r="H109" s="416"/>
      <c r="I109" s="416"/>
      <c r="J109" s="416"/>
      <c r="K109" s="416"/>
      <c r="L109" s="416"/>
      <c r="M109" s="416"/>
      <c r="N109" s="416"/>
      <c r="O109" s="90"/>
      <c r="P109" s="90"/>
      <c r="Q109" s="90"/>
      <c r="R109" s="90"/>
      <c r="S109" s="90"/>
      <c r="T109" s="90"/>
      <c r="U109" s="90"/>
      <c r="V109" s="90"/>
      <c r="W109" s="90"/>
      <c r="X109" s="681"/>
      <c r="Y109" s="681"/>
      <c r="Z109" s="681"/>
      <c r="AA109" s="90"/>
      <c r="AB109" s="90"/>
      <c r="AC109" s="21"/>
    </row>
    <row r="110" spans="1:33" ht="36" customHeight="1">
      <c r="B110" s="1343" t="s">
        <v>203</v>
      </c>
      <c r="C110" s="1030" t="s">
        <v>34</v>
      </c>
      <c r="D110" s="293" t="s">
        <v>204</v>
      </c>
      <c r="E110" s="346">
        <f t="shared" ref="E110:E116" si="93">NETWORKDAYS.INTL(F110,G110,"0000110",$AI$5:$AI$12)</f>
        <v>2</v>
      </c>
      <c r="F110" s="198">
        <f>MAX(WORKDAY.INTL(G106,1,"0000110",$AI$5:$AI$10),WORKDAY.INTL(G54,1,"0000110",$AI$5:$AI$10),WORKDAY.INTL(G46,1,"0000110",$AI$5:$AI$10))</f>
        <v>46303</v>
      </c>
      <c r="G110" s="198">
        <f>WORKDAY.INTL(F110,1,"0000110",$AI$5:$AI$10)</f>
        <v>46306</v>
      </c>
      <c r="H110" s="81">
        <f>MAX(WORKDAY.INTL(I106,1,"0000110",$AI$5:$AI$10),WORKDAY.INTL(I54,1,"0000110",$AI$5:$AI$10),WORKDAY.INTL(I46,1,"0000110",$AI$5:$AI$10))</f>
        <v>46303</v>
      </c>
      <c r="I110" s="81">
        <f>WORKDAY.INTL(H110,1,"0000110",$AI$5:$AI$10)</f>
        <v>46306</v>
      </c>
      <c r="J110" s="81"/>
      <c r="K110" s="81"/>
      <c r="L110" s="376"/>
      <c r="M110" s="376" t="str">
        <f t="shared" ref="M110:M116" ca="1" si="94">IF(L110=100%,"Completed",
IF(AND(L110&lt;100%,G110&lt;TODAY()),"Delayed",
IF(AND(OR(L110="",L110=0),F110&gt;TODAY()),"Not Started",
IF(AND(OR(L110="",L110=0),F110&lt;=TODAY()),"Delayed",
IF(AND(L110&gt;0,L110&lt;100%),"In Progress","")))))</f>
        <v>Not Started</v>
      </c>
      <c r="N110" s="516"/>
      <c r="O110" s="1412"/>
      <c r="P110" s="65"/>
      <c r="Q110" s="65"/>
      <c r="R110" s="65"/>
      <c r="S110" s="65"/>
      <c r="T110" s="65"/>
      <c r="U110" s="65"/>
      <c r="V110" s="621"/>
      <c r="W110" s="1398"/>
      <c r="X110" s="1244" t="s">
        <v>133</v>
      </c>
      <c r="Y110" s="1244"/>
      <c r="Z110" s="1244"/>
      <c r="AA110" s="1275" t="s">
        <v>461</v>
      </c>
      <c r="AB110" s="468"/>
      <c r="AC110" s="21"/>
    </row>
    <row r="111" spans="1:33" ht="36" customHeight="1">
      <c r="A111" s="19"/>
      <c r="B111" s="1344"/>
      <c r="C111" s="1057" t="s">
        <v>34</v>
      </c>
      <c r="D111" s="279" t="s">
        <v>206</v>
      </c>
      <c r="E111" s="354">
        <f t="shared" si="93"/>
        <v>5</v>
      </c>
      <c r="F111" s="200">
        <f t="shared" ref="F111:F114" si="95">WORKDAY.INTL(G110,1,"0000100",$AI$5:$AI$11)</f>
        <v>46307</v>
      </c>
      <c r="G111" s="200">
        <f>WORKDAY.INTL(F111,4,"0000110",$AI$5:$AI$9)</f>
        <v>46313</v>
      </c>
      <c r="H111" s="84">
        <f t="shared" ref="H111" si="96">WORKDAY.INTL(I110,1,"0000100",$AI$5:$AI$11)</f>
        <v>46307</v>
      </c>
      <c r="I111" s="84">
        <f>WORKDAY.INTL(H111,4,"0000110",$AI$5:$AI$9)</f>
        <v>46313</v>
      </c>
      <c r="J111" s="84"/>
      <c r="K111" s="84"/>
      <c r="L111" s="366"/>
      <c r="M111" s="366" t="str">
        <f t="shared" ca="1" si="94"/>
        <v>Not Started</v>
      </c>
      <c r="N111" s="518"/>
      <c r="O111" s="1413"/>
      <c r="P111" s="82"/>
      <c r="Q111" s="82"/>
      <c r="R111" s="82"/>
      <c r="S111" s="82"/>
      <c r="T111" s="82"/>
      <c r="U111" s="82"/>
      <c r="V111" s="1045"/>
      <c r="W111" s="1399"/>
      <c r="X111" s="1243" t="s">
        <v>133</v>
      </c>
      <c r="Y111" s="1243"/>
      <c r="Z111" s="1243"/>
      <c r="AA111" s="1276"/>
      <c r="AB111" s="469"/>
      <c r="AC111" s="21"/>
    </row>
    <row r="112" spans="1:33" ht="83.25" customHeight="1">
      <c r="B112" s="1344"/>
      <c r="C112" s="1057" t="s">
        <v>34</v>
      </c>
      <c r="D112" s="279" t="s">
        <v>207</v>
      </c>
      <c r="E112" s="354">
        <f t="shared" si="93"/>
        <v>5</v>
      </c>
      <c r="F112" s="200">
        <f>WORKDAY.INTL(G110,1,"0000100",$AI$5:$AI$11)</f>
        <v>46307</v>
      </c>
      <c r="G112" s="200">
        <f>WORKDAY.INTL(F112,4,"0000110",$AI$5:$AI$9)</f>
        <v>46313</v>
      </c>
      <c r="H112" s="84">
        <f>WORKDAY.INTL(I110,1,"0000100",$AI$5:$AI$11)</f>
        <v>46307</v>
      </c>
      <c r="I112" s="84">
        <f>WORKDAY.INTL(H112,4,"0000110",$AI$5:$AI$9)</f>
        <v>46313</v>
      </c>
      <c r="J112" s="84"/>
      <c r="K112" s="84"/>
      <c r="L112" s="366"/>
      <c r="M112" s="366" t="str">
        <f t="shared" ca="1" si="94"/>
        <v>Not Started</v>
      </c>
      <c r="N112" s="518"/>
      <c r="O112" s="1413"/>
      <c r="P112" s="82"/>
      <c r="Q112" s="82"/>
      <c r="R112" s="82"/>
      <c r="S112" s="82"/>
      <c r="T112" s="82"/>
      <c r="U112" s="82"/>
      <c r="V112" s="1045"/>
      <c r="W112" s="895" t="s">
        <v>208</v>
      </c>
      <c r="X112" s="1243" t="s">
        <v>133</v>
      </c>
      <c r="Y112" s="1243"/>
      <c r="Z112" s="1243"/>
      <c r="AA112" s="1276"/>
      <c r="AB112" s="469"/>
      <c r="AC112" s="21"/>
    </row>
    <row r="113" spans="1:29" ht="36" customHeight="1">
      <c r="B113" s="1344"/>
      <c r="C113" s="1057" t="s">
        <v>34</v>
      </c>
      <c r="D113" s="279" t="s">
        <v>209</v>
      </c>
      <c r="E113" s="354">
        <f t="shared" si="93"/>
        <v>2</v>
      </c>
      <c r="F113" s="200">
        <f t="shared" si="95"/>
        <v>46314</v>
      </c>
      <c r="G113" s="200">
        <f>WORKDAY.INTL(F113,1,"0000110",$AI$5:$AI$9)</f>
        <v>46315</v>
      </c>
      <c r="H113" s="84">
        <f t="shared" ref="H113:H114" si="97">WORKDAY.INTL(I112,1,"0000100",$AI$5:$AI$11)</f>
        <v>46314</v>
      </c>
      <c r="I113" s="84">
        <f>WORKDAY.INTL(H113,1,"0000110",$AI$5:$AI$9)</f>
        <v>46315</v>
      </c>
      <c r="J113" s="84"/>
      <c r="K113" s="84"/>
      <c r="L113" s="366"/>
      <c r="M113" s="366" t="str">
        <f t="shared" ca="1" si="94"/>
        <v>Not Started</v>
      </c>
      <c r="N113" s="518"/>
      <c r="O113" s="1413"/>
      <c r="P113" s="82"/>
      <c r="Q113" s="82"/>
      <c r="R113" s="82"/>
      <c r="S113" s="82"/>
      <c r="T113" s="82"/>
      <c r="U113" s="82"/>
      <c r="V113" s="1045"/>
      <c r="W113" s="895"/>
      <c r="X113" s="1243" t="s">
        <v>133</v>
      </c>
      <c r="Y113" s="1243"/>
      <c r="Z113" s="1243"/>
      <c r="AA113" s="1276"/>
      <c r="AB113" s="469"/>
      <c r="AC113" s="21"/>
    </row>
    <row r="114" spans="1:29" ht="36" customHeight="1">
      <c r="B114" s="1344"/>
      <c r="C114" s="1057" t="s">
        <v>34</v>
      </c>
      <c r="D114" s="279" t="s">
        <v>210</v>
      </c>
      <c r="E114" s="354">
        <f t="shared" si="93"/>
        <v>3</v>
      </c>
      <c r="F114" s="200">
        <f t="shared" si="95"/>
        <v>46316</v>
      </c>
      <c r="G114" s="200">
        <f>WORKDAY.INTL(F114,3,"0000100",$AI$5:$AI$9)</f>
        <v>46320</v>
      </c>
      <c r="H114" s="84">
        <f t="shared" si="97"/>
        <v>46316</v>
      </c>
      <c r="I114" s="84">
        <f>WORKDAY.INTL(H114,3,"0000100",$AI$5:$AI$9)</f>
        <v>46320</v>
      </c>
      <c r="J114" s="84"/>
      <c r="K114" s="84"/>
      <c r="L114" s="366"/>
      <c r="M114" s="366" t="str">
        <f t="shared" ca="1" si="94"/>
        <v>Not Started</v>
      </c>
      <c r="N114" s="518"/>
      <c r="O114" s="1413"/>
      <c r="P114" s="82"/>
      <c r="Q114" s="82"/>
      <c r="R114" s="82"/>
      <c r="S114" s="82"/>
      <c r="T114" s="82"/>
      <c r="U114" s="82"/>
      <c r="V114" s="1045"/>
      <c r="W114" s="895"/>
      <c r="X114" s="1243" t="s">
        <v>133</v>
      </c>
      <c r="Y114" s="1243"/>
      <c r="Z114" s="1243"/>
      <c r="AA114" s="1276"/>
      <c r="AB114" s="469"/>
      <c r="AC114" s="21"/>
    </row>
    <row r="115" spans="1:29" ht="36" customHeight="1">
      <c r="B115" s="1344"/>
      <c r="C115" s="1057" t="s">
        <v>34</v>
      </c>
      <c r="D115" s="279" t="s">
        <v>211</v>
      </c>
      <c r="E115" s="354">
        <f t="shared" si="93"/>
        <v>1</v>
      </c>
      <c r="F115" s="200">
        <f>WORKDAY.INTL(G114,1,"0000110",$AI$5:$AI$10)</f>
        <v>46321</v>
      </c>
      <c r="G115" s="200">
        <f>WORKDAY.INTL(F115,0,"0000110",$AI$5:$AI$10)</f>
        <v>46321</v>
      </c>
      <c r="H115" s="84">
        <f>WORKDAY.INTL(I114,1,"0000110",$AI$5:$AI$10)</f>
        <v>46321</v>
      </c>
      <c r="I115" s="84">
        <f>WORKDAY.INTL(H115,0,"0000110",$AI$5:$AI$10)</f>
        <v>46321</v>
      </c>
      <c r="J115" s="84"/>
      <c r="K115" s="84"/>
      <c r="L115" s="366"/>
      <c r="M115" s="366" t="str">
        <f t="shared" ca="1" si="94"/>
        <v>Not Started</v>
      </c>
      <c r="N115" s="518"/>
      <c r="O115" s="1413"/>
      <c r="P115" s="82"/>
      <c r="Q115" s="82"/>
      <c r="R115" s="82"/>
      <c r="S115" s="82"/>
      <c r="T115" s="82"/>
      <c r="U115" s="82"/>
      <c r="V115" s="1045"/>
      <c r="W115" s="895"/>
      <c r="X115" s="1243" t="s">
        <v>133</v>
      </c>
      <c r="Y115" s="1243"/>
      <c r="Z115" s="1243"/>
      <c r="AA115" s="1276"/>
      <c r="AB115" s="469"/>
      <c r="AC115" s="21"/>
    </row>
    <row r="116" spans="1:29" ht="36" customHeight="1" thickBot="1">
      <c r="B116" s="1345"/>
      <c r="C116" s="1058" t="s">
        <v>34</v>
      </c>
      <c r="D116" s="280" t="s">
        <v>212</v>
      </c>
      <c r="E116" s="347">
        <f t="shared" si="93"/>
        <v>1</v>
      </c>
      <c r="F116" s="255">
        <f>WORKDAY.INTL(G115,1,"0000110",$AI$5:$AI$10)</f>
        <v>46322</v>
      </c>
      <c r="G116" s="255">
        <f>WORKDAY.INTL(F116,0,"0000110",$AI$5:$AI$10)</f>
        <v>46322</v>
      </c>
      <c r="H116" s="378">
        <f>WORKDAY.INTL(I115,1,"0000110",$AI$5:$AI$10)</f>
        <v>46322</v>
      </c>
      <c r="I116" s="378">
        <f>WORKDAY.INTL(H116,0,"0000110",$AI$5:$AI$10)</f>
        <v>46322</v>
      </c>
      <c r="J116" s="378"/>
      <c r="K116" s="378"/>
      <c r="L116" s="379"/>
      <c r="M116" s="379" t="str">
        <f t="shared" ca="1" si="94"/>
        <v>Not Started</v>
      </c>
      <c r="N116" s="519"/>
      <c r="O116" s="1414"/>
      <c r="P116" s="72"/>
      <c r="Q116" s="72"/>
      <c r="R116" s="72"/>
      <c r="S116" s="72"/>
      <c r="T116" s="72"/>
      <c r="U116" s="72"/>
      <c r="V116" s="622"/>
      <c r="W116" s="1059"/>
      <c r="X116" s="1245" t="s">
        <v>133</v>
      </c>
      <c r="Y116" s="1245"/>
      <c r="Z116" s="1245"/>
      <c r="AA116" s="1277"/>
      <c r="AB116" s="470"/>
      <c r="AC116" s="21"/>
    </row>
    <row r="117" spans="1:29" ht="6" customHeight="1" thickBot="1">
      <c r="AA117" s="22"/>
      <c r="AB117" s="22"/>
      <c r="AC117" s="21"/>
    </row>
    <row r="118" spans="1:29" ht="36" customHeight="1">
      <c r="A118" s="19"/>
      <c r="B118" s="1362" t="s">
        <v>213</v>
      </c>
      <c r="C118" s="471" t="s">
        <v>213</v>
      </c>
      <c r="D118" s="472" t="s">
        <v>214</v>
      </c>
      <c r="E118" s="473">
        <f>NETWORKDAYS.INTL(F118,G118,"0000110",$AI$5:$AI$11)</f>
        <v>16</v>
      </c>
      <c r="F118" s="319">
        <f>WORKDAY.INTL(G118,-15,"0000110",$AI$5:$AI$10)</f>
        <v>46281</v>
      </c>
      <c r="G118" s="319">
        <f>WORKDAY.INTL(F110,-1,"0000110",$AI$5:$AI$10)</f>
        <v>46302</v>
      </c>
      <c r="H118" s="474">
        <f>WORKDAY.INTL(I118,-15,"0000110",$AI$5:$AI$10)</f>
        <v>46281</v>
      </c>
      <c r="I118" s="474">
        <f>WORKDAY.INTL(H110,-1,"0000110",$AI$5:$AI$10)</f>
        <v>46302</v>
      </c>
      <c r="J118" s="474"/>
      <c r="K118" s="474"/>
      <c r="L118" s="475"/>
      <c r="M118" s="475" t="str">
        <f t="shared" ref="M118:M119" ca="1" si="98">IF(L118=100%,"Completed",
IF(AND(L118&lt;100%,G118&lt;TODAY()),"Delayed",
IF(AND(OR(L118="",L118=0),F118&gt;TODAY()),"Not Started",
IF(AND(OR(L118="",L118=0),F118&lt;=TODAY()),"Delayed",
IF(AND(L118&gt;0,L118&lt;100%),"In Progress","")))))</f>
        <v>Not Started</v>
      </c>
      <c r="N118" s="751"/>
      <c r="O118" s="946"/>
      <c r="P118" s="476"/>
      <c r="Q118" s="476"/>
      <c r="R118" s="476"/>
      <c r="S118" s="476"/>
      <c r="T118" s="476"/>
      <c r="U118" s="476"/>
      <c r="V118" s="1060"/>
      <c r="W118" s="756" t="s">
        <v>215</v>
      </c>
      <c r="X118" s="1250"/>
      <c r="Y118" s="1250"/>
      <c r="Z118" s="1250"/>
      <c r="AA118" s="101"/>
      <c r="AB118" s="477"/>
      <c r="AC118" s="21"/>
    </row>
    <row r="119" spans="1:29" ht="70.5">
      <c r="B119" s="1363"/>
      <c r="C119" s="478" t="s">
        <v>213</v>
      </c>
      <c r="D119" s="479" t="s">
        <v>216</v>
      </c>
      <c r="E119" s="480">
        <f>NETWORKDAYS.INTL(F119,G119,"0000110",$AI$5:$AI$11)</f>
        <v>20</v>
      </c>
      <c r="F119" s="262">
        <f>WORKDAY.INTL(G123,10,"0000110",$AI$5:$AI$10)</f>
        <v>46366</v>
      </c>
      <c r="G119" s="262">
        <f>WORKDAY.INTL(F119,19,"0000110",$AI$5:$AI$10)</f>
        <v>46393</v>
      </c>
      <c r="H119" s="481">
        <f>WORKDAY.INTL(I123,10,"0000110",$AI$5:$AI$10)</f>
        <v>46366</v>
      </c>
      <c r="I119" s="481">
        <f>WORKDAY.INTL(H119,19,"0000110",$AI$5:$AI$10)</f>
        <v>46393</v>
      </c>
      <c r="J119" s="481"/>
      <c r="K119" s="481"/>
      <c r="L119" s="482"/>
      <c r="M119" s="482" t="str">
        <f t="shared" ca="1" si="98"/>
        <v>Not Started</v>
      </c>
      <c r="N119" s="755"/>
      <c r="O119" s="947"/>
      <c r="P119" s="483"/>
      <c r="Q119" s="483"/>
      <c r="R119" s="483"/>
      <c r="S119" s="483"/>
      <c r="T119" s="483"/>
      <c r="U119" s="483"/>
      <c r="V119" s="1061"/>
      <c r="W119" s="760" t="s">
        <v>217</v>
      </c>
      <c r="X119" s="1196"/>
      <c r="Y119" s="1196"/>
      <c r="Z119" s="1196"/>
      <c r="AA119" s="102"/>
      <c r="AB119" s="484"/>
      <c r="AC119" s="21"/>
    </row>
    <row r="120" spans="1:29" ht="6" customHeight="1" thickBot="1">
      <c r="W120" s="157"/>
      <c r="X120" s="837"/>
      <c r="Y120" s="837"/>
      <c r="Z120" s="837"/>
      <c r="AA120" s="22"/>
      <c r="AB120" s="22"/>
      <c r="AC120" s="21"/>
    </row>
    <row r="121" spans="1:29" ht="198" customHeight="1">
      <c r="B121" s="1388" t="s">
        <v>218</v>
      </c>
      <c r="C121" s="549" t="s">
        <v>218</v>
      </c>
      <c r="D121" s="345" t="s">
        <v>219</v>
      </c>
      <c r="E121" s="550">
        <f>NETWORKDAYS.INTL(F121,G121,"0000100",$AH$5:$AH$12)</f>
        <v>21</v>
      </c>
      <c r="F121" s="81">
        <v>46297</v>
      </c>
      <c r="G121" s="81">
        <f>WORKDAY.INTL(F121,17,"0000110")</f>
        <v>46321</v>
      </c>
      <c r="H121" s="491">
        <v>46297</v>
      </c>
      <c r="I121" s="491">
        <f>WORKDAY.INTL(H121,17,"0000110")</f>
        <v>46321</v>
      </c>
      <c r="J121" s="491"/>
      <c r="K121" s="492"/>
      <c r="L121" s="492"/>
      <c r="M121" s="376" t="str">
        <f t="shared" ref="M121:M123" ca="1" si="99">IF(L121=100%,"Completed",
IF(AND(L121&lt;100%,G121&lt;TODAY()),"Delayed",
IF(AND(OR(L121="",L121=0),F121&gt;TODAY()),"Not Started",
IF(AND(OR(L121="",L121=0),F121&lt;=TODAY()),"Delayed",
IF(AND(L121&gt;0,L121&lt;100%),"In Progress","")))))</f>
        <v>Not Started</v>
      </c>
      <c r="N121" s="516"/>
      <c r="O121" s="493"/>
      <c r="P121" s="494"/>
      <c r="Q121" s="494"/>
      <c r="R121" s="494"/>
      <c r="S121" s="494"/>
      <c r="T121" s="494"/>
      <c r="U121" s="495"/>
      <c r="V121" s="1062"/>
      <c r="W121" s="1065" t="s">
        <v>220</v>
      </c>
      <c r="X121" s="1251"/>
      <c r="Y121" s="1251"/>
      <c r="Z121" s="1251"/>
      <c r="AA121" s="67"/>
      <c r="AB121" s="497"/>
      <c r="AC121" s="21"/>
    </row>
    <row r="122" spans="1:29" ht="36" customHeight="1">
      <c r="B122" s="1389"/>
      <c r="C122" s="552" t="s">
        <v>218</v>
      </c>
      <c r="D122" s="353" t="s">
        <v>462</v>
      </c>
      <c r="E122" s="553">
        <f>NETWORKDAYS.INTL(F122,G122,"0000100",$AH$5:$AH$12)</f>
        <v>9</v>
      </c>
      <c r="F122" s="84">
        <v>46215</v>
      </c>
      <c r="G122" s="84">
        <f>WORKDAY.INTL(F122,7,"0000110")</f>
        <v>46224</v>
      </c>
      <c r="H122" s="403">
        <v>46215</v>
      </c>
      <c r="I122" s="403">
        <f>WORKDAY.INTL(H122,7,"0000110")</f>
        <v>46224</v>
      </c>
      <c r="J122" s="403">
        <v>46215</v>
      </c>
      <c r="K122" s="1164">
        <v>46221</v>
      </c>
      <c r="L122" s="404">
        <v>1</v>
      </c>
      <c r="M122" s="366" t="str">
        <f t="shared" ca="1" si="99"/>
        <v>Completed</v>
      </c>
      <c r="N122" s="518"/>
      <c r="O122" s="458"/>
      <c r="P122" s="247"/>
      <c r="Q122" s="247"/>
      <c r="R122" s="247"/>
      <c r="S122" s="247"/>
      <c r="T122" s="247"/>
      <c r="U122" s="248"/>
      <c r="V122" s="1063"/>
      <c r="W122" s="664" t="s">
        <v>222</v>
      </c>
      <c r="X122" s="1186"/>
      <c r="Y122" s="1186"/>
      <c r="Z122" s="1186"/>
      <c r="AA122" s="34"/>
      <c r="AB122" s="498"/>
      <c r="AC122" s="21"/>
    </row>
    <row r="123" spans="1:29" ht="48.75" customHeight="1" thickBot="1">
      <c r="B123" s="1390"/>
      <c r="C123" s="556" t="s">
        <v>218</v>
      </c>
      <c r="D123" s="489" t="s">
        <v>223</v>
      </c>
      <c r="E123" s="557">
        <f>NETWORKDAYS.INTL(F123,G123,"0000100",$AH$5:$AH$12)</f>
        <v>37</v>
      </c>
      <c r="F123" s="378">
        <v>46310</v>
      </c>
      <c r="G123" s="378">
        <f>WORKDAY.INTL(F123,30,"0000110")</f>
        <v>46352</v>
      </c>
      <c r="H123" s="499">
        <v>46310</v>
      </c>
      <c r="I123" s="499">
        <f>WORKDAY.INTL(H123,30,"0000110")</f>
        <v>46352</v>
      </c>
      <c r="J123" s="499"/>
      <c r="K123" s="500"/>
      <c r="L123" s="500"/>
      <c r="M123" s="379" t="str">
        <f t="shared" ca="1" si="99"/>
        <v>Not Started</v>
      </c>
      <c r="N123" s="519"/>
      <c r="O123" s="501"/>
      <c r="P123" s="502"/>
      <c r="Q123" s="502"/>
      <c r="R123" s="502"/>
      <c r="S123" s="502"/>
      <c r="T123" s="502"/>
      <c r="U123" s="503"/>
      <c r="V123" s="1064"/>
      <c r="W123" s="561" t="s">
        <v>224</v>
      </c>
      <c r="X123" s="1200"/>
      <c r="Y123" s="1200"/>
      <c r="Z123" s="1200"/>
      <c r="AA123" s="505"/>
      <c r="AB123" s="506"/>
      <c r="AC123" s="21"/>
    </row>
    <row r="124" spans="1:29" ht="36" customHeight="1">
      <c r="AC124" s="21"/>
    </row>
    <row r="125" spans="1:29" ht="36" customHeight="1">
      <c r="AC125" s="21"/>
    </row>
    <row r="126" spans="1:29" ht="36" customHeight="1">
      <c r="AC126" s="21"/>
    </row>
    <row r="127" spans="1:29" ht="36" customHeight="1">
      <c r="AC127" s="21"/>
    </row>
    <row r="128" spans="1:29" ht="36" customHeight="1">
      <c r="AC128" s="21"/>
    </row>
    <row r="129" spans="1:33" s="19" customFormat="1" ht="29.25" customHeight="1">
      <c r="A129" s="20"/>
      <c r="B129" s="20"/>
      <c r="C129" s="20"/>
      <c r="D129" s="325"/>
      <c r="E129" s="326"/>
      <c r="F129" s="397"/>
      <c r="G129" s="397"/>
      <c r="H129" s="397"/>
      <c r="I129" s="397"/>
      <c r="J129" s="397"/>
      <c r="K129" s="397"/>
      <c r="L129" s="401"/>
      <c r="M129" s="401"/>
      <c r="N129" s="401"/>
      <c r="O129" s="20"/>
      <c r="P129" s="20"/>
      <c r="Q129" s="20"/>
      <c r="R129" s="20"/>
      <c r="S129" s="20"/>
      <c r="T129" s="20"/>
      <c r="U129" s="20"/>
      <c r="V129" s="20"/>
      <c r="W129" s="23"/>
      <c r="X129" s="1171"/>
      <c r="Y129" s="1171"/>
      <c r="Z129" s="1171"/>
      <c r="AA129" s="23"/>
      <c r="AB129" s="23"/>
      <c r="AF129" s="24"/>
      <c r="AG129" s="24"/>
    </row>
    <row r="130" spans="1:33" ht="22.5" customHeight="1">
      <c r="AC130" s="21"/>
      <c r="AE130" s="24"/>
    </row>
    <row r="131" spans="1:33" ht="29.1" customHeight="1">
      <c r="AC131" s="21"/>
      <c r="AE131" s="24"/>
    </row>
    <row r="132" spans="1:33" ht="63" customHeight="1">
      <c r="AC132" s="21"/>
      <c r="AE132" s="24"/>
    </row>
    <row r="133" spans="1:33" ht="74.25" customHeight="1">
      <c r="AC133" s="21"/>
      <c r="AE133" s="24"/>
    </row>
    <row r="134" spans="1:33" ht="29.1" customHeight="1">
      <c r="AC134" s="21"/>
      <c r="AE134" s="24"/>
    </row>
    <row r="135" spans="1:33" s="19" customFormat="1" ht="4.5" customHeight="1">
      <c r="A135" s="20"/>
      <c r="B135" s="20"/>
      <c r="C135" s="20"/>
      <c r="D135" s="325"/>
      <c r="E135" s="326"/>
      <c r="F135" s="397"/>
      <c r="G135" s="397"/>
      <c r="H135" s="397"/>
      <c r="I135" s="397"/>
      <c r="J135" s="397"/>
      <c r="K135" s="397"/>
      <c r="L135" s="401"/>
      <c r="M135" s="401"/>
      <c r="N135" s="401"/>
      <c r="O135" s="20"/>
      <c r="P135" s="20"/>
      <c r="Q135" s="20"/>
      <c r="R135" s="20"/>
      <c r="S135" s="20"/>
      <c r="T135" s="20"/>
      <c r="U135" s="20"/>
      <c r="V135" s="20"/>
      <c r="W135" s="23"/>
      <c r="X135" s="1171"/>
      <c r="Y135" s="1171"/>
      <c r="Z135" s="1171"/>
      <c r="AA135" s="23"/>
      <c r="AB135" s="23"/>
      <c r="AF135" s="24"/>
      <c r="AG135" s="24"/>
    </row>
    <row r="136" spans="1:33" ht="30.75" customHeight="1">
      <c r="AC136" s="21"/>
      <c r="AE136" s="24"/>
      <c r="AF136" s="33"/>
      <c r="AG136" s="33"/>
    </row>
    <row r="137" spans="1:33" ht="30.75" customHeight="1">
      <c r="AC137" s="21"/>
      <c r="AE137" s="24"/>
    </row>
    <row r="138" spans="1:33" ht="30.75" customHeight="1">
      <c r="AC138" s="21"/>
      <c r="AE138" s="24"/>
      <c r="AF138" s="33"/>
      <c r="AG138" s="33"/>
    </row>
    <row r="139" spans="1:33" ht="30.75" customHeight="1">
      <c r="AC139" s="21"/>
      <c r="AE139" s="24"/>
    </row>
    <row r="140" spans="1:33" ht="30.75" customHeight="1">
      <c r="AC140" s="21"/>
      <c r="AE140" s="24"/>
    </row>
    <row r="141" spans="1:33" ht="30.75" customHeight="1">
      <c r="AC141" s="21"/>
      <c r="AE141" s="24"/>
    </row>
  </sheetData>
  <sheetProtection formatCells="0" formatColumns="0" formatRows="0" insertColumns="0" insertRows="0" insertHyperlinks="0" deleteColumns="0" deleteRows="0" sort="0" autoFilter="0" pivotTables="0"/>
  <mergeCells count="51">
    <mergeCell ref="AA110:AA116"/>
    <mergeCell ref="B118:B119"/>
    <mergeCell ref="B121:B123"/>
    <mergeCell ref="O72:O73"/>
    <mergeCell ref="O75:O77"/>
    <mergeCell ref="O79:O80"/>
    <mergeCell ref="O82:O83"/>
    <mergeCell ref="O85:O86"/>
    <mergeCell ref="O88:O89"/>
    <mergeCell ref="O91:O95"/>
    <mergeCell ref="O97:O98"/>
    <mergeCell ref="O110:O116"/>
    <mergeCell ref="O100:O101"/>
    <mergeCell ref="O103:O104"/>
    <mergeCell ref="W63:W64"/>
    <mergeCell ref="W110:W111"/>
    <mergeCell ref="B94:B95"/>
    <mergeCell ref="B97:B98"/>
    <mergeCell ref="B100:B101"/>
    <mergeCell ref="B103:B104"/>
    <mergeCell ref="B110:B116"/>
    <mergeCell ref="B79:B80"/>
    <mergeCell ref="B82:B83"/>
    <mergeCell ref="B85:B86"/>
    <mergeCell ref="B88:B89"/>
    <mergeCell ref="B91:B92"/>
    <mergeCell ref="B58:B60"/>
    <mergeCell ref="B63:B67"/>
    <mergeCell ref="B69:B70"/>
    <mergeCell ref="B72:B73"/>
    <mergeCell ref="B75:B77"/>
    <mergeCell ref="B33:B36"/>
    <mergeCell ref="B38:B41"/>
    <mergeCell ref="B43:B46"/>
    <mergeCell ref="B48:B51"/>
    <mergeCell ref="B53:B56"/>
    <mergeCell ref="B5:B11"/>
    <mergeCell ref="B13:B16"/>
    <mergeCell ref="B18:B21"/>
    <mergeCell ref="B23:B26"/>
    <mergeCell ref="B28:B31"/>
    <mergeCell ref="O5:O11"/>
    <mergeCell ref="O13:O16"/>
    <mergeCell ref="O18:O21"/>
    <mergeCell ref="O23:O26"/>
    <mergeCell ref="O33:O36"/>
    <mergeCell ref="O38:O41"/>
    <mergeCell ref="O43:O46"/>
    <mergeCell ref="O48:O51"/>
    <mergeCell ref="O53:O56"/>
    <mergeCell ref="O69:O70"/>
  </mergeCells>
  <phoneticPr fontId="29" type="noConversion"/>
  <conditionalFormatting sqref="L121:L123">
    <cfRule type="cellIs" dxfId="11" priority="37" operator="equal">
      <formula>"In Progress"</formula>
    </cfRule>
    <cfRule type="cellIs" dxfId="10" priority="38" operator="equal">
      <formula>"Delayed"</formula>
    </cfRule>
    <cfRule type="cellIs" dxfId="9" priority="39" operator="equal">
      <formula>"Completed"</formula>
    </cfRule>
  </conditionalFormatting>
  <conditionalFormatting sqref="M1:N73">
    <cfRule type="cellIs" dxfId="8" priority="91" operator="equal">
      <formula>"Delayed"</formula>
    </cfRule>
    <cfRule type="cellIs" dxfId="7" priority="92" operator="equal">
      <formula>"In Progress"</formula>
    </cfRule>
    <cfRule type="cellIs" dxfId="6" priority="93" operator="equal">
      <formula>"Completed"</formula>
    </cfRule>
  </conditionalFormatting>
  <conditionalFormatting sqref="M75:N108">
    <cfRule type="cellIs" dxfId="5" priority="1" operator="equal">
      <formula>"Delayed"</formula>
    </cfRule>
    <cfRule type="cellIs" dxfId="4" priority="2" operator="equal">
      <formula>"In Progress"</formula>
    </cfRule>
    <cfRule type="cellIs" dxfId="3" priority="3" operator="equal">
      <formula>"Completed"</formula>
    </cfRule>
  </conditionalFormatting>
  <conditionalFormatting sqref="M110:N1048576">
    <cfRule type="cellIs" dxfId="2" priority="31" operator="equal">
      <formula>"Delayed"</formula>
    </cfRule>
    <cfRule type="cellIs" dxfId="1" priority="32" operator="equal">
      <formula>"In Progress"</formula>
    </cfRule>
    <cfRule type="cellIs" dxfId="0" priority="33" operator="equal">
      <formula>"Completed"</formula>
    </cfRule>
  </conditionalFormatting>
  <dataValidations disablePrompts="1" count="1">
    <dataValidation type="list" allowBlank="1" showInputMessage="1" showErrorMessage="1" sqref="AC61:AC62 AC130:AC134 AC136:AC141" xr:uid="{00000000-0002-0000-0500-000000000000}">
      <formula1>$AD$2:$AD$5</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2:Z21"/>
  <sheetViews>
    <sheetView topLeftCell="A6" zoomScale="70" zoomScaleNormal="70" workbookViewId="0">
      <selection activeCell="D1" sqref="D1:D1048576"/>
    </sheetView>
  </sheetViews>
  <sheetFormatPr defaultColWidth="9" defaultRowHeight="13.5"/>
  <cols>
    <col min="1" max="1" width="29.625" style="1" customWidth="1"/>
    <col min="2" max="2" width="1.375" style="1" customWidth="1"/>
    <col min="3" max="3" width="19.625" style="1" customWidth="1"/>
    <col min="4" max="4" width="21.125" style="1" customWidth="1"/>
    <col min="5" max="5" width="19.625" customWidth="1"/>
    <col min="6" max="6" width="21.125" customWidth="1"/>
    <col min="7" max="7" width="1.125" customWidth="1"/>
    <col min="8" max="8" width="15.375" style="1" customWidth="1"/>
    <col min="9" max="9" width="16.5" style="1" customWidth="1"/>
    <col min="10" max="10" width="15.375" customWidth="1"/>
    <col min="11" max="11" width="16.5" customWidth="1"/>
    <col min="12" max="12" width="2.625" customWidth="1"/>
    <col min="13" max="13" width="15.375" style="1" customWidth="1"/>
    <col min="14" max="14" width="16.5" style="1" customWidth="1"/>
    <col min="15" max="15" width="15.375" customWidth="1"/>
    <col min="16" max="16" width="16.5" customWidth="1"/>
    <col min="17" max="17" width="2.625" customWidth="1"/>
    <col min="18" max="18" width="15.375" style="1" customWidth="1"/>
    <col min="19" max="19" width="16.5" style="1" customWidth="1"/>
    <col min="20" max="20" width="15.375" customWidth="1"/>
    <col min="21" max="21" width="16.5" customWidth="1"/>
    <col min="22" max="22" width="2.625" customWidth="1"/>
    <col min="23" max="23" width="15.375" style="1" customWidth="1"/>
    <col min="24" max="24" width="16.5" style="1" customWidth="1"/>
    <col min="25" max="25" width="15.375" customWidth="1"/>
    <col min="26" max="26" width="16.5" customWidth="1"/>
    <col min="27" max="27" width="2.625" customWidth="1"/>
    <col min="28" max="28" width="9" customWidth="1"/>
  </cols>
  <sheetData>
    <row r="2" spans="1:26">
      <c r="C2" s="1436" t="s">
        <v>463</v>
      </c>
      <c r="D2" s="1437"/>
      <c r="E2" s="1437"/>
      <c r="F2" s="1437"/>
      <c r="G2" s="1437"/>
      <c r="H2" s="1437"/>
      <c r="I2" s="1437"/>
      <c r="J2" s="1437"/>
      <c r="K2" s="1437"/>
      <c r="L2" s="1437"/>
      <c r="M2" s="1437"/>
      <c r="N2" s="1437"/>
      <c r="O2" s="1437"/>
      <c r="P2" s="1438"/>
      <c r="R2" s="1445" t="s">
        <v>464</v>
      </c>
      <c r="S2" s="1446"/>
      <c r="T2" s="1446"/>
      <c r="U2" s="1446"/>
      <c r="V2" s="1446"/>
      <c r="W2" s="1446"/>
      <c r="X2" s="1446"/>
      <c r="Y2" s="1446"/>
      <c r="Z2" s="1447"/>
    </row>
    <row r="3" spans="1:26">
      <c r="C3" s="1439"/>
      <c r="D3" s="1440"/>
      <c r="E3" s="1440"/>
      <c r="F3" s="1440"/>
      <c r="G3" s="1440"/>
      <c r="H3" s="1440"/>
      <c r="I3" s="1440"/>
      <c r="J3" s="1440"/>
      <c r="K3" s="1440"/>
      <c r="L3" s="1440"/>
      <c r="M3" s="1440"/>
      <c r="N3" s="1440"/>
      <c r="O3" s="1440"/>
      <c r="P3" s="1441"/>
      <c r="R3" s="1448"/>
      <c r="S3" s="1449"/>
      <c r="T3" s="1449"/>
      <c r="U3" s="1449"/>
      <c r="V3" s="1449"/>
      <c r="W3" s="1449"/>
      <c r="X3" s="1449"/>
      <c r="Y3" s="1449"/>
      <c r="Z3" s="1450"/>
    </row>
    <row r="4" spans="1:26" ht="15" customHeight="1">
      <c r="A4"/>
      <c r="B4"/>
      <c r="C4" s="1439"/>
      <c r="D4" s="1440"/>
      <c r="E4" s="1440"/>
      <c r="F4" s="1440"/>
      <c r="G4" s="1440"/>
      <c r="H4" s="1440"/>
      <c r="I4" s="1440"/>
      <c r="J4" s="1440"/>
      <c r="K4" s="1440"/>
      <c r="L4" s="1440"/>
      <c r="M4" s="1440"/>
      <c r="N4" s="1440"/>
      <c r="O4" s="1440"/>
      <c r="P4" s="1441"/>
      <c r="R4" s="1448"/>
      <c r="S4" s="1449"/>
      <c r="T4" s="1449"/>
      <c r="U4" s="1449"/>
      <c r="V4" s="1449"/>
      <c r="W4" s="1449"/>
      <c r="X4" s="1449"/>
      <c r="Y4" s="1449"/>
      <c r="Z4" s="1450"/>
    </row>
    <row r="5" spans="1:26" ht="15" customHeight="1">
      <c r="A5"/>
      <c r="B5"/>
      <c r="C5" s="1439"/>
      <c r="D5" s="1440"/>
      <c r="E5" s="1440"/>
      <c r="F5" s="1440"/>
      <c r="G5" s="1440"/>
      <c r="H5" s="1440"/>
      <c r="I5" s="1440"/>
      <c r="J5" s="1440"/>
      <c r="K5" s="1440"/>
      <c r="L5" s="1440"/>
      <c r="M5" s="1440"/>
      <c r="N5" s="1440"/>
      <c r="O5" s="1440"/>
      <c r="P5" s="1441"/>
      <c r="R5" s="1448"/>
      <c r="S5" s="1449"/>
      <c r="T5" s="1449"/>
      <c r="U5" s="1449"/>
      <c r="V5" s="1449"/>
      <c r="W5" s="1449"/>
      <c r="X5" s="1449"/>
      <c r="Y5" s="1449"/>
      <c r="Z5" s="1450"/>
    </row>
    <row r="6" spans="1:26" ht="15" customHeight="1">
      <c r="A6"/>
      <c r="B6"/>
      <c r="C6" s="1442"/>
      <c r="D6" s="1443"/>
      <c r="E6" s="1443"/>
      <c r="F6" s="1443"/>
      <c r="G6" s="1443"/>
      <c r="H6" s="1443"/>
      <c r="I6" s="1443"/>
      <c r="J6" s="1443"/>
      <c r="K6" s="1443"/>
      <c r="L6" s="1443"/>
      <c r="M6" s="1443"/>
      <c r="N6" s="1443"/>
      <c r="O6" s="1443"/>
      <c r="P6" s="1444"/>
      <c r="R6" s="1451"/>
      <c r="S6" s="1452"/>
      <c r="T6" s="1452"/>
      <c r="U6" s="1452"/>
      <c r="V6" s="1452"/>
      <c r="W6" s="1452"/>
      <c r="X6" s="1452"/>
      <c r="Y6" s="1452"/>
      <c r="Z6" s="1453"/>
    </row>
    <row r="7" spans="1:26" ht="8.25" customHeight="1">
      <c r="A7"/>
      <c r="B7"/>
      <c r="C7"/>
      <c r="D7"/>
      <c r="H7"/>
      <c r="I7"/>
      <c r="M7"/>
      <c r="N7"/>
      <c r="R7"/>
      <c r="S7"/>
      <c r="W7"/>
      <c r="X7"/>
    </row>
    <row r="8" spans="1:26" ht="34.5" customHeight="1">
      <c r="A8" s="1424"/>
      <c r="B8" s="2"/>
      <c r="C8" s="1418" t="s">
        <v>465</v>
      </c>
      <c r="D8" s="1419"/>
      <c r="E8" s="1419"/>
      <c r="F8" s="1420"/>
      <c r="H8" s="1418" t="s">
        <v>465</v>
      </c>
      <c r="I8" s="1419"/>
      <c r="J8" s="1419"/>
      <c r="K8" s="1420"/>
      <c r="L8" s="3"/>
      <c r="M8" s="1418" t="s">
        <v>465</v>
      </c>
      <c r="N8" s="1419"/>
      <c r="O8" s="1419"/>
      <c r="P8" s="1420"/>
      <c r="Q8" s="3"/>
      <c r="R8" s="1421" t="s">
        <v>465</v>
      </c>
      <c r="S8" s="1422"/>
      <c r="T8" s="1422"/>
      <c r="U8" s="1423"/>
      <c r="V8" s="3"/>
      <c r="W8" s="1421" t="s">
        <v>465</v>
      </c>
      <c r="X8" s="1422"/>
      <c r="Y8" s="1422"/>
      <c r="Z8" s="1423"/>
    </row>
    <row r="9" spans="1:26" ht="34.5" customHeight="1">
      <c r="A9" s="1425"/>
      <c r="B9" s="2"/>
      <c r="C9" s="1435" t="s">
        <v>80</v>
      </c>
      <c r="D9" s="1431"/>
      <c r="E9" s="1431"/>
      <c r="F9" s="1433"/>
      <c r="H9" s="1435" t="s">
        <v>92</v>
      </c>
      <c r="I9" s="1431"/>
      <c r="J9" s="1431"/>
      <c r="K9" s="1433"/>
      <c r="L9" s="3"/>
      <c r="M9" s="1435" t="s">
        <v>94</v>
      </c>
      <c r="N9" s="1431"/>
      <c r="O9" s="1431"/>
      <c r="P9" s="1433"/>
      <c r="Q9" s="3"/>
      <c r="R9" s="1415" t="s">
        <v>81</v>
      </c>
      <c r="S9" s="1416"/>
      <c r="T9" s="1416"/>
      <c r="U9" s="1417"/>
      <c r="V9" s="3"/>
      <c r="W9" s="1415" t="s">
        <v>93</v>
      </c>
      <c r="X9" s="1416"/>
      <c r="Y9" s="1416"/>
      <c r="Z9" s="1417"/>
    </row>
    <row r="10" spans="1:26" ht="41.25" customHeight="1">
      <c r="A10" s="1425"/>
      <c r="B10" s="2"/>
      <c r="C10" s="1430" t="s">
        <v>466</v>
      </c>
      <c r="D10" s="1431"/>
      <c r="E10" s="1432" t="s">
        <v>467</v>
      </c>
      <c r="F10" s="1433"/>
      <c r="H10" s="1434" t="s">
        <v>466</v>
      </c>
      <c r="I10" s="1431"/>
      <c r="J10" s="1432" t="s">
        <v>467</v>
      </c>
      <c r="K10" s="1433"/>
      <c r="L10" s="3"/>
      <c r="M10" s="1434" t="s">
        <v>466</v>
      </c>
      <c r="N10" s="1431"/>
      <c r="O10" s="1432" t="s">
        <v>467</v>
      </c>
      <c r="P10" s="1433"/>
      <c r="Q10" s="3"/>
      <c r="R10" s="1454" t="s">
        <v>466</v>
      </c>
      <c r="S10" s="1416"/>
      <c r="T10" s="1455" t="s">
        <v>467</v>
      </c>
      <c r="U10" s="1417"/>
      <c r="V10" s="3"/>
      <c r="W10" s="1454" t="s">
        <v>466</v>
      </c>
      <c r="X10" s="1416"/>
      <c r="Y10" s="1455" t="s">
        <v>467</v>
      </c>
      <c r="Z10" s="1417"/>
    </row>
    <row r="11" spans="1:26" ht="41.25" customHeight="1">
      <c r="A11" s="1425"/>
      <c r="B11" s="2"/>
      <c r="C11" s="4" t="s">
        <v>468</v>
      </c>
      <c r="D11" s="5" t="s">
        <v>469</v>
      </c>
      <c r="E11" s="5" t="s">
        <v>468</v>
      </c>
      <c r="F11" s="6" t="s">
        <v>469</v>
      </c>
      <c r="H11" s="4" t="s">
        <v>468</v>
      </c>
      <c r="I11" s="5" t="s">
        <v>469</v>
      </c>
      <c r="J11" s="5" t="s">
        <v>468</v>
      </c>
      <c r="K11" s="6" t="s">
        <v>469</v>
      </c>
      <c r="L11" s="3"/>
      <c r="M11" s="4" t="s">
        <v>468</v>
      </c>
      <c r="N11" s="5" t="s">
        <v>469</v>
      </c>
      <c r="O11" s="5" t="s">
        <v>468</v>
      </c>
      <c r="P11" s="6" t="s">
        <v>469</v>
      </c>
      <c r="Q11" s="3"/>
      <c r="R11" s="4" t="s">
        <v>468</v>
      </c>
      <c r="S11" s="5" t="s">
        <v>469</v>
      </c>
      <c r="T11" s="5" t="s">
        <v>468</v>
      </c>
      <c r="U11" s="6" t="s">
        <v>469</v>
      </c>
      <c r="V11" s="3"/>
      <c r="W11" s="4" t="s">
        <v>468</v>
      </c>
      <c r="X11" s="5" t="s">
        <v>469</v>
      </c>
      <c r="Y11" s="5" t="s">
        <v>468</v>
      </c>
      <c r="Z11" s="6" t="s">
        <v>469</v>
      </c>
    </row>
    <row r="12" spans="1:26" ht="56.25" customHeight="1">
      <c r="A12" s="7" t="s">
        <v>68</v>
      </c>
      <c r="B12" s="2"/>
      <c r="C12" s="8" t="e">
        <f>#REF!</f>
        <v>#REF!</v>
      </c>
      <c r="D12" s="433" t="e">
        <f>#REF!</f>
        <v>#REF!</v>
      </c>
      <c r="E12" s="1426" t="e">
        <f>#REF!</f>
        <v>#REF!</v>
      </c>
      <c r="F12" s="1428" t="e">
        <f>#REF!</f>
        <v>#REF!</v>
      </c>
      <c r="H12" s="8" t="e">
        <f>#REF!</f>
        <v>#REF!</v>
      </c>
      <c r="I12" s="433" t="e">
        <f>#REF!</f>
        <v>#REF!</v>
      </c>
      <c r="J12" s="1426" t="e">
        <f>#REF!</f>
        <v>#REF!</v>
      </c>
      <c r="K12" s="1428" t="e">
        <f>#REF!</f>
        <v>#REF!</v>
      </c>
      <c r="L12" s="3"/>
      <c r="M12" s="8" t="e">
        <f>#REF!</f>
        <v>#REF!</v>
      </c>
      <c r="N12" s="433" t="e">
        <f>#REF!</f>
        <v>#REF!</v>
      </c>
      <c r="O12" s="1426" t="e">
        <f>#REF!</f>
        <v>#REF!</v>
      </c>
      <c r="P12" s="1428" t="e">
        <f>#REF!</f>
        <v>#REF!</v>
      </c>
      <c r="Q12" s="3"/>
      <c r="R12" s="8" t="e">
        <f>'ABHA Migration Plan'!#REF!</f>
        <v>#REF!</v>
      </c>
      <c r="S12" s="433" t="e">
        <f>'ABHA Migration Plan'!#REF!</f>
        <v>#REF!</v>
      </c>
      <c r="T12" s="1426">
        <f>'ABHA Migration Plan'!G51</f>
        <v>46295</v>
      </c>
      <c r="U12" s="1428">
        <f>'ABHA Migration Plan'!I51</f>
        <v>46303</v>
      </c>
      <c r="V12" s="3"/>
      <c r="W12" s="8" t="e">
        <f>#REF!</f>
        <v>#REF!</v>
      </c>
      <c r="X12" s="433" t="e">
        <f>#REF!</f>
        <v>#REF!</v>
      </c>
      <c r="Y12" s="1426" t="e">
        <f>#REF!</f>
        <v>#REF!</v>
      </c>
      <c r="Z12" s="1428">
        <f>'ABHA Migration Plan'!I51</f>
        <v>46303</v>
      </c>
    </row>
    <row r="13" spans="1:26" ht="56.25" customHeight="1">
      <c r="A13" s="7" t="s">
        <v>69</v>
      </c>
      <c r="B13" s="2"/>
      <c r="C13" s="8" t="e">
        <f>#REF!</f>
        <v>#REF!</v>
      </c>
      <c r="D13" s="433" t="e">
        <f>#REF!</f>
        <v>#REF!</v>
      </c>
      <c r="E13" s="1426"/>
      <c r="F13" s="1428"/>
      <c r="H13" s="8" t="e">
        <f>#REF!</f>
        <v>#REF!</v>
      </c>
      <c r="I13" s="433" t="e">
        <f>#REF!</f>
        <v>#REF!</v>
      </c>
      <c r="J13" s="1426" t="e">
        <f>'ABHA Migration Plan'!#REF!</f>
        <v>#REF!</v>
      </c>
      <c r="K13" s="1428" t="e">
        <f>'ABHA Migration Plan'!#REF!</f>
        <v>#REF!</v>
      </c>
      <c r="L13" s="3"/>
      <c r="M13" s="8" t="e">
        <f>#REF!</f>
        <v>#REF!</v>
      </c>
      <c r="N13" s="433" t="e">
        <f>#REF!</f>
        <v>#REF!</v>
      </c>
      <c r="O13" s="1426" t="e">
        <f>'ABHA Migration Plan'!#REF!</f>
        <v>#REF!</v>
      </c>
      <c r="P13" s="1428" t="e">
        <f>'ABHA Migration Plan'!#REF!</f>
        <v>#REF!</v>
      </c>
      <c r="Q13" s="3"/>
      <c r="R13" s="8" t="e">
        <f>'ABHA Migration Plan'!#REF!</f>
        <v>#REF!</v>
      </c>
      <c r="S13" s="433" t="e">
        <f>'ABHA Migration Plan'!#REF!</f>
        <v>#REF!</v>
      </c>
      <c r="T13" s="1426"/>
      <c r="U13" s="1428"/>
      <c r="V13" s="3"/>
      <c r="W13" s="8" t="e">
        <f>#REF!</f>
        <v>#REF!</v>
      </c>
      <c r="X13" s="433" t="e">
        <f>#REF!</f>
        <v>#REF!</v>
      </c>
      <c r="Y13" s="1426"/>
      <c r="Z13" s="1428"/>
    </row>
    <row r="14" spans="1:26" ht="56.25" customHeight="1">
      <c r="A14" s="7" t="s">
        <v>70</v>
      </c>
      <c r="B14" s="2"/>
      <c r="C14" s="8" t="e">
        <f>#REF!</f>
        <v>#REF!</v>
      </c>
      <c r="D14" s="433" t="e">
        <f>#REF!</f>
        <v>#REF!</v>
      </c>
      <c r="E14" s="1426"/>
      <c r="F14" s="1428"/>
      <c r="H14" s="8" t="e">
        <f>#REF!</f>
        <v>#REF!</v>
      </c>
      <c r="I14" s="433" t="e">
        <f>#REF!</f>
        <v>#REF!</v>
      </c>
      <c r="J14" s="1426" t="e">
        <f>#REF!</f>
        <v>#REF!</v>
      </c>
      <c r="K14" s="1428" t="e">
        <f>#REF!</f>
        <v>#REF!</v>
      </c>
      <c r="L14" s="3"/>
      <c r="M14" s="8" t="e">
        <f>#REF!</f>
        <v>#REF!</v>
      </c>
      <c r="N14" s="433" t="e">
        <f>#REF!</f>
        <v>#REF!</v>
      </c>
      <c r="O14" s="1426" t="e">
        <f>#REF!</f>
        <v>#REF!</v>
      </c>
      <c r="P14" s="1428" t="e">
        <f>#REF!</f>
        <v>#REF!</v>
      </c>
      <c r="Q14" s="3"/>
      <c r="R14" s="8" t="e">
        <f>'ABHA Migration Plan'!#REF!</f>
        <v>#REF!</v>
      </c>
      <c r="S14" s="433" t="e">
        <f>'ABHA Migration Plan'!#REF!</f>
        <v>#REF!</v>
      </c>
      <c r="T14" s="1426"/>
      <c r="U14" s="1428"/>
      <c r="V14" s="3"/>
      <c r="W14" s="8" t="e">
        <f>#REF!</f>
        <v>#REF!</v>
      </c>
      <c r="X14" s="433" t="e">
        <f>#REF!</f>
        <v>#REF!</v>
      </c>
      <c r="Y14" s="1426"/>
      <c r="Z14" s="1428"/>
    </row>
    <row r="15" spans="1:26" ht="56.25" customHeight="1">
      <c r="A15" s="7" t="s">
        <v>71</v>
      </c>
      <c r="B15" s="2"/>
      <c r="C15" s="8" t="e">
        <f>#REF!</f>
        <v>#REF!</v>
      </c>
      <c r="D15" s="433" t="e">
        <f>#REF!</f>
        <v>#REF!</v>
      </c>
      <c r="E15" s="1426"/>
      <c r="F15" s="1428"/>
      <c r="H15" s="8" t="e">
        <f>#REF!</f>
        <v>#REF!</v>
      </c>
      <c r="I15" s="433" t="e">
        <f>#REF!</f>
        <v>#REF!</v>
      </c>
      <c r="J15" s="1426" t="e">
        <f>#REF!</f>
        <v>#REF!</v>
      </c>
      <c r="K15" s="1428" t="e">
        <f>#REF!</f>
        <v>#REF!</v>
      </c>
      <c r="L15" s="3"/>
      <c r="M15" s="8" t="e">
        <f>#REF!</f>
        <v>#REF!</v>
      </c>
      <c r="N15" s="433" t="e">
        <f>#REF!</f>
        <v>#REF!</v>
      </c>
      <c r="O15" s="1426" t="e">
        <f>#REF!</f>
        <v>#REF!</v>
      </c>
      <c r="P15" s="1428" t="e">
        <f>#REF!</f>
        <v>#REF!</v>
      </c>
      <c r="Q15" s="3"/>
      <c r="R15" s="8" t="e">
        <f>'ABHA Migration Plan'!#REF!</f>
        <v>#REF!</v>
      </c>
      <c r="S15" s="433" t="e">
        <f>'ABHA Migration Plan'!#REF!</f>
        <v>#REF!</v>
      </c>
      <c r="T15" s="1426"/>
      <c r="U15" s="1428"/>
      <c r="V15" s="3"/>
      <c r="W15" s="8" t="e">
        <f>#REF!</f>
        <v>#REF!</v>
      </c>
      <c r="X15" s="433" t="e">
        <f>#REF!</f>
        <v>#REF!</v>
      </c>
      <c r="Y15" s="1426"/>
      <c r="Z15" s="1428"/>
    </row>
    <row r="16" spans="1:26" ht="56.25" customHeight="1">
      <c r="A16" s="7" t="s">
        <v>72</v>
      </c>
      <c r="B16" s="2"/>
      <c r="C16" s="8" t="e">
        <f>#REF!</f>
        <v>#REF!</v>
      </c>
      <c r="D16" s="433" t="e">
        <f>#REF!</f>
        <v>#REF!</v>
      </c>
      <c r="E16" s="1426"/>
      <c r="F16" s="1428"/>
      <c r="H16" s="8" t="e">
        <f>#REF!</f>
        <v>#REF!</v>
      </c>
      <c r="I16" s="433" t="e">
        <f>#REF!</f>
        <v>#REF!</v>
      </c>
      <c r="J16" s="1426" t="e">
        <f>#REF!</f>
        <v>#REF!</v>
      </c>
      <c r="K16" s="1428" t="e">
        <f>#REF!</f>
        <v>#REF!</v>
      </c>
      <c r="L16" s="3"/>
      <c r="M16" s="8" t="e">
        <f>#REF!</f>
        <v>#REF!</v>
      </c>
      <c r="N16" s="433" t="e">
        <f>#REF!</f>
        <v>#REF!</v>
      </c>
      <c r="O16" s="1426" t="e">
        <f>#REF!</f>
        <v>#REF!</v>
      </c>
      <c r="P16" s="1428" t="e">
        <f>#REF!</f>
        <v>#REF!</v>
      </c>
      <c r="Q16" s="3"/>
      <c r="R16" s="8" t="e">
        <f>'ABHA Migration Plan'!#REF!</f>
        <v>#REF!</v>
      </c>
      <c r="S16" s="433" t="e">
        <f>'ABHA Migration Plan'!#REF!</f>
        <v>#REF!</v>
      </c>
      <c r="T16" s="1426"/>
      <c r="U16" s="1428"/>
      <c r="V16" s="3"/>
      <c r="W16" s="8" t="e">
        <f>#REF!</f>
        <v>#REF!</v>
      </c>
      <c r="X16" s="433" t="e">
        <f>#REF!</f>
        <v>#REF!</v>
      </c>
      <c r="Y16" s="1426"/>
      <c r="Z16" s="1428"/>
    </row>
    <row r="17" spans="1:26" ht="56.25" customHeight="1">
      <c r="A17" s="7" t="s">
        <v>73</v>
      </c>
      <c r="B17" s="2"/>
      <c r="C17" s="8" t="e">
        <f>#REF!</f>
        <v>#REF!</v>
      </c>
      <c r="D17" s="433" t="e">
        <f>#REF!</f>
        <v>#REF!</v>
      </c>
      <c r="E17" s="1426"/>
      <c r="F17" s="1428"/>
      <c r="H17" s="8" t="e">
        <f>#REF!</f>
        <v>#REF!</v>
      </c>
      <c r="I17" s="433" t="e">
        <f>#REF!</f>
        <v>#REF!</v>
      </c>
      <c r="J17" s="1426"/>
      <c r="K17" s="1428"/>
      <c r="L17" s="3"/>
      <c r="M17" s="8" t="e">
        <f>#REF!</f>
        <v>#REF!</v>
      </c>
      <c r="N17" s="433" t="e">
        <f>#REF!</f>
        <v>#REF!</v>
      </c>
      <c r="O17" s="1426"/>
      <c r="P17" s="1428"/>
      <c r="Q17" s="3"/>
      <c r="R17" s="8" t="e">
        <f>'ABHA Migration Plan'!#REF!</f>
        <v>#REF!</v>
      </c>
      <c r="S17" s="433" t="e">
        <f>'ABHA Migration Plan'!#REF!</f>
        <v>#REF!</v>
      </c>
      <c r="T17" s="1426"/>
      <c r="U17" s="1428"/>
      <c r="V17" s="3"/>
      <c r="W17" s="8" t="e">
        <f>#REF!</f>
        <v>#REF!</v>
      </c>
      <c r="X17" s="433" t="e">
        <f>#REF!</f>
        <v>#REF!</v>
      </c>
      <c r="Y17" s="1426"/>
      <c r="Z17" s="1428"/>
    </row>
    <row r="18" spans="1:26" ht="56.25" customHeight="1">
      <c r="A18" s="7" t="s">
        <v>74</v>
      </c>
      <c r="B18" s="2"/>
      <c r="C18" s="8" t="e">
        <f>#REF!</f>
        <v>#REF!</v>
      </c>
      <c r="D18" s="433" t="e">
        <f>#REF!</f>
        <v>#REF!</v>
      </c>
      <c r="E18" s="1426"/>
      <c r="F18" s="1428"/>
      <c r="H18" s="8" t="e">
        <f>#REF!</f>
        <v>#REF!</v>
      </c>
      <c r="I18" s="433" t="e">
        <f>#REF!</f>
        <v>#REF!</v>
      </c>
      <c r="J18" s="1426"/>
      <c r="K18" s="1428"/>
      <c r="L18" s="3"/>
      <c r="M18" s="8" t="e">
        <f>#REF!</f>
        <v>#REF!</v>
      </c>
      <c r="N18" s="433" t="e">
        <f>#REF!</f>
        <v>#REF!</v>
      </c>
      <c r="O18" s="1426"/>
      <c r="P18" s="1428"/>
      <c r="Q18" s="3"/>
      <c r="R18" s="8" t="e">
        <f>'ABHA Migration Plan'!#REF!</f>
        <v>#REF!</v>
      </c>
      <c r="S18" s="433" t="e">
        <f>'ABHA Migration Plan'!#REF!</f>
        <v>#REF!</v>
      </c>
      <c r="T18" s="1426"/>
      <c r="U18" s="1428"/>
      <c r="V18" s="3"/>
      <c r="W18" s="8" t="e">
        <f>#REF!</f>
        <v>#REF!</v>
      </c>
      <c r="X18" s="433" t="e">
        <f>#REF!</f>
        <v>#REF!</v>
      </c>
      <c r="Y18" s="1426"/>
      <c r="Z18" s="1428"/>
    </row>
    <row r="19" spans="1:26" ht="56.25" customHeight="1">
      <c r="A19" s="7" t="s">
        <v>75</v>
      </c>
      <c r="B19" s="2"/>
      <c r="C19" s="8" t="e">
        <f>#REF!</f>
        <v>#REF!</v>
      </c>
      <c r="D19" s="433" t="e">
        <f>#REF!</f>
        <v>#REF!</v>
      </c>
      <c r="E19" s="1426"/>
      <c r="F19" s="1428"/>
      <c r="H19" s="8" t="e">
        <f>#REF!</f>
        <v>#REF!</v>
      </c>
      <c r="I19" s="433" t="e">
        <f>#REF!</f>
        <v>#REF!</v>
      </c>
      <c r="J19" s="1426"/>
      <c r="K19" s="1428"/>
      <c r="L19" s="3"/>
      <c r="M19" s="8" t="e">
        <f>#REF!</f>
        <v>#REF!</v>
      </c>
      <c r="N19" s="433" t="e">
        <f>#REF!</f>
        <v>#REF!</v>
      </c>
      <c r="O19" s="1426"/>
      <c r="P19" s="1428"/>
      <c r="Q19" s="3"/>
      <c r="R19" s="8" t="e">
        <f>'ABHA Migration Plan'!#REF!</f>
        <v>#REF!</v>
      </c>
      <c r="S19" s="433" t="e">
        <f>'ABHA Migration Plan'!#REF!</f>
        <v>#REF!</v>
      </c>
      <c r="T19" s="1426"/>
      <c r="U19" s="1428"/>
      <c r="V19" s="3"/>
      <c r="W19" s="8" t="e">
        <f>#REF!</f>
        <v>#REF!</v>
      </c>
      <c r="X19" s="433" t="e">
        <f>#REF!</f>
        <v>#REF!</v>
      </c>
      <c r="Y19" s="1426"/>
      <c r="Z19" s="1428"/>
    </row>
    <row r="20" spans="1:26" ht="56.25" customHeight="1">
      <c r="A20" s="7" t="s">
        <v>76</v>
      </c>
      <c r="B20" s="2"/>
      <c r="C20" s="8" t="e">
        <f>#REF!</f>
        <v>#REF!</v>
      </c>
      <c r="D20" s="433" t="e">
        <f>#REF!</f>
        <v>#REF!</v>
      </c>
      <c r="E20" s="1426"/>
      <c r="F20" s="1428"/>
      <c r="H20" s="8" t="e">
        <f>#REF!</f>
        <v>#REF!</v>
      </c>
      <c r="I20" s="433" t="e">
        <f>#REF!</f>
        <v>#REF!</v>
      </c>
      <c r="J20" s="1426"/>
      <c r="K20" s="1428"/>
      <c r="L20" s="3"/>
      <c r="M20" s="8" t="e">
        <f>#REF!</f>
        <v>#REF!</v>
      </c>
      <c r="N20" s="433" t="e">
        <f>#REF!</f>
        <v>#REF!</v>
      </c>
      <c r="O20" s="1426"/>
      <c r="P20" s="1428"/>
      <c r="Q20" s="3"/>
      <c r="R20" s="9"/>
      <c r="S20" s="10"/>
      <c r="T20" s="11"/>
      <c r="U20" s="12"/>
      <c r="V20" s="3"/>
      <c r="W20" s="9"/>
      <c r="X20" s="10"/>
      <c r="Y20" s="11"/>
      <c r="Z20" s="12"/>
    </row>
    <row r="21" spans="1:26" ht="56.25" customHeight="1">
      <c r="A21" s="13" t="s">
        <v>77</v>
      </c>
      <c r="B21" s="2"/>
      <c r="C21" s="14" t="e">
        <f>#REF!</f>
        <v>#REF!</v>
      </c>
      <c r="D21" s="434" t="e">
        <f>#REF!</f>
        <v>#REF!</v>
      </c>
      <c r="E21" s="1427"/>
      <c r="F21" s="1429"/>
      <c r="H21" s="14" t="e">
        <f>#REF!</f>
        <v>#REF!</v>
      </c>
      <c r="I21" s="434" t="e">
        <f>#REF!</f>
        <v>#REF!</v>
      </c>
      <c r="J21" s="1427"/>
      <c r="K21" s="1429"/>
      <c r="L21" s="3"/>
      <c r="M21" s="14" t="e">
        <f>#REF!</f>
        <v>#REF!</v>
      </c>
      <c r="N21" s="434" t="e">
        <f>#REF!</f>
        <v>#REF!</v>
      </c>
      <c r="O21" s="1427"/>
      <c r="P21" s="1429"/>
      <c r="Q21" s="3"/>
      <c r="R21" s="15"/>
      <c r="S21" s="16"/>
      <c r="T21" s="17"/>
      <c r="U21" s="18"/>
      <c r="V21" s="3"/>
      <c r="W21" s="15"/>
      <c r="X21" s="16"/>
      <c r="Y21" s="17"/>
      <c r="Z21" s="18"/>
    </row>
  </sheetData>
  <sheetProtection formatCells="0" formatColumns="0" formatRows="0" insertColumns="0" insertRows="0" insertHyperlinks="0" deleteColumns="0" deleteRows="0" sort="0" autoFilter="0" pivotTables="0"/>
  <mergeCells count="33">
    <mergeCell ref="Z12:Z19"/>
    <mergeCell ref="C2:P6"/>
    <mergeCell ref="R2:Z6"/>
    <mergeCell ref="O12:O21"/>
    <mergeCell ref="P12:P21"/>
    <mergeCell ref="T12:T19"/>
    <mergeCell ref="U12:U19"/>
    <mergeCell ref="Y12:Y19"/>
    <mergeCell ref="O10:P10"/>
    <mergeCell ref="R10:S10"/>
    <mergeCell ref="T10:U10"/>
    <mergeCell ref="W10:X10"/>
    <mergeCell ref="Y10:Z10"/>
    <mergeCell ref="M10:N10"/>
    <mergeCell ref="M9:P9"/>
    <mergeCell ref="R9:U9"/>
    <mergeCell ref="A8:A11"/>
    <mergeCell ref="E12:E21"/>
    <mergeCell ref="F12:F21"/>
    <mergeCell ref="J12:J21"/>
    <mergeCell ref="K12:K21"/>
    <mergeCell ref="C10:D10"/>
    <mergeCell ref="E10:F10"/>
    <mergeCell ref="H10:I10"/>
    <mergeCell ref="J10:K10"/>
    <mergeCell ref="C9:F9"/>
    <mergeCell ref="H9:K9"/>
    <mergeCell ref="W9:Z9"/>
    <mergeCell ref="C8:F8"/>
    <mergeCell ref="H8:K8"/>
    <mergeCell ref="M8:P8"/>
    <mergeCell ref="R8:U8"/>
    <mergeCell ref="W8:Z8"/>
  </mergeCells>
  <phoneticPr fontId="29" type="noConversion"/>
  <pageMargins left="0.7" right="0.7" top="0.75" bottom="0.75" header="0.3" footer="0.3"/>
  <pageSetup paperSize="8" scale="51"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0"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46"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Props sheetStid="48" interlineOnOff="0" interlineColor="0" isDbSheet="0" isDashBoardSheet="0" isDbDashBoardSheet="0" isFlexPaperSheet="0">
      <cellprotection/>
      <appEtDbRelations/>
    </woSheetProps>
    <woSheetProps sheetStid="49" interlineOnOff="0" interlineColor="0" isDbSheet="0" isDashBoardSheet="0" isDbDashBoardSheet="0" isFlexPaperSheet="0">
      <cellprotection/>
      <appEtDbRelations/>
    </woSheetProps>
    <woSheetProps sheetStid="45" interlineOnOff="0" interlineColor="0" isDbSheet="0" isDashBoardSheet="0" isDbDashBoardSheet="0" isFlexPaperSheet="0">
      <cellprotection/>
      <appEtDbRelations/>
    </woSheetProps>
  </woSheetsProps>
  <woBookProps>
    <bookSettings fileId="54087406188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30"/>
  <pixelatorList sheetStid="31"/>
  <pixelatorList sheetStid="46"/>
  <pixelatorList sheetStid="47"/>
  <pixelatorList sheetStid="48"/>
  <pixelatorList sheetStid="49"/>
  <pixelatorList sheetStid="45"/>
  <pixelatorList sheetStid="50"/>
</pixelators>
</file>

<file path=customXml/itemProps1.xml><?xml version="1.0" encoding="utf-8"?>
<ds:datastoreItem xmlns:ds="http://schemas.openxmlformats.org/officeDocument/2006/customXml" ds:itemID="{06C82605-B75B-4693-9329-32AAD527C692}"/>
</file>

<file path=customXml/itemProps2.xml><?xml version="1.0" encoding="utf-8"?>
<ds:datastoreItem xmlns:ds="http://schemas.openxmlformats.org/officeDocument/2006/customXml" ds:itemID="{224D003E-15C9-4FFE-AB16-9E66474EAE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 Narayanasamy</dc:creator>
  <cp:keywords/>
  <dc:description/>
  <cp:lastModifiedBy>Guest User</cp:lastModifiedBy>
  <cp:revision/>
  <dcterms:created xsi:type="dcterms:W3CDTF">2025-01-07T11:35:00Z</dcterms:created>
  <dcterms:modified xsi:type="dcterms:W3CDTF">2026-07-26T09:09:14Z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2025-07-19T06:51:01Z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817f76e9-7df5-4087-8062-fb8098be9e86</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y fmtid="{D5CDD505-2E9C-101B-9397-08002B2CF9AE}" pid="10" name="ContentTypeId">
    <vt:lpwstr>0x01010093DC0BB8BE08744AAD7823D7D2EEDA58</vt:lpwstr>
  </property>
  <property fmtid="{D5CDD505-2E9C-101B-9397-08002B2CF9AE}" pid="11" name="MediaServiceImageTags">
    <vt:lpwstr/>
  </property>
  <property fmtid="{D5CDD505-2E9C-101B-9397-08002B2CF9AE}" pid="12" name="ICV">
    <vt:lpwstr>8FFFE1AB2A5A4A8C91E6357E193E83F2_13</vt:lpwstr>
  </property>
  <property fmtid="{D5CDD505-2E9C-101B-9397-08002B2CF9AE}" pid="13" name="KSOProductBuildVer">
    <vt:lpwstr>2052-12.9.0.27557</vt:lpwstr>
  </property>
  <property fmtid="{D5CDD505-2E9C-101B-9397-08002B2CF9AE}" pid="14" name="CalculationRule">
    <vt:i4>0</vt:i4>
  </property>
</Properties>
</file>